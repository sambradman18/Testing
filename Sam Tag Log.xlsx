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P:\Research\SB - Research\1. Admin\"/>
    </mc:Choice>
  </mc:AlternateContent>
  <xr:revisionPtr revIDLastSave="0" documentId="13_ncr:1_{6AE9209C-95E3-427D-A833-C2BAB0CEB412}" xr6:coauthVersionLast="47" xr6:coauthVersionMax="47" xr10:uidLastSave="{00000000-0000-0000-0000-000000000000}"/>
  <bookViews>
    <workbookView xWindow="-120" yWindow="-120" windowWidth="29040" windowHeight="15720" firstSheet="1" activeTab="7" xr2:uid="{79173C98-FA85-4026-BA36-F4E98ECC663A}"/>
  </bookViews>
  <sheets>
    <sheet name="I" sheetId="6" r:id="rId1"/>
    <sheet name="FY25" sheetId="1" r:id="rId2"/>
    <sheet name="FY26" sheetId="2" r:id="rId3"/>
    <sheet name="FY27" sheetId="11" r:id="rId4"/>
    <sheet name="Peter Lee" sheetId="10" state="hidden" r:id="rId5"/>
    <sheet name="Total" sheetId="5" r:id="rId6"/>
    <sheet name="II" sheetId="7" r:id="rId7"/>
    <sheet name="Panels" sheetId="9" r:id="rId8"/>
    <sheet name="Timing" sheetId="3" r:id="rId9"/>
    <sheet name="Monetisation" sheetId="8" r:id="rId10"/>
  </sheets>
  <definedNames>
    <definedName name="_xlnm._FilterDatabase" localSheetId="1" hidden="1">'FY25'!$H$3:$J$3</definedName>
    <definedName name="_xlnm._FilterDatabase" localSheetId="2" hidden="1">'FY26'!$N$3:$P$3</definedName>
    <definedName name="_xlnm._FilterDatabase" localSheetId="3" hidden="1">'FY27'!$N$3:$P$3</definedName>
    <definedName name="_xlnm._FilterDatabase" localSheetId="5" hidden="1">Total!$X$3:$Z$3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5" l="1"/>
  <c r="L5" i="5" s="1"/>
  <c r="M5" i="5" s="1"/>
  <c r="L6" i="5" s="1"/>
  <c r="H4" i="5"/>
  <c r="M6" i="5" l="1"/>
  <c r="L7" i="5" s="1"/>
  <c r="G5" i="5"/>
  <c r="H5" i="5" s="1"/>
  <c r="U34" i="11"/>
  <c r="U35" i="11"/>
  <c r="U36" i="11"/>
  <c r="U37" i="11"/>
  <c r="U38" i="11"/>
  <c r="U39" i="11"/>
  <c r="U40" i="11"/>
  <c r="U41" i="11"/>
  <c r="U42" i="11"/>
  <c r="U43" i="11"/>
  <c r="U32" i="11"/>
  <c r="U33" i="11"/>
  <c r="AF102" i="5"/>
  <c r="AG102" i="5"/>
  <c r="AH102" i="5"/>
  <c r="AF103" i="5"/>
  <c r="AG103" i="5"/>
  <c r="AH103" i="5"/>
  <c r="AF104" i="5"/>
  <c r="AG104" i="5"/>
  <c r="AH104" i="5"/>
  <c r="AF105" i="5"/>
  <c r="AG105" i="5"/>
  <c r="AH105" i="5"/>
  <c r="AF106" i="5"/>
  <c r="AG106" i="5"/>
  <c r="AH106" i="5"/>
  <c r="AF107" i="5"/>
  <c r="AG107" i="5"/>
  <c r="AH107" i="5"/>
  <c r="AF108" i="5"/>
  <c r="AG108" i="5"/>
  <c r="AH108" i="5"/>
  <c r="AF109" i="5"/>
  <c r="AG109" i="5"/>
  <c r="AH109" i="5"/>
  <c r="AF110" i="5"/>
  <c r="AG110" i="5"/>
  <c r="AH110" i="5"/>
  <c r="AF111" i="5"/>
  <c r="AG111" i="5"/>
  <c r="AH111" i="5"/>
  <c r="AF112" i="5"/>
  <c r="AG112" i="5"/>
  <c r="AH112" i="5"/>
  <c r="AF113" i="5"/>
  <c r="AG113" i="5"/>
  <c r="AH113" i="5"/>
  <c r="AF114" i="5"/>
  <c r="AG114" i="5"/>
  <c r="AH114" i="5"/>
  <c r="AF115" i="5"/>
  <c r="AG115" i="5"/>
  <c r="AH115" i="5"/>
  <c r="AF116" i="5"/>
  <c r="AG116" i="5"/>
  <c r="AH116" i="5"/>
  <c r="AF117" i="5"/>
  <c r="AG117" i="5"/>
  <c r="AH117" i="5"/>
  <c r="AF118" i="5"/>
  <c r="AG118" i="5"/>
  <c r="AH118" i="5"/>
  <c r="AF119" i="5"/>
  <c r="AG119" i="5"/>
  <c r="AH119" i="5"/>
  <c r="AF120" i="5"/>
  <c r="AG120" i="5"/>
  <c r="AH120" i="5"/>
  <c r="AF121" i="5"/>
  <c r="AG121" i="5"/>
  <c r="AH121" i="5"/>
  <c r="AF122" i="5"/>
  <c r="AG122" i="5"/>
  <c r="AH122" i="5"/>
  <c r="AF123" i="5"/>
  <c r="AG123" i="5"/>
  <c r="AH123" i="5"/>
  <c r="AF124" i="5"/>
  <c r="AG124" i="5"/>
  <c r="AH124" i="5"/>
  <c r="AF125" i="5"/>
  <c r="AG125" i="5"/>
  <c r="AH125" i="5"/>
  <c r="AF126" i="5"/>
  <c r="AG126" i="5"/>
  <c r="AH126" i="5"/>
  <c r="AF127" i="5"/>
  <c r="AG127" i="5"/>
  <c r="AH127" i="5"/>
  <c r="AF128" i="5"/>
  <c r="AG128" i="5"/>
  <c r="AH128" i="5"/>
  <c r="AF129" i="5"/>
  <c r="AG129" i="5"/>
  <c r="AH129" i="5"/>
  <c r="AF130" i="5"/>
  <c r="AG130" i="5"/>
  <c r="AH130" i="5"/>
  <c r="AF131" i="5"/>
  <c r="AG131" i="5"/>
  <c r="AH131" i="5"/>
  <c r="AF132" i="5"/>
  <c r="AG132" i="5"/>
  <c r="AH132" i="5"/>
  <c r="AF133" i="5"/>
  <c r="AG133" i="5"/>
  <c r="AH133" i="5"/>
  <c r="AF134" i="5"/>
  <c r="AG134" i="5"/>
  <c r="AH134" i="5"/>
  <c r="AF135" i="5"/>
  <c r="AG135" i="5"/>
  <c r="AH135" i="5"/>
  <c r="AF136" i="5"/>
  <c r="AG136" i="5"/>
  <c r="AH136" i="5"/>
  <c r="AF137" i="5"/>
  <c r="AG137" i="5"/>
  <c r="AH137" i="5"/>
  <c r="AF138" i="5"/>
  <c r="AG138" i="5"/>
  <c r="AH138" i="5"/>
  <c r="AF139" i="5"/>
  <c r="AG139" i="5"/>
  <c r="AH139" i="5"/>
  <c r="AF140" i="5"/>
  <c r="AG140" i="5"/>
  <c r="AH140" i="5"/>
  <c r="AF141" i="5"/>
  <c r="AG141" i="5"/>
  <c r="AH141" i="5"/>
  <c r="AF142" i="5"/>
  <c r="AG142" i="5"/>
  <c r="AH142" i="5"/>
  <c r="AF143" i="5"/>
  <c r="AG143" i="5"/>
  <c r="AH143" i="5"/>
  <c r="AF144" i="5"/>
  <c r="AG144" i="5"/>
  <c r="AH144" i="5"/>
  <c r="AF145" i="5"/>
  <c r="AG145" i="5"/>
  <c r="AH145" i="5"/>
  <c r="AF146" i="5"/>
  <c r="AG146" i="5"/>
  <c r="AH146" i="5"/>
  <c r="AF147" i="5"/>
  <c r="AG147" i="5"/>
  <c r="AH147" i="5"/>
  <c r="AF148" i="5"/>
  <c r="AG148" i="5"/>
  <c r="AH148" i="5"/>
  <c r="AF149" i="5"/>
  <c r="AG149" i="5"/>
  <c r="AH149" i="5"/>
  <c r="AF150" i="5"/>
  <c r="AG150" i="5"/>
  <c r="AH150" i="5"/>
  <c r="AF151" i="5"/>
  <c r="AG151" i="5"/>
  <c r="AH151" i="5"/>
  <c r="AF152" i="5"/>
  <c r="AG152" i="5"/>
  <c r="AH152" i="5"/>
  <c r="AF153" i="5"/>
  <c r="AG153" i="5"/>
  <c r="AH153" i="5"/>
  <c r="AF154" i="5"/>
  <c r="AG154" i="5"/>
  <c r="AH154" i="5"/>
  <c r="AF155" i="5"/>
  <c r="AG155" i="5"/>
  <c r="AH155" i="5"/>
  <c r="AF156" i="5"/>
  <c r="AG156" i="5"/>
  <c r="AH156" i="5"/>
  <c r="AF157" i="5"/>
  <c r="AG157" i="5"/>
  <c r="AH157" i="5"/>
  <c r="AF158" i="5"/>
  <c r="AG158" i="5"/>
  <c r="AH158" i="5"/>
  <c r="AF159" i="5"/>
  <c r="AG159" i="5"/>
  <c r="AH159" i="5"/>
  <c r="AF160" i="5"/>
  <c r="AG160" i="5"/>
  <c r="AH160" i="5"/>
  <c r="AF161" i="5"/>
  <c r="AG161" i="5"/>
  <c r="AH161" i="5"/>
  <c r="AF162" i="5"/>
  <c r="AG162" i="5"/>
  <c r="AH162" i="5"/>
  <c r="AF163" i="5"/>
  <c r="AG163" i="5"/>
  <c r="AH163" i="5"/>
  <c r="AF164" i="5"/>
  <c r="AG164" i="5"/>
  <c r="AH164" i="5"/>
  <c r="AF165" i="5"/>
  <c r="AG165" i="5"/>
  <c r="AH165" i="5"/>
  <c r="AF166" i="5"/>
  <c r="AG166" i="5"/>
  <c r="AH166" i="5"/>
  <c r="AF167" i="5"/>
  <c r="AG167" i="5"/>
  <c r="AH167" i="5"/>
  <c r="AF168" i="5"/>
  <c r="AG168" i="5"/>
  <c r="AH168" i="5"/>
  <c r="AF169" i="5"/>
  <c r="AG169" i="5"/>
  <c r="AH169" i="5"/>
  <c r="AF170" i="5"/>
  <c r="AG170" i="5"/>
  <c r="AH170" i="5"/>
  <c r="AF171" i="5"/>
  <c r="AG171" i="5"/>
  <c r="AH171" i="5"/>
  <c r="AF172" i="5"/>
  <c r="AG172" i="5"/>
  <c r="AH172" i="5"/>
  <c r="AF173" i="5"/>
  <c r="AG173" i="5"/>
  <c r="AH173" i="5"/>
  <c r="AF174" i="5"/>
  <c r="AG174" i="5"/>
  <c r="AH174" i="5"/>
  <c r="AF175" i="5"/>
  <c r="AG175" i="5"/>
  <c r="AH175" i="5"/>
  <c r="AF176" i="5"/>
  <c r="AG176" i="5"/>
  <c r="AH176" i="5"/>
  <c r="AF177" i="5"/>
  <c r="AG177" i="5"/>
  <c r="AH177" i="5"/>
  <c r="AF178" i="5"/>
  <c r="AG178" i="5"/>
  <c r="AH178" i="5"/>
  <c r="AF179" i="5"/>
  <c r="AG179" i="5"/>
  <c r="AH179" i="5"/>
  <c r="AF180" i="5"/>
  <c r="AG180" i="5"/>
  <c r="AH180" i="5"/>
  <c r="AF181" i="5"/>
  <c r="AG181" i="5"/>
  <c r="AH181" i="5"/>
  <c r="AF182" i="5"/>
  <c r="AG182" i="5"/>
  <c r="AH182" i="5"/>
  <c r="AF183" i="5"/>
  <c r="AG183" i="5"/>
  <c r="AH183" i="5"/>
  <c r="AF184" i="5"/>
  <c r="AG184" i="5"/>
  <c r="AH184" i="5"/>
  <c r="AF185" i="5"/>
  <c r="AG185" i="5"/>
  <c r="AH185" i="5"/>
  <c r="AF186" i="5"/>
  <c r="AG186" i="5"/>
  <c r="AH186" i="5"/>
  <c r="AF187" i="5"/>
  <c r="AG187" i="5"/>
  <c r="AH187" i="5"/>
  <c r="AF188" i="5"/>
  <c r="AG188" i="5"/>
  <c r="AH188" i="5"/>
  <c r="AF189" i="5"/>
  <c r="AG189" i="5"/>
  <c r="AH189" i="5"/>
  <c r="AF190" i="5"/>
  <c r="AG190" i="5"/>
  <c r="AH190" i="5"/>
  <c r="AF191" i="5"/>
  <c r="AG191" i="5"/>
  <c r="AH191" i="5"/>
  <c r="AF192" i="5"/>
  <c r="AG192" i="5"/>
  <c r="AH192" i="5"/>
  <c r="AF193" i="5"/>
  <c r="AG193" i="5"/>
  <c r="AH193" i="5"/>
  <c r="AF194" i="5"/>
  <c r="AG194" i="5"/>
  <c r="AH194" i="5"/>
  <c r="AF195" i="5"/>
  <c r="AG195" i="5"/>
  <c r="AH195" i="5"/>
  <c r="AF196" i="5"/>
  <c r="AG196" i="5"/>
  <c r="AH196" i="5"/>
  <c r="AF197" i="5"/>
  <c r="AG197" i="5"/>
  <c r="AH197" i="5"/>
  <c r="AF198" i="5"/>
  <c r="AG198" i="5"/>
  <c r="AH198" i="5"/>
  <c r="AF199" i="5"/>
  <c r="AG199" i="5"/>
  <c r="AH199" i="5"/>
  <c r="AF200" i="5"/>
  <c r="AG200" i="5"/>
  <c r="AH200" i="5"/>
  <c r="AF201" i="5"/>
  <c r="AG201" i="5"/>
  <c r="AH201" i="5"/>
  <c r="AF202" i="5"/>
  <c r="AG202" i="5"/>
  <c r="AH202" i="5"/>
  <c r="AF203" i="5"/>
  <c r="AG203" i="5"/>
  <c r="AH203" i="5"/>
  <c r="AF204" i="5"/>
  <c r="AG204" i="5"/>
  <c r="AH204" i="5"/>
  <c r="AF205" i="5"/>
  <c r="AG205" i="5"/>
  <c r="AH205" i="5"/>
  <c r="AF206" i="5"/>
  <c r="AG206" i="5"/>
  <c r="AH206" i="5"/>
  <c r="AF207" i="5"/>
  <c r="AG207" i="5"/>
  <c r="AH207" i="5"/>
  <c r="AF208" i="5"/>
  <c r="AG208" i="5"/>
  <c r="AH208" i="5"/>
  <c r="AF209" i="5"/>
  <c r="AG209" i="5"/>
  <c r="AH209" i="5"/>
  <c r="AF210" i="5"/>
  <c r="AG210" i="5"/>
  <c r="AH210" i="5"/>
  <c r="AF211" i="5"/>
  <c r="AG211" i="5"/>
  <c r="AH211" i="5"/>
  <c r="AF212" i="5"/>
  <c r="AG212" i="5"/>
  <c r="AH212" i="5"/>
  <c r="AF213" i="5"/>
  <c r="AG213" i="5"/>
  <c r="AH213" i="5"/>
  <c r="AF214" i="5"/>
  <c r="AG214" i="5"/>
  <c r="AH214" i="5"/>
  <c r="AF215" i="5"/>
  <c r="AG215" i="5"/>
  <c r="AH215" i="5"/>
  <c r="AF216" i="5"/>
  <c r="AG216" i="5"/>
  <c r="AH216" i="5"/>
  <c r="AF217" i="5"/>
  <c r="AG217" i="5"/>
  <c r="AH217" i="5"/>
  <c r="AF218" i="5"/>
  <c r="AG218" i="5"/>
  <c r="AH218" i="5"/>
  <c r="AF219" i="5"/>
  <c r="AG219" i="5"/>
  <c r="AH219" i="5"/>
  <c r="AF220" i="5"/>
  <c r="AG220" i="5"/>
  <c r="AH220" i="5"/>
  <c r="AF221" i="5"/>
  <c r="AG221" i="5"/>
  <c r="AH221" i="5"/>
  <c r="AF222" i="5"/>
  <c r="AG222" i="5"/>
  <c r="AH222" i="5"/>
  <c r="AF223" i="5"/>
  <c r="AG223" i="5"/>
  <c r="AH223" i="5"/>
  <c r="AH101" i="5"/>
  <c r="AG101" i="5"/>
  <c r="AF101" i="5"/>
  <c r="AF100" i="5"/>
  <c r="AG100" i="5"/>
  <c r="AH100" i="5"/>
  <c r="AF20" i="5"/>
  <c r="AH20" i="5"/>
  <c r="AG20" i="5"/>
  <c r="AF99" i="5"/>
  <c r="AG99" i="5"/>
  <c r="AH99" i="5"/>
  <c r="E22" i="11"/>
  <c r="M5" i="11"/>
  <c r="M6" i="11" s="1"/>
  <c r="T4" i="11" a="1"/>
  <c r="U26" i="11" s="1"/>
  <c r="C4" i="11"/>
  <c r="B5" i="11" s="1"/>
  <c r="T4" i="2" a="1"/>
  <c r="T4" i="2" s="1"/>
  <c r="X69" i="2"/>
  <c r="AF55" i="5"/>
  <c r="AG55" i="5"/>
  <c r="AH55" i="5"/>
  <c r="M7" i="5" l="1"/>
  <c r="L8" i="5" s="1"/>
  <c r="C5" i="11"/>
  <c r="E5" i="11" s="1"/>
  <c r="M7" i="11"/>
  <c r="U16" i="11"/>
  <c r="U11" i="11"/>
  <c r="U14" i="11"/>
  <c r="U29" i="11"/>
  <c r="U24" i="11"/>
  <c r="U7" i="11"/>
  <c r="U6" i="11"/>
  <c r="D4" i="11"/>
  <c r="E23" i="11" s="1"/>
  <c r="U8" i="11"/>
  <c r="U19" i="11"/>
  <c r="E4" i="11"/>
  <c r="U22" i="11"/>
  <c r="U27" i="11"/>
  <c r="U5" i="11"/>
  <c r="U13" i="11"/>
  <c r="U30" i="11"/>
  <c r="U10" i="11"/>
  <c r="U20" i="11"/>
  <c r="U25" i="11"/>
  <c r="T4" i="11"/>
  <c r="U4" i="11" s="1"/>
  <c r="U12" i="11"/>
  <c r="U18" i="11"/>
  <c r="U23" i="11"/>
  <c r="U31" i="11"/>
  <c r="U15" i="11"/>
  <c r="U28" i="11"/>
  <c r="U9" i="11"/>
  <c r="U21" i="11"/>
  <c r="U17" i="11"/>
  <c r="U31" i="2"/>
  <c r="U30" i="2"/>
  <c r="M8" i="5" l="1"/>
  <c r="L9" i="5" s="1"/>
  <c r="G6" i="5"/>
  <c r="H6" i="5" s="1"/>
  <c r="S33" i="11"/>
  <c r="S36" i="11"/>
  <c r="S42" i="11"/>
  <c r="S34" i="11"/>
  <c r="S35" i="11"/>
  <c r="S43" i="11"/>
  <c r="S40" i="11"/>
  <c r="S41" i="11"/>
  <c r="S38" i="11"/>
  <c r="S39" i="11"/>
  <c r="S37" i="11"/>
  <c r="S32" i="11"/>
  <c r="S18" i="11"/>
  <c r="S12" i="11"/>
  <c r="S29" i="11"/>
  <c r="S11" i="11"/>
  <c r="S24" i="11"/>
  <c r="S13" i="11"/>
  <c r="S16" i="11"/>
  <c r="S23" i="11"/>
  <c r="S5" i="11"/>
  <c r="M8" i="11"/>
  <c r="S31" i="11"/>
  <c r="S7" i="11"/>
  <c r="S14" i="11"/>
  <c r="S27" i="11"/>
  <c r="S6" i="11"/>
  <c r="S10" i="11"/>
  <c r="S22" i="11"/>
  <c r="S20" i="11"/>
  <c r="S4" i="11"/>
  <c r="S19" i="11"/>
  <c r="D5" i="11"/>
  <c r="B6" i="11"/>
  <c r="S25" i="11"/>
  <c r="S30" i="11"/>
  <c r="S17" i="11"/>
  <c r="S21" i="11"/>
  <c r="S9" i="11"/>
  <c r="S28" i="11"/>
  <c r="S15" i="11"/>
  <c r="S8" i="11"/>
  <c r="S26" i="11"/>
  <c r="AF63" i="5"/>
  <c r="AG63" i="5"/>
  <c r="AH63" i="5"/>
  <c r="AF64" i="5"/>
  <c r="AG64" i="5"/>
  <c r="AH64" i="5"/>
  <c r="AF65" i="5"/>
  <c r="AG65" i="5"/>
  <c r="AH65" i="5"/>
  <c r="AF66" i="5"/>
  <c r="AG66" i="5"/>
  <c r="AH66" i="5"/>
  <c r="AF67" i="5"/>
  <c r="AG67" i="5"/>
  <c r="AH67" i="5"/>
  <c r="AF68" i="5"/>
  <c r="AG68" i="5"/>
  <c r="AH68" i="5"/>
  <c r="AF69" i="5"/>
  <c r="AG69" i="5"/>
  <c r="AH69" i="5"/>
  <c r="AF70" i="5"/>
  <c r="AG70" i="5"/>
  <c r="AH70" i="5"/>
  <c r="AF71" i="5"/>
  <c r="AG71" i="5"/>
  <c r="AH71" i="5"/>
  <c r="AF72" i="5"/>
  <c r="AG72" i="5"/>
  <c r="AH72" i="5"/>
  <c r="AF73" i="5"/>
  <c r="AG73" i="5"/>
  <c r="AH73" i="5"/>
  <c r="AF74" i="5"/>
  <c r="AG74" i="5"/>
  <c r="AH74" i="5"/>
  <c r="AF75" i="5"/>
  <c r="AG75" i="5"/>
  <c r="AH75" i="5"/>
  <c r="AF76" i="5"/>
  <c r="AG76" i="5"/>
  <c r="AH76" i="5"/>
  <c r="AF77" i="5"/>
  <c r="AG77" i="5"/>
  <c r="AH77" i="5"/>
  <c r="AF78" i="5"/>
  <c r="AG78" i="5"/>
  <c r="AH78" i="5"/>
  <c r="AF79" i="5"/>
  <c r="AG79" i="5"/>
  <c r="AH79" i="5"/>
  <c r="AF80" i="5"/>
  <c r="AG80" i="5"/>
  <c r="AH80" i="5"/>
  <c r="AF81" i="5"/>
  <c r="AG81" i="5"/>
  <c r="AH81" i="5"/>
  <c r="AF82" i="5"/>
  <c r="AG82" i="5"/>
  <c r="AH82" i="5"/>
  <c r="AF83" i="5"/>
  <c r="AG83" i="5"/>
  <c r="AH83" i="5"/>
  <c r="AF84" i="5"/>
  <c r="AG84" i="5"/>
  <c r="AH84" i="5"/>
  <c r="AF85" i="5"/>
  <c r="AG85" i="5"/>
  <c r="AH85" i="5"/>
  <c r="AF86" i="5"/>
  <c r="AG86" i="5"/>
  <c r="AH86" i="5"/>
  <c r="AF87" i="5"/>
  <c r="AG87" i="5"/>
  <c r="AH87" i="5"/>
  <c r="AF88" i="5"/>
  <c r="AG88" i="5"/>
  <c r="AH88" i="5"/>
  <c r="AF89" i="5"/>
  <c r="AG89" i="5"/>
  <c r="AH89" i="5"/>
  <c r="AF90" i="5"/>
  <c r="AG90" i="5"/>
  <c r="AH90" i="5"/>
  <c r="AF91" i="5"/>
  <c r="AG91" i="5"/>
  <c r="AH91" i="5"/>
  <c r="AF92" i="5"/>
  <c r="AG92" i="5"/>
  <c r="AH92" i="5"/>
  <c r="AF93" i="5"/>
  <c r="AG93" i="5"/>
  <c r="AH93" i="5"/>
  <c r="AF94" i="5"/>
  <c r="AG94" i="5"/>
  <c r="AH94" i="5"/>
  <c r="AF95" i="5"/>
  <c r="AG95" i="5"/>
  <c r="AH95" i="5"/>
  <c r="AF96" i="5"/>
  <c r="AG96" i="5"/>
  <c r="AH96" i="5"/>
  <c r="AF97" i="5"/>
  <c r="AG97" i="5"/>
  <c r="AH97" i="5"/>
  <c r="AF98" i="5"/>
  <c r="AG98" i="5"/>
  <c r="AH98" i="5"/>
  <c r="AH62" i="5"/>
  <c r="AG62" i="5"/>
  <c r="AF62" i="5"/>
  <c r="AH61" i="5"/>
  <c r="AG61" i="5"/>
  <c r="AF61" i="5"/>
  <c r="AH60" i="5"/>
  <c r="AG60" i="5"/>
  <c r="AF60" i="5"/>
  <c r="AH59" i="5"/>
  <c r="AG59" i="5"/>
  <c r="AF59" i="5"/>
  <c r="AH58" i="5"/>
  <c r="AG58" i="5"/>
  <c r="AF58" i="5"/>
  <c r="AH57" i="5"/>
  <c r="AG57" i="5"/>
  <c r="AF57" i="5"/>
  <c r="AH56" i="5"/>
  <c r="AG56" i="5"/>
  <c r="AF56" i="5"/>
  <c r="AH54" i="5"/>
  <c r="AG54" i="5"/>
  <c r="AF54" i="5"/>
  <c r="AH53" i="5"/>
  <c r="AG53" i="5"/>
  <c r="AF53" i="5"/>
  <c r="AH52" i="5"/>
  <c r="AG52" i="5"/>
  <c r="AF52" i="5"/>
  <c r="AH51" i="5"/>
  <c r="AG51" i="5"/>
  <c r="AF51" i="5"/>
  <c r="AH50" i="5"/>
  <c r="AG50" i="5"/>
  <c r="AF50" i="5"/>
  <c r="AH49" i="5"/>
  <c r="AG49" i="5"/>
  <c r="AF49" i="5"/>
  <c r="AH48" i="5"/>
  <c r="AG48" i="5"/>
  <c r="AF48" i="5"/>
  <c r="AH47" i="5"/>
  <c r="AG47" i="5"/>
  <c r="AF47" i="5"/>
  <c r="AH46" i="5"/>
  <c r="AG46" i="5"/>
  <c r="AF46" i="5"/>
  <c r="AH45" i="5"/>
  <c r="AG45" i="5"/>
  <c r="AF45" i="5"/>
  <c r="AH44" i="5"/>
  <c r="AG44" i="5"/>
  <c r="AF44" i="5"/>
  <c r="AH43" i="5"/>
  <c r="AG43" i="5"/>
  <c r="AF43" i="5"/>
  <c r="AH42" i="5"/>
  <c r="AG42" i="5"/>
  <c r="AF42" i="5"/>
  <c r="AH41" i="5"/>
  <c r="AG41" i="5"/>
  <c r="AF41" i="5"/>
  <c r="AH40" i="5"/>
  <c r="AG40" i="5"/>
  <c r="AF40" i="5"/>
  <c r="AH39" i="5"/>
  <c r="AG39" i="5"/>
  <c r="AF39" i="5"/>
  <c r="AH38" i="5"/>
  <c r="AG38" i="5"/>
  <c r="AF38" i="5"/>
  <c r="AH37" i="5"/>
  <c r="AG37" i="5"/>
  <c r="AF37" i="5"/>
  <c r="AH36" i="5"/>
  <c r="AG36" i="5"/>
  <c r="AF36" i="5"/>
  <c r="AH35" i="5"/>
  <c r="AG35" i="5"/>
  <c r="AF35" i="5"/>
  <c r="U29" i="2"/>
  <c r="AF21" i="5"/>
  <c r="AG21" i="5"/>
  <c r="AH21" i="5"/>
  <c r="AF22" i="5"/>
  <c r="AG22" i="5"/>
  <c r="AH22" i="5"/>
  <c r="AF23" i="5"/>
  <c r="AG23" i="5"/>
  <c r="AH23" i="5"/>
  <c r="AF24" i="5"/>
  <c r="AG24" i="5"/>
  <c r="AH24" i="5"/>
  <c r="AF25" i="5"/>
  <c r="AG25" i="5"/>
  <c r="AH25" i="5"/>
  <c r="AF26" i="5"/>
  <c r="AG26" i="5"/>
  <c r="AH26" i="5"/>
  <c r="AF27" i="5"/>
  <c r="AG27" i="5"/>
  <c r="AH27" i="5"/>
  <c r="AF28" i="5"/>
  <c r="AG28" i="5"/>
  <c r="AH28" i="5"/>
  <c r="AF29" i="5"/>
  <c r="AG29" i="5"/>
  <c r="AH29" i="5"/>
  <c r="AF30" i="5"/>
  <c r="AG30" i="5"/>
  <c r="AH30" i="5"/>
  <c r="AF31" i="5"/>
  <c r="AG31" i="5"/>
  <c r="AH31" i="5"/>
  <c r="AF32" i="5"/>
  <c r="AG32" i="5"/>
  <c r="AH32" i="5"/>
  <c r="AF33" i="5"/>
  <c r="AG33" i="5"/>
  <c r="AH33" i="5"/>
  <c r="AF34" i="5"/>
  <c r="AG34" i="5"/>
  <c r="AH34" i="5"/>
  <c r="C4" i="5"/>
  <c r="B5" i="5" s="1"/>
  <c r="M5" i="2"/>
  <c r="M6" i="2" s="1"/>
  <c r="M7" i="2" s="1"/>
  <c r="M8" i="2" s="1"/>
  <c r="M9" i="2" s="1"/>
  <c r="M10" i="2" s="1"/>
  <c r="C4" i="2"/>
  <c r="C4" i="1"/>
  <c r="D4" i="1" s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M4" i="1" a="1"/>
  <c r="M4" i="1" s="1"/>
  <c r="N4" i="1" s="1"/>
  <c r="O7" i="5" l="1"/>
  <c r="O8" i="5"/>
  <c r="J4" i="5"/>
  <c r="O5" i="5"/>
  <c r="J5" i="5"/>
  <c r="O4" i="5"/>
  <c r="O6" i="5"/>
  <c r="M9" i="5"/>
  <c r="L10" i="5" s="1"/>
  <c r="J6" i="5"/>
  <c r="AD38" i="5"/>
  <c r="AB38" i="5" s="1"/>
  <c r="AD43" i="5"/>
  <c r="AB43" i="5" s="1"/>
  <c r="AD37" i="5"/>
  <c r="AB37" i="5" s="1"/>
  <c r="AD41" i="5"/>
  <c r="AB41" i="5" s="1"/>
  <c r="AD36" i="5"/>
  <c r="AB36" i="5" s="1"/>
  <c r="AD39" i="5"/>
  <c r="AB39" i="5" s="1"/>
  <c r="AD40" i="5"/>
  <c r="AB40" i="5" s="1"/>
  <c r="AD42" i="5"/>
  <c r="AB42" i="5" s="1"/>
  <c r="AD35" i="5"/>
  <c r="AB35" i="5" s="1"/>
  <c r="O7" i="11"/>
  <c r="N7" i="11"/>
  <c r="P7" i="11" s="1"/>
  <c r="C6" i="11"/>
  <c r="E6" i="11" s="1"/>
  <c r="M9" i="11"/>
  <c r="O8" i="11"/>
  <c r="N8" i="11"/>
  <c r="P8" i="11" s="1"/>
  <c r="N4" i="11"/>
  <c r="P4" i="11" s="1"/>
  <c r="O4" i="11"/>
  <c r="O5" i="11"/>
  <c r="N6" i="11"/>
  <c r="P6" i="11" s="1"/>
  <c r="O6" i="11"/>
  <c r="N5" i="11"/>
  <c r="P5" i="11" s="1"/>
  <c r="U27" i="2"/>
  <c r="U28" i="2"/>
  <c r="U25" i="2"/>
  <c r="U26" i="2"/>
  <c r="U23" i="2"/>
  <c r="U24" i="2"/>
  <c r="U4" i="2"/>
  <c r="U22" i="2"/>
  <c r="U21" i="2"/>
  <c r="B5" i="2"/>
  <c r="C5" i="2" s="1"/>
  <c r="E4" i="2"/>
  <c r="U20" i="2"/>
  <c r="U19" i="2"/>
  <c r="U18" i="2"/>
  <c r="U17" i="2"/>
  <c r="U16" i="2"/>
  <c r="AC4" i="5" a="1"/>
  <c r="AD33" i="5" s="1"/>
  <c r="U12" i="2"/>
  <c r="U15" i="2"/>
  <c r="C5" i="5"/>
  <c r="E5" i="5" s="1"/>
  <c r="D4" i="5"/>
  <c r="E4" i="5"/>
  <c r="U14" i="2"/>
  <c r="U13" i="2"/>
  <c r="U11" i="2"/>
  <c r="U10" i="2"/>
  <c r="M11" i="2"/>
  <c r="U9" i="2"/>
  <c r="B5" i="1"/>
  <c r="E4" i="1"/>
  <c r="U6" i="2"/>
  <c r="U8" i="2"/>
  <c r="U5" i="2"/>
  <c r="U7" i="2"/>
  <c r="D4" i="2"/>
  <c r="N9" i="1"/>
  <c r="N8" i="1"/>
  <c r="N6" i="1"/>
  <c r="N7" i="1"/>
  <c r="N5" i="1"/>
  <c r="AD34" i="5" l="1"/>
  <c r="M10" i="5"/>
  <c r="L11" i="5" s="1"/>
  <c r="O9" i="5"/>
  <c r="G7" i="5"/>
  <c r="H7" i="5" s="1"/>
  <c r="AD21" i="5"/>
  <c r="AD32" i="5"/>
  <c r="O9" i="11"/>
  <c r="N9" i="11"/>
  <c r="P9" i="11" s="1"/>
  <c r="M10" i="11"/>
  <c r="D6" i="11"/>
  <c r="B7" i="11"/>
  <c r="S31" i="2"/>
  <c r="S30" i="2"/>
  <c r="AD31" i="5"/>
  <c r="S10" i="2"/>
  <c r="S18" i="2"/>
  <c r="S22" i="2"/>
  <c r="S19" i="2"/>
  <c r="S4" i="2"/>
  <c r="S21" i="2"/>
  <c r="S24" i="2"/>
  <c r="S11" i="2"/>
  <c r="S7" i="2"/>
  <c r="S23" i="2"/>
  <c r="S13" i="2"/>
  <c r="S8" i="2"/>
  <c r="S26" i="2"/>
  <c r="S14" i="2"/>
  <c r="S25" i="2"/>
  <c r="S15" i="2"/>
  <c r="S6" i="2"/>
  <c r="S28" i="2"/>
  <c r="S20" i="2"/>
  <c r="S12" i="2"/>
  <c r="S16" i="2"/>
  <c r="S27" i="2"/>
  <c r="S5" i="2"/>
  <c r="S9" i="2"/>
  <c r="S17" i="2"/>
  <c r="S29" i="2"/>
  <c r="AD30" i="5"/>
  <c r="AD29" i="5"/>
  <c r="AD28" i="5"/>
  <c r="AD27" i="5"/>
  <c r="AD26" i="5"/>
  <c r="AD25" i="5"/>
  <c r="AD24" i="5"/>
  <c r="AD23" i="5"/>
  <c r="AD22" i="5"/>
  <c r="E5" i="2"/>
  <c r="AD12" i="5"/>
  <c r="AD20" i="5"/>
  <c r="AD19" i="5"/>
  <c r="AD18" i="5"/>
  <c r="AD9" i="5"/>
  <c r="AD10" i="5"/>
  <c r="AD14" i="5"/>
  <c r="AD11" i="5"/>
  <c r="AD6" i="5"/>
  <c r="AD13" i="5"/>
  <c r="AD7" i="5"/>
  <c r="AD5" i="5"/>
  <c r="AD8" i="5"/>
  <c r="AC4" i="5"/>
  <c r="AD4" i="5" s="1"/>
  <c r="AD16" i="5"/>
  <c r="AD17" i="5"/>
  <c r="AD15" i="5"/>
  <c r="B6" i="5"/>
  <c r="D5" i="5"/>
  <c r="M12" i="2"/>
  <c r="M13" i="2" s="1"/>
  <c r="C5" i="1"/>
  <c r="E5" i="1" s="1"/>
  <c r="D5" i="2"/>
  <c r="B6" i="2"/>
  <c r="I9" i="1"/>
  <c r="I5" i="1"/>
  <c r="I4" i="1"/>
  <c r="I6" i="1"/>
  <c r="I8" i="1"/>
  <c r="I7" i="1"/>
  <c r="AB34" i="5" l="1"/>
  <c r="M11" i="5"/>
  <c r="L12" i="5" s="1"/>
  <c r="O10" i="5"/>
  <c r="J7" i="5"/>
  <c r="H4" i="1"/>
  <c r="J4" i="1" s="1"/>
  <c r="H8" i="1"/>
  <c r="J8" i="1" s="1"/>
  <c r="H5" i="1"/>
  <c r="J5" i="1" s="1"/>
  <c r="H7" i="1"/>
  <c r="J7" i="1" s="1"/>
  <c r="H6" i="1"/>
  <c r="J6" i="1" s="1"/>
  <c r="H9" i="1"/>
  <c r="J9" i="1" s="1"/>
  <c r="C7" i="11"/>
  <c r="M11" i="11"/>
  <c r="O10" i="11"/>
  <c r="N10" i="11"/>
  <c r="P10" i="11" s="1"/>
  <c r="AB27" i="5"/>
  <c r="AB13" i="5"/>
  <c r="AB7" i="5"/>
  <c r="AB14" i="5"/>
  <c r="AB6" i="5"/>
  <c r="AB30" i="5"/>
  <c r="AB19" i="5"/>
  <c r="AB25" i="5"/>
  <c r="AB20" i="5"/>
  <c r="AB11" i="5"/>
  <c r="AB12" i="5"/>
  <c r="AB15" i="5"/>
  <c r="AB31" i="5"/>
  <c r="AB9" i="5"/>
  <c r="AB22" i="5"/>
  <c r="AB10" i="5"/>
  <c r="AB17" i="5"/>
  <c r="AB4" i="5"/>
  <c r="AB33" i="5"/>
  <c r="AB23" i="5"/>
  <c r="AB26" i="5"/>
  <c r="AB32" i="5"/>
  <c r="AB29" i="5"/>
  <c r="AB16" i="5"/>
  <c r="AB24" i="5"/>
  <c r="AB18" i="5"/>
  <c r="AB28" i="5"/>
  <c r="AB8" i="5"/>
  <c r="AB5" i="5"/>
  <c r="AB21" i="5"/>
  <c r="O5" i="2"/>
  <c r="N5" i="2"/>
  <c r="P5" i="2" s="1"/>
  <c r="O4" i="2"/>
  <c r="C6" i="5"/>
  <c r="E6" i="5" s="1"/>
  <c r="N9" i="2"/>
  <c r="P9" i="2" s="1"/>
  <c r="O7" i="2"/>
  <c r="O10" i="2"/>
  <c r="O8" i="2"/>
  <c r="O9" i="2"/>
  <c r="O13" i="2"/>
  <c r="N13" i="2"/>
  <c r="P13" i="2" s="1"/>
  <c r="O11" i="2"/>
  <c r="N11" i="2"/>
  <c r="P11" i="2" s="1"/>
  <c r="N10" i="2"/>
  <c r="P10" i="2" s="1"/>
  <c r="O12" i="2"/>
  <c r="N12" i="2"/>
  <c r="P12" i="2" s="1"/>
  <c r="O6" i="2"/>
  <c r="N7" i="2"/>
  <c r="P7" i="2" s="1"/>
  <c r="N8" i="2"/>
  <c r="P8" i="2" s="1"/>
  <c r="N4" i="2"/>
  <c r="P4" i="2" s="1"/>
  <c r="N6" i="2"/>
  <c r="P6" i="2" s="1"/>
  <c r="M14" i="2"/>
  <c r="M15" i="2" s="1"/>
  <c r="M16" i="2" s="1"/>
  <c r="B6" i="1"/>
  <c r="D5" i="1"/>
  <c r="C6" i="2"/>
  <c r="E6" i="2" s="1"/>
  <c r="I24" i="1"/>
  <c r="K5" i="1" s="1"/>
  <c r="K9" i="1" l="1"/>
  <c r="K6" i="1"/>
  <c r="K7" i="1"/>
  <c r="W5" i="5"/>
  <c r="X5" i="5" s="1"/>
  <c r="Z5" i="5" s="1"/>
  <c r="M12" i="5"/>
  <c r="L13" i="5" s="1"/>
  <c r="O11" i="5"/>
  <c r="G8" i="5"/>
  <c r="K8" i="1"/>
  <c r="K4" i="1"/>
  <c r="O11" i="11"/>
  <c r="N11" i="11"/>
  <c r="P11" i="11" s="1"/>
  <c r="M12" i="11"/>
  <c r="B8" i="11"/>
  <c r="D7" i="11"/>
  <c r="E7" i="11"/>
  <c r="M17" i="2"/>
  <c r="N16" i="2"/>
  <c r="P16" i="2" s="1"/>
  <c r="O16" i="2"/>
  <c r="X4" i="5"/>
  <c r="Z4" i="5" s="1"/>
  <c r="Y4" i="5"/>
  <c r="N15" i="2"/>
  <c r="P15" i="2" s="1"/>
  <c r="O15" i="2"/>
  <c r="N14" i="2"/>
  <c r="P14" i="2" s="1"/>
  <c r="O14" i="2"/>
  <c r="B7" i="5"/>
  <c r="D6" i="5"/>
  <c r="C6" i="1"/>
  <c r="E6" i="1" s="1"/>
  <c r="B7" i="2"/>
  <c r="D6" i="2"/>
  <c r="Y5" i="5" l="1"/>
  <c r="W6" i="5"/>
  <c r="W7" i="5" s="1"/>
  <c r="H8" i="5"/>
  <c r="J8" i="5" s="1"/>
  <c r="M13" i="5"/>
  <c r="L14" i="5" s="1"/>
  <c r="O12" i="5"/>
  <c r="C8" i="11"/>
  <c r="O12" i="11"/>
  <c r="N12" i="11"/>
  <c r="P12" i="11" s="1"/>
  <c r="M13" i="11"/>
  <c r="M18" i="2"/>
  <c r="N17" i="2"/>
  <c r="P17" i="2" s="1"/>
  <c r="O17" i="2"/>
  <c r="C7" i="5"/>
  <c r="D6" i="1"/>
  <c r="B7" i="1"/>
  <c r="C7" i="2"/>
  <c r="E7" i="2" s="1"/>
  <c r="X7" i="5" l="1"/>
  <c r="Z7" i="5" s="1"/>
  <c r="Y7" i="5"/>
  <c r="W8" i="5"/>
  <c r="X6" i="5"/>
  <c r="Z6" i="5" s="1"/>
  <c r="Y6" i="5"/>
  <c r="O13" i="5"/>
  <c r="M14" i="5"/>
  <c r="G9" i="5"/>
  <c r="H9" i="5" s="1"/>
  <c r="M14" i="11"/>
  <c r="O13" i="11"/>
  <c r="N13" i="11"/>
  <c r="P13" i="11" s="1"/>
  <c r="D8" i="11"/>
  <c r="B9" i="11"/>
  <c r="E8" i="11"/>
  <c r="M19" i="2"/>
  <c r="N18" i="2"/>
  <c r="P18" i="2" s="1"/>
  <c r="O18" i="2"/>
  <c r="B8" i="5"/>
  <c r="D7" i="5"/>
  <c r="E7" i="5"/>
  <c r="C7" i="1"/>
  <c r="E7" i="1" s="1"/>
  <c r="D7" i="2"/>
  <c r="B8" i="2"/>
  <c r="Y8" i="5" l="1"/>
  <c r="X8" i="5"/>
  <c r="Z8" i="5" s="1"/>
  <c r="W9" i="5"/>
  <c r="O14" i="5"/>
  <c r="J9" i="5"/>
  <c r="C9" i="11"/>
  <c r="E9" i="11" s="1"/>
  <c r="O14" i="11"/>
  <c r="Q14" i="11" s="1"/>
  <c r="N14" i="11"/>
  <c r="P14" i="11" s="1"/>
  <c r="M15" i="11"/>
  <c r="M20" i="2"/>
  <c r="N19" i="2"/>
  <c r="P19" i="2" s="1"/>
  <c r="O19" i="2"/>
  <c r="C8" i="5"/>
  <c r="B8" i="1"/>
  <c r="D7" i="1"/>
  <c r="C8" i="2"/>
  <c r="E8" i="2" s="1"/>
  <c r="Y9" i="5" l="1"/>
  <c r="X9" i="5"/>
  <c r="Z9" i="5" s="1"/>
  <c r="W10" i="5"/>
  <c r="G10" i="5"/>
  <c r="H10" i="5" s="1"/>
  <c r="N15" i="11"/>
  <c r="P15" i="11" s="1"/>
  <c r="M16" i="11"/>
  <c r="O15" i="11"/>
  <c r="Q15" i="11" s="1"/>
  <c r="B10" i="11"/>
  <c r="D9" i="11"/>
  <c r="M21" i="2"/>
  <c r="N20" i="2"/>
  <c r="P20" i="2" s="1"/>
  <c r="O20" i="2"/>
  <c r="D8" i="5"/>
  <c r="B9" i="5"/>
  <c r="E8" i="5"/>
  <c r="C8" i="1"/>
  <c r="E8" i="1" s="1"/>
  <c r="B9" i="2"/>
  <c r="D8" i="2"/>
  <c r="Y10" i="5" l="1"/>
  <c r="X10" i="5"/>
  <c r="Z10" i="5" s="1"/>
  <c r="W11" i="5"/>
  <c r="W12" i="5" s="1"/>
  <c r="J10" i="5"/>
  <c r="C10" i="11"/>
  <c r="O16" i="11"/>
  <c r="Q16" i="11" s="1"/>
  <c r="N16" i="11"/>
  <c r="P16" i="11" s="1"/>
  <c r="M17" i="11"/>
  <c r="M22" i="2"/>
  <c r="N21" i="2"/>
  <c r="P21" i="2" s="1"/>
  <c r="O21" i="2"/>
  <c r="C9" i="5"/>
  <c r="B9" i="1"/>
  <c r="D8" i="1"/>
  <c r="C9" i="2"/>
  <c r="W13" i="5" l="1"/>
  <c r="Y12" i="5"/>
  <c r="X12" i="5"/>
  <c r="Z12" i="5" s="1"/>
  <c r="Y11" i="5"/>
  <c r="X11" i="5"/>
  <c r="Z11" i="5" s="1"/>
  <c r="G11" i="5"/>
  <c r="H11" i="5" s="1"/>
  <c r="M18" i="11"/>
  <c r="O17" i="11"/>
  <c r="Q17" i="11" s="1"/>
  <c r="N17" i="11"/>
  <c r="P17" i="11" s="1"/>
  <c r="B11" i="11"/>
  <c r="D10" i="11"/>
  <c r="E10" i="11"/>
  <c r="M23" i="2"/>
  <c r="N22" i="2"/>
  <c r="P22" i="2" s="1"/>
  <c r="O22" i="2"/>
  <c r="B10" i="5"/>
  <c r="D9" i="5"/>
  <c r="E9" i="5"/>
  <c r="C9" i="1"/>
  <c r="E9" i="1" s="1"/>
  <c r="D9" i="2"/>
  <c r="B10" i="2"/>
  <c r="E9" i="2"/>
  <c r="W14" i="5" l="1"/>
  <c r="X13" i="5"/>
  <c r="Z13" i="5" s="1"/>
  <c r="Y13" i="5"/>
  <c r="J11" i="5"/>
  <c r="C11" i="11"/>
  <c r="E11" i="11" s="1"/>
  <c r="N18" i="11"/>
  <c r="P18" i="11" s="1"/>
  <c r="M19" i="11"/>
  <c r="O18" i="11"/>
  <c r="Q18" i="11" s="1"/>
  <c r="M24" i="2"/>
  <c r="O23" i="2"/>
  <c r="N23" i="2"/>
  <c r="P23" i="2" s="1"/>
  <c r="C10" i="5"/>
  <c r="E10" i="5" s="1"/>
  <c r="B10" i="1"/>
  <c r="D9" i="1"/>
  <c r="C10" i="2"/>
  <c r="W15" i="5" l="1"/>
  <c r="Y14" i="5"/>
  <c r="X14" i="5"/>
  <c r="Z14" i="5" s="1"/>
  <c r="G12" i="5"/>
  <c r="H12" i="5" s="1"/>
  <c r="O19" i="11"/>
  <c r="Q19" i="11" s="1"/>
  <c r="N19" i="11"/>
  <c r="P19" i="11" s="1"/>
  <c r="M20" i="11"/>
  <c r="D11" i="11"/>
  <c r="B12" i="11"/>
  <c r="M25" i="2"/>
  <c r="N24" i="2"/>
  <c r="P24" i="2" s="1"/>
  <c r="O24" i="2"/>
  <c r="B11" i="5"/>
  <c r="D10" i="5"/>
  <c r="C10" i="1"/>
  <c r="E10" i="1" s="1"/>
  <c r="B11" i="2"/>
  <c r="D10" i="2"/>
  <c r="E10" i="2"/>
  <c r="W16" i="5" l="1"/>
  <c r="Y15" i="5"/>
  <c r="X15" i="5"/>
  <c r="Z15" i="5" s="1"/>
  <c r="J12" i="5"/>
  <c r="C12" i="11"/>
  <c r="M21" i="11"/>
  <c r="O20" i="11"/>
  <c r="Q20" i="11" s="1"/>
  <c r="N20" i="11"/>
  <c r="P20" i="11" s="1"/>
  <c r="M26" i="2"/>
  <c r="N25" i="2"/>
  <c r="P25" i="2" s="1"/>
  <c r="O25" i="2"/>
  <c r="C11" i="5"/>
  <c r="B11" i="1"/>
  <c r="D10" i="1"/>
  <c r="C11" i="2"/>
  <c r="E11" i="2" s="1"/>
  <c r="W17" i="5" l="1"/>
  <c r="X16" i="5"/>
  <c r="Z16" i="5" s="1"/>
  <c r="Y16" i="5"/>
  <c r="G13" i="5"/>
  <c r="H13" i="5" s="1"/>
  <c r="O21" i="11"/>
  <c r="Q21" i="11" s="1"/>
  <c r="N21" i="11"/>
  <c r="P21" i="11" s="1"/>
  <c r="M22" i="11"/>
  <c r="B13" i="11"/>
  <c r="D12" i="11"/>
  <c r="E12" i="11"/>
  <c r="M27" i="2"/>
  <c r="N26" i="2"/>
  <c r="P26" i="2" s="1"/>
  <c r="O26" i="2"/>
  <c r="D11" i="5"/>
  <c r="B12" i="5"/>
  <c r="E11" i="5"/>
  <c r="C11" i="1"/>
  <c r="E11" i="1" s="1"/>
  <c r="B12" i="2"/>
  <c r="D11" i="2"/>
  <c r="W18" i="5" l="1"/>
  <c r="X17" i="5"/>
  <c r="Z17" i="5" s="1"/>
  <c r="Y17" i="5"/>
  <c r="J13" i="5"/>
  <c r="C13" i="11"/>
  <c r="E13" i="11" s="1"/>
  <c r="M23" i="11"/>
  <c r="N22" i="11"/>
  <c r="P22" i="11" s="1"/>
  <c r="O22" i="11"/>
  <c r="Q22" i="11" s="1"/>
  <c r="M28" i="2"/>
  <c r="M29" i="2" s="1"/>
  <c r="M30" i="2" s="1"/>
  <c r="M31" i="2" s="1"/>
  <c r="N27" i="2"/>
  <c r="P27" i="2" s="1"/>
  <c r="O27" i="2"/>
  <c r="C12" i="5"/>
  <c r="B12" i="1"/>
  <c r="D11" i="1"/>
  <c r="C12" i="2"/>
  <c r="W19" i="5" l="1"/>
  <c r="X18" i="5"/>
  <c r="Z18" i="5" s="1"/>
  <c r="Y18" i="5"/>
  <c r="G14" i="5"/>
  <c r="H14" i="5" s="1"/>
  <c r="G15" i="5" s="1"/>
  <c r="O23" i="11"/>
  <c r="Q23" i="11" s="1"/>
  <c r="M24" i="11"/>
  <c r="N23" i="11"/>
  <c r="P23" i="11" s="1"/>
  <c r="D13" i="11"/>
  <c r="B14" i="11"/>
  <c r="N31" i="2"/>
  <c r="P31" i="2" s="1"/>
  <c r="O31" i="2"/>
  <c r="N30" i="2"/>
  <c r="P30" i="2" s="1"/>
  <c r="O30" i="2"/>
  <c r="N29" i="2"/>
  <c r="P29" i="2" s="1"/>
  <c r="O29" i="2"/>
  <c r="N28" i="2"/>
  <c r="P28" i="2" s="1"/>
  <c r="O28" i="2"/>
  <c r="B13" i="5"/>
  <c r="D12" i="5"/>
  <c r="E12" i="5"/>
  <c r="C12" i="1"/>
  <c r="E12" i="1" s="1"/>
  <c r="D12" i="2"/>
  <c r="B13" i="2"/>
  <c r="E12" i="2"/>
  <c r="W20" i="5" l="1"/>
  <c r="Y19" i="5"/>
  <c r="X19" i="5"/>
  <c r="Z19" i="5" s="1"/>
  <c r="J17" i="2" a="1"/>
  <c r="J17" i="2" s="1"/>
  <c r="K17" i="2" s="1"/>
  <c r="J14" i="2" a="1"/>
  <c r="J14" i="2" s="1"/>
  <c r="J15" i="2" a="1"/>
  <c r="J15" i="2" s="1"/>
  <c r="K15" i="2" s="1"/>
  <c r="J16" i="2" a="1"/>
  <c r="J16" i="2" s="1"/>
  <c r="K16" i="2" s="1"/>
  <c r="J13" i="2" a="1"/>
  <c r="J13" i="2" s="1"/>
  <c r="K13" i="2" s="1"/>
  <c r="H15" i="5"/>
  <c r="G16" i="5" s="1"/>
  <c r="J14" i="5"/>
  <c r="J6" i="2" a="1"/>
  <c r="J6" i="2" s="1"/>
  <c r="K6" i="2" s="1"/>
  <c r="J7" i="2" a="1"/>
  <c r="J7" i="2" s="1"/>
  <c r="J5" i="2" a="1"/>
  <c r="J5" i="2" s="1"/>
  <c r="J9" i="2" a="1"/>
  <c r="J9" i="2" s="1"/>
  <c r="J10" i="2" a="1"/>
  <c r="J10" i="2" s="1"/>
  <c r="J11" i="2" a="1"/>
  <c r="J11" i="2" s="1"/>
  <c r="J4" i="2" a="1"/>
  <c r="J4" i="2" s="1"/>
  <c r="K4" i="2" s="1"/>
  <c r="J8" i="2" a="1"/>
  <c r="J8" i="2" s="1"/>
  <c r="K8" i="2" s="1"/>
  <c r="C14" i="11"/>
  <c r="E14" i="11" s="1"/>
  <c r="N24" i="11"/>
  <c r="P24" i="11" s="1"/>
  <c r="M25" i="11"/>
  <c r="O24" i="11"/>
  <c r="Q24" i="11" s="1"/>
  <c r="O34" i="2"/>
  <c r="C13" i="5"/>
  <c r="E13" i="5" s="1"/>
  <c r="B13" i="1"/>
  <c r="D12" i="1"/>
  <c r="C13" i="2"/>
  <c r="W21" i="5" l="1"/>
  <c r="X20" i="5"/>
  <c r="Z20" i="5" s="1"/>
  <c r="Y20" i="5"/>
  <c r="K14" i="2"/>
  <c r="J15" i="5"/>
  <c r="H16" i="5"/>
  <c r="G17" i="5" s="1"/>
  <c r="K11" i="2"/>
  <c r="K10" i="2"/>
  <c r="K9" i="2"/>
  <c r="K5" i="2"/>
  <c r="K7" i="2"/>
  <c r="Q4" i="2"/>
  <c r="Q5" i="2"/>
  <c r="Q8" i="2"/>
  <c r="Q11" i="2"/>
  <c r="Q10" i="2"/>
  <c r="Q6" i="2"/>
  <c r="Q12" i="2"/>
  <c r="Q7" i="2"/>
  <c r="Q13" i="2"/>
  <c r="Q9" i="2"/>
  <c r="Q16" i="2"/>
  <c r="Q14" i="2"/>
  <c r="Q15" i="2"/>
  <c r="Q17" i="2"/>
  <c r="Q18" i="2"/>
  <c r="Q19" i="2"/>
  <c r="Q20" i="2"/>
  <c r="Q21" i="2"/>
  <c r="Q22" i="2"/>
  <c r="Q23" i="2"/>
  <c r="Q24" i="2"/>
  <c r="Q25" i="2"/>
  <c r="Q26" i="2"/>
  <c r="Q27" i="2"/>
  <c r="Q31" i="2"/>
  <c r="Q30" i="2"/>
  <c r="Q29" i="2"/>
  <c r="Q28" i="2"/>
  <c r="M26" i="11"/>
  <c r="N25" i="11"/>
  <c r="P25" i="11" s="1"/>
  <c r="O25" i="11"/>
  <c r="Q25" i="11" s="1"/>
  <c r="D14" i="11"/>
  <c r="B15" i="11"/>
  <c r="B14" i="5"/>
  <c r="D13" i="5"/>
  <c r="C13" i="1"/>
  <c r="E13" i="1" s="1"/>
  <c r="B14" i="2"/>
  <c r="D13" i="2"/>
  <c r="E13" i="2"/>
  <c r="J16" i="5" l="1"/>
  <c r="W22" i="5"/>
  <c r="Y21" i="5"/>
  <c r="X21" i="5"/>
  <c r="Z21" i="5" s="1"/>
  <c r="H17" i="5"/>
  <c r="G18" i="5" s="1"/>
  <c r="C15" i="11"/>
  <c r="D15" i="11" s="1"/>
  <c r="O26" i="11"/>
  <c r="Q26" i="11" s="1"/>
  <c r="N26" i="11"/>
  <c r="P26" i="11" s="1"/>
  <c r="M27" i="11"/>
  <c r="C14" i="5"/>
  <c r="B14" i="1"/>
  <c r="D13" i="1"/>
  <c r="C14" i="2"/>
  <c r="W23" i="5" l="1"/>
  <c r="X22" i="5"/>
  <c r="Z22" i="5" s="1"/>
  <c r="Y22" i="5"/>
  <c r="J17" i="5"/>
  <c r="H18" i="5"/>
  <c r="G19" i="5" s="1"/>
  <c r="M28" i="11"/>
  <c r="N27" i="11"/>
  <c r="P27" i="11" s="1"/>
  <c r="O27" i="11"/>
  <c r="Q27" i="11" s="1"/>
  <c r="E15" i="11"/>
  <c r="D14" i="5"/>
  <c r="B15" i="5"/>
  <c r="E14" i="5"/>
  <c r="C14" i="1"/>
  <c r="E14" i="1" s="1"/>
  <c r="D14" i="2"/>
  <c r="B15" i="2"/>
  <c r="E14" i="2"/>
  <c r="W24" i="5" l="1"/>
  <c r="Y23" i="5"/>
  <c r="X23" i="5"/>
  <c r="Z23" i="5" s="1"/>
  <c r="J18" i="5"/>
  <c r="H19" i="5"/>
  <c r="G20" i="5" s="1"/>
  <c r="N28" i="11"/>
  <c r="P28" i="11" s="1"/>
  <c r="M29" i="11"/>
  <c r="O28" i="11"/>
  <c r="Q28" i="11" s="1"/>
  <c r="C15" i="5"/>
  <c r="B15" i="1"/>
  <c r="D14" i="1"/>
  <c r="C15" i="2"/>
  <c r="D15" i="2" s="1"/>
  <c r="J19" i="5" l="1"/>
  <c r="W25" i="5"/>
  <c r="X24" i="5"/>
  <c r="Z24" i="5" s="1"/>
  <c r="Y24" i="5"/>
  <c r="H20" i="5"/>
  <c r="G21" i="5" s="1"/>
  <c r="O29" i="11"/>
  <c r="Q29" i="11" s="1"/>
  <c r="N29" i="11"/>
  <c r="P29" i="11" s="1"/>
  <c r="M30" i="11"/>
  <c r="D15" i="5"/>
  <c r="B16" i="5"/>
  <c r="E15" i="5"/>
  <c r="C15" i="1"/>
  <c r="D15" i="1" s="1"/>
  <c r="E15" i="2"/>
  <c r="J20" i="5" l="1"/>
  <c r="W26" i="5"/>
  <c r="X25" i="5"/>
  <c r="Z25" i="5" s="1"/>
  <c r="Y25" i="5"/>
  <c r="H21" i="5"/>
  <c r="G22" i="5" s="1"/>
  <c r="M31" i="11"/>
  <c r="N30" i="11"/>
  <c r="P30" i="11" s="1"/>
  <c r="O30" i="11"/>
  <c r="Q30" i="11" s="1"/>
  <c r="C16" i="5"/>
  <c r="E16" i="5" s="1"/>
  <c r="E15" i="1"/>
  <c r="W27" i="5" l="1"/>
  <c r="X26" i="5"/>
  <c r="Z26" i="5" s="1"/>
  <c r="Y26" i="5"/>
  <c r="J21" i="5"/>
  <c r="H22" i="5"/>
  <c r="G23" i="5" s="1"/>
  <c r="N31" i="11"/>
  <c r="P31" i="11" s="1"/>
  <c r="O31" i="11"/>
  <c r="B17" i="5"/>
  <c r="D16" i="5"/>
  <c r="J22" i="5" l="1"/>
  <c r="W28" i="5"/>
  <c r="X27" i="5"/>
  <c r="Z27" i="5" s="1"/>
  <c r="Y27" i="5"/>
  <c r="J16" i="11" a="1"/>
  <c r="J16" i="11" s="1"/>
  <c r="J13" i="11" a="1"/>
  <c r="J13" i="11" s="1"/>
  <c r="J15" i="11" a="1"/>
  <c r="J15" i="11" s="1"/>
  <c r="J14" i="11" a="1"/>
  <c r="J14" i="11" s="1"/>
  <c r="J17" i="11" a="1"/>
  <c r="J17" i="11" s="1"/>
  <c r="K17" i="11" s="1"/>
  <c r="H23" i="5"/>
  <c r="G24" i="5" s="1"/>
  <c r="Q31" i="11"/>
  <c r="J6" i="11" a="1"/>
  <c r="J6" i="11" s="1"/>
  <c r="J8" i="11" a="1"/>
  <c r="J8" i="11" s="1"/>
  <c r="J7" i="11" a="1"/>
  <c r="J7" i="11" s="1"/>
  <c r="J9" i="11" a="1"/>
  <c r="J9" i="11" s="1"/>
  <c r="K9" i="11" s="1"/>
  <c r="J10" i="11" a="1"/>
  <c r="J10" i="11" s="1"/>
  <c r="J11" i="11" a="1"/>
  <c r="J11" i="11" s="1"/>
  <c r="J4" i="11" a="1"/>
  <c r="J4" i="11" s="1"/>
  <c r="J5" i="11" a="1"/>
  <c r="J5" i="11" s="1"/>
  <c r="K5" i="11" s="1"/>
  <c r="O44" i="11"/>
  <c r="C17" i="5"/>
  <c r="E17" i="5" s="1"/>
  <c r="Q12" i="11" l="1"/>
  <c r="Q13" i="11"/>
  <c r="Q10" i="11"/>
  <c r="Q11" i="11"/>
  <c r="K4" i="11"/>
  <c r="Q8" i="11"/>
  <c r="Q9" i="11"/>
  <c r="Q6" i="11"/>
  <c r="Q7" i="11"/>
  <c r="W29" i="5"/>
  <c r="X28" i="5"/>
  <c r="Z28" i="5" s="1"/>
  <c r="Y28" i="5"/>
  <c r="Q4" i="11"/>
  <c r="Q5" i="11"/>
  <c r="K8" i="11"/>
  <c r="K10" i="11"/>
  <c r="K14" i="11"/>
  <c r="K7" i="11"/>
  <c r="K15" i="11"/>
  <c r="K11" i="11"/>
  <c r="K6" i="11"/>
  <c r="K13" i="11"/>
  <c r="K16" i="11"/>
  <c r="J23" i="5"/>
  <c r="H24" i="5"/>
  <c r="G25" i="5" s="1"/>
  <c r="H25" i="5" s="1"/>
  <c r="J25" i="5" s="1"/>
  <c r="E24" i="11"/>
  <c r="B18" i="5"/>
  <c r="D17" i="5"/>
  <c r="J24" i="5" l="1"/>
  <c r="W30" i="5"/>
  <c r="Y29" i="5"/>
  <c r="X29" i="5"/>
  <c r="Z29" i="5" s="1"/>
  <c r="C18" i="5"/>
  <c r="E18" i="5" s="1"/>
  <c r="W31" i="5" l="1"/>
  <c r="X30" i="5"/>
  <c r="Z30" i="5" s="1"/>
  <c r="Y30" i="5"/>
  <c r="D18" i="5"/>
  <c r="B19" i="5"/>
  <c r="W32" i="5" l="1"/>
  <c r="Y31" i="5"/>
  <c r="X31" i="5"/>
  <c r="Z31" i="5" s="1"/>
  <c r="C19" i="5"/>
  <c r="E19" i="5" s="1"/>
  <c r="W33" i="5" l="1"/>
  <c r="X32" i="5"/>
  <c r="Z32" i="5" s="1"/>
  <c r="Y32" i="5"/>
  <c r="D19" i="5"/>
  <c r="B20" i="5"/>
  <c r="W34" i="5" l="1"/>
  <c r="Y33" i="5"/>
  <c r="X33" i="5"/>
  <c r="Z33" i="5" s="1"/>
  <c r="C20" i="5"/>
  <c r="E20" i="5" s="1"/>
  <c r="Y34" i="5" l="1"/>
  <c r="X34" i="5"/>
  <c r="Z34" i="5" s="1"/>
  <c r="W35" i="5"/>
  <c r="B21" i="5"/>
  <c r="D20" i="5"/>
  <c r="W36" i="5" l="1"/>
  <c r="Y35" i="5"/>
  <c r="X35" i="5"/>
  <c r="Z35" i="5" s="1"/>
  <c r="C21" i="5"/>
  <c r="E21" i="5" s="1"/>
  <c r="W37" i="5" l="1"/>
  <c r="X36" i="5"/>
  <c r="Z36" i="5" s="1"/>
  <c r="Y36" i="5"/>
  <c r="B22" i="5"/>
  <c r="C22" i="5" s="1"/>
  <c r="D21" i="5"/>
  <c r="W38" i="5" l="1"/>
  <c r="Y37" i="5"/>
  <c r="X37" i="5"/>
  <c r="Z37" i="5" s="1"/>
  <c r="E22" i="5"/>
  <c r="D22" i="5"/>
  <c r="B23" i="5"/>
  <c r="C23" i="5" s="1"/>
  <c r="W39" i="5" l="1"/>
  <c r="X38" i="5"/>
  <c r="Z38" i="5" s="1"/>
  <c r="Y38" i="5"/>
  <c r="E23" i="5"/>
  <c r="B24" i="5"/>
  <c r="C24" i="5" s="1"/>
  <c r="D23" i="5"/>
  <c r="W40" i="5" l="1"/>
  <c r="X39" i="5"/>
  <c r="Z39" i="5" s="1"/>
  <c r="Y39" i="5"/>
  <c r="E24" i="5"/>
  <c r="D24" i="5"/>
  <c r="B25" i="5"/>
  <c r="W41" i="5" l="1"/>
  <c r="X40" i="5"/>
  <c r="Z40" i="5" s="1"/>
  <c r="Y40" i="5"/>
  <c r="C25" i="5"/>
  <c r="E25" i="5" s="1"/>
  <c r="W42" i="5" l="1"/>
  <c r="Y41" i="5"/>
  <c r="X41" i="5"/>
  <c r="Z41" i="5" s="1"/>
  <c r="D25" i="5"/>
  <c r="B26" i="5"/>
  <c r="W43" i="5" l="1"/>
  <c r="X42" i="5"/>
  <c r="Z42" i="5" s="1"/>
  <c r="Y42" i="5"/>
  <c r="C26" i="5"/>
  <c r="E26" i="5" s="1"/>
  <c r="Y43" i="5" l="1"/>
  <c r="X43" i="5"/>
  <c r="Z43" i="5" s="1"/>
  <c r="D26" i="5"/>
  <c r="B27" i="5"/>
  <c r="T16" i="5" l="1" a="1"/>
  <c r="T16" i="5" s="1"/>
  <c r="U16" i="5" s="1"/>
  <c r="T11" i="5" a="1"/>
  <c r="T11" i="5" s="1"/>
  <c r="T6" i="5" a="1"/>
  <c r="T6" i="5" s="1"/>
  <c r="T4" i="5" a="1"/>
  <c r="T4" i="5" s="1"/>
  <c r="T7" i="5" a="1"/>
  <c r="T7" i="5" s="1"/>
  <c r="T5" i="5" a="1"/>
  <c r="T5" i="5" s="1"/>
  <c r="T8" i="5" a="1"/>
  <c r="T8" i="5" s="1"/>
  <c r="T14" i="5" a="1"/>
  <c r="T14" i="5" s="1"/>
  <c r="T15" i="5" a="1"/>
  <c r="T15" i="5" s="1"/>
  <c r="U15" i="5" s="1"/>
  <c r="T13" i="5" a="1"/>
  <c r="T13" i="5" s="1"/>
  <c r="T17" i="5" a="1"/>
  <c r="T17" i="5" s="1"/>
  <c r="U17" i="5" s="1"/>
  <c r="T10" i="5" a="1"/>
  <c r="T10" i="5" s="1"/>
  <c r="U10" i="5" s="1"/>
  <c r="T9" i="5" a="1"/>
  <c r="T9" i="5" s="1"/>
  <c r="U9" i="5" s="1"/>
  <c r="Y44" i="5"/>
  <c r="C27" i="5"/>
  <c r="E27" i="5" s="1"/>
  <c r="U5" i="5" l="1"/>
  <c r="U13" i="5"/>
  <c r="U14" i="5"/>
  <c r="U7" i="5"/>
  <c r="U4" i="5"/>
  <c r="U6" i="5"/>
  <c r="U8" i="5"/>
  <c r="U11" i="5"/>
  <c r="B28" i="5"/>
  <c r="D27" i="5"/>
  <c r="C28" i="5" l="1"/>
  <c r="E28" i="5" s="1"/>
  <c r="B29" i="5" l="1"/>
  <c r="C29" i="5" s="1"/>
  <c r="D28" i="5"/>
  <c r="E29" i="5" l="1"/>
  <c r="D29" i="5"/>
  <c r="B30" i="5"/>
  <c r="C30" i="5" l="1"/>
  <c r="E30" i="5" s="1"/>
  <c r="D30" i="5" l="1"/>
  <c r="B31" i="5"/>
  <c r="C31" i="5" l="1"/>
  <c r="E31" i="5" s="1"/>
  <c r="B32" i="5" l="1"/>
  <c r="C32" i="5" s="1"/>
  <c r="D31" i="5"/>
  <c r="E32" i="5" l="1"/>
  <c r="B33" i="5"/>
  <c r="D32" i="5"/>
  <c r="C33" i="5" l="1"/>
  <c r="E33" i="5" s="1"/>
  <c r="D33" i="5" l="1"/>
  <c r="B34" i="5"/>
  <c r="C34" i="5" l="1"/>
  <c r="E34" i="5" s="1"/>
  <c r="D34" i="5" l="1"/>
  <c r="B35" i="5"/>
  <c r="C35" i="5" l="1"/>
  <c r="E35" i="5" s="1"/>
  <c r="B36" i="5" l="1"/>
  <c r="C36" i="5" s="1"/>
  <c r="D35" i="5"/>
  <c r="E36" i="5" l="1"/>
  <c r="B37" i="5"/>
  <c r="D36" i="5"/>
  <c r="C37" i="5" l="1"/>
  <c r="E37" i="5" s="1"/>
  <c r="D37" i="5" l="1"/>
  <c r="B38" i="5"/>
  <c r="C38" i="5" l="1"/>
  <c r="E38" i="5" s="1"/>
  <c r="B39" i="5" l="1"/>
  <c r="D38" i="5"/>
  <c r="C39" i="5" l="1"/>
  <c r="B40" i="5" l="1"/>
  <c r="D39" i="5"/>
  <c r="E39" i="5"/>
  <c r="C40" i="5" l="1"/>
  <c r="E40" i="5" s="1"/>
  <c r="B41" i="5" l="1"/>
  <c r="D40" i="5"/>
  <c r="C41" i="5" l="1"/>
  <c r="E41" i="5" s="1"/>
  <c r="D41" i="5" l="1"/>
  <c r="B42" i="5"/>
  <c r="C42" i="5" l="1"/>
  <c r="E42" i="5" s="1"/>
  <c r="D42" i="5" l="1"/>
  <c r="B43" i="5"/>
  <c r="C43" i="5" l="1"/>
  <c r="E43" i="5" s="1"/>
  <c r="D43" i="5" l="1"/>
  <c r="B44" i="5"/>
  <c r="C44" i="5" l="1"/>
  <c r="E44" i="5" s="1"/>
  <c r="D44" i="5" l="1"/>
  <c r="B45" i="5"/>
  <c r="C45" i="5" l="1"/>
  <c r="E45" i="5" s="1"/>
  <c r="D45" i="5" l="1"/>
  <c r="B46" i="5"/>
  <c r="C46" i="5" l="1"/>
  <c r="E46" i="5" s="1"/>
  <c r="D46" i="5" l="1"/>
  <c r="B47" i="5"/>
  <c r="C47" i="5" l="1"/>
  <c r="E47" i="5" s="1"/>
  <c r="B48" i="5" l="1"/>
  <c r="D47" i="5"/>
  <c r="C48" i="5" l="1"/>
  <c r="E48" i="5" s="1"/>
  <c r="D48" i="5" l="1"/>
  <c r="B49" i="5"/>
  <c r="C49" i="5" l="1"/>
  <c r="E49" i="5" s="1"/>
  <c r="D49" i="5" l="1"/>
  <c r="B50" i="5"/>
  <c r="C50" i="5" l="1"/>
  <c r="B51" i="5" l="1"/>
  <c r="D50" i="5"/>
  <c r="E50" i="5"/>
  <c r="C51" i="5" l="1"/>
  <c r="E51" i="5" s="1"/>
  <c r="B52" i="5" l="1"/>
  <c r="D51" i="5"/>
  <c r="C52" i="5" l="1"/>
  <c r="E52" i="5" s="1"/>
  <c r="D52" i="5" l="1"/>
  <c r="B53" i="5"/>
  <c r="C53" i="5" l="1"/>
  <c r="D53" i="5" l="1"/>
  <c r="B54" i="5"/>
  <c r="E53" i="5"/>
  <c r="C54" i="5" l="1"/>
  <c r="B55" i="5" l="1"/>
  <c r="D54" i="5"/>
  <c r="E54" i="5"/>
  <c r="C55" i="5" l="1"/>
  <c r="E55" i="5" s="1"/>
  <c r="B56" i="5" l="1"/>
  <c r="D55" i="5"/>
  <c r="C56" i="5" l="1"/>
  <c r="E56" i="5" s="1"/>
  <c r="B57" i="5" l="1"/>
  <c r="D56" i="5"/>
  <c r="C57" i="5" l="1"/>
  <c r="E57" i="5" s="1"/>
  <c r="B58" i="5" l="1"/>
  <c r="D57" i="5"/>
  <c r="C58" i="5" l="1"/>
  <c r="E58" i="5" s="1"/>
  <c r="B59" i="5" l="1"/>
  <c r="D58" i="5"/>
  <c r="C59" i="5" l="1"/>
  <c r="E59" i="5" s="1"/>
  <c r="B60" i="5" l="1"/>
  <c r="D59" i="5"/>
  <c r="C60" i="5" l="1"/>
  <c r="E60" i="5" s="1"/>
  <c r="B61" i="5" l="1"/>
  <c r="D60" i="5"/>
  <c r="C61" i="5" l="1"/>
  <c r="E61" i="5" s="1"/>
  <c r="B62" i="5" l="1"/>
  <c r="D61" i="5"/>
  <c r="C62" i="5" l="1"/>
  <c r="E62" i="5" s="1"/>
  <c r="B63" i="5" l="1"/>
  <c r="D62" i="5"/>
  <c r="C63" i="5" l="1"/>
  <c r="E63" i="5" s="1"/>
  <c r="D63" i="5" l="1"/>
  <c r="B64" i="5"/>
  <c r="C64" i="5" l="1"/>
  <c r="E64" i="5" s="1"/>
  <c r="D64" i="5" l="1"/>
  <c r="B65" i="5"/>
  <c r="C65" i="5" s="1"/>
  <c r="E65" i="5" l="1"/>
  <c r="D65" i="5"/>
  <c r="B66" i="5"/>
  <c r="C66" i="5" l="1"/>
  <c r="E66" i="5" s="1"/>
  <c r="B67" i="5" l="1"/>
  <c r="C67" i="5" s="1"/>
  <c r="D66" i="5"/>
  <c r="E67" i="5" l="1"/>
  <c r="B68" i="5"/>
  <c r="D67" i="5"/>
  <c r="C68" i="5" l="1"/>
  <c r="E68" i="5" s="1"/>
  <c r="D68" i="5" l="1"/>
  <c r="B69" i="5"/>
  <c r="C69" i="5" l="1"/>
  <c r="E69" i="5" s="1"/>
  <c r="D69" i="5" l="1"/>
  <c r="B70" i="5"/>
  <c r="C70" i="5" s="1"/>
  <c r="E70" i="5" l="1"/>
  <c r="D70" i="5"/>
  <c r="B71" i="5"/>
  <c r="C71" i="5" l="1"/>
  <c r="E71" i="5" s="1"/>
  <c r="B72" i="5" l="1"/>
  <c r="D71" i="5"/>
  <c r="C72" i="5" l="1"/>
  <c r="E72" i="5" s="1"/>
  <c r="D72" i="5" l="1"/>
  <c r="B73" i="5"/>
  <c r="C73" i="5" l="1"/>
  <c r="E73" i="5" s="1"/>
  <c r="D73" i="5" l="1"/>
  <c r="B74" i="5"/>
  <c r="C74" i="5" l="1"/>
  <c r="E74" i="5" s="1"/>
  <c r="D74" i="5" l="1"/>
  <c r="B75" i="5"/>
  <c r="C75" i="5" l="1"/>
  <c r="D75" i="5" s="1"/>
  <c r="E75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Bradshaw</author>
  </authors>
  <commentList>
    <comment ref="Y77" authorId="0" shapeId="0" xr:uid="{E1DBF12A-0496-4CAB-B973-A936585382E7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a $7,000 tag for Sam Bradshaw and Tanya Irvine through our CSA Pot. The tag is from Edward Pham for Gaming: regular slot manager calls and industry data.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Bradshaw</author>
  </authors>
  <commentList>
    <comment ref="Y77" authorId="0" shapeId="0" xr:uid="{A45CF2C7-AC88-4487-A0AF-119CBBA10486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a $7,000 tag for Sam Bradshaw and Tanya Irvine through our CSA Pot. The tag is from Edward Pham for Gaming: regular slot manager calls and industry data.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<sst xmlns="http://schemas.openxmlformats.org/spreadsheetml/2006/main" count="592" uniqueCount="221">
  <si>
    <t>BAEP</t>
  </si>
  <si>
    <t>CBUS</t>
  </si>
  <si>
    <t xml:space="preserve">Paul Mason, Sam Bradshaw </t>
  </si>
  <si>
    <t>strong support from Sam Bradshaw</t>
  </si>
  <si>
    <t>Coopers</t>
  </si>
  <si>
    <t>L1</t>
  </si>
  <si>
    <t>Paul Mason / Sam Bradshaw</t>
  </si>
  <si>
    <t xml:space="preserve">Sam Bradshaw and Paul Mason </t>
  </si>
  <si>
    <t>Date</t>
  </si>
  <si>
    <t>Amount</t>
  </si>
  <si>
    <t>Fund</t>
  </si>
  <si>
    <t>Comment</t>
  </si>
  <si>
    <t>SOLE TAGS</t>
  </si>
  <si>
    <t>CONTRIBUTED TAGS</t>
  </si>
  <si>
    <t>Rank</t>
  </si>
  <si>
    <t>Count</t>
  </si>
  <si>
    <t>FUNDS - SOLE TAGS</t>
  </si>
  <si>
    <t>Wavestone</t>
  </si>
  <si>
    <t>Greencape</t>
  </si>
  <si>
    <t>Total</t>
  </si>
  <si>
    <t>ICE</t>
  </si>
  <si>
    <t>Devon</t>
  </si>
  <si>
    <t>Steve Comment - Maso/Sam</t>
  </si>
  <si>
    <t>Filter</t>
  </si>
  <si>
    <t>Solaris</t>
  </si>
  <si>
    <t>EQT</t>
  </si>
  <si>
    <t xml:space="preserve">Sam/Maso </t>
  </si>
  <si>
    <t>SG Hiscock</t>
  </si>
  <si>
    <t>Ellerston</t>
  </si>
  <si>
    <t>Paul has said this one is all mine.</t>
  </si>
  <si>
    <t>WAM</t>
  </si>
  <si>
    <t>EQT Trustees</t>
  </si>
  <si>
    <t>EOFY</t>
  </si>
  <si>
    <t>Milford</t>
  </si>
  <si>
    <t>Platypus</t>
  </si>
  <si>
    <t>HY Mar/Sep</t>
  </si>
  <si>
    <t>HY Jun/Dec</t>
  </si>
  <si>
    <t>Sage</t>
  </si>
  <si>
    <t>Quarterly</t>
  </si>
  <si>
    <t>1-month after Quarter</t>
  </si>
  <si>
    <t>Arrow</t>
  </si>
  <si>
    <t>Pendal</t>
  </si>
  <si>
    <t>Regal</t>
  </si>
  <si>
    <t>Hesta</t>
  </si>
  <si>
    <t>Quest</t>
  </si>
  <si>
    <t>Ophir</t>
  </si>
  <si>
    <t>Panels</t>
  </si>
  <si>
    <t>Tags</t>
  </si>
  <si>
    <t>Alphinity</t>
  </si>
  <si>
    <t>UniSuper</t>
  </si>
  <si>
    <t>FY Dec</t>
  </si>
  <si>
    <t>Perpetual</t>
  </si>
  <si>
    <t>Antares</t>
  </si>
  <si>
    <t>Perps Private</t>
  </si>
  <si>
    <t>First Sentier</t>
  </si>
  <si>
    <t>Tyndall</t>
  </si>
  <si>
    <t>UnTagged</t>
  </si>
  <si>
    <t>Rest</t>
  </si>
  <si>
    <t>Firetrail</t>
  </si>
  <si>
    <t>Opal</t>
  </si>
  <si>
    <t>IML</t>
  </si>
  <si>
    <t>OC Funds</t>
  </si>
  <si>
    <t>Ten Capital</t>
  </si>
  <si>
    <t>Aware</t>
  </si>
  <si>
    <t>Slight Unders</t>
  </si>
  <si>
    <t>Good</t>
  </si>
  <si>
    <t>Par</t>
  </si>
  <si>
    <t>NA</t>
  </si>
  <si>
    <t>Unders</t>
  </si>
  <si>
    <t>Great</t>
  </si>
  <si>
    <t>Unders/Unsure</t>
  </si>
  <si>
    <t>Days</t>
  </si>
  <si>
    <t>7-9</t>
  </si>
  <si>
    <t>Australian Super</t>
  </si>
  <si>
    <t>No Rank</t>
  </si>
  <si>
    <t>Top 5</t>
  </si>
  <si>
    <t>Top 3</t>
  </si>
  <si>
    <t>Paradice</t>
  </si>
  <si>
    <t>Ausbil</t>
  </si>
  <si>
    <t>Run Rate</t>
  </si>
  <si>
    <t>Tagged</t>
  </si>
  <si>
    <t>TBD</t>
  </si>
  <si>
    <t>Expected</t>
  </si>
  <si>
    <t>No Vote</t>
  </si>
  <si>
    <t>Top 4</t>
  </si>
  <si>
    <t>Equal #2</t>
  </si>
  <si>
    <t>Eley Griffiths</t>
  </si>
  <si>
    <t>Tribeca</t>
  </si>
  <si>
    <t>Panel?</t>
  </si>
  <si>
    <t>Equal 2</t>
  </si>
  <si>
    <t>Low</t>
  </si>
  <si>
    <t>Peter Lee 2024</t>
  </si>
  <si>
    <t>Top20</t>
  </si>
  <si>
    <t>Matt Ryan</t>
  </si>
  <si>
    <t>BarrenJoey</t>
  </si>
  <si>
    <t>Transport, Infrastructure</t>
  </si>
  <si>
    <t>Don Carducci</t>
  </si>
  <si>
    <t>JPM</t>
  </si>
  <si>
    <t>Rohan Gallagher</t>
  </si>
  <si>
    <t>Jarden</t>
  </si>
  <si>
    <t>Building, Packaging</t>
  </si>
  <si>
    <t>David Fabris</t>
  </si>
  <si>
    <t>Macquarie</t>
  </si>
  <si>
    <t>Rohan Sundram</t>
  </si>
  <si>
    <t>MST</t>
  </si>
  <si>
    <t>Paul Mason</t>
  </si>
  <si>
    <t>E&amp;P</t>
  </si>
  <si>
    <t>Tech</t>
  </si>
  <si>
    <t>Justin Barrett</t>
  </si>
  <si>
    <t>CLSA</t>
  </si>
  <si>
    <t>Andrew Orbach</t>
  </si>
  <si>
    <t>Taylor Collison</t>
  </si>
  <si>
    <t>Pure Gaming</t>
  </si>
  <si>
    <t>Andre Fromyhr</t>
  </si>
  <si>
    <t>UBS</t>
  </si>
  <si>
    <t>Adrian Lemme</t>
  </si>
  <si>
    <t>Citi</t>
  </si>
  <si>
    <t>Consumer</t>
  </si>
  <si>
    <t>Kai Erman</t>
  </si>
  <si>
    <t>Jeffries</t>
  </si>
  <si>
    <t>Leo Partridge</t>
  </si>
  <si>
    <t>Morgans</t>
  </si>
  <si>
    <t>Annabel Li</t>
  </si>
  <si>
    <t>Goldman</t>
  </si>
  <si>
    <t>Melinda Baxter</t>
  </si>
  <si>
    <t>Morgan Stanley</t>
  </si>
  <si>
    <t>Baxter Kirk</t>
  </si>
  <si>
    <t>Bell Potter</t>
  </si>
  <si>
    <t>Sriharsh Singh</t>
  </si>
  <si>
    <t>Bank of America</t>
  </si>
  <si>
    <t>Sectors</t>
  </si>
  <si>
    <t>Defence</t>
  </si>
  <si>
    <t>Travel &amp; Packaging</t>
  </si>
  <si>
    <t>Internet/Media</t>
  </si>
  <si>
    <t>Media</t>
  </si>
  <si>
    <t>Contractors</t>
  </si>
  <si>
    <t>Secondary Building Materials &amp; Steel</t>
  </si>
  <si>
    <t>Property</t>
  </si>
  <si>
    <t>Firm</t>
  </si>
  <si>
    <t>Analyst</t>
  </si>
  <si>
    <t>TMT</t>
  </si>
  <si>
    <t>Transport, Packaging</t>
  </si>
  <si>
    <t>Peter Lee 2025</t>
  </si>
  <si>
    <t>All</t>
  </si>
  <si>
    <t>Sam Bradshaw</t>
  </si>
  <si>
    <t>6 ouf of 18 votes</t>
  </si>
  <si>
    <t>Top20 Lead</t>
  </si>
  <si>
    <t>18 voters</t>
  </si>
  <si>
    <t>55 voters</t>
  </si>
  <si>
    <t>Yes</t>
  </si>
  <si>
    <t>Maybe</t>
  </si>
  <si>
    <t xml:space="preserve">Unlikely </t>
  </si>
  <si>
    <t>No</t>
  </si>
  <si>
    <t>Coopers #1</t>
  </si>
  <si>
    <t>Aus Super</t>
  </si>
  <si>
    <t>Tribecca</t>
  </si>
  <si>
    <t>#1</t>
  </si>
  <si>
    <t>L1 Capital</t>
  </si>
  <si>
    <t>QVG</t>
  </si>
  <si>
    <t>SMID</t>
  </si>
  <si>
    <t>Centennial</t>
  </si>
  <si>
    <t>FUNDS</t>
  </si>
  <si>
    <t>MONTHS</t>
  </si>
  <si>
    <t>FILTER</t>
  </si>
  <si>
    <t>TAG LIST</t>
  </si>
  <si>
    <t>Alliance Bernstein</t>
  </si>
  <si>
    <t>%</t>
  </si>
  <si>
    <t>STATS</t>
  </si>
  <si>
    <t>1-5</t>
  </si>
  <si>
    <t>6-10</t>
  </si>
  <si>
    <t>16-20</t>
  </si>
  <si>
    <t>21-25</t>
  </si>
  <si>
    <t>26-30</t>
  </si>
  <si>
    <t>31-35</t>
  </si>
  <si>
    <t>36-40</t>
  </si>
  <si>
    <t>11-15</t>
  </si>
  <si>
    <t>Category</t>
  </si>
  <si>
    <t>Proportion</t>
  </si>
  <si>
    <t>Top 10</t>
  </si>
  <si>
    <t>Top 20</t>
  </si>
  <si>
    <t>Top 50</t>
  </si>
  <si>
    <t>HY's</t>
  </si>
  <si>
    <t>FY's</t>
  </si>
  <si>
    <t>From</t>
  </si>
  <si>
    <t>To</t>
  </si>
  <si>
    <t>1H25</t>
  </si>
  <si>
    <t>2H25</t>
  </si>
  <si>
    <t>1H26</t>
  </si>
  <si>
    <t>2H26</t>
  </si>
  <si>
    <t>1H27</t>
  </si>
  <si>
    <t>2H27</t>
  </si>
  <si>
    <t>1H28</t>
  </si>
  <si>
    <t>2H28</t>
  </si>
  <si>
    <t>1H29</t>
  </si>
  <si>
    <t>2H29</t>
  </si>
  <si>
    <t>1H30</t>
  </si>
  <si>
    <t>2H30</t>
  </si>
  <si>
    <t>1H31</t>
  </si>
  <si>
    <t>2H31</t>
  </si>
  <si>
    <t>1H32</t>
  </si>
  <si>
    <t>2H32</t>
  </si>
  <si>
    <t>1H33</t>
  </si>
  <si>
    <t>2H33</t>
  </si>
  <si>
    <t>1H34</t>
  </si>
  <si>
    <t>2H34</t>
  </si>
  <si>
    <t>1H35</t>
  </si>
  <si>
    <t>2H35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</si>
  <si>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</si>
  <si>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</si>
  <si>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</si>
  <si>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</si>
  <si>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</si>
  <si>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</si>
  <si>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</si>
  <si>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</si>
  <si>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</si>
  <si>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</si>
  <si>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</si>
  <si>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Hyperion</t>
  </si>
  <si>
    <t>Outside 5</t>
  </si>
  <si>
    <t>Airlie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</si>
</sst>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[$-C09]dd\-mmm\-yy;@"/>
    <numFmt numFmtId="166" formatCode="dd\-mmm\-yy"/>
    <numFmt numFmtId="167" formatCode="0.0%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1" fillId="4" borderId="0" xfId="0" applyFont="1" applyFill="1" applyAlignment="1">
      <alignment horizontal="centerContinuous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164" fontId="0" fillId="0" borderId="0" xfId="0" applyNumberFormat="1" applyAlignment="1">
      <alignment horizontal="center"/>
    </xf>
    <xf numFmtId="0" fontId="1" fillId="5" borderId="0" xfId="0" applyFont="1" applyFill="1" applyAlignment="1">
      <alignment horizontal="centerContinuous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7" fontId="0" fillId="0" borderId="0" xfId="0" applyNumberFormat="1"/>
    <xf numFmtId="0" fontId="1" fillId="6" borderId="0" xfId="0" applyFont="1" applyFill="1" applyAlignment="1">
      <alignment horizontal="centerContinuous"/>
    </xf>
    <xf numFmtId="165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7" fontId="0" fillId="0" borderId="0" xfId="0" applyNumberFormat="1" applyAlignment="1">
      <alignment horizontal="center"/>
    </xf>
    <xf numFmtId="165" fontId="4" fillId="0" borderId="0" xfId="0" applyNumberFormat="1" applyFont="1" applyAlignment="1">
      <alignment horizontal="center"/>
    </xf>
    <xf numFmtId="16" fontId="0" fillId="0" borderId="0" xfId="0" quotePrefix="1" applyNumberFormat="1" applyAlignment="1">
      <alignment horizontal="center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5" fillId="0" borderId="0" xfId="0" applyFont="1"/>
    <xf numFmtId="0" fontId="1" fillId="9" borderId="0" xfId="0" applyFont="1" applyFill="1" applyAlignment="1">
      <alignment horizontal="center"/>
    </xf>
    <xf numFmtId="17" fontId="1" fillId="9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8" borderId="0" xfId="0" applyFill="1"/>
    <xf numFmtId="165" fontId="3" fillId="7" borderId="0" xfId="0" applyNumberFormat="1" applyFont="1" applyFill="1"/>
    <xf numFmtId="164" fontId="3" fillId="7" borderId="0" xfId="0" applyNumberFormat="1" applyFont="1" applyFill="1"/>
    <xf numFmtId="0" fontId="3" fillId="7" borderId="0" xfId="0" applyFont="1" applyFill="1"/>
    <xf numFmtId="165" fontId="3" fillId="8" borderId="0" xfId="0" applyNumberFormat="1" applyFont="1" applyFill="1"/>
    <xf numFmtId="164" fontId="3" fillId="8" borderId="0" xfId="0" applyNumberFormat="1" applyFont="1" applyFill="1"/>
    <xf numFmtId="0" fontId="3" fillId="8" borderId="0" xfId="0" applyFont="1" applyFill="1"/>
    <xf numFmtId="167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1" fillId="11" borderId="0" xfId="0" applyFont="1" applyFill="1" applyAlignment="1">
      <alignment horizontal="centerContinuous"/>
    </xf>
    <xf numFmtId="0" fontId="0" fillId="12" borderId="0" xfId="0" applyFill="1"/>
    <xf numFmtId="0" fontId="1" fillId="13" borderId="0" xfId="0" applyFont="1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99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585174-8A0E-4B3D-9CF2-C78FB25F8409}">
  <we:reference id="29673e3c-d826-4f00-92ee-162334a52b1a" version="1.0.0.8" store="EXCatalog" storeType="EXCatalog"/>
  <we:alternateReferences>
    <we:reference id="WA200009404" version="1.0.0.8" store="en-AU" storeType="OMEX"/>
  </we:alternateReferences>
  <we:properties>
    <we:property name="claude.fileId" value="&quot;2bf855a8-ee83-430c-87b5-ce19871d05a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077D-383A-4640-9C4E-D14E38F206F8}">
  <sheetPr codeName="Sheet1">
    <tabColor theme="5" tint="-0.249977111117893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C9B4-C5D5-47B1-8BEA-EF3AA4FA322C}">
  <sheetPr codeName="Sheet2">
    <tabColor theme="5" tint="0.79998168889431442"/>
  </sheetPr>
  <dimension ref="B2:X34"/>
  <sheetViews>
    <sheetView workbookViewId="0">
      <selection activeCell="J26" sqref="J26"/>
    </sheetView>
  </sheetViews>
  <sheetFormatPr defaultRowHeight="15" outlineLevelCol="1" x14ac:dyDescent="0.25"/>
  <cols>
    <col min="2" max="2" width="10" hidden="1" customWidth="1" outlineLevel="1"/>
    <col min="3" max="3" width="9.7109375" hidden="1" customWidth="1" outlineLevel="1"/>
    <col min="4" max="4" width="9.140625" collapsed="1"/>
    <col min="5" max="5" width="10.140625" bestFit="1" customWidth="1"/>
    <col min="6" max="6" width="2.7109375" customWidth="1"/>
    <col min="8" max="8" width="10.5703125" bestFit="1" customWidth="1"/>
    <col min="12" max="12" width="2.7109375" hidden="1" customWidth="1" outlineLevel="1"/>
    <col min="13" max="13" width="10.5703125" hidden="1" customWidth="1" outlineLevel="1"/>
    <col min="14" max="14" width="9.140625" hidden="1" customWidth="1" outlineLevel="1"/>
    <col min="15" max="15" width="2.7109375" customWidth="1" collapsed="1"/>
    <col min="16" max="16" width="10.42578125" bestFit="1" customWidth="1"/>
    <col min="18" max="18" width="10.5703125" bestFit="1" customWidth="1"/>
    <col min="19" max="19" width="2.7109375" customWidth="1"/>
    <col min="20" max="20" width="10.42578125" bestFit="1" customWidth="1"/>
    <col min="23" max="24" width="32.140625" bestFit="1" customWidth="1"/>
  </cols>
  <sheetData>
    <row r="2" spans="2:24" x14ac:dyDescent="0.25">
      <c r="B2" s="50"/>
      <c r="C2" s="50"/>
      <c r="D2" s="20" t="s">
        <v>12</v>
      </c>
      <c r="E2" s="20"/>
      <c r="G2" s="6" t="s">
        <v>16</v>
      </c>
      <c r="H2" s="6"/>
      <c r="I2" s="6"/>
      <c r="J2" s="6"/>
      <c r="K2" s="6"/>
      <c r="M2" s="16" t="s">
        <v>23</v>
      </c>
      <c r="N2" s="16"/>
      <c r="P2" s="5" t="s">
        <v>12</v>
      </c>
      <c r="Q2" s="5"/>
      <c r="R2" s="5"/>
      <c r="T2" s="4" t="s">
        <v>13</v>
      </c>
      <c r="U2" s="4"/>
      <c r="V2" s="4"/>
      <c r="W2" s="4"/>
      <c r="X2" s="4"/>
    </row>
    <row r="3" spans="2:24" s="9" customFormat="1" x14ac:dyDescent="0.25">
      <c r="B3" s="12" t="s">
        <v>183</v>
      </c>
      <c r="C3" s="12" t="s">
        <v>184</v>
      </c>
      <c r="D3" s="12" t="s">
        <v>8</v>
      </c>
      <c r="E3" s="11" t="s">
        <v>9</v>
      </c>
      <c r="G3" s="10" t="s">
        <v>14</v>
      </c>
      <c r="H3" s="10" t="s">
        <v>10</v>
      </c>
      <c r="I3" s="11" t="s">
        <v>9</v>
      </c>
      <c r="J3" s="11" t="s">
        <v>15</v>
      </c>
      <c r="K3" s="11" t="s">
        <v>166</v>
      </c>
      <c r="M3" s="10" t="s">
        <v>10</v>
      </c>
      <c r="N3" s="11" t="s">
        <v>9</v>
      </c>
      <c r="P3" s="12" t="s">
        <v>8</v>
      </c>
      <c r="Q3" s="11" t="s">
        <v>9</v>
      </c>
      <c r="R3" s="10" t="s">
        <v>10</v>
      </c>
      <c r="T3" s="12" t="s">
        <v>8</v>
      </c>
      <c r="U3" s="11" t="s">
        <v>9</v>
      </c>
      <c r="V3" s="10" t="s">
        <v>10</v>
      </c>
      <c r="W3" s="10" t="s">
        <v>11</v>
      </c>
      <c r="X3" s="10"/>
    </row>
    <row r="4" spans="2:24" x14ac:dyDescent="0.25">
      <c r="B4" s="17">
        <v>45474</v>
      </c>
      <c r="C4" s="18">
        <f>EOMONTH(B4,0)</f>
        <v>45504</v>
      </c>
      <c r="D4" s="19">
        <f>C4</f>
        <v>45504</v>
      </c>
      <c r="E4" s="2">
        <f t="shared" ref="E4:E15" si="0">SUMIFS($Q:$Q,$P:$P,"&gt;="&amp;B4,$P:$P,"&lt;="&amp;C4)</f>
        <v>0</v>
      </c>
      <c r="G4" s="3">
        <v>1</v>
      </c>
      <c r="H4" s="3" t="str">
        <f t="shared" ref="H4:H9" si="1">_xlfn.XLOOKUP(I4,$N:$N,$M:$M)</f>
        <v>BAEP</v>
      </c>
      <c r="I4" s="15">
        <f t="shared" ref="I4:I9" si="2">LARGE($N:$N,G4)</f>
        <v>17200</v>
      </c>
      <c r="J4" s="7">
        <f t="shared" ref="J4:J9" si="3">COUNTIF($R:$R,$H4)</f>
        <v>8</v>
      </c>
      <c r="K4" s="47">
        <f>I4/$I$24</f>
        <v>0.27215189873417722</v>
      </c>
      <c r="M4" s="3" t="str" cm="1">
        <f t="array" ref="M4:M9">_xlfn.UNIQUE(_xlfn._xlws.FILTER($R$4:$R$25,$R$4:$R$25&lt;&gt;""))</f>
        <v>BAEP</v>
      </c>
      <c r="N4" s="15">
        <f t="shared" ref="N4:N23" si="4">SUMIF($R:$R,$M4,$Q:$Q)</f>
        <v>17200</v>
      </c>
      <c r="P4" s="21">
        <v>45716</v>
      </c>
      <c r="Q4" s="22">
        <v>1500</v>
      </c>
      <c r="R4" s="23" t="s">
        <v>0</v>
      </c>
      <c r="T4" s="8">
        <v>45623</v>
      </c>
      <c r="U4" s="2">
        <v>6100</v>
      </c>
      <c r="V4" s="3" t="s">
        <v>0</v>
      </c>
      <c r="W4" t="s">
        <v>7</v>
      </c>
    </row>
    <row r="5" spans="2:24" x14ac:dyDescent="0.25">
      <c r="B5" s="18">
        <f>C4+1</f>
        <v>45505</v>
      </c>
      <c r="C5" s="18">
        <f t="shared" ref="C5:C15" si="5">EOMONTH(B5,0)</f>
        <v>45535</v>
      </c>
      <c r="D5" s="19">
        <f t="shared" ref="D5:D15" si="6">C5</f>
        <v>45535</v>
      </c>
      <c r="E5" s="2">
        <f t="shared" si="0"/>
        <v>0</v>
      </c>
      <c r="G5" s="3">
        <v>2</v>
      </c>
      <c r="H5" s="3" t="str">
        <f t="shared" si="1"/>
        <v>CBUS</v>
      </c>
      <c r="I5" s="15">
        <f t="shared" si="2"/>
        <v>17000</v>
      </c>
      <c r="J5" s="7">
        <f t="shared" si="3"/>
        <v>2</v>
      </c>
      <c r="K5" s="47">
        <f t="shared" ref="K5:K9" si="7">I5/$I$24</f>
        <v>0.26898734177215189</v>
      </c>
      <c r="M5" s="3" t="str">
        <v>CBUS</v>
      </c>
      <c r="N5" s="15">
        <f t="shared" si="4"/>
        <v>17000</v>
      </c>
      <c r="P5" s="21">
        <v>45749</v>
      </c>
      <c r="Q5" s="22">
        <v>2300</v>
      </c>
      <c r="R5" s="23" t="s">
        <v>0</v>
      </c>
      <c r="T5" s="8">
        <v>45632</v>
      </c>
      <c r="U5" s="2">
        <v>32900</v>
      </c>
      <c r="V5" s="3" t="s">
        <v>5</v>
      </c>
      <c r="W5" t="s">
        <v>6</v>
      </c>
    </row>
    <row r="6" spans="2:24" x14ac:dyDescent="0.25">
      <c r="B6" s="18">
        <f t="shared" ref="B6:B15" si="8">C5+1</f>
        <v>45536</v>
      </c>
      <c r="C6" s="18">
        <f t="shared" si="5"/>
        <v>45565</v>
      </c>
      <c r="D6" s="19">
        <f t="shared" si="6"/>
        <v>45565</v>
      </c>
      <c r="E6" s="2">
        <f t="shared" si="0"/>
        <v>0</v>
      </c>
      <c r="G6" s="3">
        <v>3</v>
      </c>
      <c r="H6" s="3" t="str">
        <f t="shared" si="1"/>
        <v>Greencape</v>
      </c>
      <c r="I6" s="15">
        <f t="shared" si="2"/>
        <v>15000</v>
      </c>
      <c r="J6" s="7">
        <f t="shared" si="3"/>
        <v>2</v>
      </c>
      <c r="K6" s="47">
        <f t="shared" si="7"/>
        <v>0.23734177215189872</v>
      </c>
      <c r="M6" s="3" t="str">
        <v>Wavestone</v>
      </c>
      <c r="N6" s="15">
        <f t="shared" si="4"/>
        <v>1500</v>
      </c>
      <c r="P6" s="21">
        <v>45750</v>
      </c>
      <c r="Q6" s="22">
        <v>1100</v>
      </c>
      <c r="R6" s="23" t="s">
        <v>0</v>
      </c>
      <c r="T6" s="8">
        <v>45645</v>
      </c>
      <c r="U6" s="2">
        <v>2800</v>
      </c>
      <c r="V6" s="3" t="s">
        <v>0</v>
      </c>
      <c r="W6" t="s">
        <v>2</v>
      </c>
    </row>
    <row r="7" spans="2:24" x14ac:dyDescent="0.25">
      <c r="B7" s="18">
        <f t="shared" si="8"/>
        <v>45566</v>
      </c>
      <c r="C7" s="18">
        <f t="shared" si="5"/>
        <v>45596</v>
      </c>
      <c r="D7" s="19">
        <f t="shared" si="6"/>
        <v>45596</v>
      </c>
      <c r="E7" s="2">
        <f t="shared" si="0"/>
        <v>0</v>
      </c>
      <c r="G7" s="3">
        <v>4</v>
      </c>
      <c r="H7" s="3" t="str">
        <f t="shared" si="1"/>
        <v>ICE</v>
      </c>
      <c r="I7" s="15">
        <f t="shared" si="2"/>
        <v>7500</v>
      </c>
      <c r="J7" s="7">
        <f t="shared" si="3"/>
        <v>2</v>
      </c>
      <c r="K7" s="47">
        <f t="shared" si="7"/>
        <v>0.11867088607594936</v>
      </c>
      <c r="M7" s="3" t="str">
        <v>Greencape</v>
      </c>
      <c r="N7" s="15">
        <f t="shared" si="4"/>
        <v>15000</v>
      </c>
      <c r="P7" s="21">
        <v>45750</v>
      </c>
      <c r="Q7" s="22">
        <v>10000</v>
      </c>
      <c r="R7" s="23" t="s">
        <v>1</v>
      </c>
      <c r="T7" s="8">
        <v>45687</v>
      </c>
      <c r="U7" s="2">
        <v>3200</v>
      </c>
      <c r="V7" s="3" t="s">
        <v>0</v>
      </c>
      <c r="W7" t="s">
        <v>2</v>
      </c>
    </row>
    <row r="8" spans="2:24" x14ac:dyDescent="0.25">
      <c r="B8" s="18">
        <f t="shared" si="8"/>
        <v>45597</v>
      </c>
      <c r="C8" s="18">
        <f t="shared" si="5"/>
        <v>45626</v>
      </c>
      <c r="D8" s="19">
        <f t="shared" si="6"/>
        <v>45626</v>
      </c>
      <c r="E8" s="2">
        <f t="shared" si="0"/>
        <v>0</v>
      </c>
      <c r="G8" s="3">
        <v>5</v>
      </c>
      <c r="H8" s="3" t="str">
        <f t="shared" si="1"/>
        <v>Solaris</v>
      </c>
      <c r="I8" s="15">
        <f t="shared" si="2"/>
        <v>5000</v>
      </c>
      <c r="J8" s="7">
        <f t="shared" si="3"/>
        <v>1</v>
      </c>
      <c r="K8" s="47">
        <f t="shared" si="7"/>
        <v>7.9113924050632917E-2</v>
      </c>
      <c r="M8" s="3" t="str">
        <v>ICE</v>
      </c>
      <c r="N8" s="15">
        <f t="shared" si="4"/>
        <v>7500</v>
      </c>
      <c r="P8" s="21">
        <v>45756</v>
      </c>
      <c r="Q8" s="22">
        <v>3000</v>
      </c>
      <c r="R8" s="23" t="s">
        <v>0</v>
      </c>
      <c r="T8" s="8">
        <v>45688</v>
      </c>
      <c r="U8" s="2">
        <v>10000</v>
      </c>
      <c r="V8" s="3" t="s">
        <v>4</v>
      </c>
      <c r="W8" t="s">
        <v>3</v>
      </c>
    </row>
    <row r="9" spans="2:24" x14ac:dyDescent="0.25">
      <c r="B9" s="18">
        <f t="shared" si="8"/>
        <v>45627</v>
      </c>
      <c r="C9" s="18">
        <f t="shared" si="5"/>
        <v>45657</v>
      </c>
      <c r="D9" s="19">
        <f t="shared" si="6"/>
        <v>45657</v>
      </c>
      <c r="E9" s="2">
        <f t="shared" si="0"/>
        <v>0</v>
      </c>
      <c r="G9" s="3">
        <v>6</v>
      </c>
      <c r="H9" s="3" t="str">
        <f t="shared" si="1"/>
        <v>Wavestone</v>
      </c>
      <c r="I9" s="15">
        <f t="shared" si="2"/>
        <v>1500</v>
      </c>
      <c r="J9" s="7">
        <f t="shared" si="3"/>
        <v>1</v>
      </c>
      <c r="K9" s="47">
        <f t="shared" si="7"/>
        <v>2.3734177215189875E-2</v>
      </c>
      <c r="M9" s="3" t="str">
        <v>Solaris</v>
      </c>
      <c r="N9" s="15">
        <f t="shared" si="4"/>
        <v>5000</v>
      </c>
      <c r="P9" s="21">
        <v>45761</v>
      </c>
      <c r="Q9" s="22">
        <v>3400</v>
      </c>
      <c r="R9" s="23" t="s">
        <v>0</v>
      </c>
      <c r="T9" s="8">
        <v>45691</v>
      </c>
      <c r="U9" s="2">
        <v>3000</v>
      </c>
      <c r="V9" s="3" t="s">
        <v>0</v>
      </c>
      <c r="W9" t="s">
        <v>2</v>
      </c>
    </row>
    <row r="10" spans="2:24" x14ac:dyDescent="0.25">
      <c r="B10" s="18">
        <f t="shared" si="8"/>
        <v>45658</v>
      </c>
      <c r="C10" s="18">
        <f t="shared" si="5"/>
        <v>45688</v>
      </c>
      <c r="D10" s="19">
        <f t="shared" si="6"/>
        <v>45688</v>
      </c>
      <c r="E10" s="2">
        <f t="shared" si="0"/>
        <v>0</v>
      </c>
      <c r="G10" s="3">
        <v>7</v>
      </c>
      <c r="H10" s="3"/>
      <c r="I10" s="15"/>
      <c r="J10" s="7"/>
      <c r="K10" s="47"/>
      <c r="M10" s="3"/>
      <c r="N10" s="15">
        <f t="shared" si="4"/>
        <v>0</v>
      </c>
      <c r="P10" s="21">
        <v>45776</v>
      </c>
      <c r="Q10" s="22">
        <v>3000</v>
      </c>
      <c r="R10" s="23" t="s">
        <v>0</v>
      </c>
      <c r="T10" s="1">
        <v>45793</v>
      </c>
      <c r="U10" s="2">
        <v>10000</v>
      </c>
      <c r="V10" s="3" t="s">
        <v>21</v>
      </c>
      <c r="W10" t="s">
        <v>22</v>
      </c>
    </row>
    <row r="11" spans="2:24" x14ac:dyDescent="0.25">
      <c r="B11" s="18">
        <f t="shared" si="8"/>
        <v>45689</v>
      </c>
      <c r="C11" s="18">
        <f t="shared" si="5"/>
        <v>45716</v>
      </c>
      <c r="D11" s="19">
        <f t="shared" si="6"/>
        <v>45716</v>
      </c>
      <c r="E11" s="2">
        <f t="shared" si="0"/>
        <v>1500</v>
      </c>
      <c r="G11" s="3">
        <v>8</v>
      </c>
      <c r="H11" s="3"/>
      <c r="I11" s="15"/>
      <c r="J11" s="7"/>
      <c r="K11" s="47"/>
      <c r="M11" s="3"/>
      <c r="N11" s="15">
        <f t="shared" si="4"/>
        <v>0</v>
      </c>
      <c r="P11" s="21">
        <v>45777</v>
      </c>
      <c r="Q11" s="22">
        <v>1400</v>
      </c>
      <c r="R11" s="23" t="s">
        <v>0</v>
      </c>
      <c r="T11" s="1">
        <v>45838</v>
      </c>
      <c r="U11" s="2">
        <v>25000</v>
      </c>
      <c r="V11" s="3" t="s">
        <v>25</v>
      </c>
      <c r="W11" t="s">
        <v>26</v>
      </c>
      <c r="X11" t="s">
        <v>29</v>
      </c>
    </row>
    <row r="12" spans="2:24" x14ac:dyDescent="0.25">
      <c r="B12" s="18">
        <f t="shared" si="8"/>
        <v>45717</v>
      </c>
      <c r="C12" s="18">
        <f t="shared" si="5"/>
        <v>45747</v>
      </c>
      <c r="D12" s="19">
        <f t="shared" si="6"/>
        <v>45747</v>
      </c>
      <c r="E12" s="2">
        <f t="shared" si="0"/>
        <v>0</v>
      </c>
      <c r="G12" s="3">
        <v>9</v>
      </c>
      <c r="H12" s="3"/>
      <c r="I12" s="15"/>
      <c r="J12" s="7"/>
      <c r="K12" s="47"/>
      <c r="M12" s="3"/>
      <c r="N12" s="15">
        <f t="shared" si="4"/>
        <v>0</v>
      </c>
      <c r="P12" s="21">
        <v>45777</v>
      </c>
      <c r="Q12" s="22">
        <v>1500</v>
      </c>
      <c r="R12" s="23" t="s">
        <v>0</v>
      </c>
      <c r="T12" s="1"/>
      <c r="U12" s="2"/>
      <c r="V12" s="3"/>
    </row>
    <row r="13" spans="2:24" x14ac:dyDescent="0.25">
      <c r="B13" s="18">
        <f t="shared" si="8"/>
        <v>45748</v>
      </c>
      <c r="C13" s="18">
        <f t="shared" si="5"/>
        <v>45777</v>
      </c>
      <c r="D13" s="19">
        <f t="shared" si="6"/>
        <v>45777</v>
      </c>
      <c r="E13" s="2">
        <f t="shared" si="0"/>
        <v>25700</v>
      </c>
      <c r="G13" s="3">
        <v>10</v>
      </c>
      <c r="H13" s="3"/>
      <c r="I13" s="15"/>
      <c r="J13" s="7"/>
      <c r="K13" s="47"/>
      <c r="M13" s="3"/>
      <c r="N13" s="15">
        <f t="shared" si="4"/>
        <v>0</v>
      </c>
      <c r="P13" s="21">
        <v>45782</v>
      </c>
      <c r="Q13" s="22">
        <v>1500</v>
      </c>
      <c r="R13" s="23" t="s">
        <v>17</v>
      </c>
      <c r="T13" s="1"/>
      <c r="U13" s="2"/>
      <c r="V13" s="3"/>
    </row>
    <row r="14" spans="2:24" x14ac:dyDescent="0.25">
      <c r="B14" s="18">
        <f t="shared" si="8"/>
        <v>45778</v>
      </c>
      <c r="C14" s="18">
        <f t="shared" si="5"/>
        <v>45808</v>
      </c>
      <c r="D14" s="19">
        <f t="shared" si="6"/>
        <v>45808</v>
      </c>
      <c r="E14" s="2">
        <f t="shared" si="0"/>
        <v>14500</v>
      </c>
      <c r="G14" s="3">
        <v>11</v>
      </c>
      <c r="H14" s="3"/>
      <c r="I14" s="15"/>
      <c r="J14" s="7"/>
      <c r="K14" s="47"/>
      <c r="M14" s="3"/>
      <c r="N14" s="15">
        <f t="shared" si="4"/>
        <v>0</v>
      </c>
      <c r="P14" s="21">
        <v>45783</v>
      </c>
      <c r="Q14" s="22">
        <v>7500</v>
      </c>
      <c r="R14" s="23" t="s">
        <v>18</v>
      </c>
      <c r="T14" s="1"/>
      <c r="U14" s="2"/>
      <c r="V14" s="3"/>
    </row>
    <row r="15" spans="2:24" x14ac:dyDescent="0.25">
      <c r="B15" s="18">
        <f t="shared" si="8"/>
        <v>45809</v>
      </c>
      <c r="C15" s="18">
        <f t="shared" si="5"/>
        <v>45838</v>
      </c>
      <c r="D15" s="19">
        <f t="shared" si="6"/>
        <v>45838</v>
      </c>
      <c r="E15" s="2">
        <f t="shared" si="0"/>
        <v>21500</v>
      </c>
      <c r="G15" s="3">
        <v>12</v>
      </c>
      <c r="H15" s="3"/>
      <c r="I15" s="15"/>
      <c r="J15" s="7"/>
      <c r="K15" s="47"/>
      <c r="M15" s="3"/>
      <c r="N15" s="15">
        <f t="shared" si="4"/>
        <v>0</v>
      </c>
      <c r="P15" s="21">
        <v>45789</v>
      </c>
      <c r="Q15" s="22">
        <v>5500</v>
      </c>
      <c r="R15" s="23" t="s">
        <v>20</v>
      </c>
      <c r="T15" s="1"/>
      <c r="U15" s="2"/>
      <c r="V15" s="3"/>
    </row>
    <row r="16" spans="2:24" x14ac:dyDescent="0.25">
      <c r="G16" s="3">
        <v>13</v>
      </c>
      <c r="H16" s="3"/>
      <c r="I16" s="15"/>
      <c r="J16" s="7"/>
      <c r="K16" s="47"/>
      <c r="M16" s="3"/>
      <c r="N16" s="15">
        <f t="shared" si="4"/>
        <v>0</v>
      </c>
      <c r="P16" s="21">
        <v>45811</v>
      </c>
      <c r="Q16" s="22">
        <v>7500</v>
      </c>
      <c r="R16" s="23" t="s">
        <v>18</v>
      </c>
      <c r="T16" s="1"/>
      <c r="U16" s="2"/>
      <c r="V16" s="3"/>
    </row>
    <row r="17" spans="7:22" x14ac:dyDescent="0.25">
      <c r="G17" s="3">
        <v>14</v>
      </c>
      <c r="H17" s="3"/>
      <c r="I17" s="15"/>
      <c r="J17" s="7"/>
      <c r="K17" s="47"/>
      <c r="M17" s="3"/>
      <c r="N17" s="15">
        <f t="shared" si="4"/>
        <v>0</v>
      </c>
      <c r="P17" s="21">
        <v>45818</v>
      </c>
      <c r="Q17" s="22">
        <v>2000</v>
      </c>
      <c r="R17" s="23" t="s">
        <v>20</v>
      </c>
      <c r="T17" s="1"/>
      <c r="U17" s="2"/>
      <c r="V17" s="3"/>
    </row>
    <row r="18" spans="7:22" x14ac:dyDescent="0.25">
      <c r="G18" s="3">
        <v>15</v>
      </c>
      <c r="H18" s="3"/>
      <c r="I18" s="15"/>
      <c r="J18" s="7"/>
      <c r="K18" s="47"/>
      <c r="M18" s="3"/>
      <c r="N18" s="15">
        <f t="shared" si="4"/>
        <v>0</v>
      </c>
      <c r="P18" s="21">
        <v>45828</v>
      </c>
      <c r="Q18" s="22">
        <v>5000</v>
      </c>
      <c r="R18" s="23" t="s">
        <v>24</v>
      </c>
      <c r="T18" s="1"/>
      <c r="U18" s="2"/>
      <c r="V18" s="3"/>
    </row>
    <row r="19" spans="7:22" x14ac:dyDescent="0.25">
      <c r="G19" s="3">
        <v>16</v>
      </c>
      <c r="H19" s="3"/>
      <c r="I19" s="15"/>
      <c r="J19" s="7"/>
      <c r="K19" s="47"/>
      <c r="M19" s="3"/>
      <c r="N19" s="15">
        <f t="shared" si="4"/>
        <v>0</v>
      </c>
      <c r="P19" s="21">
        <v>45833</v>
      </c>
      <c r="Q19" s="22">
        <v>7000</v>
      </c>
      <c r="R19" s="23" t="s">
        <v>1</v>
      </c>
    </row>
    <row r="20" spans="7:22" x14ac:dyDescent="0.25">
      <c r="G20" s="3">
        <v>17</v>
      </c>
      <c r="H20" s="3"/>
      <c r="I20" s="15"/>
      <c r="J20" s="7"/>
      <c r="K20" s="47"/>
      <c r="M20" s="3"/>
      <c r="N20" s="15">
        <f t="shared" si="4"/>
        <v>0</v>
      </c>
      <c r="P20" s="1"/>
      <c r="Q20" s="2"/>
    </row>
    <row r="21" spans="7:22" x14ac:dyDescent="0.25">
      <c r="G21" s="3">
        <v>18</v>
      </c>
      <c r="H21" s="3"/>
      <c r="I21" s="15"/>
      <c r="J21" s="7"/>
      <c r="K21" s="47"/>
      <c r="M21" s="3"/>
      <c r="N21" s="15">
        <f t="shared" si="4"/>
        <v>0</v>
      </c>
      <c r="P21" s="1"/>
      <c r="Q21" s="2"/>
    </row>
    <row r="22" spans="7:22" x14ac:dyDescent="0.25">
      <c r="G22" s="3">
        <v>19</v>
      </c>
      <c r="H22" s="3"/>
      <c r="I22" s="15"/>
      <c r="J22" s="7"/>
      <c r="K22" s="47"/>
      <c r="M22" s="3"/>
      <c r="N22" s="15">
        <f t="shared" si="4"/>
        <v>0</v>
      </c>
      <c r="P22" s="1"/>
      <c r="Q22" s="2"/>
    </row>
    <row r="23" spans="7:22" x14ac:dyDescent="0.25">
      <c r="G23" s="3">
        <v>20</v>
      </c>
      <c r="H23" s="3"/>
      <c r="I23" s="15"/>
      <c r="J23" s="7"/>
      <c r="K23" s="47"/>
      <c r="M23" s="3"/>
      <c r="N23" s="15">
        <f t="shared" si="4"/>
        <v>0</v>
      </c>
      <c r="P23" s="1"/>
      <c r="Q23" s="2"/>
    </row>
    <row r="24" spans="7:22" x14ac:dyDescent="0.25">
      <c r="G24" s="13" t="s">
        <v>19</v>
      </c>
      <c r="H24" s="13"/>
      <c r="I24" s="14">
        <f>SUM(I4:I23)</f>
        <v>63200</v>
      </c>
      <c r="J24" s="13"/>
      <c r="K24" s="13"/>
      <c r="P24" s="1"/>
      <c r="Q24" s="2"/>
    </row>
    <row r="25" spans="7:22" x14ac:dyDescent="0.25">
      <c r="K25" s="47"/>
      <c r="P25" s="1"/>
      <c r="Q25" s="2"/>
    </row>
    <row r="26" spans="7:22" x14ac:dyDescent="0.25">
      <c r="K26" s="47"/>
    </row>
    <row r="27" spans="7:22" x14ac:dyDescent="0.25">
      <c r="K27" s="47"/>
    </row>
    <row r="28" spans="7:22" x14ac:dyDescent="0.25">
      <c r="K28" s="47"/>
    </row>
    <row r="29" spans="7:22" x14ac:dyDescent="0.25">
      <c r="K29" s="47"/>
    </row>
    <row r="30" spans="7:22" x14ac:dyDescent="0.25">
      <c r="K30" s="47"/>
    </row>
    <row r="31" spans="7:22" x14ac:dyDescent="0.25">
      <c r="K31" s="47"/>
    </row>
    <row r="34" spans="11:11" x14ac:dyDescent="0.25">
      <c r="K34" s="29"/>
    </row>
  </sheetData>
  <autoFilter ref="H3:J3" xr:uid="{AA32C9B4-C5D5-47B1-8BEA-EF3AA4FA322C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2981-3088-4FE4-B21D-6D2B946FAAC0}">
  <sheetPr codeName="Sheet3">
    <tabColor theme="5" tint="0.79998168889431442"/>
    <pageSetUpPr fitToPage="1"/>
  </sheetPr>
  <dimension ref="B2:Y84"/>
  <sheetViews>
    <sheetView workbookViewId="0">
      <selection activeCell="AE72" sqref="AE72"/>
    </sheetView>
  </sheetViews>
  <sheetFormatPr defaultRowHeight="15" outlineLevelCol="1" x14ac:dyDescent="0.25"/>
  <cols>
    <col min="2" max="3" width="10" hidden="1" customWidth="1" outlineLevel="1"/>
    <col min="4" max="4" width="9.140625" style="3" collapsed="1"/>
    <col min="5" max="5" width="11.140625" bestFit="1" customWidth="1"/>
    <col min="6" max="6" width="2.7109375" customWidth="1"/>
    <col min="7" max="7" width="9.140625" style="3" hidden="1" customWidth="1" outlineLevel="1" collapsed="1"/>
    <col min="8" max="8" width="9" hidden="1" customWidth="1" outlineLevel="1"/>
    <col min="9" max="9" width="9" customWidth="1" collapsed="1"/>
    <col min="10" max="11" width="10.5703125" customWidth="1"/>
    <col min="12" max="12" width="2.7109375" customWidth="1"/>
    <col min="14" max="14" width="12.42578125" bestFit="1" customWidth="1"/>
    <col min="18" max="18" width="2.7109375" hidden="1" customWidth="1" outlineLevel="1"/>
    <col min="19" max="19" width="10.5703125" hidden="1" customWidth="1" outlineLevel="1"/>
    <col min="20" max="20" width="12.42578125" hidden="1" customWidth="1" outlineLevel="1"/>
    <col min="21" max="21" width="9.140625" hidden="1" customWidth="1" outlineLevel="1"/>
    <col min="22" max="22" width="2.7109375" customWidth="1" collapsed="1"/>
    <col min="23" max="23" width="10.42578125" bestFit="1" customWidth="1"/>
    <col min="25" max="25" width="16" bestFit="1" customWidth="1"/>
    <col min="26" max="26" width="2.7109375" customWidth="1"/>
  </cols>
  <sheetData>
    <row r="2" spans="2:25" x14ac:dyDescent="0.25">
      <c r="B2" s="50"/>
      <c r="C2" s="50"/>
      <c r="D2" s="20" t="s">
        <v>162</v>
      </c>
      <c r="E2" s="20"/>
      <c r="G2" s="51"/>
      <c r="H2" s="51"/>
      <c r="I2" s="16" t="s">
        <v>167</v>
      </c>
      <c r="J2" s="16"/>
      <c r="K2" s="16"/>
      <c r="M2" s="6" t="s">
        <v>161</v>
      </c>
      <c r="N2" s="6"/>
      <c r="O2" s="6"/>
      <c r="P2" s="6"/>
      <c r="Q2" s="6"/>
      <c r="S2" s="49" t="s">
        <v>163</v>
      </c>
      <c r="T2" s="49"/>
      <c r="U2" s="49"/>
      <c r="W2" s="5" t="s">
        <v>164</v>
      </c>
      <c r="X2" s="5"/>
      <c r="Y2" s="5"/>
    </row>
    <row r="3" spans="2:25" s="9" customFormat="1" x14ac:dyDescent="0.25">
      <c r="B3" s="12" t="s">
        <v>183</v>
      </c>
      <c r="C3" s="12" t="s">
        <v>184</v>
      </c>
      <c r="D3" s="12" t="s">
        <v>8</v>
      </c>
      <c r="E3" s="11" t="s">
        <v>9</v>
      </c>
      <c r="G3" s="12" t="s">
        <v>8</v>
      </c>
      <c r="H3" s="11" t="s">
        <v>9</v>
      </c>
      <c r="I3" s="11" t="s">
        <v>176</v>
      </c>
      <c r="J3" s="11" t="s">
        <v>9</v>
      </c>
      <c r="K3" s="11" t="s">
        <v>177</v>
      </c>
      <c r="M3" s="10" t="s">
        <v>14</v>
      </c>
      <c r="N3" s="10" t="s">
        <v>10</v>
      </c>
      <c r="O3" s="11" t="s">
        <v>9</v>
      </c>
      <c r="P3" s="11" t="s">
        <v>15</v>
      </c>
      <c r="Q3" s="11" t="s">
        <v>166</v>
      </c>
      <c r="S3" s="10" t="s">
        <v>10</v>
      </c>
      <c r="T3" s="10" t="s">
        <v>10</v>
      </c>
      <c r="U3" s="11" t="s">
        <v>9</v>
      </c>
      <c r="W3" s="12" t="s">
        <v>8</v>
      </c>
      <c r="X3" s="11" t="s">
        <v>9</v>
      </c>
      <c r="Y3" s="10" t="s">
        <v>10</v>
      </c>
    </row>
    <row r="4" spans="2:25" x14ac:dyDescent="0.25">
      <c r="B4" s="17">
        <v>45839</v>
      </c>
      <c r="C4" s="18">
        <f>EOMONTH(B4,0)</f>
        <v>45869</v>
      </c>
      <c r="D4" s="26">
        <f>C4</f>
        <v>45869</v>
      </c>
      <c r="E4" s="15">
        <f t="shared" ref="E4:E15" si="0">SUMIFS($X:$X,$W:$W,"&gt;="&amp;B4,$W:$W,"&lt;="&amp;C4)</f>
        <v>29600</v>
      </c>
      <c r="G4" s="3">
        <v>1</v>
      </c>
      <c r="H4" s="3">
        <v>5</v>
      </c>
      <c r="I4" s="28" t="s">
        <v>168</v>
      </c>
      <c r="J4" s="15" cm="1">
        <f t="array" ref="J4">IF(G4&gt;COUNT($O$4:$O$33), NA(), SUM(LARGE($O$4:$O$33, _xlfn.SEQUENCE(MIN(H4,COUNT($O$4:$O$33))-G4+1, 1, G4))))</f>
        <v>235787</v>
      </c>
      <c r="K4" s="47">
        <f>_xlfn.IFNA(NA(),J4/$O$34)</f>
        <v>0.47686240406103692</v>
      </c>
      <c r="M4" s="3">
        <v>1</v>
      </c>
      <c r="N4" s="3" t="str">
        <f t="shared" ref="N4:N31" si="1">_xlfn.XLOOKUP(M4,$S:$S,$T:$T)</f>
        <v>Greencape</v>
      </c>
      <c r="O4" s="15">
        <f t="shared" ref="O4:O31" si="2">_xlfn.XLOOKUP(M4,$S:$S,$U:$U)</f>
        <v>67500</v>
      </c>
      <c r="P4" s="7">
        <f t="shared" ref="P4:P31" si="3">COUNTIF($Y:$Y,$N4)</f>
        <v>7</v>
      </c>
      <c r="Q4" s="47">
        <f>O4/$O$34</f>
        <v>0.1365139395900537</v>
      </c>
      <c r="S4" s="3">
        <f>RANK($U4,$U$4:$U$33,0)+COUNTIF($U$4:$U4,$U4)-1</f>
        <v>2</v>
      </c>
      <c r="T4" s="3" t="str" cm="1">
        <f t="array" ref="T4:T31">_xlfn.UNIQUE(_xlfn._xlws.FILTER($Y$4:$Y$498,$Y$4:$Y$498&lt;&gt;""))</f>
        <v>BAEP</v>
      </c>
      <c r="U4" s="15">
        <f t="shared" ref="U4:U31" si="4">SUMIF($Y:$Y,$T4,$X:$X)</f>
        <v>55100</v>
      </c>
      <c r="W4" s="21">
        <v>45841</v>
      </c>
      <c r="X4" s="22">
        <v>6100</v>
      </c>
      <c r="Y4" s="23" t="s">
        <v>0</v>
      </c>
    </row>
    <row r="5" spans="2:25" x14ac:dyDescent="0.25">
      <c r="B5" s="18">
        <f>C4+1</f>
        <v>45870</v>
      </c>
      <c r="C5" s="18">
        <f t="shared" ref="C5:C15" si="5">EOMONTH(B5,0)</f>
        <v>45900</v>
      </c>
      <c r="D5" s="26">
        <f t="shared" ref="D5:D15" si="6">C5</f>
        <v>45900</v>
      </c>
      <c r="E5" s="15">
        <f t="shared" si="0"/>
        <v>58800</v>
      </c>
      <c r="G5" s="3">
        <v>6</v>
      </c>
      <c r="H5" s="3">
        <v>10</v>
      </c>
      <c r="I5" s="48" t="s">
        <v>169</v>
      </c>
      <c r="J5" s="15" cm="1">
        <f t="array" ref="J5">IF(G5&gt;COUNT($O$4:$O$33), NA(), SUM(LARGE($O$4:$O$33, _xlfn.SEQUENCE(MIN(H5,COUNT($O$4:$O$33))-G5+1, 1, G5))))</f>
        <v>102700</v>
      </c>
      <c r="K5" s="47">
        <f t="shared" ref="K5:K11" si="7">_xlfn.IFNA(NA(),J5/$O$34)</f>
        <v>0.20770343105034836</v>
      </c>
      <c r="M5" s="3">
        <f>M4+1</f>
        <v>2</v>
      </c>
      <c r="N5" s="3" t="str">
        <f t="shared" si="1"/>
        <v>BAEP</v>
      </c>
      <c r="O5" s="15">
        <f t="shared" si="2"/>
        <v>55100</v>
      </c>
      <c r="P5" s="7">
        <f t="shared" si="3"/>
        <v>16</v>
      </c>
      <c r="Q5" s="47">
        <f t="shared" ref="Q5:Q31" si="8">O5/$O$34</f>
        <v>0.11143582328017716</v>
      </c>
      <c r="S5" s="3">
        <f>RANK($U5,$U$4:$U$33,0)+COUNTIF($U$4:$U5,$U5)-1</f>
        <v>25</v>
      </c>
      <c r="T5" s="3" t="str">
        <v>SG Hiscock</v>
      </c>
      <c r="U5" s="15">
        <f t="shared" si="4"/>
        <v>5000</v>
      </c>
      <c r="W5" s="21">
        <v>45841</v>
      </c>
      <c r="X5" s="22">
        <v>5000</v>
      </c>
      <c r="Y5" s="23" t="s">
        <v>27</v>
      </c>
    </row>
    <row r="6" spans="2:25" x14ac:dyDescent="0.25">
      <c r="B6" s="18">
        <f t="shared" ref="B6:B15" si="9">C5+1</f>
        <v>45901</v>
      </c>
      <c r="C6" s="18">
        <f t="shared" si="5"/>
        <v>45930</v>
      </c>
      <c r="D6" s="26">
        <f t="shared" si="6"/>
        <v>45930</v>
      </c>
      <c r="E6" s="15">
        <f t="shared" si="0"/>
        <v>32137</v>
      </c>
      <c r="G6" s="3">
        <v>11</v>
      </c>
      <c r="H6" s="3">
        <v>15</v>
      </c>
      <c r="I6" s="48" t="s">
        <v>175</v>
      </c>
      <c r="J6" s="15" cm="1">
        <f t="array" ref="J6">IF(G6&gt;COUNT($O$4:$O$33), NA(), SUM(LARGE($O$4:$O$33, _xlfn.SEQUENCE(MIN(H6,COUNT($O$4:$O$33))-G6+1, 1, G6))))</f>
        <v>65968</v>
      </c>
      <c r="K6" s="47">
        <f t="shared" si="7"/>
        <v>0.13341557876854315</v>
      </c>
      <c r="M6" s="3">
        <f t="shared" ref="M6:M31" si="10">M5+1</f>
        <v>3</v>
      </c>
      <c r="N6" s="3" t="str">
        <f t="shared" si="1"/>
        <v>Quest</v>
      </c>
      <c r="O6" s="15">
        <f t="shared" si="2"/>
        <v>45687</v>
      </c>
      <c r="P6" s="7">
        <f t="shared" si="3"/>
        <v>3</v>
      </c>
      <c r="Q6" s="47">
        <f t="shared" si="8"/>
        <v>9.239870160075235E-2</v>
      </c>
      <c r="S6" s="3">
        <f>RANK($U6,$U$4:$U$33,0)+COUNTIF($U$4:$U6,$U6)-1</f>
        <v>12</v>
      </c>
      <c r="T6" s="3" t="str">
        <v>Ellerston</v>
      </c>
      <c r="U6" s="15">
        <f t="shared" si="4"/>
        <v>15000</v>
      </c>
      <c r="W6" s="21">
        <v>45854</v>
      </c>
      <c r="X6" s="22">
        <v>3500</v>
      </c>
      <c r="Y6" s="23" t="s">
        <v>28</v>
      </c>
    </row>
    <row r="7" spans="2:25" x14ac:dyDescent="0.25">
      <c r="B7" s="18">
        <f t="shared" si="9"/>
        <v>45931</v>
      </c>
      <c r="C7" s="18">
        <f t="shared" si="5"/>
        <v>45961</v>
      </c>
      <c r="D7" s="26">
        <f t="shared" si="6"/>
        <v>45961</v>
      </c>
      <c r="E7" s="15">
        <f t="shared" si="0"/>
        <v>34700</v>
      </c>
      <c r="G7" s="3">
        <v>16</v>
      </c>
      <c r="H7" s="3">
        <v>20</v>
      </c>
      <c r="I7" s="48" t="s">
        <v>170</v>
      </c>
      <c r="J7" s="15" cm="1">
        <f t="array" ref="J7">IF(G7&gt;COUNT($O$4:$O$33), NA(), SUM(LARGE($O$4:$O$33, _xlfn.SEQUENCE(MIN(H7,COUNT($O$4:$O$33))-G7+1, 1, G7))))</f>
        <v>47500</v>
      </c>
      <c r="K7" s="47">
        <f t="shared" si="7"/>
        <v>9.6065364896704447E-2</v>
      </c>
      <c r="M7" s="3">
        <f t="shared" si="10"/>
        <v>4</v>
      </c>
      <c r="N7" s="3" t="str">
        <f t="shared" si="1"/>
        <v>WAM</v>
      </c>
      <c r="O7" s="15">
        <f t="shared" si="2"/>
        <v>40000</v>
      </c>
      <c r="P7" s="7">
        <f t="shared" si="3"/>
        <v>3</v>
      </c>
      <c r="Q7" s="47">
        <f t="shared" si="8"/>
        <v>8.089714938669848E-2</v>
      </c>
      <c r="S7" s="3">
        <f>RANK($U7,$U$4:$U$33,0)+COUNTIF($U$4:$U7,$U7)-1</f>
        <v>4</v>
      </c>
      <c r="T7" s="3" t="str">
        <v>WAM</v>
      </c>
      <c r="U7" s="15">
        <f t="shared" si="4"/>
        <v>40000</v>
      </c>
      <c r="W7" s="21">
        <v>45855</v>
      </c>
      <c r="X7" s="22">
        <v>15000</v>
      </c>
      <c r="Y7" s="23" t="s">
        <v>30</v>
      </c>
    </row>
    <row r="8" spans="2:25" x14ac:dyDescent="0.25">
      <c r="B8" s="18">
        <f t="shared" si="9"/>
        <v>45962</v>
      </c>
      <c r="C8" s="18">
        <f t="shared" si="5"/>
        <v>45991</v>
      </c>
      <c r="D8" s="26">
        <f t="shared" si="6"/>
        <v>45991</v>
      </c>
      <c r="E8" s="15">
        <f t="shared" si="0"/>
        <v>32500</v>
      </c>
      <c r="G8" s="3">
        <v>21</v>
      </c>
      <c r="H8" s="3">
        <v>25</v>
      </c>
      <c r="I8" s="48" t="s">
        <v>171</v>
      </c>
      <c r="J8" s="15" cm="1">
        <f t="array" ref="J8">IF(G8&gt;COUNT($O$4:$O$33), NA(), SUM(LARGE($O$4:$O$33, _xlfn.SEQUENCE(MIN(H8,COUNT($O$4:$O$33))-G8+1, 1, G8))))</f>
        <v>30500</v>
      </c>
      <c r="K8" s="47">
        <f t="shared" si="7"/>
        <v>6.1684076407357596E-2</v>
      </c>
      <c r="M8" s="3">
        <f t="shared" si="10"/>
        <v>5</v>
      </c>
      <c r="N8" s="3" t="str">
        <f t="shared" si="1"/>
        <v>Solaris</v>
      </c>
      <c r="O8" s="15">
        <f t="shared" si="2"/>
        <v>27500</v>
      </c>
      <c r="P8" s="7">
        <f t="shared" si="3"/>
        <v>5</v>
      </c>
      <c r="Q8" s="47">
        <f t="shared" si="8"/>
        <v>5.5616790203355207E-2</v>
      </c>
      <c r="S8" s="3">
        <f>RANK($U8,$U$4:$U$33,0)+COUNTIF($U$4:$U8,$U8)-1</f>
        <v>6</v>
      </c>
      <c r="T8" s="3" t="str">
        <v>ICE</v>
      </c>
      <c r="U8" s="15">
        <f t="shared" si="4"/>
        <v>23500</v>
      </c>
      <c r="W8" s="21">
        <v>45873</v>
      </c>
      <c r="X8" s="22">
        <v>4000</v>
      </c>
      <c r="Y8" s="23" t="s">
        <v>20</v>
      </c>
    </row>
    <row r="9" spans="2:25" x14ac:dyDescent="0.25">
      <c r="B9" s="18">
        <f t="shared" si="9"/>
        <v>45992</v>
      </c>
      <c r="C9" s="18">
        <f t="shared" si="5"/>
        <v>46022</v>
      </c>
      <c r="D9" s="26">
        <f t="shared" si="6"/>
        <v>46022</v>
      </c>
      <c r="E9" s="15">
        <f t="shared" si="0"/>
        <v>61000</v>
      </c>
      <c r="G9" s="3">
        <v>26</v>
      </c>
      <c r="H9" s="3">
        <v>30</v>
      </c>
      <c r="I9" s="48" t="s">
        <v>172</v>
      </c>
      <c r="J9" s="15" cm="1">
        <f t="array" ref="J9">IF(G9&gt;COUNT($O$4:$O$33), NA(), SUM(LARGE($O$4:$O$33, _xlfn.SEQUENCE(MIN(H9,COUNT($O$4:$O$33))-G9+1, 1, G9))))</f>
        <v>12000</v>
      </c>
      <c r="K9" s="47">
        <f t="shared" si="7"/>
        <v>2.4269144816009548E-2</v>
      </c>
      <c r="M9" s="3">
        <f t="shared" si="10"/>
        <v>6</v>
      </c>
      <c r="N9" s="3" t="str">
        <f t="shared" si="1"/>
        <v>ICE</v>
      </c>
      <c r="O9" s="15">
        <f t="shared" si="2"/>
        <v>23500</v>
      </c>
      <c r="P9" s="7">
        <f t="shared" si="3"/>
        <v>7</v>
      </c>
      <c r="Q9" s="47">
        <f t="shared" si="8"/>
        <v>4.7527075264685359E-2</v>
      </c>
      <c r="S9" s="3">
        <f>RANK($U9,$U$4:$U$33,0)+COUNTIF($U$4:$U9,$U9)-1</f>
        <v>1</v>
      </c>
      <c r="T9" s="3" t="str">
        <v>Greencape</v>
      </c>
      <c r="U9" s="15">
        <f t="shared" si="4"/>
        <v>67500</v>
      </c>
      <c r="W9" s="21">
        <v>45873</v>
      </c>
      <c r="X9" s="22">
        <v>10000</v>
      </c>
      <c r="Y9" s="23" t="s">
        <v>18</v>
      </c>
    </row>
    <row r="10" spans="2:25" x14ac:dyDescent="0.25">
      <c r="B10" s="18">
        <f t="shared" si="9"/>
        <v>46023</v>
      </c>
      <c r="C10" s="18">
        <f t="shared" si="5"/>
        <v>46053</v>
      </c>
      <c r="D10" s="26">
        <f t="shared" si="6"/>
        <v>46053</v>
      </c>
      <c r="E10" s="15">
        <f t="shared" si="0"/>
        <v>35000</v>
      </c>
      <c r="G10" s="3">
        <v>31</v>
      </c>
      <c r="H10" s="3">
        <v>35</v>
      </c>
      <c r="I10" s="48" t="s">
        <v>173</v>
      </c>
      <c r="J10" s="15" t="e" cm="1">
        <f t="array" ref="J10">IF(G10&gt;COUNT($O$4:$O$33), NA(), SUM(LARGE($O$4:$O$33, _xlfn.SEQUENCE(MIN(H10,COUNT($O$4:$O$33))-G10+1, 1, G10))))</f>
        <v>#N/A</v>
      </c>
      <c r="K10" s="47" t="e">
        <f t="shared" si="7"/>
        <v>#N/A</v>
      </c>
      <c r="M10" s="3">
        <f t="shared" si="10"/>
        <v>7</v>
      </c>
      <c r="N10" s="3" t="str">
        <f t="shared" si="1"/>
        <v>CBUS</v>
      </c>
      <c r="O10" s="15">
        <f t="shared" si="2"/>
        <v>21000</v>
      </c>
      <c r="P10" s="7">
        <f t="shared" si="3"/>
        <v>3</v>
      </c>
      <c r="Q10" s="47">
        <f t="shared" si="8"/>
        <v>4.2471003428016706E-2</v>
      </c>
      <c r="S10" s="3">
        <f>RANK($U10,$U$4:$U$33,0)+COUNTIF($U$4:$U10,$U10)-1</f>
        <v>10</v>
      </c>
      <c r="T10" s="3" t="str">
        <v>Arrow</v>
      </c>
      <c r="U10" s="15">
        <f t="shared" si="4"/>
        <v>18000</v>
      </c>
      <c r="W10" s="21">
        <v>45874</v>
      </c>
      <c r="X10" s="22">
        <v>3200</v>
      </c>
      <c r="Y10" s="23" t="s">
        <v>0</v>
      </c>
    </row>
    <row r="11" spans="2:25" x14ac:dyDescent="0.25">
      <c r="B11" s="18">
        <f t="shared" si="9"/>
        <v>46054</v>
      </c>
      <c r="C11" s="18">
        <f t="shared" si="5"/>
        <v>46081</v>
      </c>
      <c r="D11" s="26">
        <f t="shared" si="6"/>
        <v>46081</v>
      </c>
      <c r="E11" s="15">
        <f t="shared" si="0"/>
        <v>28168</v>
      </c>
      <c r="G11" s="3">
        <v>36</v>
      </c>
      <c r="H11" s="3">
        <v>40</v>
      </c>
      <c r="I11" s="48" t="s">
        <v>174</v>
      </c>
      <c r="J11" s="15" t="e" cm="1">
        <f t="array" ref="J11">IF(G11&gt;COUNT($O$4:$O$33), NA(), SUM(LARGE($O$4:$O$33, _xlfn.SEQUENCE(MIN(H11,COUNT($O$4:$O$33))-G11+1, 1, G11))))</f>
        <v>#N/A</v>
      </c>
      <c r="K11" s="47" t="e">
        <f t="shared" si="7"/>
        <v>#N/A</v>
      </c>
      <c r="M11" s="3">
        <f t="shared" si="10"/>
        <v>8</v>
      </c>
      <c r="N11" s="3" t="str">
        <f t="shared" si="1"/>
        <v>Perps Private</v>
      </c>
      <c r="O11" s="15">
        <f t="shared" si="2"/>
        <v>21000</v>
      </c>
      <c r="P11" s="7">
        <f t="shared" si="3"/>
        <v>3</v>
      </c>
      <c r="Q11" s="47">
        <f t="shared" si="8"/>
        <v>4.2471003428016706E-2</v>
      </c>
      <c r="S11" s="3">
        <f>RANK($U11,$U$4:$U$33,0)+COUNTIF($U$4:$U11,$U11)-1</f>
        <v>5</v>
      </c>
      <c r="T11" s="3" t="str">
        <v>Solaris</v>
      </c>
      <c r="U11" s="15">
        <f t="shared" si="4"/>
        <v>27500</v>
      </c>
      <c r="W11" s="21">
        <v>45876</v>
      </c>
      <c r="X11" s="22">
        <v>8000</v>
      </c>
      <c r="Y11" s="23" t="s">
        <v>40</v>
      </c>
    </row>
    <row r="12" spans="2:25" x14ac:dyDescent="0.25">
      <c r="B12" s="18">
        <f t="shared" si="9"/>
        <v>46082</v>
      </c>
      <c r="C12" s="18">
        <f t="shared" si="5"/>
        <v>46112</v>
      </c>
      <c r="D12" s="26">
        <f t="shared" si="6"/>
        <v>46112</v>
      </c>
      <c r="E12" s="15">
        <f t="shared" si="0"/>
        <v>35500</v>
      </c>
      <c r="H12" s="3"/>
      <c r="I12" s="3"/>
      <c r="J12" s="15"/>
      <c r="K12" s="15"/>
      <c r="M12" s="3">
        <f t="shared" si="10"/>
        <v>9</v>
      </c>
      <c r="N12" s="3" t="str">
        <f t="shared" si="1"/>
        <v>L1 Capital</v>
      </c>
      <c r="O12" s="15">
        <f t="shared" si="2"/>
        <v>19200</v>
      </c>
      <c r="P12" s="7">
        <f t="shared" si="3"/>
        <v>1</v>
      </c>
      <c r="Q12" s="47">
        <f t="shared" si="8"/>
        <v>3.8830631705615272E-2</v>
      </c>
      <c r="S12" s="3">
        <f>RANK($U12,$U$4:$U$33,0)+COUNTIF($U$4:$U12,$U12)-1</f>
        <v>21</v>
      </c>
      <c r="T12" s="3" t="str">
        <v>Pendal</v>
      </c>
      <c r="U12" s="15">
        <f t="shared" si="4"/>
        <v>7500</v>
      </c>
      <c r="W12" s="21">
        <v>45880</v>
      </c>
      <c r="X12" s="22">
        <v>2500</v>
      </c>
      <c r="Y12" s="23" t="s">
        <v>24</v>
      </c>
    </row>
    <row r="13" spans="2:25" x14ac:dyDescent="0.25">
      <c r="B13" s="18">
        <f t="shared" si="9"/>
        <v>46113</v>
      </c>
      <c r="C13" s="18">
        <f t="shared" si="5"/>
        <v>46142</v>
      </c>
      <c r="D13" s="26">
        <f t="shared" si="6"/>
        <v>46142</v>
      </c>
      <c r="E13" s="15">
        <f t="shared" si="0"/>
        <v>86050</v>
      </c>
      <c r="G13" s="3">
        <v>1</v>
      </c>
      <c r="H13" s="3">
        <v>3</v>
      </c>
      <c r="I13" s="3" t="s">
        <v>76</v>
      </c>
      <c r="J13" s="15" cm="1">
        <f t="array" ref="J13">IF(G13&gt;COUNT($O$4:$O$33), NA(), SUM(LARGE($O$4:$O$33, _xlfn.SEQUENCE(MIN(H13,COUNT($O$4:$O$33))-G13+1, 1, G13))))</f>
        <v>168287</v>
      </c>
      <c r="K13" s="47">
        <f t="shared" ref="K13:K17" si="11">_xlfn.IFNA(NA(),J13/$O$34)</f>
        <v>0.34034846447098321</v>
      </c>
      <c r="M13" s="3">
        <f t="shared" si="10"/>
        <v>10</v>
      </c>
      <c r="N13" s="3" t="str">
        <f t="shared" si="1"/>
        <v>Arrow</v>
      </c>
      <c r="O13" s="15">
        <f t="shared" si="2"/>
        <v>18000</v>
      </c>
      <c r="P13" s="7">
        <f t="shared" si="3"/>
        <v>2</v>
      </c>
      <c r="Q13" s="47">
        <f t="shared" si="8"/>
        <v>3.6403717224014316E-2</v>
      </c>
      <c r="S13" s="3">
        <f>RANK($U13,$U$4:$U$33,0)+COUNTIF($U$4:$U13,$U13)-1</f>
        <v>26</v>
      </c>
      <c r="T13" s="3" t="str">
        <v>Regal</v>
      </c>
      <c r="U13" s="15">
        <f t="shared" si="4"/>
        <v>5000</v>
      </c>
      <c r="W13" s="21">
        <v>45880</v>
      </c>
      <c r="X13" s="22">
        <v>7500</v>
      </c>
      <c r="Y13" s="23" t="s">
        <v>41</v>
      </c>
    </row>
    <row r="14" spans="2:25" x14ac:dyDescent="0.25">
      <c r="B14" s="18">
        <f t="shared" si="9"/>
        <v>46143</v>
      </c>
      <c r="C14" s="18">
        <f t="shared" si="5"/>
        <v>46173</v>
      </c>
      <c r="D14" s="26">
        <f t="shared" si="6"/>
        <v>46173</v>
      </c>
      <c r="E14" s="15">
        <f t="shared" si="0"/>
        <v>22500</v>
      </c>
      <c r="G14" s="3">
        <v>1</v>
      </c>
      <c r="H14" s="3">
        <v>5</v>
      </c>
      <c r="I14" s="3" t="s">
        <v>75</v>
      </c>
      <c r="J14" s="15" cm="1">
        <f t="array" ref="J14">IF(G14&gt;COUNT($O$4:$O$33), NA(), SUM(LARGE($O$4:$O$33, _xlfn.SEQUENCE(MIN(H14,COUNT($O$4:$O$33))-G14+1, 1, G14))))</f>
        <v>235787</v>
      </c>
      <c r="K14" s="47">
        <f t="shared" si="11"/>
        <v>0.47686240406103692</v>
      </c>
      <c r="M14" s="3">
        <f t="shared" si="10"/>
        <v>11</v>
      </c>
      <c r="N14" s="3" t="str">
        <f t="shared" si="1"/>
        <v>Antares</v>
      </c>
      <c r="O14" s="15">
        <f t="shared" si="2"/>
        <v>17500</v>
      </c>
      <c r="P14" s="7">
        <f t="shared" si="3"/>
        <v>3</v>
      </c>
      <c r="Q14" s="47">
        <f t="shared" si="8"/>
        <v>3.5392502856680587E-2</v>
      </c>
      <c r="S14" s="3">
        <f>RANK($U14,$U$4:$U$33,0)+COUNTIF($U$4:$U14,$U14)-1</f>
        <v>16</v>
      </c>
      <c r="T14" s="3" t="str">
        <v>Coopers</v>
      </c>
      <c r="U14" s="15">
        <f t="shared" si="4"/>
        <v>10000</v>
      </c>
      <c r="W14" s="21">
        <v>45881</v>
      </c>
      <c r="X14" s="22">
        <v>3100</v>
      </c>
      <c r="Y14" s="23" t="s">
        <v>0</v>
      </c>
    </row>
    <row r="15" spans="2:25" x14ac:dyDescent="0.25">
      <c r="B15" s="18">
        <f t="shared" si="9"/>
        <v>46174</v>
      </c>
      <c r="C15" s="18">
        <f t="shared" si="5"/>
        <v>46203</v>
      </c>
      <c r="D15" s="26">
        <f t="shared" si="6"/>
        <v>46203</v>
      </c>
      <c r="E15" s="15">
        <f t="shared" si="0"/>
        <v>38500</v>
      </c>
      <c r="G15" s="3">
        <v>1</v>
      </c>
      <c r="H15" s="3">
        <v>10</v>
      </c>
      <c r="I15" s="3" t="s">
        <v>178</v>
      </c>
      <c r="J15" s="15" cm="1">
        <f t="array" ref="J15">IF(G15&gt;COUNT($O$4:$O$33), NA(), SUM(LARGE($O$4:$O$33, _xlfn.SEQUENCE(MIN(H15,COUNT($O$4:$O$33))-G15+1, 1, G15))))</f>
        <v>338487</v>
      </c>
      <c r="K15" s="47">
        <f t="shared" si="11"/>
        <v>0.68456583511138525</v>
      </c>
      <c r="M15" s="3">
        <f t="shared" si="10"/>
        <v>12</v>
      </c>
      <c r="N15" s="3" t="str">
        <f t="shared" si="1"/>
        <v>Ellerston</v>
      </c>
      <c r="O15" s="15">
        <f t="shared" si="2"/>
        <v>15000</v>
      </c>
      <c r="P15" s="7">
        <f t="shared" si="3"/>
        <v>5</v>
      </c>
      <c r="Q15" s="47">
        <f t="shared" si="8"/>
        <v>3.0336431020011934E-2</v>
      </c>
      <c r="S15" s="3">
        <f>RANK($U15,$U$4:$U$33,0)+COUNTIF($U$4:$U15,$U15)-1</f>
        <v>22</v>
      </c>
      <c r="T15" s="3" t="str">
        <v>Hesta</v>
      </c>
      <c r="U15" s="15">
        <f t="shared" si="4"/>
        <v>6000</v>
      </c>
      <c r="W15" s="21">
        <v>45881</v>
      </c>
      <c r="X15" s="22">
        <v>2500</v>
      </c>
      <c r="Y15" s="23" t="s">
        <v>24</v>
      </c>
    </row>
    <row r="16" spans="2:25" x14ac:dyDescent="0.25">
      <c r="E16" s="3"/>
      <c r="G16" s="3">
        <v>1</v>
      </c>
      <c r="H16" s="3">
        <v>20</v>
      </c>
      <c r="I16" s="3" t="s">
        <v>179</v>
      </c>
      <c r="J16" s="15" cm="1">
        <f t="array" ref="J16">IF(G16&gt;COUNT($O$4:$O$33), NA(), SUM(LARGE($O$4:$O$33, _xlfn.SEQUENCE(MIN(H16,COUNT($O$4:$O$33))-G16+1, 1, G16))))</f>
        <v>451955</v>
      </c>
      <c r="K16" s="47">
        <f t="shared" si="11"/>
        <v>0.91404677877663287</v>
      </c>
      <c r="M16" s="3">
        <f t="shared" si="10"/>
        <v>13</v>
      </c>
      <c r="N16" s="3" t="str">
        <f t="shared" si="1"/>
        <v>Centennial</v>
      </c>
      <c r="O16" s="15">
        <f t="shared" si="2"/>
        <v>12500</v>
      </c>
      <c r="P16" s="7">
        <f t="shared" si="3"/>
        <v>1</v>
      </c>
      <c r="Q16" s="47">
        <f t="shared" si="8"/>
        <v>2.5280359183343277E-2</v>
      </c>
      <c r="S16" s="3">
        <f>RANK($U16,$U$4:$U$33,0)+COUNTIF($U$4:$U16,$U16)-1</f>
        <v>3</v>
      </c>
      <c r="T16" s="3" t="str">
        <v>Quest</v>
      </c>
      <c r="U16" s="15">
        <f t="shared" si="4"/>
        <v>45687</v>
      </c>
      <c r="W16" s="21">
        <v>45881</v>
      </c>
      <c r="X16" s="22">
        <v>5000</v>
      </c>
      <c r="Y16" s="23" t="s">
        <v>42</v>
      </c>
    </row>
    <row r="17" spans="5:25" x14ac:dyDescent="0.25">
      <c r="E17" s="3"/>
      <c r="G17" s="3">
        <v>1</v>
      </c>
      <c r="H17" s="3">
        <v>50</v>
      </c>
      <c r="I17" s="3" t="s">
        <v>180</v>
      </c>
      <c r="J17" s="15" cm="1">
        <f t="array" ref="J17">IF(G17&gt;COUNT($O$4:$O$33), NA(), SUM(LARGE($O$4:$O$33, _xlfn.SEQUENCE(MIN(H17,COUNT($O$4:$O$33))-G17+1, 1, G17))))</f>
        <v>494455</v>
      </c>
      <c r="K17" s="47">
        <f t="shared" si="11"/>
        <v>1</v>
      </c>
      <c r="M17" s="3">
        <f t="shared" si="10"/>
        <v>14</v>
      </c>
      <c r="N17" s="3" t="str">
        <f t="shared" si="1"/>
        <v>Aus Super</v>
      </c>
      <c r="O17" s="15">
        <f t="shared" si="2"/>
        <v>10900</v>
      </c>
      <c r="P17" s="7">
        <f t="shared" si="3"/>
        <v>1</v>
      </c>
      <c r="Q17" s="47">
        <f t="shared" si="8"/>
        <v>2.2044473207875337E-2</v>
      </c>
      <c r="S17" s="3">
        <f>RANK($U17,$U$4:$U$33,0)+COUNTIF($U$4:$U17,$U17)-1</f>
        <v>7</v>
      </c>
      <c r="T17" s="3" t="str">
        <v>CBUS</v>
      </c>
      <c r="U17" s="15">
        <f t="shared" si="4"/>
        <v>21000</v>
      </c>
      <c r="W17" s="21">
        <v>45883</v>
      </c>
      <c r="X17" s="22">
        <v>10000</v>
      </c>
      <c r="Y17" s="23" t="s">
        <v>4</v>
      </c>
    </row>
    <row r="18" spans="5:25" x14ac:dyDescent="0.25">
      <c r="E18" s="3"/>
      <c r="H18" s="3"/>
      <c r="I18" s="3"/>
      <c r="J18" s="3"/>
      <c r="K18" s="3"/>
      <c r="M18" s="3">
        <f t="shared" si="10"/>
        <v>15</v>
      </c>
      <c r="N18" s="3" t="str">
        <f t="shared" si="1"/>
        <v>SMID</v>
      </c>
      <c r="O18" s="15">
        <f t="shared" si="2"/>
        <v>10068</v>
      </c>
      <c r="P18" s="7">
        <f t="shared" si="3"/>
        <v>1</v>
      </c>
      <c r="Q18" s="47">
        <f t="shared" si="8"/>
        <v>2.0361812500632008E-2</v>
      </c>
      <c r="S18" s="3">
        <f>RANK($U18,$U$4:$U$33,0)+COUNTIF($U$4:$U18,$U18)-1</f>
        <v>17</v>
      </c>
      <c r="T18" s="3" t="str">
        <v>Ophir</v>
      </c>
      <c r="U18" s="15">
        <f t="shared" si="4"/>
        <v>10000</v>
      </c>
      <c r="W18" s="21">
        <v>45895</v>
      </c>
      <c r="X18" s="22">
        <v>3000</v>
      </c>
      <c r="Y18" s="23" t="s">
        <v>43</v>
      </c>
    </row>
    <row r="19" spans="5:25" x14ac:dyDescent="0.25">
      <c r="E19" s="3"/>
      <c r="H19" s="3"/>
      <c r="I19" s="3"/>
      <c r="J19" s="3"/>
      <c r="K19" s="3"/>
      <c r="M19" s="3">
        <f t="shared" si="10"/>
        <v>16</v>
      </c>
      <c r="N19" s="3" t="str">
        <f t="shared" si="1"/>
        <v>Coopers</v>
      </c>
      <c r="O19" s="15">
        <f t="shared" si="2"/>
        <v>10000</v>
      </c>
      <c r="P19" s="7">
        <f t="shared" si="3"/>
        <v>1</v>
      </c>
      <c r="Q19" s="47">
        <f t="shared" si="8"/>
        <v>2.022428734667462E-2</v>
      </c>
      <c r="S19" s="3">
        <f>RANK($U19,$U$4:$U$33,0)+COUNTIF($U$4:$U19,$U19)-1</f>
        <v>8</v>
      </c>
      <c r="T19" s="3" t="str">
        <v>Perps Private</v>
      </c>
      <c r="U19" s="15">
        <f t="shared" si="4"/>
        <v>21000</v>
      </c>
      <c r="W19" s="21">
        <v>45905</v>
      </c>
      <c r="X19" s="22">
        <v>10937</v>
      </c>
      <c r="Y19" s="23" t="s">
        <v>44</v>
      </c>
    </row>
    <row r="20" spans="5:25" x14ac:dyDescent="0.25">
      <c r="E20" s="3"/>
      <c r="H20" s="3"/>
      <c r="I20" s="3"/>
      <c r="J20" s="3"/>
      <c r="K20" s="3"/>
      <c r="M20" s="3">
        <f t="shared" si="10"/>
        <v>17</v>
      </c>
      <c r="N20" s="3" t="str">
        <f t="shared" si="1"/>
        <v>Ophir</v>
      </c>
      <c r="O20" s="15">
        <f t="shared" si="2"/>
        <v>10000</v>
      </c>
      <c r="P20" s="7">
        <f t="shared" si="3"/>
        <v>1</v>
      </c>
      <c r="Q20" s="47">
        <f t="shared" si="8"/>
        <v>2.022428734667462E-2</v>
      </c>
      <c r="S20" s="3">
        <f>RANK($U20,$U$4:$U$33,0)+COUNTIF($U$4:$U20,$U20)-1</f>
        <v>18</v>
      </c>
      <c r="T20" s="3" t="str">
        <v>Platypus</v>
      </c>
      <c r="U20" s="15">
        <f t="shared" si="4"/>
        <v>10000</v>
      </c>
      <c r="W20" s="21">
        <v>45912</v>
      </c>
      <c r="X20" s="22">
        <v>7000</v>
      </c>
      <c r="Y20" s="23" t="s">
        <v>1</v>
      </c>
    </row>
    <row r="21" spans="5:25" x14ac:dyDescent="0.25">
      <c r="E21" s="3"/>
      <c r="H21" s="3"/>
      <c r="I21" s="3"/>
      <c r="J21" s="3"/>
      <c r="K21" s="3"/>
      <c r="M21" s="3">
        <f t="shared" si="10"/>
        <v>18</v>
      </c>
      <c r="N21" s="3" t="str">
        <f t="shared" si="1"/>
        <v>Platypus</v>
      </c>
      <c r="O21" s="15">
        <f t="shared" si="2"/>
        <v>10000</v>
      </c>
      <c r="P21" s="7">
        <f t="shared" si="3"/>
        <v>2</v>
      </c>
      <c r="Q21" s="47">
        <f t="shared" si="8"/>
        <v>2.022428734667462E-2</v>
      </c>
      <c r="S21" s="3">
        <f>RANK($U21,$U$4:$U$33,0)+COUNTIF($U$4:$U21,$U21)-1</f>
        <v>23</v>
      </c>
      <c r="T21" s="3" t="str">
        <v>Aware</v>
      </c>
      <c r="U21" s="15">
        <f t="shared" si="4"/>
        <v>6000</v>
      </c>
      <c r="W21" s="21">
        <v>45929</v>
      </c>
      <c r="X21" s="22">
        <v>4200</v>
      </c>
      <c r="Y21" s="23" t="s">
        <v>0</v>
      </c>
    </row>
    <row r="22" spans="5:25" x14ac:dyDescent="0.25">
      <c r="E22" s="3"/>
      <c r="H22" s="3"/>
      <c r="I22" s="3"/>
      <c r="J22" s="3"/>
      <c r="K22" s="3"/>
      <c r="M22" s="3">
        <f t="shared" si="10"/>
        <v>19</v>
      </c>
      <c r="N22" s="3" t="str">
        <f t="shared" si="1"/>
        <v>QVG</v>
      </c>
      <c r="O22" s="15">
        <f t="shared" si="2"/>
        <v>9000</v>
      </c>
      <c r="P22" s="7">
        <f t="shared" si="3"/>
        <v>2</v>
      </c>
      <c r="Q22" s="47">
        <f t="shared" si="8"/>
        <v>1.8201858612007158E-2</v>
      </c>
      <c r="S22" s="3">
        <f>RANK($U22,$U$4:$U$33,0)+COUNTIF($U$4:$U22,$U22)-1</f>
        <v>27</v>
      </c>
      <c r="T22" s="3" t="str">
        <v>Eley Griffiths</v>
      </c>
      <c r="U22" s="15">
        <f t="shared" si="4"/>
        <v>5000</v>
      </c>
      <c r="W22" s="21">
        <v>45930</v>
      </c>
      <c r="X22" s="22">
        <v>10000</v>
      </c>
      <c r="Y22" s="23" t="s">
        <v>45</v>
      </c>
    </row>
    <row r="23" spans="5:25" x14ac:dyDescent="0.25">
      <c r="E23" s="3"/>
      <c r="H23" s="3"/>
      <c r="I23" s="3"/>
      <c r="J23" s="3"/>
      <c r="K23" s="3"/>
      <c r="M23" s="3">
        <f t="shared" si="10"/>
        <v>20</v>
      </c>
      <c r="N23" s="3" t="str">
        <f t="shared" si="1"/>
        <v>OC Funds</v>
      </c>
      <c r="O23" s="15">
        <f t="shared" si="2"/>
        <v>8500</v>
      </c>
      <c r="P23" s="7">
        <f t="shared" si="3"/>
        <v>3</v>
      </c>
      <c r="Q23" s="47">
        <f t="shared" si="8"/>
        <v>1.7190644244673429E-2</v>
      </c>
      <c r="S23" s="3">
        <f>RANK($U23,$U$4:$U$33,0)+COUNTIF($U$4:$U23,$U23)-1</f>
        <v>20</v>
      </c>
      <c r="T23" s="3" t="str">
        <v>OC Funds</v>
      </c>
      <c r="U23" s="15">
        <f t="shared" si="4"/>
        <v>8500</v>
      </c>
      <c r="W23" s="21">
        <v>45933</v>
      </c>
      <c r="X23" s="22">
        <v>3500</v>
      </c>
      <c r="Y23" s="23" t="s">
        <v>0</v>
      </c>
    </row>
    <row r="24" spans="5:25" x14ac:dyDescent="0.25">
      <c r="E24" s="3"/>
      <c r="F24" s="3"/>
      <c r="H24" s="3"/>
      <c r="I24" s="3"/>
      <c r="J24" s="3"/>
      <c r="K24" s="3"/>
      <c r="L24" s="3"/>
      <c r="M24" s="3">
        <f t="shared" si="10"/>
        <v>21</v>
      </c>
      <c r="N24" s="3" t="str">
        <f t="shared" si="1"/>
        <v>Pendal</v>
      </c>
      <c r="O24" s="15">
        <f t="shared" si="2"/>
        <v>7500</v>
      </c>
      <c r="P24" s="7">
        <f t="shared" si="3"/>
        <v>1</v>
      </c>
      <c r="Q24" s="47">
        <f t="shared" si="8"/>
        <v>1.5168215510005967E-2</v>
      </c>
      <c r="S24" s="3">
        <f>RANK($U24,$U$4:$U$33,0)+COUNTIF($U$4:$U24,$U24)-1</f>
        <v>9</v>
      </c>
      <c r="T24" s="3" t="str">
        <v>L1 Capital</v>
      </c>
      <c r="U24" s="15">
        <f t="shared" si="4"/>
        <v>19200</v>
      </c>
      <c r="W24" s="21">
        <v>45933</v>
      </c>
      <c r="X24" s="22">
        <v>2500</v>
      </c>
      <c r="Y24" s="23" t="s">
        <v>20</v>
      </c>
    </row>
    <row r="25" spans="5:25" x14ac:dyDescent="0.25">
      <c r="E25" s="3"/>
      <c r="H25" s="3"/>
      <c r="I25" s="3"/>
      <c r="J25" s="3"/>
      <c r="K25" s="3"/>
      <c r="M25" s="3">
        <f t="shared" si="10"/>
        <v>22</v>
      </c>
      <c r="N25" s="3" t="str">
        <f t="shared" si="1"/>
        <v>Hesta</v>
      </c>
      <c r="O25" s="15">
        <f t="shared" si="2"/>
        <v>6000</v>
      </c>
      <c r="P25" s="7">
        <f t="shared" si="3"/>
        <v>2</v>
      </c>
      <c r="Q25" s="47">
        <f t="shared" si="8"/>
        <v>1.2134572408004774E-2</v>
      </c>
      <c r="S25" s="3">
        <f>RANK($U25,$U$4:$U$33,0)+COUNTIF($U$4:$U25,$U25)-1</f>
        <v>11</v>
      </c>
      <c r="T25" s="3" t="str">
        <v>Antares</v>
      </c>
      <c r="U25" s="15">
        <f t="shared" si="4"/>
        <v>17500</v>
      </c>
      <c r="W25" s="21">
        <v>45937</v>
      </c>
      <c r="X25" s="22">
        <v>10000</v>
      </c>
      <c r="Y25" s="23" t="s">
        <v>18</v>
      </c>
    </row>
    <row r="26" spans="5:25" x14ac:dyDescent="0.25">
      <c r="M26" s="3">
        <f t="shared" si="10"/>
        <v>23</v>
      </c>
      <c r="N26" s="3" t="str">
        <f t="shared" si="1"/>
        <v>Aware</v>
      </c>
      <c r="O26" s="15">
        <f t="shared" si="2"/>
        <v>6000</v>
      </c>
      <c r="P26" s="7">
        <f t="shared" si="3"/>
        <v>2</v>
      </c>
      <c r="Q26" s="47">
        <f t="shared" si="8"/>
        <v>1.2134572408004774E-2</v>
      </c>
      <c r="S26" s="3">
        <f>RANK($U26,$U$4:$U$33,0)+COUNTIF($U$4:$U26,$U26)-1</f>
        <v>19</v>
      </c>
      <c r="T26" s="3" t="str">
        <v>QVG</v>
      </c>
      <c r="U26" s="15">
        <f t="shared" si="4"/>
        <v>9000</v>
      </c>
      <c r="W26" s="21">
        <v>45939</v>
      </c>
      <c r="X26" s="22">
        <v>4000</v>
      </c>
      <c r="Y26" s="23" t="s">
        <v>53</v>
      </c>
    </row>
    <row r="27" spans="5:25" x14ac:dyDescent="0.25">
      <c r="M27" s="3">
        <f t="shared" si="10"/>
        <v>24</v>
      </c>
      <c r="N27" s="3" t="str">
        <f t="shared" si="1"/>
        <v>Firetrail</v>
      </c>
      <c r="O27" s="15">
        <f t="shared" si="2"/>
        <v>6000</v>
      </c>
      <c r="P27" s="7">
        <f t="shared" si="3"/>
        <v>2</v>
      </c>
      <c r="Q27" s="47">
        <f t="shared" si="8"/>
        <v>1.2134572408004774E-2</v>
      </c>
      <c r="S27" s="3">
        <f>RANK($U27,$U$4:$U$33,0)+COUNTIF($U$4:$U27,$U27)-1</f>
        <v>15</v>
      </c>
      <c r="T27" s="3" t="str">
        <v>SMID</v>
      </c>
      <c r="U27" s="15">
        <f t="shared" si="4"/>
        <v>10068</v>
      </c>
      <c r="W27" s="21">
        <v>45945</v>
      </c>
      <c r="X27" s="22">
        <v>3000</v>
      </c>
      <c r="Y27" s="23" t="s">
        <v>43</v>
      </c>
    </row>
    <row r="28" spans="5:25" x14ac:dyDescent="0.25">
      <c r="M28" s="3">
        <f t="shared" si="10"/>
        <v>25</v>
      </c>
      <c r="N28" s="3" t="str">
        <f t="shared" si="1"/>
        <v>SG Hiscock</v>
      </c>
      <c r="O28" s="15">
        <f t="shared" si="2"/>
        <v>5000</v>
      </c>
      <c r="P28" s="7">
        <f t="shared" si="3"/>
        <v>1</v>
      </c>
      <c r="Q28" s="47">
        <f t="shared" si="8"/>
        <v>1.011214367333731E-2</v>
      </c>
      <c r="S28" s="3">
        <f>RANK($U28,$U$4:$U$33,0)+COUNTIF($U$4:$U28,$U28)-1</f>
        <v>24</v>
      </c>
      <c r="T28" s="3" t="str">
        <v>Firetrail</v>
      </c>
      <c r="U28" s="15">
        <f t="shared" si="4"/>
        <v>6000</v>
      </c>
      <c r="W28" s="21">
        <v>45954</v>
      </c>
      <c r="X28" s="22">
        <v>2500</v>
      </c>
      <c r="Y28" s="23" t="s">
        <v>0</v>
      </c>
    </row>
    <row r="29" spans="5:25" x14ac:dyDescent="0.25">
      <c r="M29" s="3">
        <f t="shared" si="10"/>
        <v>26</v>
      </c>
      <c r="N29" s="3" t="str">
        <f t="shared" si="1"/>
        <v>Regal</v>
      </c>
      <c r="O29" s="15">
        <f t="shared" si="2"/>
        <v>5000</v>
      </c>
      <c r="P29" s="7">
        <f t="shared" si="3"/>
        <v>1</v>
      </c>
      <c r="Q29" s="47">
        <f t="shared" si="8"/>
        <v>1.011214367333731E-2</v>
      </c>
      <c r="S29" s="3">
        <f>RANK($U29,$U$4:$U$33,0)+COUNTIF($U$4:$U29,$U29)-1</f>
        <v>13</v>
      </c>
      <c r="T29" s="3" t="str">
        <v>Centennial</v>
      </c>
      <c r="U29" s="15">
        <f t="shared" si="4"/>
        <v>12500</v>
      </c>
      <c r="W29" s="21">
        <v>45954</v>
      </c>
      <c r="X29" s="22">
        <v>5000</v>
      </c>
      <c r="Y29" s="23" t="s">
        <v>34</v>
      </c>
    </row>
    <row r="30" spans="5:25" x14ac:dyDescent="0.25">
      <c r="M30" s="3">
        <f t="shared" si="10"/>
        <v>27</v>
      </c>
      <c r="N30" s="3" t="str">
        <f t="shared" si="1"/>
        <v>Eley Griffiths</v>
      </c>
      <c r="O30" s="15">
        <f t="shared" si="2"/>
        <v>5000</v>
      </c>
      <c r="P30" s="7">
        <f t="shared" si="3"/>
        <v>1</v>
      </c>
      <c r="Q30" s="47">
        <f t="shared" si="8"/>
        <v>1.011214367333731E-2</v>
      </c>
      <c r="S30" s="3">
        <f>RANK($U30,$U$4:$U$33,0)+COUNTIF($U$4:$U30,$U30)-1</f>
        <v>14</v>
      </c>
      <c r="T30" s="3" t="str">
        <v>Aus Super</v>
      </c>
      <c r="U30" s="15">
        <f t="shared" si="4"/>
        <v>10900</v>
      </c>
      <c r="W30" s="21">
        <v>45960</v>
      </c>
      <c r="X30" s="22">
        <v>4200</v>
      </c>
      <c r="Y30" s="23" t="s">
        <v>0</v>
      </c>
    </row>
    <row r="31" spans="5:25" x14ac:dyDescent="0.25">
      <c r="M31" s="3">
        <f t="shared" si="10"/>
        <v>28</v>
      </c>
      <c r="N31" s="3" t="str">
        <f t="shared" si="1"/>
        <v>Alliance Bernstein</v>
      </c>
      <c r="O31" s="15">
        <f t="shared" si="2"/>
        <v>2000</v>
      </c>
      <c r="P31" s="7">
        <f t="shared" si="3"/>
        <v>1</v>
      </c>
      <c r="Q31" s="47">
        <f t="shared" si="8"/>
        <v>4.044857469334924E-3</v>
      </c>
      <c r="S31" s="3">
        <f>RANK($U31,$U$4:$U$33,0)+COUNTIF($U$4:$U31,$U31)-1</f>
        <v>28</v>
      </c>
      <c r="T31" s="3" t="str">
        <v>Alliance Bernstein</v>
      </c>
      <c r="U31" s="15">
        <f t="shared" si="4"/>
        <v>2000</v>
      </c>
      <c r="W31" s="21">
        <v>45967</v>
      </c>
      <c r="X31" s="22">
        <v>10000</v>
      </c>
      <c r="Y31" s="23" t="s">
        <v>18</v>
      </c>
    </row>
    <row r="32" spans="5:25" x14ac:dyDescent="0.25">
      <c r="M32" s="3"/>
      <c r="S32" s="3"/>
      <c r="T32" s="3"/>
      <c r="U32" s="15"/>
      <c r="W32" s="21">
        <v>45968</v>
      </c>
      <c r="X32" s="22">
        <v>3000</v>
      </c>
      <c r="Y32" s="23" t="s">
        <v>63</v>
      </c>
    </row>
    <row r="33" spans="13:25" x14ac:dyDescent="0.25">
      <c r="M33" s="3"/>
      <c r="S33" s="3"/>
      <c r="T33" s="3"/>
      <c r="U33" s="15"/>
      <c r="W33" s="21">
        <v>45968</v>
      </c>
      <c r="X33" s="22">
        <v>2500</v>
      </c>
      <c r="Y33" s="23" t="s">
        <v>28</v>
      </c>
    </row>
    <row r="34" spans="13:25" x14ac:dyDescent="0.25">
      <c r="M34" s="24" t="s">
        <v>19</v>
      </c>
      <c r="N34" s="24"/>
      <c r="O34" s="25">
        <f>SUM(O4:O33)</f>
        <v>494455</v>
      </c>
      <c r="P34" s="24"/>
      <c r="Q34" s="24"/>
      <c r="W34" s="21">
        <v>45968</v>
      </c>
      <c r="X34" s="22">
        <v>5000</v>
      </c>
      <c r="Y34" s="23" t="s">
        <v>86</v>
      </c>
    </row>
    <row r="35" spans="13:25" x14ac:dyDescent="0.25">
      <c r="W35" s="21">
        <v>45975</v>
      </c>
      <c r="X35" s="22">
        <v>2000</v>
      </c>
      <c r="Y35" s="23" t="s">
        <v>61</v>
      </c>
    </row>
    <row r="36" spans="13:25" x14ac:dyDescent="0.25">
      <c r="W36" s="21">
        <v>45986</v>
      </c>
      <c r="X36" s="22">
        <v>10000</v>
      </c>
      <c r="Y36" s="23" t="s">
        <v>24</v>
      </c>
    </row>
    <row r="37" spans="13:25" x14ac:dyDescent="0.25">
      <c r="W37" s="21">
        <v>45992</v>
      </c>
      <c r="X37" s="22">
        <v>4000</v>
      </c>
      <c r="Y37" s="23" t="s">
        <v>20</v>
      </c>
    </row>
    <row r="38" spans="13:25" x14ac:dyDescent="0.25">
      <c r="W38" s="21">
        <v>45994</v>
      </c>
      <c r="X38" s="22">
        <v>7500</v>
      </c>
      <c r="Y38" s="23" t="s">
        <v>18</v>
      </c>
    </row>
    <row r="39" spans="13:25" x14ac:dyDescent="0.25">
      <c r="W39" s="21">
        <v>45996</v>
      </c>
      <c r="X39" s="22">
        <v>6300</v>
      </c>
      <c r="Y39" s="23" t="s">
        <v>0</v>
      </c>
    </row>
    <row r="40" spans="13:25" x14ac:dyDescent="0.25">
      <c r="W40" s="21">
        <v>45998</v>
      </c>
      <c r="X40" s="22">
        <v>10000</v>
      </c>
      <c r="Y40" s="23" t="s">
        <v>44</v>
      </c>
    </row>
    <row r="41" spans="13:25" x14ac:dyDescent="0.25">
      <c r="W41" s="21">
        <v>46000</v>
      </c>
      <c r="X41" s="22">
        <v>3000</v>
      </c>
      <c r="Y41" s="23" t="s">
        <v>28</v>
      </c>
    </row>
    <row r="42" spans="13:25" x14ac:dyDescent="0.25">
      <c r="W42" s="21">
        <v>46003</v>
      </c>
      <c r="X42" s="22">
        <v>7000</v>
      </c>
      <c r="Y42" s="23" t="s">
        <v>1</v>
      </c>
    </row>
    <row r="43" spans="13:25" x14ac:dyDescent="0.25">
      <c r="W43" s="21">
        <v>46006</v>
      </c>
      <c r="X43" s="22">
        <v>19200</v>
      </c>
      <c r="Y43" s="23" t="s">
        <v>157</v>
      </c>
    </row>
    <row r="44" spans="13:25" x14ac:dyDescent="0.25">
      <c r="W44" s="21">
        <v>46007</v>
      </c>
      <c r="X44" s="22">
        <v>4000</v>
      </c>
      <c r="Y44" s="23" t="s">
        <v>61</v>
      </c>
    </row>
    <row r="45" spans="13:25" x14ac:dyDescent="0.25">
      <c r="W45" s="21">
        <v>46028</v>
      </c>
      <c r="X45" s="22">
        <v>5000</v>
      </c>
      <c r="Y45" s="23" t="s">
        <v>52</v>
      </c>
    </row>
    <row r="46" spans="13:25" x14ac:dyDescent="0.25">
      <c r="W46" s="21">
        <v>46035</v>
      </c>
      <c r="X46" s="22">
        <v>5000</v>
      </c>
      <c r="Y46" s="23" t="s">
        <v>20</v>
      </c>
    </row>
    <row r="47" spans="13:25" x14ac:dyDescent="0.25">
      <c r="W47" s="21">
        <v>46038</v>
      </c>
      <c r="X47" s="22">
        <v>4000</v>
      </c>
      <c r="Y47" s="23" t="s">
        <v>0</v>
      </c>
    </row>
    <row r="48" spans="13:25" x14ac:dyDescent="0.25">
      <c r="W48" s="21">
        <v>46051</v>
      </c>
      <c r="X48" s="22">
        <v>6000</v>
      </c>
      <c r="Y48" s="23" t="s">
        <v>53</v>
      </c>
    </row>
    <row r="49" spans="23:25" x14ac:dyDescent="0.25">
      <c r="W49" s="21">
        <v>46052</v>
      </c>
      <c r="X49" s="22">
        <v>15000</v>
      </c>
      <c r="Y49" s="23" t="s">
        <v>30</v>
      </c>
    </row>
    <row r="50" spans="23:25" x14ac:dyDescent="0.25">
      <c r="W50" s="21">
        <v>46057</v>
      </c>
      <c r="X50" s="22">
        <v>2000</v>
      </c>
      <c r="Y50" s="23" t="s">
        <v>0</v>
      </c>
    </row>
    <row r="51" spans="23:25" x14ac:dyDescent="0.25">
      <c r="W51" s="21">
        <v>46058</v>
      </c>
      <c r="X51" s="22">
        <v>5000</v>
      </c>
      <c r="Y51" s="23" t="s">
        <v>158</v>
      </c>
    </row>
    <row r="52" spans="23:25" x14ac:dyDescent="0.25">
      <c r="W52" s="21">
        <v>46062</v>
      </c>
      <c r="X52" s="22">
        <v>4000</v>
      </c>
      <c r="Y52" s="23" t="s">
        <v>0</v>
      </c>
    </row>
    <row r="53" spans="23:25" x14ac:dyDescent="0.25">
      <c r="W53" s="21">
        <v>46064</v>
      </c>
      <c r="X53" s="22">
        <v>3000</v>
      </c>
      <c r="Y53" s="23" t="s">
        <v>28</v>
      </c>
    </row>
    <row r="54" spans="23:25" x14ac:dyDescent="0.25">
      <c r="W54" s="21">
        <v>46065</v>
      </c>
      <c r="X54" s="22">
        <v>10068</v>
      </c>
      <c r="Y54" s="23" t="s">
        <v>159</v>
      </c>
    </row>
    <row r="55" spans="23:25" x14ac:dyDescent="0.25">
      <c r="W55" s="21">
        <v>46069</v>
      </c>
      <c r="X55" s="22">
        <v>3000</v>
      </c>
      <c r="Y55" s="23" t="s">
        <v>0</v>
      </c>
    </row>
    <row r="56" spans="23:25" x14ac:dyDescent="0.25">
      <c r="W56" s="21">
        <v>46077</v>
      </c>
      <c r="X56" s="22">
        <v>1100</v>
      </c>
      <c r="Y56" s="23" t="s">
        <v>0</v>
      </c>
    </row>
    <row r="57" spans="23:25" x14ac:dyDescent="0.25">
      <c r="W57" s="21">
        <v>46082</v>
      </c>
      <c r="X57" s="22">
        <v>3000</v>
      </c>
      <c r="Y57" s="23" t="s">
        <v>58</v>
      </c>
    </row>
    <row r="58" spans="23:25" x14ac:dyDescent="0.25">
      <c r="W58" s="21">
        <v>46092</v>
      </c>
      <c r="X58" s="22">
        <v>10000</v>
      </c>
      <c r="Y58" s="23" t="s">
        <v>18</v>
      </c>
    </row>
    <row r="59" spans="23:25" x14ac:dyDescent="0.25">
      <c r="W59" s="21">
        <v>46093</v>
      </c>
      <c r="X59" s="22">
        <v>10000</v>
      </c>
      <c r="Y59" s="23" t="s">
        <v>52</v>
      </c>
    </row>
    <row r="60" spans="23:25" x14ac:dyDescent="0.25">
      <c r="W60" s="21">
        <v>46098</v>
      </c>
      <c r="X60" s="22">
        <v>2500</v>
      </c>
      <c r="Y60" s="23" t="s">
        <v>20</v>
      </c>
    </row>
    <row r="61" spans="23:25" x14ac:dyDescent="0.25">
      <c r="W61" s="21">
        <v>46107</v>
      </c>
      <c r="X61" s="22">
        <v>10000</v>
      </c>
      <c r="Y61" s="23" t="s">
        <v>40</v>
      </c>
    </row>
    <row r="62" spans="23:25" x14ac:dyDescent="0.25">
      <c r="W62" s="21">
        <v>46114</v>
      </c>
      <c r="X62" s="22">
        <v>2900</v>
      </c>
      <c r="Y62" s="23" t="s">
        <v>0</v>
      </c>
    </row>
    <row r="63" spans="23:25" x14ac:dyDescent="0.25">
      <c r="W63" s="21">
        <v>46121</v>
      </c>
      <c r="X63" s="22">
        <v>11000</v>
      </c>
      <c r="Y63" s="23" t="s">
        <v>53</v>
      </c>
    </row>
    <row r="64" spans="23:25" x14ac:dyDescent="0.25">
      <c r="W64" s="21">
        <v>46121</v>
      </c>
      <c r="X64" s="22">
        <v>10000</v>
      </c>
      <c r="Y64" s="23" t="s">
        <v>18</v>
      </c>
    </row>
    <row r="65" spans="23:25" x14ac:dyDescent="0.25">
      <c r="W65" s="21">
        <v>46122</v>
      </c>
      <c r="X65" s="22">
        <v>3000</v>
      </c>
      <c r="Y65" s="23" t="s">
        <v>63</v>
      </c>
    </row>
    <row r="66" spans="23:25" x14ac:dyDescent="0.25">
      <c r="W66" s="21">
        <v>46125</v>
      </c>
      <c r="X66" s="22">
        <v>3000</v>
      </c>
      <c r="Y66" s="23" t="s">
        <v>20</v>
      </c>
    </row>
    <row r="67" spans="23:25" x14ac:dyDescent="0.25">
      <c r="W67" s="21">
        <v>46125</v>
      </c>
      <c r="X67" s="22">
        <v>5000</v>
      </c>
      <c r="Y67" s="23" t="s">
        <v>34</v>
      </c>
    </row>
    <row r="68" spans="23:25" x14ac:dyDescent="0.25">
      <c r="W68" s="21">
        <v>46126</v>
      </c>
      <c r="X68" s="22">
        <v>3000</v>
      </c>
      <c r="Y68" s="23" t="s">
        <v>28</v>
      </c>
    </row>
    <row r="69" spans="23:25" x14ac:dyDescent="0.25">
      <c r="W69" s="21">
        <v>46133</v>
      </c>
      <c r="X69" s="22">
        <f>99000/4</f>
        <v>24750</v>
      </c>
      <c r="Y69" s="23" t="s">
        <v>44</v>
      </c>
    </row>
    <row r="70" spans="23:25" x14ac:dyDescent="0.25">
      <c r="W70" s="21">
        <v>46140</v>
      </c>
      <c r="X70" s="22">
        <v>12500</v>
      </c>
      <c r="Y70" s="23" t="s">
        <v>160</v>
      </c>
    </row>
    <row r="71" spans="23:25" x14ac:dyDescent="0.25">
      <c r="W71" s="21">
        <v>46142</v>
      </c>
      <c r="X71" s="22">
        <v>10900</v>
      </c>
      <c r="Y71" s="23" t="s">
        <v>154</v>
      </c>
    </row>
    <row r="72" spans="23:25" x14ac:dyDescent="0.25">
      <c r="W72" s="21">
        <v>46143</v>
      </c>
      <c r="X72" s="22">
        <v>10000</v>
      </c>
      <c r="Y72" s="23" t="s">
        <v>30</v>
      </c>
    </row>
    <row r="73" spans="23:25" x14ac:dyDescent="0.25">
      <c r="W73" s="21">
        <v>46154</v>
      </c>
      <c r="X73" s="22">
        <v>10000</v>
      </c>
      <c r="Y73" s="23" t="s">
        <v>18</v>
      </c>
    </row>
    <row r="74" spans="23:25" x14ac:dyDescent="0.25">
      <c r="W74" s="21">
        <v>46159</v>
      </c>
      <c r="X74" s="22">
        <v>2500</v>
      </c>
      <c r="Y74" s="23" t="s">
        <v>20</v>
      </c>
    </row>
    <row r="75" spans="23:25" x14ac:dyDescent="0.25">
      <c r="W75" s="21">
        <v>46182</v>
      </c>
      <c r="X75" s="22">
        <v>2500</v>
      </c>
      <c r="Y75" s="23" t="s">
        <v>61</v>
      </c>
    </row>
    <row r="76" spans="23:25" x14ac:dyDescent="0.25">
      <c r="W76" s="21">
        <v>46182</v>
      </c>
      <c r="X76" s="22">
        <v>7500</v>
      </c>
      <c r="Y76" s="23" t="s">
        <v>24</v>
      </c>
    </row>
    <row r="77" spans="23:25" x14ac:dyDescent="0.25">
      <c r="W77" s="21">
        <v>46183</v>
      </c>
      <c r="X77" s="22">
        <v>7000</v>
      </c>
      <c r="Y77" s="23" t="s">
        <v>1</v>
      </c>
    </row>
    <row r="78" spans="23:25" x14ac:dyDescent="0.25">
      <c r="W78" s="21">
        <v>46184</v>
      </c>
      <c r="X78" s="22">
        <v>3000</v>
      </c>
      <c r="Y78" s="23" t="s">
        <v>58</v>
      </c>
    </row>
    <row r="79" spans="23:25" x14ac:dyDescent="0.25">
      <c r="W79" s="21">
        <v>46185</v>
      </c>
      <c r="X79" s="22">
        <v>4000</v>
      </c>
      <c r="Y79" s="23" t="s">
        <v>158</v>
      </c>
    </row>
    <row r="80" spans="23:25" x14ac:dyDescent="0.25">
      <c r="W80" s="21">
        <v>46188</v>
      </c>
      <c r="X80" s="22">
        <v>4000</v>
      </c>
      <c r="Y80" s="23" t="s">
        <v>0</v>
      </c>
    </row>
    <row r="81" spans="23:25" x14ac:dyDescent="0.25">
      <c r="W81" s="21">
        <v>46190</v>
      </c>
      <c r="X81" s="22">
        <v>1000</v>
      </c>
      <c r="Y81" s="23" t="s">
        <v>0</v>
      </c>
    </row>
    <row r="82" spans="23:25" x14ac:dyDescent="0.25">
      <c r="W82" s="21">
        <v>46192</v>
      </c>
      <c r="X82" s="22">
        <v>2500</v>
      </c>
      <c r="Y82" s="23" t="s">
        <v>52</v>
      </c>
    </row>
    <row r="83" spans="23:25" x14ac:dyDescent="0.25">
      <c r="W83" s="21">
        <v>46196</v>
      </c>
      <c r="X83" s="22">
        <v>2000</v>
      </c>
      <c r="Y83" s="23" t="s">
        <v>165</v>
      </c>
    </row>
    <row r="84" spans="23:25" x14ac:dyDescent="0.25">
      <c r="W84" s="21">
        <v>46202</v>
      </c>
      <c r="X84" s="22">
        <v>5000</v>
      </c>
      <c r="Y84" s="23" t="s">
        <v>24</v>
      </c>
    </row>
  </sheetData>
  <autoFilter ref="N3:P3" xr:uid="{AA32C9B4-C5D5-47B1-8BEA-EF3AA4FA322C}"/>
  <pageMargins left="0.7" right="0.7" top="0.75" bottom="0.75" header="0.3" footer="0.3"/>
  <pageSetup paperSize="9" scale="57" orientation="portrait" r:id="rId1"/>
  <ignoredErrors>
    <ignoredError sqref="I6" twoDigitTextYear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15B1-1E15-4C4A-BB8F-B0AC81CABCEF}">
  <sheetPr>
    <tabColor theme="5" tint="0.79998168889431442"/>
  </sheetPr>
  <dimension ref="B2:Y84"/>
  <sheetViews>
    <sheetView topLeftCell="A7" workbookViewId="0">
      <selection activeCell="W18" sqref="W18"/>
    </sheetView>
  </sheetViews>
  <sheetFormatPr defaultRowHeight="15" outlineLevelCol="1" x14ac:dyDescent="0.25"/>
  <cols>
    <col min="2" max="3" width="10" hidden="1" customWidth="1" outlineLevel="1"/>
    <col min="4" max="4" width="9.140625" style="3" collapsed="1"/>
    <col min="5" max="5" width="11.140625" bestFit="1" customWidth="1"/>
    <col min="6" max="6" width="2.7109375" customWidth="1"/>
    <col min="7" max="7" width="9.140625" style="3" hidden="1" customWidth="1" outlineLevel="1" collapsed="1"/>
    <col min="8" max="8" width="9" hidden="1" customWidth="1" outlineLevel="1"/>
    <col min="9" max="9" width="9" customWidth="1" collapsed="1"/>
    <col min="10" max="11" width="10.5703125" customWidth="1"/>
    <col min="12" max="12" width="2.7109375" customWidth="1"/>
    <col min="14" max="14" width="12.42578125" bestFit="1" customWidth="1"/>
    <col min="18" max="18" width="2.7109375" customWidth="1"/>
    <col min="19" max="19" width="10.5703125" hidden="1" customWidth="1" outlineLevel="1"/>
    <col min="20" max="20" width="12.42578125" hidden="1" customWidth="1" outlineLevel="1"/>
    <col min="21" max="21" width="9.140625" hidden="1" customWidth="1" outlineLevel="1"/>
    <col min="22" max="22" width="2.7109375" customWidth="1" collapsed="1"/>
    <col min="23" max="23" width="10.42578125" bestFit="1" customWidth="1"/>
    <col min="25" max="25" width="16" bestFit="1" customWidth="1"/>
    <col min="26" max="26" width="2.7109375" customWidth="1"/>
  </cols>
  <sheetData>
    <row r="2" spans="2:25" x14ac:dyDescent="0.25">
      <c r="B2" s="50"/>
      <c r="C2" s="50"/>
      <c r="D2" s="20" t="s">
        <v>162</v>
      </c>
      <c r="E2" s="20"/>
      <c r="G2" s="16"/>
      <c r="H2" s="16"/>
      <c r="I2" s="16" t="s">
        <v>167</v>
      </c>
      <c r="J2" s="16"/>
      <c r="K2" s="16"/>
      <c r="M2" s="6" t="s">
        <v>161</v>
      </c>
      <c r="N2" s="6"/>
      <c r="O2" s="6"/>
      <c r="P2" s="6"/>
      <c r="Q2" s="6"/>
      <c r="S2" s="49" t="s">
        <v>163</v>
      </c>
      <c r="T2" s="49"/>
      <c r="U2" s="49"/>
      <c r="W2" s="5" t="s">
        <v>164</v>
      </c>
      <c r="X2" s="5"/>
      <c r="Y2" s="5"/>
    </row>
    <row r="3" spans="2:25" s="9" customFormat="1" x14ac:dyDescent="0.25">
      <c r="B3" s="12" t="s">
        <v>183</v>
      </c>
      <c r="C3" s="12" t="s">
        <v>184</v>
      </c>
      <c r="D3" s="12" t="s">
        <v>8</v>
      </c>
      <c r="E3" s="11" t="s">
        <v>9</v>
      </c>
      <c r="G3" s="12" t="s">
        <v>8</v>
      </c>
      <c r="H3" s="11" t="s">
        <v>9</v>
      </c>
      <c r="I3" s="11" t="s">
        <v>176</v>
      </c>
      <c r="J3" s="11" t="s">
        <v>9</v>
      </c>
      <c r="K3" s="11" t="s">
        <v>177</v>
      </c>
      <c r="M3" s="10" t="s">
        <v>14</v>
      </c>
      <c r="N3" s="10" t="s">
        <v>10</v>
      </c>
      <c r="O3" s="11" t="s">
        <v>9</v>
      </c>
      <c r="P3" s="11" t="s">
        <v>15</v>
      </c>
      <c r="Q3" s="11" t="s">
        <v>166</v>
      </c>
      <c r="S3" s="10" t="s">
        <v>10</v>
      </c>
      <c r="T3" s="10" t="s">
        <v>10</v>
      </c>
      <c r="U3" s="11" t="s">
        <v>9</v>
      </c>
      <c r="W3" s="12" t="s">
        <v>8</v>
      </c>
      <c r="X3" s="11" t="s">
        <v>9</v>
      </c>
      <c r="Y3" s="10" t="s">
        <v>10</v>
      </c>
    </row>
    <row r="4" spans="2:25" x14ac:dyDescent="0.25">
      <c r="B4" s="17">
        <v>46204</v>
      </c>
      <c r="C4" s="18">
        <f>EOMONTH(B4,0)</f>
        <v>46234</v>
      </c>
      <c r="D4" s="26">
        <f>C4</f>
        <v>46234</v>
      </c>
      <c r="E4" s="15">
        <f t="shared" ref="E4:E15" si="0">SUMIFS($X:$X,$W:$W,"&gt;="&amp;B4,$W:$W,"&lt;="&amp;C4)</f>
        <v>35000</v>
      </c>
      <c r="G4" s="3">
        <v>1</v>
      </c>
      <c r="H4" s="3">
        <v>5</v>
      </c>
      <c r="I4" s="28" t="s">
        <v>168</v>
      </c>
      <c r="J4" s="15" cm="1">
        <f t="array" ref="J4">IF(G4&gt;COUNT($O$4:$O$43), NA(), SUM(LARGE($O$4:$O$43, _xlfn.SEQUENCE(MIN(H4,COUNT($O$4:$O$43))-G4+1, 1, G4))))</f>
        <v>50000</v>
      </c>
      <c r="K4" s="47">
        <f>_xlfn.IFNA(NA(),J4/$O$44)</f>
        <v>0.78064012490241996</v>
      </c>
      <c r="M4" s="3">
        <v>1</v>
      </c>
      <c r="N4" s="3" t="str">
        <f t="shared" ref="N4:N31" si="1">_xlfn.XLOOKUP(M4,$S:$S,$T:$T)</f>
        <v>Greencape</v>
      </c>
      <c r="O4" s="15">
        <f t="shared" ref="O4:O31" si="2">_xlfn.XLOOKUP(M4,$S:$S,$U:$U)</f>
        <v>20000</v>
      </c>
      <c r="P4" s="7">
        <f t="shared" ref="P4:P31" si="3">COUNTIF($Y:$Y,$N4)</f>
        <v>3</v>
      </c>
      <c r="Q4" s="47">
        <f t="shared" ref="Q4:Q31" si="4">IF(O4&gt;0,O4/$O$44,0)</f>
        <v>0.31225604996096801</v>
      </c>
      <c r="S4" s="3">
        <f>RANK($U4,$U$4:$U$33,0)+COUNTIF($U$4:$U4,$U4)-1</f>
        <v>1</v>
      </c>
      <c r="T4" s="3" t="str" cm="1">
        <f t="array" ref="T4:T13">_xlfn.UNIQUE(_xlfn._xlws.FILTER($Y$4:$Y$498,$Y$4:$Y$498&lt;&gt;""))</f>
        <v>Greencape</v>
      </c>
      <c r="U4" s="15">
        <f t="shared" ref="U4:U43" si="5">SUMIF($Y:$Y,$T4,$X:$X)</f>
        <v>20000</v>
      </c>
      <c r="W4" s="21">
        <v>46206</v>
      </c>
      <c r="X4" s="22">
        <v>10000</v>
      </c>
      <c r="Y4" s="23" t="s">
        <v>18</v>
      </c>
    </row>
    <row r="5" spans="2:25" x14ac:dyDescent="0.25">
      <c r="B5" s="18">
        <f>C4+1</f>
        <v>46235</v>
      </c>
      <c r="C5" s="18">
        <f t="shared" ref="C5:C15" si="6">EOMONTH(B5,0)</f>
        <v>46265</v>
      </c>
      <c r="D5" s="26">
        <f t="shared" ref="D5:D15" si="7">C5</f>
        <v>46265</v>
      </c>
      <c r="E5" s="15">
        <f t="shared" si="0"/>
        <v>12000</v>
      </c>
      <c r="G5" s="3">
        <v>6</v>
      </c>
      <c r="H5" s="3">
        <v>10</v>
      </c>
      <c r="I5" s="48" t="s">
        <v>169</v>
      </c>
      <c r="J5" s="15" cm="1">
        <f t="array" ref="J5">IF(G5&gt;COUNT($O$4:$O$43), NA(), SUM(LARGE($O$4:$O$43, _xlfn.SEQUENCE(MIN(H5,COUNT($O$4:$O$43))-G5+1, 1, G5))))</f>
        <v>14050</v>
      </c>
      <c r="K5" s="47">
        <f t="shared" ref="K5:K11" si="8">_xlfn.IFNA(NA(),J5/$O$44)</f>
        <v>0.21935987509758001</v>
      </c>
      <c r="M5" s="3">
        <f>M4+1</f>
        <v>2</v>
      </c>
      <c r="N5" s="3" t="str">
        <f t="shared" si="1"/>
        <v>Perps Private</v>
      </c>
      <c r="O5" s="15">
        <f t="shared" si="2"/>
        <v>11000</v>
      </c>
      <c r="P5" s="7">
        <f t="shared" si="3"/>
        <v>1</v>
      </c>
      <c r="Q5" s="47">
        <f t="shared" si="4"/>
        <v>0.17174082747853239</v>
      </c>
      <c r="S5" s="3">
        <f>RANK($U5,$U$4:$U$33,0)+COUNTIF($U$4:$U5,$U5)-1</f>
        <v>9</v>
      </c>
      <c r="T5" s="3" t="str">
        <v>Hyperion</v>
      </c>
      <c r="U5" s="15">
        <f t="shared" si="5"/>
        <v>2000</v>
      </c>
      <c r="W5" s="21">
        <v>46206</v>
      </c>
      <c r="X5" s="22">
        <v>2000</v>
      </c>
      <c r="Y5" s="23" t="s">
        <v>218</v>
      </c>
    </row>
    <row r="6" spans="2:25" x14ac:dyDescent="0.25">
      <c r="B6" s="18">
        <f t="shared" ref="B6:B15" si="9">C5+1</f>
        <v>46266</v>
      </c>
      <c r="C6" s="18">
        <f t="shared" si="6"/>
        <v>46295</v>
      </c>
      <c r="D6" s="26">
        <f t="shared" si="7"/>
        <v>46295</v>
      </c>
      <c r="E6" s="15">
        <f t="shared" si="0"/>
        <v>17050</v>
      </c>
      <c r="G6" s="3">
        <v>11</v>
      </c>
      <c r="H6" s="3">
        <v>15</v>
      </c>
      <c r="I6" s="48" t="s">
        <v>175</v>
      </c>
      <c r="J6" s="15" cm="1">
        <f t="array" ref="J6">IF(G6&gt;COUNT($O$4:$O$43), NA(), SUM(LARGE($O$4:$O$43, _xlfn.SEQUENCE(MIN(H6,COUNT($O$4:$O$43))-G6+1, 1, G6))))</f>
        <v>0</v>
      </c>
      <c r="K6" s="47">
        <f t="shared" si="8"/>
        <v>0</v>
      </c>
      <c r="M6" s="3">
        <f t="shared" ref="M6:M31" si="10">M5+1</f>
        <v>3</v>
      </c>
      <c r="N6" s="3" t="str">
        <f t="shared" si="1"/>
        <v>OC Funds</v>
      </c>
      <c r="O6" s="15">
        <f t="shared" si="2"/>
        <v>9000</v>
      </c>
      <c r="P6" s="7">
        <f t="shared" si="3"/>
        <v>3</v>
      </c>
      <c r="Q6" s="47">
        <f t="shared" si="4"/>
        <v>0.14051522248243559</v>
      </c>
      <c r="S6" s="3">
        <f>RANK($U6,$U$4:$U$33,0)+COUNTIF($U$4:$U6,$U6)-1</f>
        <v>2</v>
      </c>
      <c r="T6" s="3" t="str">
        <v>Perps Private</v>
      </c>
      <c r="U6" s="15">
        <f t="shared" si="5"/>
        <v>11000</v>
      </c>
      <c r="W6" s="21">
        <v>46213</v>
      </c>
      <c r="X6" s="22">
        <v>11000</v>
      </c>
      <c r="Y6" s="23" t="s">
        <v>53</v>
      </c>
    </row>
    <row r="7" spans="2:25" x14ac:dyDescent="0.25">
      <c r="B7" s="18">
        <f t="shared" si="9"/>
        <v>46296</v>
      </c>
      <c r="C7" s="18">
        <f t="shared" si="6"/>
        <v>46326</v>
      </c>
      <c r="D7" s="26">
        <f t="shared" si="7"/>
        <v>46326</v>
      </c>
      <c r="E7" s="15">
        <f t="shared" si="0"/>
        <v>0</v>
      </c>
      <c r="G7" s="3">
        <v>16</v>
      </c>
      <c r="H7" s="3">
        <v>20</v>
      </c>
      <c r="I7" s="48" t="s">
        <v>170</v>
      </c>
      <c r="J7" s="15" cm="1">
        <f t="array" ref="J7">IF(G7&gt;COUNT($O$4:$O$43), NA(), SUM(LARGE($O$4:$O$43, _xlfn.SEQUENCE(MIN(H7,COUNT($O$4:$O$43))-G7+1, 1, G7))))</f>
        <v>0</v>
      </c>
      <c r="K7" s="47">
        <f t="shared" si="8"/>
        <v>0</v>
      </c>
      <c r="M7" s="3">
        <f t="shared" si="10"/>
        <v>4</v>
      </c>
      <c r="N7" s="3" t="str">
        <f t="shared" si="1"/>
        <v>Airlie</v>
      </c>
      <c r="O7" s="15">
        <f t="shared" si="2"/>
        <v>5000</v>
      </c>
      <c r="P7" s="7">
        <f t="shared" si="3"/>
        <v>1</v>
      </c>
      <c r="Q7" s="47">
        <f t="shared" si="4"/>
        <v>7.8064012490242002E-2</v>
      </c>
      <c r="S7" s="3">
        <f>RANK($U7,$U$4:$U$33,0)+COUNTIF($U$4:$U7,$U7)-1</f>
        <v>3</v>
      </c>
      <c r="T7" s="3" t="str">
        <v>OC Funds</v>
      </c>
      <c r="U7" s="15">
        <f t="shared" si="5"/>
        <v>9000</v>
      </c>
      <c r="W7" s="21">
        <v>46216</v>
      </c>
      <c r="X7" s="22">
        <v>4000</v>
      </c>
      <c r="Y7" s="23" t="s">
        <v>61</v>
      </c>
    </row>
    <row r="8" spans="2:25" x14ac:dyDescent="0.25">
      <c r="B8" s="18">
        <f t="shared" si="9"/>
        <v>46327</v>
      </c>
      <c r="C8" s="18">
        <f t="shared" si="6"/>
        <v>46356</v>
      </c>
      <c r="D8" s="26">
        <f t="shared" si="7"/>
        <v>46356</v>
      </c>
      <c r="E8" s="15">
        <f t="shared" si="0"/>
        <v>0</v>
      </c>
      <c r="G8" s="3">
        <v>21</v>
      </c>
      <c r="H8" s="3">
        <v>25</v>
      </c>
      <c r="I8" s="48" t="s">
        <v>171</v>
      </c>
      <c r="J8" s="15" cm="1">
        <f t="array" ref="J8">IF(G8&gt;COUNT($O$4:$O$43), NA(), SUM(LARGE($O$4:$O$43, _xlfn.SEQUENCE(MIN(H8,COUNT($O$4:$O$43))-G8+1, 1, G8))))</f>
        <v>0</v>
      </c>
      <c r="K8" s="47">
        <f t="shared" si="8"/>
        <v>0</v>
      </c>
      <c r="M8" s="3">
        <f t="shared" si="10"/>
        <v>5</v>
      </c>
      <c r="N8" s="3" t="str">
        <f t="shared" si="1"/>
        <v>Solaris</v>
      </c>
      <c r="O8" s="15">
        <f t="shared" si="2"/>
        <v>5000</v>
      </c>
      <c r="P8" s="7">
        <f t="shared" si="3"/>
        <v>1</v>
      </c>
      <c r="Q8" s="47">
        <f t="shared" si="4"/>
        <v>7.8064012490242002E-2</v>
      </c>
      <c r="S8" s="3">
        <f>RANK($U8,$U$4:$U$33,0)+COUNTIF($U$4:$U8,$U8)-1</f>
        <v>4</v>
      </c>
      <c r="T8" s="3" t="str">
        <v>Airlie</v>
      </c>
      <c r="U8" s="15">
        <f t="shared" si="5"/>
        <v>5000</v>
      </c>
      <c r="W8" s="21">
        <v>46217</v>
      </c>
      <c r="X8" s="22">
        <v>5000</v>
      </c>
      <c r="Y8" s="23" t="s">
        <v>220</v>
      </c>
    </row>
    <row r="9" spans="2:25" x14ac:dyDescent="0.25">
      <c r="B9" s="18">
        <f t="shared" si="9"/>
        <v>46357</v>
      </c>
      <c r="C9" s="18">
        <f t="shared" si="6"/>
        <v>46387</v>
      </c>
      <c r="D9" s="26">
        <f t="shared" si="7"/>
        <v>46387</v>
      </c>
      <c r="E9" s="15">
        <f t="shared" si="0"/>
        <v>0</v>
      </c>
      <c r="G9" s="3">
        <v>26</v>
      </c>
      <c r="H9" s="3">
        <v>30</v>
      </c>
      <c r="I9" s="48" t="s">
        <v>172</v>
      </c>
      <c r="J9" s="15" cm="1">
        <f t="array" ref="J9">IF(G9&gt;COUNT($O$4:$O$43), NA(), SUM(LARGE($O$4:$O$43, _xlfn.SEQUENCE(MIN(H9,COUNT($O$4:$O$43))-G9+1, 1, G9))))</f>
        <v>0</v>
      </c>
      <c r="K9" s="47">
        <f t="shared" si="8"/>
        <v>0</v>
      </c>
      <c r="M9" s="3">
        <f t="shared" si="10"/>
        <v>6</v>
      </c>
      <c r="N9" s="3" t="str">
        <f t="shared" si="1"/>
        <v>QVG</v>
      </c>
      <c r="O9" s="15">
        <f t="shared" si="2"/>
        <v>5000</v>
      </c>
      <c r="P9" s="7">
        <f t="shared" si="3"/>
        <v>1</v>
      </c>
      <c r="Q9" s="47">
        <f t="shared" si="4"/>
        <v>7.8064012490242002E-2</v>
      </c>
      <c r="S9" s="3">
        <f>RANK($U9,$U$4:$U$33,0)+COUNTIF($U$4:$U9,$U9)-1</f>
        <v>7</v>
      </c>
      <c r="T9" s="3" t="str">
        <v>Aware</v>
      </c>
      <c r="U9" s="15">
        <f t="shared" si="5"/>
        <v>3000</v>
      </c>
      <c r="W9" s="21">
        <v>46225</v>
      </c>
      <c r="X9" s="22">
        <v>3000</v>
      </c>
      <c r="Y9" s="23" t="s">
        <v>63</v>
      </c>
    </row>
    <row r="10" spans="2:25" x14ac:dyDescent="0.25">
      <c r="B10" s="18">
        <f t="shared" si="9"/>
        <v>46388</v>
      </c>
      <c r="C10" s="18">
        <f t="shared" si="6"/>
        <v>46418</v>
      </c>
      <c r="D10" s="26">
        <f t="shared" si="7"/>
        <v>46418</v>
      </c>
      <c r="E10" s="15">
        <f t="shared" si="0"/>
        <v>0</v>
      </c>
      <c r="G10" s="3">
        <v>31</v>
      </c>
      <c r="H10" s="3">
        <v>35</v>
      </c>
      <c r="I10" s="48" t="s">
        <v>173</v>
      </c>
      <c r="J10" s="15" t="e" cm="1">
        <f t="array" ref="J10">IF(G10&gt;COUNT($O$4:$O$43), NA(), SUM(LARGE($O$4:$O$43, _xlfn.SEQUENCE(MIN(H10,COUNT($O$4:$O$43))-G10+1, 1, G10))))</f>
        <v>#N/A</v>
      </c>
      <c r="K10" s="47" t="e">
        <f t="shared" si="8"/>
        <v>#N/A</v>
      </c>
      <c r="M10" s="3">
        <f t="shared" si="10"/>
        <v>7</v>
      </c>
      <c r="N10" s="3" t="str">
        <f t="shared" si="1"/>
        <v>Aware</v>
      </c>
      <c r="O10" s="15">
        <f t="shared" si="2"/>
        <v>3000</v>
      </c>
      <c r="P10" s="7">
        <f t="shared" si="3"/>
        <v>1</v>
      </c>
      <c r="Q10" s="47">
        <f t="shared" si="4"/>
        <v>4.6838407494145202E-2</v>
      </c>
      <c r="S10" s="3">
        <f>RANK($U10,$U$4:$U$33,0)+COUNTIF($U$4:$U10,$U10)-1</f>
        <v>5</v>
      </c>
      <c r="T10" s="3" t="str">
        <v>Solaris</v>
      </c>
      <c r="U10" s="15">
        <f t="shared" si="5"/>
        <v>5000</v>
      </c>
      <c r="W10" s="21">
        <v>46240</v>
      </c>
      <c r="X10" s="22">
        <v>5000</v>
      </c>
      <c r="Y10" s="23" t="s">
        <v>18</v>
      </c>
    </row>
    <row r="11" spans="2:25" x14ac:dyDescent="0.25">
      <c r="B11" s="18">
        <f t="shared" si="9"/>
        <v>46419</v>
      </c>
      <c r="C11" s="18">
        <f t="shared" si="6"/>
        <v>46446</v>
      </c>
      <c r="D11" s="26">
        <f t="shared" si="7"/>
        <v>46446</v>
      </c>
      <c r="E11" s="15">
        <f t="shared" si="0"/>
        <v>0</v>
      </c>
      <c r="G11" s="3">
        <v>36</v>
      </c>
      <c r="H11" s="3">
        <v>40</v>
      </c>
      <c r="I11" s="48" t="s">
        <v>174</v>
      </c>
      <c r="J11" s="15" t="e" cm="1">
        <f t="array" ref="J11">IF(G11&gt;COUNT($O$4:$O$43), NA(), SUM(LARGE($O$4:$O$43, _xlfn.SEQUENCE(MIN(H11,COUNT($O$4:$O$43))-G11+1, 1, G11))))</f>
        <v>#N/A</v>
      </c>
      <c r="K11" s="47" t="e">
        <f t="shared" si="8"/>
        <v>#N/A</v>
      </c>
      <c r="M11" s="3">
        <f t="shared" si="10"/>
        <v>8</v>
      </c>
      <c r="N11" s="3" t="str">
        <f t="shared" si="1"/>
        <v>BAEP</v>
      </c>
      <c r="O11" s="15">
        <f t="shared" si="2"/>
        <v>2800</v>
      </c>
      <c r="P11" s="7">
        <f t="shared" si="3"/>
        <v>1</v>
      </c>
      <c r="Q11" s="47">
        <f t="shared" si="4"/>
        <v>4.3715846994535519E-2</v>
      </c>
      <c r="S11" s="3">
        <f>RANK($U11,$U$4:$U$33,0)+COUNTIF($U$4:$U11,$U11)-1</f>
        <v>8</v>
      </c>
      <c r="T11" s="3" t="str">
        <v>BAEP</v>
      </c>
      <c r="U11" s="15">
        <f t="shared" si="5"/>
        <v>2800</v>
      </c>
      <c r="W11" s="21">
        <v>46246</v>
      </c>
      <c r="X11" s="22">
        <v>2000</v>
      </c>
      <c r="Y11" s="23" t="s">
        <v>61</v>
      </c>
    </row>
    <row r="12" spans="2:25" x14ac:dyDescent="0.25">
      <c r="B12" s="18">
        <f t="shared" si="9"/>
        <v>46447</v>
      </c>
      <c r="C12" s="18">
        <f t="shared" si="6"/>
        <v>46477</v>
      </c>
      <c r="D12" s="26">
        <f t="shared" si="7"/>
        <v>46477</v>
      </c>
      <c r="E12" s="15">
        <f t="shared" si="0"/>
        <v>0</v>
      </c>
      <c r="H12" s="3"/>
      <c r="I12" s="3"/>
      <c r="J12" s="15"/>
      <c r="K12" s="15"/>
      <c r="M12" s="3">
        <f t="shared" si="10"/>
        <v>9</v>
      </c>
      <c r="N12" s="3" t="str">
        <f t="shared" si="1"/>
        <v>Hyperion</v>
      </c>
      <c r="O12" s="15">
        <f t="shared" si="2"/>
        <v>2000</v>
      </c>
      <c r="P12" s="7">
        <f t="shared" si="3"/>
        <v>1</v>
      </c>
      <c r="Q12" s="47">
        <f t="shared" si="4"/>
        <v>3.1225604996096799E-2</v>
      </c>
      <c r="S12" s="3">
        <f>RANK($U12,$U$4:$U$33,0)+COUNTIF($U$4:$U12,$U12)-1</f>
        <v>6</v>
      </c>
      <c r="T12" s="3" t="str">
        <v>QVG</v>
      </c>
      <c r="U12" s="15">
        <f t="shared" si="5"/>
        <v>5000</v>
      </c>
      <c r="W12" s="21">
        <v>46247</v>
      </c>
      <c r="X12" s="22">
        <v>5000</v>
      </c>
      <c r="Y12" s="23" t="s">
        <v>24</v>
      </c>
    </row>
    <row r="13" spans="2:25" x14ac:dyDescent="0.25">
      <c r="B13" s="18">
        <f t="shared" si="9"/>
        <v>46478</v>
      </c>
      <c r="C13" s="18">
        <f t="shared" si="6"/>
        <v>46507</v>
      </c>
      <c r="D13" s="26">
        <f t="shared" si="7"/>
        <v>46507</v>
      </c>
      <c r="E13" s="15">
        <f t="shared" si="0"/>
        <v>0</v>
      </c>
      <c r="G13" s="3">
        <v>1</v>
      </c>
      <c r="H13" s="3">
        <v>3</v>
      </c>
      <c r="I13" s="3" t="s">
        <v>76</v>
      </c>
      <c r="J13" s="15" cm="1">
        <f t="array" ref="J13">IF(G13&gt;COUNT($O$4:$O$43), NA(), SUM(LARGE($O$4:$O$43, _xlfn.SEQUENCE(MIN(H13,COUNT($O$4:$O$43))-G13+1, 1, G13))))</f>
        <v>40000</v>
      </c>
      <c r="K13" s="47">
        <f t="shared" ref="K13:K17" si="11">_xlfn.IFNA(NA(),J13/$O$44)</f>
        <v>0.62451209992193601</v>
      </c>
      <c r="M13" s="3">
        <f t="shared" si="10"/>
        <v>10</v>
      </c>
      <c r="N13" s="3" t="str">
        <f t="shared" si="1"/>
        <v>Antares</v>
      </c>
      <c r="O13" s="15">
        <f t="shared" si="2"/>
        <v>1250</v>
      </c>
      <c r="P13" s="7">
        <f t="shared" si="3"/>
        <v>1</v>
      </c>
      <c r="Q13" s="47">
        <f t="shared" si="4"/>
        <v>1.95160031225605E-2</v>
      </c>
      <c r="S13" s="3">
        <f>RANK($U13,$U$4:$U$33,0)+COUNTIF($U$4:$U13,$U13)-1</f>
        <v>10</v>
      </c>
      <c r="T13" s="3" t="str">
        <v>Antares</v>
      </c>
      <c r="U13" s="15">
        <f t="shared" si="5"/>
        <v>1250</v>
      </c>
      <c r="W13" s="21">
        <v>46266</v>
      </c>
      <c r="X13" s="22">
        <v>5000</v>
      </c>
      <c r="Y13" s="23" t="s">
        <v>18</v>
      </c>
    </row>
    <row r="14" spans="2:25" x14ac:dyDescent="0.25">
      <c r="B14" s="18">
        <f t="shared" si="9"/>
        <v>46508</v>
      </c>
      <c r="C14" s="18">
        <f t="shared" si="6"/>
        <v>46538</v>
      </c>
      <c r="D14" s="26">
        <f t="shared" si="7"/>
        <v>46538</v>
      </c>
      <c r="E14" s="15">
        <f t="shared" si="0"/>
        <v>0</v>
      </c>
      <c r="G14" s="3">
        <v>1</v>
      </c>
      <c r="H14" s="3">
        <v>5</v>
      </c>
      <c r="I14" s="3" t="s">
        <v>75</v>
      </c>
      <c r="J14" s="15" cm="1">
        <f t="array" ref="J14">IF(G14&gt;COUNT($O$4:$O$43), NA(), SUM(LARGE($O$4:$O$43, _xlfn.SEQUENCE(MIN(H14,COUNT($O$4:$O$43))-G14+1, 1, G14))))</f>
        <v>50000</v>
      </c>
      <c r="K14" s="47">
        <f t="shared" si="11"/>
        <v>0.78064012490241996</v>
      </c>
      <c r="M14" s="3">
        <f t="shared" si="10"/>
        <v>11</v>
      </c>
      <c r="N14" s="3">
        <f t="shared" si="1"/>
        <v>0</v>
      </c>
      <c r="O14" s="15">
        <f t="shared" si="2"/>
        <v>0</v>
      </c>
      <c r="P14" s="7">
        <f t="shared" si="3"/>
        <v>0</v>
      </c>
      <c r="Q14" s="47">
        <f t="shared" si="4"/>
        <v>0</v>
      </c>
      <c r="S14" s="3">
        <f>RANK($U14,$U$4:$U$33,0)+COUNTIF($U$4:$U14,$U14)-1</f>
        <v>11</v>
      </c>
      <c r="T14" s="3"/>
      <c r="U14" s="15">
        <f t="shared" si="5"/>
        <v>0</v>
      </c>
      <c r="W14" s="21">
        <v>46273</v>
      </c>
      <c r="X14" s="22">
        <v>2800</v>
      </c>
      <c r="Y14" s="23" t="s">
        <v>0</v>
      </c>
    </row>
    <row r="15" spans="2:25" x14ac:dyDescent="0.25">
      <c r="B15" s="18">
        <f t="shared" si="9"/>
        <v>46539</v>
      </c>
      <c r="C15" s="18">
        <f t="shared" si="6"/>
        <v>46568</v>
      </c>
      <c r="D15" s="26">
        <f t="shared" si="7"/>
        <v>46568</v>
      </c>
      <c r="E15" s="15">
        <f t="shared" si="0"/>
        <v>0</v>
      </c>
      <c r="G15" s="3">
        <v>1</v>
      </c>
      <c r="H15" s="3">
        <v>10</v>
      </c>
      <c r="I15" s="3" t="s">
        <v>178</v>
      </c>
      <c r="J15" s="15" cm="1">
        <f t="array" ref="J15">IF(G15&gt;COUNT($O$4:$O$43), NA(), SUM(LARGE($O$4:$O$43, _xlfn.SEQUENCE(MIN(H15,COUNT($O$4:$O$43))-G15+1, 1, G15))))</f>
        <v>64050</v>
      </c>
      <c r="K15" s="47">
        <f t="shared" si="11"/>
        <v>1</v>
      </c>
      <c r="M15" s="3">
        <f t="shared" si="10"/>
        <v>12</v>
      </c>
      <c r="N15" s="3">
        <f t="shared" si="1"/>
        <v>0</v>
      </c>
      <c r="O15" s="15">
        <f t="shared" si="2"/>
        <v>0</v>
      </c>
      <c r="P15" s="7">
        <f t="shared" si="3"/>
        <v>0</v>
      </c>
      <c r="Q15" s="47">
        <f t="shared" si="4"/>
        <v>0</v>
      </c>
      <c r="S15" s="3">
        <f>RANK($U15,$U$4:$U$33,0)+COUNTIF($U$4:$U15,$U15)-1</f>
        <v>12</v>
      </c>
      <c r="T15" s="3"/>
      <c r="U15" s="15">
        <f t="shared" si="5"/>
        <v>0</v>
      </c>
      <c r="W15" s="21">
        <v>46273</v>
      </c>
      <c r="X15" s="22">
        <v>3000</v>
      </c>
      <c r="Y15" s="23" t="s">
        <v>61</v>
      </c>
    </row>
    <row r="16" spans="2:25" x14ac:dyDescent="0.25">
      <c r="E16" s="3"/>
      <c r="G16" s="3">
        <v>1</v>
      </c>
      <c r="H16" s="3">
        <v>20</v>
      </c>
      <c r="I16" s="3" t="s">
        <v>179</v>
      </c>
      <c r="J16" s="15" cm="1">
        <f t="array" ref="J16">IF(G16&gt;COUNT($O$4:$O$43), NA(), SUM(LARGE($O$4:$O$43, _xlfn.SEQUENCE(MIN(H16,COUNT($O$4:$O$43))-G16+1, 1, G16))))</f>
        <v>64050</v>
      </c>
      <c r="K16" s="47">
        <f t="shared" si="11"/>
        <v>1</v>
      </c>
      <c r="M16" s="3">
        <f t="shared" si="10"/>
        <v>13</v>
      </c>
      <c r="N16" s="3">
        <f t="shared" si="1"/>
        <v>0</v>
      </c>
      <c r="O16" s="15">
        <f t="shared" si="2"/>
        <v>0</v>
      </c>
      <c r="P16" s="7">
        <f t="shared" si="3"/>
        <v>0</v>
      </c>
      <c r="Q16" s="47">
        <f t="shared" si="4"/>
        <v>0</v>
      </c>
      <c r="S16" s="3">
        <f>RANK($U16,$U$4:$U$33,0)+COUNTIF($U$4:$U16,$U16)-1</f>
        <v>13</v>
      </c>
      <c r="T16" s="3"/>
      <c r="U16" s="15">
        <f t="shared" si="5"/>
        <v>0</v>
      </c>
      <c r="W16" s="21">
        <v>46281</v>
      </c>
      <c r="X16" s="22">
        <v>5000</v>
      </c>
      <c r="Y16" s="23" t="s">
        <v>158</v>
      </c>
    </row>
    <row r="17" spans="4:25" x14ac:dyDescent="0.25">
      <c r="E17" s="3"/>
      <c r="G17" s="3">
        <v>1</v>
      </c>
      <c r="H17" s="3">
        <v>50</v>
      </c>
      <c r="I17" s="3" t="s">
        <v>180</v>
      </c>
      <c r="J17" s="15" cm="1">
        <f t="array" ref="J17">IF(G17&gt;COUNT($O$4:$O$43), NA(), SUM(LARGE($O$4:$O$43, _xlfn.SEQUENCE(MIN(H17,COUNT($O$4:$O$43))-G17+1, 1, G17))))</f>
        <v>64050</v>
      </c>
      <c r="K17" s="47">
        <f t="shared" si="11"/>
        <v>1</v>
      </c>
      <c r="M17" s="3">
        <f t="shared" si="10"/>
        <v>14</v>
      </c>
      <c r="N17" s="3">
        <f t="shared" si="1"/>
        <v>0</v>
      </c>
      <c r="O17" s="15">
        <f t="shared" si="2"/>
        <v>0</v>
      </c>
      <c r="P17" s="7">
        <f t="shared" si="3"/>
        <v>0</v>
      </c>
      <c r="Q17" s="47">
        <f t="shared" si="4"/>
        <v>0</v>
      </c>
      <c r="S17" s="3">
        <f>RANK($U17,$U$4:$U$33,0)+COUNTIF($U$4:$U17,$U17)-1</f>
        <v>14</v>
      </c>
      <c r="T17" s="3"/>
      <c r="U17" s="15">
        <f t="shared" si="5"/>
        <v>0</v>
      </c>
      <c r="W17" s="21">
        <v>46288</v>
      </c>
      <c r="X17" s="22">
        <v>1250</v>
      </c>
      <c r="Y17" s="23" t="s">
        <v>52</v>
      </c>
    </row>
    <row r="18" spans="4:25" x14ac:dyDescent="0.25">
      <c r="E18" s="3"/>
      <c r="H18" s="3"/>
      <c r="I18" s="3"/>
      <c r="J18" s="3"/>
      <c r="K18" s="3"/>
      <c r="M18" s="3">
        <f t="shared" si="10"/>
        <v>15</v>
      </c>
      <c r="N18" s="3">
        <f t="shared" si="1"/>
        <v>0</v>
      </c>
      <c r="O18" s="15">
        <f t="shared" si="2"/>
        <v>0</v>
      </c>
      <c r="P18" s="7">
        <f t="shared" si="3"/>
        <v>0</v>
      </c>
      <c r="Q18" s="47">
        <f t="shared" si="4"/>
        <v>0</v>
      </c>
      <c r="S18" s="3">
        <f>RANK($U18,$U$4:$U$33,0)+COUNTIF($U$4:$U18,$U18)-1</f>
        <v>15</v>
      </c>
      <c r="T18" s="3"/>
      <c r="U18" s="15">
        <f t="shared" si="5"/>
        <v>0</v>
      </c>
      <c r="W18" s="21"/>
      <c r="X18" s="22"/>
      <c r="Y18" s="23"/>
    </row>
    <row r="19" spans="4:25" x14ac:dyDescent="0.25">
      <c r="E19" s="3"/>
      <c r="H19" s="3"/>
      <c r="I19" s="3"/>
      <c r="J19" s="3"/>
      <c r="K19" s="3"/>
      <c r="M19" s="3">
        <f t="shared" si="10"/>
        <v>16</v>
      </c>
      <c r="N19" s="3">
        <f t="shared" si="1"/>
        <v>0</v>
      </c>
      <c r="O19" s="15">
        <f t="shared" si="2"/>
        <v>0</v>
      </c>
      <c r="P19" s="7">
        <f t="shared" si="3"/>
        <v>0</v>
      </c>
      <c r="Q19" s="47">
        <f t="shared" si="4"/>
        <v>0</v>
      </c>
      <c r="S19" s="3">
        <f>RANK($U19,$U$4:$U$33,0)+COUNTIF($U$4:$U19,$U19)-1</f>
        <v>16</v>
      </c>
      <c r="T19" s="3"/>
      <c r="U19" s="15">
        <f t="shared" si="5"/>
        <v>0</v>
      </c>
      <c r="W19" s="21"/>
      <c r="X19" s="22"/>
      <c r="Y19" s="23"/>
    </row>
    <row r="20" spans="4:25" x14ac:dyDescent="0.25">
      <c r="E20" s="3"/>
      <c r="H20" s="3"/>
      <c r="I20" s="3"/>
      <c r="J20" s="3"/>
      <c r="K20" s="3"/>
      <c r="M20" s="3">
        <f t="shared" si="10"/>
        <v>17</v>
      </c>
      <c r="N20" s="3">
        <f t="shared" si="1"/>
        <v>0</v>
      </c>
      <c r="O20" s="15">
        <f t="shared" si="2"/>
        <v>0</v>
      </c>
      <c r="P20" s="7">
        <f t="shared" si="3"/>
        <v>0</v>
      </c>
      <c r="Q20" s="47">
        <f t="shared" si="4"/>
        <v>0</v>
      </c>
      <c r="S20" s="3">
        <f>RANK($U20,$U$4:$U$33,0)+COUNTIF($U$4:$U20,$U20)-1</f>
        <v>17</v>
      </c>
      <c r="T20" s="3"/>
      <c r="U20" s="15">
        <f t="shared" si="5"/>
        <v>0</v>
      </c>
      <c r="W20" s="21"/>
      <c r="X20" s="22"/>
      <c r="Y20" s="23"/>
    </row>
    <row r="21" spans="4:25" x14ac:dyDescent="0.25">
      <c r="E21" s="3"/>
      <c r="H21" s="3"/>
      <c r="I21" s="3"/>
      <c r="J21" s="3"/>
      <c r="K21" s="3"/>
      <c r="M21" s="3">
        <f t="shared" si="10"/>
        <v>18</v>
      </c>
      <c r="N21" s="3">
        <f t="shared" si="1"/>
        <v>0</v>
      </c>
      <c r="O21" s="15">
        <f t="shared" si="2"/>
        <v>0</v>
      </c>
      <c r="P21" s="7">
        <f t="shared" si="3"/>
        <v>0</v>
      </c>
      <c r="Q21" s="47">
        <f t="shared" si="4"/>
        <v>0</v>
      </c>
      <c r="S21" s="3">
        <f>RANK($U21,$U$4:$U$33,0)+COUNTIF($U$4:$U21,$U21)-1</f>
        <v>18</v>
      </c>
      <c r="T21" s="3"/>
      <c r="U21" s="15">
        <f t="shared" si="5"/>
        <v>0</v>
      </c>
      <c r="W21" s="21"/>
      <c r="X21" s="22"/>
      <c r="Y21" s="23"/>
    </row>
    <row r="22" spans="4:25" x14ac:dyDescent="0.25">
      <c r="D22" s="3" t="s">
        <v>8</v>
      </c>
      <c r="E22" s="27">
        <f ca="1">TODAY()</f>
        <v>46297</v>
      </c>
      <c r="H22" s="3"/>
      <c r="I22" s="3"/>
      <c r="J22" s="3"/>
      <c r="K22" s="3"/>
      <c r="M22" s="3">
        <f t="shared" si="10"/>
        <v>19</v>
      </c>
      <c r="N22" s="3">
        <f t="shared" si="1"/>
        <v>0</v>
      </c>
      <c r="O22" s="15">
        <f t="shared" si="2"/>
        <v>0</v>
      </c>
      <c r="P22" s="7">
        <f t="shared" si="3"/>
        <v>0</v>
      </c>
      <c r="Q22" s="47">
        <f t="shared" si="4"/>
        <v>0</v>
      </c>
      <c r="S22" s="3">
        <f>RANK($U22,$U$4:$U$33,0)+COUNTIF($U$4:$U22,$U22)-1</f>
        <v>19</v>
      </c>
      <c r="T22" s="3"/>
      <c r="U22" s="15">
        <f t="shared" si="5"/>
        <v>0</v>
      </c>
      <c r="W22" s="21"/>
      <c r="X22" s="22"/>
      <c r="Y22" s="23"/>
    </row>
    <row r="23" spans="4:25" x14ac:dyDescent="0.25">
      <c r="D23" s="3" t="s">
        <v>71</v>
      </c>
      <c r="E23" s="3">
        <f ca="1">E22-EOMONTH(D4,-1)</f>
        <v>94</v>
      </c>
      <c r="H23" s="3"/>
      <c r="I23" s="3"/>
      <c r="J23" s="3"/>
      <c r="K23" s="3"/>
      <c r="M23" s="3">
        <f t="shared" si="10"/>
        <v>20</v>
      </c>
      <c r="N23" s="3">
        <f t="shared" si="1"/>
        <v>0</v>
      </c>
      <c r="O23" s="15">
        <f t="shared" si="2"/>
        <v>0</v>
      </c>
      <c r="P23" s="7">
        <f t="shared" si="3"/>
        <v>0</v>
      </c>
      <c r="Q23" s="47">
        <f t="shared" si="4"/>
        <v>0</v>
      </c>
      <c r="S23" s="3">
        <f>RANK($U23,$U$4:$U$33,0)+COUNTIF($U$4:$U23,$U23)-1</f>
        <v>20</v>
      </c>
      <c r="T23" s="3"/>
      <c r="U23" s="15">
        <f t="shared" si="5"/>
        <v>0</v>
      </c>
      <c r="W23" s="21"/>
      <c r="X23" s="22"/>
      <c r="Y23" s="23"/>
    </row>
    <row r="24" spans="4:25" x14ac:dyDescent="0.25">
      <c r="D24" s="24" t="s">
        <v>79</v>
      </c>
      <c r="E24" s="25">
        <f ca="1">O44/E23*365</f>
        <v>248704.78723404254</v>
      </c>
      <c r="F24" s="3"/>
      <c r="H24" s="3"/>
      <c r="I24" s="3"/>
      <c r="J24" s="3"/>
      <c r="K24" s="3"/>
      <c r="L24" s="3"/>
      <c r="M24" s="3">
        <f t="shared" si="10"/>
        <v>21</v>
      </c>
      <c r="N24" s="3">
        <f t="shared" si="1"/>
        <v>0</v>
      </c>
      <c r="O24" s="15">
        <f t="shared" si="2"/>
        <v>0</v>
      </c>
      <c r="P24" s="7">
        <f t="shared" si="3"/>
        <v>0</v>
      </c>
      <c r="Q24" s="47">
        <f t="shared" si="4"/>
        <v>0</v>
      </c>
      <c r="R24" s="3"/>
      <c r="S24" s="3">
        <f>RANK($U24,$U$4:$U$33,0)+COUNTIF($U$4:$U24,$U24)-1</f>
        <v>21</v>
      </c>
      <c r="T24" s="3"/>
      <c r="U24" s="15">
        <f t="shared" si="5"/>
        <v>0</v>
      </c>
      <c r="W24" s="21"/>
      <c r="X24" s="22"/>
      <c r="Y24" s="23"/>
    </row>
    <row r="25" spans="4:25" x14ac:dyDescent="0.25">
      <c r="H25" s="3"/>
      <c r="I25" s="3"/>
      <c r="J25" s="3"/>
      <c r="K25" s="3"/>
      <c r="M25" s="3">
        <f t="shared" si="10"/>
        <v>22</v>
      </c>
      <c r="N25" s="3">
        <f t="shared" si="1"/>
        <v>0</v>
      </c>
      <c r="O25" s="15">
        <f t="shared" si="2"/>
        <v>0</v>
      </c>
      <c r="P25" s="7">
        <f t="shared" si="3"/>
        <v>0</v>
      </c>
      <c r="Q25" s="47">
        <f t="shared" si="4"/>
        <v>0</v>
      </c>
      <c r="S25" s="3">
        <f>RANK($U25,$U$4:$U$33,0)+COUNTIF($U$4:$U25,$U25)-1</f>
        <v>22</v>
      </c>
      <c r="T25" s="3"/>
      <c r="U25" s="15">
        <f t="shared" si="5"/>
        <v>0</v>
      </c>
      <c r="W25" s="21"/>
      <c r="X25" s="22"/>
      <c r="Y25" s="23"/>
    </row>
    <row r="26" spans="4:25" x14ac:dyDescent="0.25">
      <c r="M26" s="3">
        <f t="shared" si="10"/>
        <v>23</v>
      </c>
      <c r="N26" s="3">
        <f t="shared" si="1"/>
        <v>0</v>
      </c>
      <c r="O26" s="15">
        <f t="shared" si="2"/>
        <v>0</v>
      </c>
      <c r="P26" s="7">
        <f t="shared" si="3"/>
        <v>0</v>
      </c>
      <c r="Q26" s="47">
        <f t="shared" si="4"/>
        <v>0</v>
      </c>
      <c r="S26" s="3">
        <f>RANK($U26,$U$4:$U$33,0)+COUNTIF($U$4:$U26,$U26)-1</f>
        <v>23</v>
      </c>
      <c r="T26" s="3"/>
      <c r="U26" s="15">
        <f t="shared" si="5"/>
        <v>0</v>
      </c>
      <c r="W26" s="21"/>
      <c r="X26" s="22"/>
      <c r="Y26" s="23"/>
    </row>
    <row r="27" spans="4:25" x14ac:dyDescent="0.25">
      <c r="M27" s="3">
        <f t="shared" si="10"/>
        <v>24</v>
      </c>
      <c r="N27" s="3">
        <f t="shared" si="1"/>
        <v>0</v>
      </c>
      <c r="O27" s="15">
        <f t="shared" si="2"/>
        <v>0</v>
      </c>
      <c r="P27" s="7">
        <f t="shared" si="3"/>
        <v>0</v>
      </c>
      <c r="Q27" s="47">
        <f t="shared" si="4"/>
        <v>0</v>
      </c>
      <c r="S27" s="3">
        <f>RANK($U27,$U$4:$U$33,0)+COUNTIF($U$4:$U27,$U27)-1</f>
        <v>24</v>
      </c>
      <c r="T27" s="3"/>
      <c r="U27" s="15">
        <f t="shared" si="5"/>
        <v>0</v>
      </c>
      <c r="W27" s="21"/>
      <c r="X27" s="22"/>
      <c r="Y27" s="23"/>
    </row>
    <row r="28" spans="4:25" x14ac:dyDescent="0.25">
      <c r="M28" s="3">
        <f t="shared" si="10"/>
        <v>25</v>
      </c>
      <c r="N28" s="3">
        <f t="shared" si="1"/>
        <v>0</v>
      </c>
      <c r="O28" s="15">
        <f t="shared" si="2"/>
        <v>0</v>
      </c>
      <c r="P28" s="7">
        <f t="shared" si="3"/>
        <v>0</v>
      </c>
      <c r="Q28" s="47">
        <f t="shared" si="4"/>
        <v>0</v>
      </c>
      <c r="S28" s="3">
        <f>RANK($U28,$U$4:$U$33,0)+COUNTIF($U$4:$U28,$U28)-1</f>
        <v>25</v>
      </c>
      <c r="T28" s="3"/>
      <c r="U28" s="15">
        <f t="shared" si="5"/>
        <v>0</v>
      </c>
      <c r="W28" s="21"/>
      <c r="X28" s="22"/>
      <c r="Y28" s="23"/>
    </row>
    <row r="29" spans="4:25" x14ac:dyDescent="0.25">
      <c r="M29" s="3">
        <f t="shared" si="10"/>
        <v>26</v>
      </c>
      <c r="N29" s="3">
        <f t="shared" si="1"/>
        <v>0</v>
      </c>
      <c r="O29" s="15">
        <f t="shared" si="2"/>
        <v>0</v>
      </c>
      <c r="P29" s="7">
        <f t="shared" si="3"/>
        <v>0</v>
      </c>
      <c r="Q29" s="47">
        <f t="shared" si="4"/>
        <v>0</v>
      </c>
      <c r="S29" s="3">
        <f>RANK($U29,$U$4:$U$33,0)+COUNTIF($U$4:$U29,$U29)-1</f>
        <v>26</v>
      </c>
      <c r="T29" s="3"/>
      <c r="U29" s="15">
        <f t="shared" si="5"/>
        <v>0</v>
      </c>
      <c r="W29" s="21"/>
      <c r="X29" s="22"/>
      <c r="Y29" s="23"/>
    </row>
    <row r="30" spans="4:25" x14ac:dyDescent="0.25">
      <c r="M30" s="3">
        <f t="shared" si="10"/>
        <v>27</v>
      </c>
      <c r="N30" s="3">
        <f t="shared" si="1"/>
        <v>0</v>
      </c>
      <c r="O30" s="15">
        <f t="shared" si="2"/>
        <v>0</v>
      </c>
      <c r="P30" s="7">
        <f t="shared" si="3"/>
        <v>0</v>
      </c>
      <c r="Q30" s="47">
        <f t="shared" si="4"/>
        <v>0</v>
      </c>
      <c r="S30" s="3">
        <f>RANK($U30,$U$4:$U$33,0)+COUNTIF($U$4:$U30,$U30)-1</f>
        <v>27</v>
      </c>
      <c r="T30" s="3"/>
      <c r="U30" s="15">
        <f t="shared" si="5"/>
        <v>0</v>
      </c>
      <c r="W30" s="21"/>
      <c r="X30" s="22"/>
      <c r="Y30" s="23"/>
    </row>
    <row r="31" spans="4:25" x14ac:dyDescent="0.25">
      <c r="M31" s="3">
        <f t="shared" si="10"/>
        <v>28</v>
      </c>
      <c r="N31" s="3">
        <f t="shared" si="1"/>
        <v>0</v>
      </c>
      <c r="O31" s="15">
        <f t="shared" si="2"/>
        <v>0</v>
      </c>
      <c r="P31" s="7">
        <f t="shared" si="3"/>
        <v>0</v>
      </c>
      <c r="Q31" s="47">
        <f t="shared" si="4"/>
        <v>0</v>
      </c>
      <c r="S31" s="3">
        <f>RANK($U31,$U$4:$U$33,0)+COUNTIF($U$4:$U31,$U31)-1</f>
        <v>28</v>
      </c>
      <c r="T31" s="3"/>
      <c r="U31" s="15">
        <f t="shared" si="5"/>
        <v>0</v>
      </c>
      <c r="W31" s="21"/>
      <c r="X31" s="22"/>
      <c r="Y31" s="23"/>
    </row>
    <row r="32" spans="4:25" x14ac:dyDescent="0.25">
      <c r="M32" s="3"/>
      <c r="S32" s="3">
        <f>RANK($U32,$U$4:$U$33,0)+COUNTIF($U$4:$U32,$U32)-1</f>
        <v>29</v>
      </c>
      <c r="T32" s="3"/>
      <c r="U32" s="15">
        <f t="shared" si="5"/>
        <v>0</v>
      </c>
      <c r="W32" s="21"/>
      <c r="X32" s="22"/>
      <c r="Y32" s="23"/>
    </row>
    <row r="33" spans="13:25" x14ac:dyDescent="0.25">
      <c r="M33" s="3"/>
      <c r="S33" s="3">
        <f>RANK($U33,$U$4:$U$33,0)+COUNTIF($U$4:$U33,$U33)-1</f>
        <v>30</v>
      </c>
      <c r="T33" s="3"/>
      <c r="U33" s="15">
        <f t="shared" si="5"/>
        <v>0</v>
      </c>
      <c r="W33" s="21"/>
      <c r="X33" s="22"/>
      <c r="Y33" s="23"/>
    </row>
    <row r="34" spans="13:25" x14ac:dyDescent="0.25">
      <c r="M34" s="3"/>
      <c r="S34" s="3">
        <f>RANK($U34,$U$4:$U$33,0)+COUNTIF($U$4:$U34,$U34)-1</f>
        <v>31</v>
      </c>
      <c r="T34" s="3"/>
      <c r="U34" s="15">
        <f t="shared" si="5"/>
        <v>0</v>
      </c>
      <c r="W34" s="21"/>
      <c r="X34" s="22"/>
      <c r="Y34" s="23"/>
    </row>
    <row r="35" spans="13:25" x14ac:dyDescent="0.25">
      <c r="M35" s="3"/>
      <c r="S35" s="3">
        <f>RANK($U35,$U$4:$U$33,0)+COUNTIF($U$4:$U35,$U35)-1</f>
        <v>32</v>
      </c>
      <c r="T35" s="3"/>
      <c r="U35" s="15">
        <f t="shared" si="5"/>
        <v>0</v>
      </c>
      <c r="W35" s="21"/>
      <c r="X35" s="22"/>
      <c r="Y35" s="23"/>
    </row>
    <row r="36" spans="13:25" x14ac:dyDescent="0.25">
      <c r="M36" s="3"/>
      <c r="S36" s="3">
        <f>RANK($U36,$U$4:$U$33,0)+COUNTIF($U$4:$U36,$U36)-1</f>
        <v>33</v>
      </c>
      <c r="T36" s="3"/>
      <c r="U36" s="15">
        <f t="shared" si="5"/>
        <v>0</v>
      </c>
      <c r="W36" s="21"/>
      <c r="X36" s="22"/>
      <c r="Y36" s="23"/>
    </row>
    <row r="37" spans="13:25" x14ac:dyDescent="0.25">
      <c r="M37" s="3"/>
      <c r="S37" s="3">
        <f>RANK($U37,$U$4:$U$33,0)+COUNTIF($U$4:$U37,$U37)-1</f>
        <v>34</v>
      </c>
      <c r="T37" s="3"/>
      <c r="U37" s="15">
        <f t="shared" si="5"/>
        <v>0</v>
      </c>
      <c r="W37" s="21"/>
      <c r="X37" s="22"/>
      <c r="Y37" s="23"/>
    </row>
    <row r="38" spans="13:25" x14ac:dyDescent="0.25">
      <c r="M38" s="3"/>
      <c r="S38" s="3">
        <f>RANK($U38,$U$4:$U$33,0)+COUNTIF($U$4:$U38,$U38)-1</f>
        <v>35</v>
      </c>
      <c r="T38" s="3"/>
      <c r="U38" s="15">
        <f t="shared" si="5"/>
        <v>0</v>
      </c>
      <c r="W38" s="21"/>
      <c r="X38" s="22"/>
      <c r="Y38" s="23"/>
    </row>
    <row r="39" spans="13:25" x14ac:dyDescent="0.25">
      <c r="M39" s="3"/>
      <c r="S39" s="3">
        <f>RANK($U39,$U$4:$U$33,0)+COUNTIF($U$4:$U39,$U39)-1</f>
        <v>36</v>
      </c>
      <c r="T39" s="3"/>
      <c r="U39" s="15">
        <f t="shared" si="5"/>
        <v>0</v>
      </c>
      <c r="W39" s="21"/>
      <c r="X39" s="22"/>
      <c r="Y39" s="23"/>
    </row>
    <row r="40" spans="13:25" x14ac:dyDescent="0.25">
      <c r="M40" s="3"/>
      <c r="S40" s="3">
        <f>RANK($U40,$U$4:$U$33,0)+COUNTIF($U$4:$U40,$U40)-1</f>
        <v>37</v>
      </c>
      <c r="T40" s="3"/>
      <c r="U40" s="15">
        <f t="shared" si="5"/>
        <v>0</v>
      </c>
      <c r="W40" s="21"/>
      <c r="X40" s="22"/>
      <c r="Y40" s="23"/>
    </row>
    <row r="41" spans="13:25" x14ac:dyDescent="0.25">
      <c r="M41" s="3"/>
      <c r="S41" s="3">
        <f>RANK($U41,$U$4:$U$33,0)+COUNTIF($U$4:$U41,$U41)-1</f>
        <v>38</v>
      </c>
      <c r="T41" s="3"/>
      <c r="U41" s="15">
        <f t="shared" si="5"/>
        <v>0</v>
      </c>
      <c r="W41" s="21"/>
      <c r="X41" s="22"/>
      <c r="Y41" s="23"/>
    </row>
    <row r="42" spans="13:25" x14ac:dyDescent="0.25">
      <c r="M42" s="3"/>
      <c r="S42" s="3">
        <f>RANK($U42,$U$4:$U$33,0)+COUNTIF($U$4:$U42,$U42)-1</f>
        <v>39</v>
      </c>
      <c r="T42" s="3"/>
      <c r="U42" s="15">
        <f t="shared" si="5"/>
        <v>0</v>
      </c>
      <c r="W42" s="21"/>
      <c r="X42" s="22"/>
      <c r="Y42" s="23"/>
    </row>
    <row r="43" spans="13:25" x14ac:dyDescent="0.25">
      <c r="M43" s="3"/>
      <c r="S43" s="3">
        <f>RANK($U43,$U$4:$U$33,0)+COUNTIF($U$4:$U43,$U43)-1</f>
        <v>40</v>
      </c>
      <c r="T43" s="3"/>
      <c r="U43" s="15">
        <f t="shared" si="5"/>
        <v>0</v>
      </c>
      <c r="W43" s="21"/>
      <c r="X43" s="22"/>
      <c r="Y43" s="23"/>
    </row>
    <row r="44" spans="13:25" x14ac:dyDescent="0.25">
      <c r="M44" s="24" t="s">
        <v>19</v>
      </c>
      <c r="N44" s="24"/>
      <c r="O44" s="25">
        <f>SUM(O4:O43)</f>
        <v>64050</v>
      </c>
      <c r="P44" s="24"/>
      <c r="Q44" s="24"/>
      <c r="W44" s="21"/>
      <c r="X44" s="22"/>
      <c r="Y44" s="23"/>
    </row>
    <row r="45" spans="13:25" x14ac:dyDescent="0.25">
      <c r="W45" s="21"/>
      <c r="X45" s="22"/>
      <c r="Y45" s="23"/>
    </row>
    <row r="46" spans="13:25" x14ac:dyDescent="0.25">
      <c r="W46" s="21"/>
      <c r="X46" s="22"/>
      <c r="Y46" s="23"/>
    </row>
    <row r="47" spans="13:25" x14ac:dyDescent="0.25">
      <c r="W47" s="21"/>
      <c r="X47" s="22"/>
      <c r="Y47" s="23"/>
    </row>
    <row r="48" spans="13:25" x14ac:dyDescent="0.25">
      <c r="W48" s="21"/>
      <c r="X48" s="22"/>
      <c r="Y48" s="23"/>
    </row>
    <row r="49" spans="23:25" x14ac:dyDescent="0.25">
      <c r="W49" s="21"/>
      <c r="X49" s="22"/>
      <c r="Y49" s="23"/>
    </row>
    <row r="50" spans="23:25" x14ac:dyDescent="0.25">
      <c r="W50" s="21"/>
      <c r="X50" s="22"/>
      <c r="Y50" s="23"/>
    </row>
    <row r="51" spans="23:25" x14ac:dyDescent="0.25">
      <c r="W51" s="21"/>
      <c r="X51" s="22"/>
      <c r="Y51" s="23"/>
    </row>
    <row r="52" spans="23:25" x14ac:dyDescent="0.25">
      <c r="W52" s="21"/>
      <c r="X52" s="22"/>
      <c r="Y52" s="23"/>
    </row>
    <row r="53" spans="23:25" x14ac:dyDescent="0.25">
      <c r="W53" s="21"/>
      <c r="X53" s="22"/>
      <c r="Y53" s="23"/>
    </row>
    <row r="54" spans="23:25" x14ac:dyDescent="0.25">
      <c r="W54" s="21"/>
      <c r="X54" s="22"/>
      <c r="Y54" s="23"/>
    </row>
    <row r="55" spans="23:25" x14ac:dyDescent="0.25">
      <c r="W55" s="21"/>
      <c r="X55" s="22"/>
      <c r="Y55" s="23"/>
    </row>
    <row r="56" spans="23:25" x14ac:dyDescent="0.25">
      <c r="W56" s="21"/>
      <c r="X56" s="22"/>
      <c r="Y56" s="23"/>
    </row>
    <row r="57" spans="23:25" x14ac:dyDescent="0.25">
      <c r="W57" s="21"/>
      <c r="X57" s="22"/>
      <c r="Y57" s="23"/>
    </row>
    <row r="58" spans="23:25" x14ac:dyDescent="0.25">
      <c r="W58" s="21"/>
      <c r="X58" s="22"/>
      <c r="Y58" s="23"/>
    </row>
    <row r="59" spans="23:25" x14ac:dyDescent="0.25">
      <c r="W59" s="21"/>
      <c r="X59" s="22"/>
      <c r="Y59" s="23"/>
    </row>
    <row r="60" spans="23:25" x14ac:dyDescent="0.25">
      <c r="W60" s="21"/>
      <c r="X60" s="22"/>
      <c r="Y60" s="23"/>
    </row>
    <row r="61" spans="23:25" x14ac:dyDescent="0.25">
      <c r="W61" s="21"/>
      <c r="X61" s="22"/>
      <c r="Y61" s="23"/>
    </row>
    <row r="62" spans="23:25" x14ac:dyDescent="0.25">
      <c r="W62" s="21"/>
      <c r="X62" s="22"/>
      <c r="Y62" s="23"/>
    </row>
    <row r="63" spans="23:25" x14ac:dyDescent="0.25">
      <c r="W63" s="21"/>
      <c r="X63" s="22"/>
      <c r="Y63" s="23"/>
    </row>
    <row r="64" spans="23:25" x14ac:dyDescent="0.25">
      <c r="W64" s="21"/>
      <c r="X64" s="22"/>
      <c r="Y64" s="23"/>
    </row>
    <row r="65" spans="23:25" x14ac:dyDescent="0.25">
      <c r="W65" s="21"/>
      <c r="X65" s="22"/>
      <c r="Y65" s="23"/>
    </row>
    <row r="66" spans="23:25" x14ac:dyDescent="0.25">
      <c r="W66" s="21"/>
      <c r="X66" s="22"/>
      <c r="Y66" s="23"/>
    </row>
    <row r="67" spans="23:25" x14ac:dyDescent="0.25">
      <c r="W67" s="21"/>
      <c r="X67" s="22"/>
      <c r="Y67" s="23"/>
    </row>
    <row r="68" spans="23:25" x14ac:dyDescent="0.25">
      <c r="W68" s="21"/>
      <c r="X68" s="22"/>
      <c r="Y68" s="23"/>
    </row>
    <row r="69" spans="23:25" x14ac:dyDescent="0.25">
      <c r="W69" s="21"/>
      <c r="X69" s="22"/>
      <c r="Y69" s="23"/>
    </row>
    <row r="70" spans="23:25" x14ac:dyDescent="0.25">
      <c r="W70" s="21"/>
      <c r="X70" s="22"/>
      <c r="Y70" s="23"/>
    </row>
    <row r="71" spans="23:25" x14ac:dyDescent="0.25">
      <c r="W71" s="21"/>
      <c r="X71" s="22"/>
      <c r="Y71" s="23"/>
    </row>
    <row r="72" spans="23:25" x14ac:dyDescent="0.25">
      <c r="W72" s="21"/>
      <c r="X72" s="22"/>
      <c r="Y72" s="23"/>
    </row>
    <row r="73" spans="23:25" x14ac:dyDescent="0.25">
      <c r="W73" s="21"/>
      <c r="X73" s="22"/>
      <c r="Y73" s="23"/>
    </row>
    <row r="74" spans="23:25" x14ac:dyDescent="0.25">
      <c r="W74" s="21"/>
      <c r="X74" s="22"/>
      <c r="Y74" s="23"/>
    </row>
    <row r="75" spans="23:25" x14ac:dyDescent="0.25">
      <c r="W75" s="21"/>
      <c r="X75" s="22"/>
      <c r="Y75" s="23"/>
    </row>
    <row r="76" spans="23:25" x14ac:dyDescent="0.25">
      <c r="W76" s="21"/>
      <c r="X76" s="22"/>
      <c r="Y76" s="23"/>
    </row>
    <row r="77" spans="23:25" x14ac:dyDescent="0.25">
      <c r="W77" s="21"/>
      <c r="X77" s="22"/>
      <c r="Y77" s="23"/>
    </row>
    <row r="78" spans="23:25" x14ac:dyDescent="0.25">
      <c r="W78" s="21"/>
      <c r="X78" s="22"/>
      <c r="Y78" s="23"/>
    </row>
    <row r="79" spans="23:25" x14ac:dyDescent="0.25">
      <c r="W79" s="21"/>
      <c r="X79" s="22"/>
      <c r="Y79" s="23"/>
    </row>
    <row r="80" spans="23:25" x14ac:dyDescent="0.25">
      <c r="W80" s="21"/>
      <c r="X80" s="22"/>
      <c r="Y80" s="23"/>
    </row>
    <row r="81" spans="23:25" x14ac:dyDescent="0.25">
      <c r="W81" s="21"/>
      <c r="X81" s="22"/>
      <c r="Y81" s="23"/>
    </row>
    <row r="82" spans="23:25" x14ac:dyDescent="0.25">
      <c r="W82" s="21"/>
      <c r="X82" s="22"/>
      <c r="Y82" s="23"/>
    </row>
    <row r="83" spans="23:25" x14ac:dyDescent="0.25">
      <c r="W83" s="21"/>
      <c r="X83" s="22"/>
      <c r="Y83" s="23"/>
    </row>
    <row r="84" spans="23:25" x14ac:dyDescent="0.25">
      <c r="W84" s="21"/>
      <c r="X84" s="22"/>
      <c r="Y84" s="23"/>
    </row>
  </sheetData>
  <autoFilter ref="N3:P3" xr:uid="{AA32C9B4-C5D5-47B1-8BEA-EF3AA4FA322C}"/>
  <pageMargins left="0.7" right="0.7" top="0.75" bottom="0.75" header="0.3" footer="0.3"/>
  <pageSetup paperSize="9" orientation="portrait" r:id="rId1"/>
  <ignoredErrors>
    <ignoredError sqref="I6" twoDigitTextYear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6C96-9239-4CD7-8606-611C02B26081}">
  <sheetPr>
    <tabColor theme="5" tint="0.79998168889431442"/>
  </sheetPr>
  <dimension ref="B2:Q51"/>
  <sheetViews>
    <sheetView workbookViewId="0">
      <selection activeCell="M28" sqref="M28"/>
    </sheetView>
  </sheetViews>
  <sheetFormatPr defaultRowHeight="15" x14ac:dyDescent="0.25"/>
  <cols>
    <col min="2" max="2" width="6.85546875" customWidth="1"/>
    <col min="3" max="3" width="15.85546875" bestFit="1" customWidth="1"/>
    <col min="4" max="4" width="15.42578125" bestFit="1" customWidth="1"/>
    <col min="5" max="5" width="9.7109375" customWidth="1"/>
    <col min="6" max="6" width="11" bestFit="1" customWidth="1"/>
    <col min="7" max="8" width="9.7109375" customWidth="1"/>
    <col min="9" max="9" width="15" bestFit="1" customWidth="1"/>
    <col min="10" max="10" width="33.5703125" bestFit="1" customWidth="1"/>
    <col min="11" max="14" width="9.7109375" customWidth="1"/>
  </cols>
  <sheetData>
    <row r="2" spans="2:17" s="29" customFormat="1" x14ac:dyDescent="0.25">
      <c r="E2" s="30"/>
    </row>
    <row r="3" spans="2:17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2"/>
      <c r="Q3" s="32"/>
    </row>
    <row r="4" spans="2:17" x14ac:dyDescent="0.25">
      <c r="B4" s="36" t="s">
        <v>14</v>
      </c>
      <c r="C4" s="36" t="s">
        <v>139</v>
      </c>
      <c r="D4" s="36" t="s">
        <v>138</v>
      </c>
      <c r="E4" s="36" t="s">
        <v>92</v>
      </c>
      <c r="F4" s="36" t="s">
        <v>146</v>
      </c>
      <c r="G4" s="36" t="s">
        <v>143</v>
      </c>
      <c r="H4" s="36"/>
      <c r="I4" s="36"/>
      <c r="J4" s="36" t="s">
        <v>130</v>
      </c>
      <c r="K4" s="3"/>
      <c r="L4" s="3"/>
      <c r="M4" s="3"/>
      <c r="N4" s="3"/>
      <c r="O4" s="3"/>
      <c r="P4" s="3"/>
      <c r="Q4" s="3"/>
    </row>
    <row r="5" spans="2:17" x14ac:dyDescent="0.2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x14ac:dyDescent="0.25">
      <c r="B6" s="35" t="s">
        <v>91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x14ac:dyDescent="0.25">
      <c r="B7" s="3">
        <v>1</v>
      </c>
      <c r="C7" s="32" t="s">
        <v>93</v>
      </c>
      <c r="D7" s="32" t="s">
        <v>94</v>
      </c>
      <c r="E7" s="3">
        <v>78</v>
      </c>
      <c r="F7" s="3"/>
      <c r="G7" s="3"/>
      <c r="H7" s="3"/>
      <c r="I7" s="3"/>
      <c r="J7" s="32" t="s">
        <v>95</v>
      </c>
      <c r="K7" s="3"/>
      <c r="L7" s="3"/>
      <c r="M7" s="3"/>
      <c r="N7" s="3"/>
      <c r="O7" s="3"/>
      <c r="P7" s="3"/>
      <c r="Q7" s="3"/>
    </row>
    <row r="8" spans="2:17" x14ac:dyDescent="0.25">
      <c r="B8" s="3">
        <v>2</v>
      </c>
      <c r="C8" s="32" t="s">
        <v>96</v>
      </c>
      <c r="D8" s="32" t="s">
        <v>97</v>
      </c>
      <c r="E8" s="3">
        <v>56</v>
      </c>
      <c r="F8" s="3"/>
      <c r="G8" s="3"/>
      <c r="H8" s="3"/>
      <c r="I8" s="3"/>
      <c r="J8" s="32" t="s">
        <v>133</v>
      </c>
      <c r="K8" s="3"/>
      <c r="L8" s="3"/>
      <c r="M8" s="3"/>
      <c r="N8" s="3"/>
      <c r="O8" s="3"/>
      <c r="P8" s="3"/>
      <c r="Q8" s="3"/>
    </row>
    <row r="9" spans="2:17" x14ac:dyDescent="0.25">
      <c r="B9" s="3">
        <v>3</v>
      </c>
      <c r="C9" s="32" t="s">
        <v>98</v>
      </c>
      <c r="D9" s="32" t="s">
        <v>99</v>
      </c>
      <c r="E9" s="3">
        <v>28</v>
      </c>
      <c r="F9" s="3"/>
      <c r="G9" s="3"/>
      <c r="H9" s="3"/>
      <c r="I9" s="3"/>
      <c r="J9" s="32" t="s">
        <v>100</v>
      </c>
    </row>
    <row r="10" spans="2:17" x14ac:dyDescent="0.25">
      <c r="B10" s="3">
        <v>4</v>
      </c>
      <c r="C10" s="32" t="s">
        <v>101</v>
      </c>
      <c r="D10" s="32" t="s">
        <v>102</v>
      </c>
      <c r="E10" s="3">
        <v>39</v>
      </c>
      <c r="F10" s="3"/>
      <c r="G10" s="3"/>
      <c r="H10" s="3"/>
      <c r="I10" s="3"/>
      <c r="J10" s="32" t="s">
        <v>134</v>
      </c>
      <c r="K10" s="3"/>
      <c r="L10" s="3"/>
      <c r="M10" s="3"/>
      <c r="N10" s="3"/>
      <c r="O10" s="3"/>
      <c r="P10" s="3"/>
      <c r="Q10" s="3"/>
    </row>
    <row r="11" spans="2:17" x14ac:dyDescent="0.25">
      <c r="B11" s="3">
        <v>5</v>
      </c>
      <c r="C11" s="32" t="s">
        <v>103</v>
      </c>
      <c r="D11" s="32" t="s">
        <v>104</v>
      </c>
      <c r="E11" s="3">
        <v>33</v>
      </c>
      <c r="F11" s="3"/>
      <c r="G11" s="3"/>
      <c r="H11" s="3"/>
      <c r="I11" s="3"/>
      <c r="J11" s="32" t="s">
        <v>135</v>
      </c>
    </row>
    <row r="12" spans="2:17" x14ac:dyDescent="0.25">
      <c r="B12" s="34">
        <v>6</v>
      </c>
      <c r="C12" s="33" t="s">
        <v>105</v>
      </c>
      <c r="D12" s="33" t="s">
        <v>106</v>
      </c>
      <c r="E12" s="34">
        <v>28</v>
      </c>
      <c r="F12" s="34"/>
      <c r="G12" s="34"/>
      <c r="H12" s="34"/>
      <c r="I12" s="34"/>
      <c r="J12" s="33" t="s">
        <v>107</v>
      </c>
    </row>
    <row r="13" spans="2:17" x14ac:dyDescent="0.25">
      <c r="B13" s="3">
        <v>7</v>
      </c>
      <c r="C13" s="32" t="s">
        <v>108</v>
      </c>
      <c r="D13" s="32" t="s">
        <v>109</v>
      </c>
      <c r="E13" s="3">
        <v>28</v>
      </c>
      <c r="F13" s="3"/>
      <c r="G13" s="3"/>
      <c r="H13" s="3"/>
      <c r="I13" s="3"/>
      <c r="J13" t="s">
        <v>141</v>
      </c>
    </row>
    <row r="14" spans="2:17" x14ac:dyDescent="0.25">
      <c r="B14" s="3">
        <v>8</v>
      </c>
      <c r="C14" s="32" t="s">
        <v>110</v>
      </c>
      <c r="D14" s="32" t="s">
        <v>111</v>
      </c>
      <c r="E14" s="3">
        <v>17</v>
      </c>
      <c r="F14" s="3"/>
      <c r="G14" s="3"/>
      <c r="H14" s="3"/>
      <c r="I14" s="3"/>
      <c r="J14" s="32" t="s">
        <v>112</v>
      </c>
    </row>
    <row r="15" spans="2:17" x14ac:dyDescent="0.25">
      <c r="B15" s="3">
        <v>9</v>
      </c>
      <c r="C15" s="32" t="s">
        <v>113</v>
      </c>
      <c r="D15" s="32" t="s">
        <v>114</v>
      </c>
      <c r="E15" s="3">
        <v>22</v>
      </c>
      <c r="F15" s="3"/>
      <c r="G15" s="3"/>
      <c r="H15" s="3"/>
      <c r="I15" s="3"/>
      <c r="J15" s="32" t="s">
        <v>132</v>
      </c>
    </row>
    <row r="16" spans="2:17" x14ac:dyDescent="0.25">
      <c r="B16" s="3">
        <v>10</v>
      </c>
      <c r="C16" s="32" t="s">
        <v>115</v>
      </c>
      <c r="D16" s="32" t="s">
        <v>116</v>
      </c>
      <c r="E16" s="3">
        <v>11</v>
      </c>
      <c r="F16" s="3"/>
      <c r="G16" s="3"/>
      <c r="H16" s="3"/>
      <c r="I16" s="3"/>
      <c r="J16" s="32" t="s">
        <v>117</v>
      </c>
    </row>
    <row r="17" spans="2:10" x14ac:dyDescent="0.25">
      <c r="B17" s="3" t="s">
        <v>67</v>
      </c>
      <c r="C17" s="32" t="s">
        <v>118</v>
      </c>
      <c r="D17" s="32" t="s">
        <v>119</v>
      </c>
      <c r="E17" s="3"/>
      <c r="F17" s="3"/>
      <c r="G17" s="3"/>
      <c r="H17" s="3"/>
      <c r="I17" s="3"/>
      <c r="J17" s="32" t="s">
        <v>136</v>
      </c>
    </row>
    <row r="18" spans="2:10" x14ac:dyDescent="0.25">
      <c r="B18" s="3" t="s">
        <v>67</v>
      </c>
      <c r="C18" s="32" t="s">
        <v>120</v>
      </c>
      <c r="D18" s="32" t="s">
        <v>121</v>
      </c>
      <c r="E18" s="3"/>
      <c r="F18" s="3"/>
      <c r="G18" s="3"/>
      <c r="H18" s="3"/>
      <c r="I18" s="3"/>
      <c r="J18" s="32" t="s">
        <v>137</v>
      </c>
    </row>
    <row r="19" spans="2:10" x14ac:dyDescent="0.25">
      <c r="B19" s="3" t="s">
        <v>67</v>
      </c>
      <c r="C19" s="32" t="s">
        <v>122</v>
      </c>
      <c r="D19" s="32" t="s">
        <v>123</v>
      </c>
      <c r="E19" s="3"/>
      <c r="F19" s="3"/>
      <c r="G19" s="3"/>
      <c r="H19" s="3"/>
      <c r="I19" s="3"/>
      <c r="J19" s="32" t="s">
        <v>140</v>
      </c>
    </row>
    <row r="20" spans="2:10" x14ac:dyDescent="0.25">
      <c r="B20" s="3" t="s">
        <v>67</v>
      </c>
      <c r="C20" s="32" t="s">
        <v>124</v>
      </c>
      <c r="D20" s="32" t="s">
        <v>125</v>
      </c>
      <c r="E20" s="3"/>
      <c r="F20" s="3"/>
      <c r="G20" s="3"/>
      <c r="H20" s="3"/>
      <c r="I20" s="3"/>
      <c r="J20" s="32" t="s">
        <v>117</v>
      </c>
    </row>
    <row r="21" spans="2:10" x14ac:dyDescent="0.25">
      <c r="B21" s="3" t="s">
        <v>67</v>
      </c>
      <c r="C21" s="32" t="s">
        <v>126</v>
      </c>
      <c r="D21" s="32" t="s">
        <v>127</v>
      </c>
      <c r="E21" s="3"/>
      <c r="F21" s="3"/>
      <c r="G21" s="3"/>
      <c r="H21" s="3"/>
      <c r="I21" s="3"/>
      <c r="J21" t="s">
        <v>131</v>
      </c>
    </row>
    <row r="22" spans="2:10" x14ac:dyDescent="0.25">
      <c r="B22" s="3" t="s">
        <v>67</v>
      </c>
      <c r="C22" s="32" t="s">
        <v>128</v>
      </c>
      <c r="D22" s="32" t="s">
        <v>129</v>
      </c>
      <c r="E22" s="3"/>
      <c r="F22" s="3"/>
      <c r="G22" s="3"/>
      <c r="H22" s="3"/>
      <c r="I22" s="3"/>
      <c r="J22" s="32" t="s">
        <v>140</v>
      </c>
    </row>
    <row r="23" spans="2:10" x14ac:dyDescent="0.25">
      <c r="E23" s="3"/>
      <c r="F23" s="3"/>
      <c r="G23" s="3"/>
      <c r="H23" s="3"/>
      <c r="I23" s="3"/>
    </row>
    <row r="24" spans="2:10" x14ac:dyDescent="0.25">
      <c r="B24" s="35" t="s">
        <v>142</v>
      </c>
      <c r="E24" s="39" t="s">
        <v>147</v>
      </c>
      <c r="F24" s="39" t="s">
        <v>147</v>
      </c>
      <c r="G24" s="39" t="s">
        <v>148</v>
      </c>
      <c r="H24" s="39" t="s">
        <v>148</v>
      </c>
      <c r="I24" s="39"/>
    </row>
    <row r="25" spans="2:10" x14ac:dyDescent="0.25">
      <c r="B25" s="3">
        <v>1</v>
      </c>
      <c r="C25" s="32" t="s">
        <v>93</v>
      </c>
      <c r="D25" s="32" t="s">
        <v>94</v>
      </c>
      <c r="E25" s="3">
        <v>94</v>
      </c>
      <c r="F25" s="3">
        <v>61</v>
      </c>
      <c r="G25" s="3">
        <v>73</v>
      </c>
      <c r="H25" s="3">
        <v>40</v>
      </c>
      <c r="I25" s="3"/>
      <c r="J25" s="32"/>
    </row>
    <row r="26" spans="2:10" x14ac:dyDescent="0.25">
      <c r="B26" s="3">
        <v>2</v>
      </c>
      <c r="C26" s="32" t="s">
        <v>101</v>
      </c>
      <c r="D26" s="32" t="s">
        <v>102</v>
      </c>
      <c r="E26" s="3">
        <v>44</v>
      </c>
      <c r="F26" s="3">
        <v>0</v>
      </c>
      <c r="G26" s="3">
        <v>53</v>
      </c>
      <c r="H26" s="3">
        <v>11</v>
      </c>
      <c r="I26" s="3"/>
      <c r="J26" s="32"/>
    </row>
    <row r="27" spans="2:10" x14ac:dyDescent="0.25">
      <c r="B27" s="3">
        <v>3</v>
      </c>
      <c r="C27" s="32" t="s">
        <v>110</v>
      </c>
      <c r="D27" s="32" t="s">
        <v>111</v>
      </c>
      <c r="E27" s="3">
        <v>39</v>
      </c>
      <c r="F27" s="3">
        <v>11</v>
      </c>
      <c r="G27" s="3">
        <v>24</v>
      </c>
      <c r="H27" s="3">
        <v>11</v>
      </c>
      <c r="I27" s="3"/>
      <c r="J27" s="32"/>
    </row>
    <row r="28" spans="2:10" x14ac:dyDescent="0.25">
      <c r="B28" s="34">
        <v>4</v>
      </c>
      <c r="C28" s="33" t="s">
        <v>144</v>
      </c>
      <c r="D28" s="33" t="s">
        <v>106</v>
      </c>
      <c r="E28" s="34">
        <v>33</v>
      </c>
      <c r="F28" s="34">
        <v>6</v>
      </c>
      <c r="G28" s="34">
        <v>25</v>
      </c>
      <c r="H28" s="34">
        <v>4</v>
      </c>
      <c r="I28" s="40" t="s">
        <v>145</v>
      </c>
      <c r="J28" s="33"/>
    </row>
    <row r="29" spans="2:10" x14ac:dyDescent="0.25">
      <c r="B29" s="3">
        <v>5</v>
      </c>
      <c r="C29" s="32" t="s">
        <v>103</v>
      </c>
      <c r="D29" s="32" t="s">
        <v>104</v>
      </c>
      <c r="E29" s="3">
        <v>33</v>
      </c>
      <c r="F29" s="3">
        <v>0</v>
      </c>
      <c r="G29" s="3">
        <v>22</v>
      </c>
      <c r="H29" s="3">
        <v>2</v>
      </c>
      <c r="I29" s="3"/>
      <c r="J29" s="32"/>
    </row>
    <row r="30" spans="2:10" x14ac:dyDescent="0.25">
      <c r="B30" s="3">
        <v>6</v>
      </c>
      <c r="C30" s="32" t="s">
        <v>96</v>
      </c>
      <c r="D30" s="32" t="s">
        <v>97</v>
      </c>
      <c r="E30" s="3">
        <v>28</v>
      </c>
      <c r="F30" s="3">
        <v>6</v>
      </c>
      <c r="G30" s="3">
        <v>35</v>
      </c>
      <c r="H30" s="3">
        <v>15</v>
      </c>
      <c r="I30" s="3"/>
      <c r="J30" s="32"/>
    </row>
    <row r="31" spans="2:10" x14ac:dyDescent="0.25">
      <c r="B31" s="3">
        <v>7</v>
      </c>
      <c r="C31" s="32" t="s">
        <v>118</v>
      </c>
      <c r="D31" s="32" t="s">
        <v>119</v>
      </c>
      <c r="E31" s="3">
        <v>28</v>
      </c>
      <c r="F31" s="3">
        <v>0</v>
      </c>
      <c r="G31" s="3">
        <v>13</v>
      </c>
      <c r="H31" s="3">
        <v>0</v>
      </c>
      <c r="I31" s="3"/>
    </row>
    <row r="32" spans="2:10" x14ac:dyDescent="0.25">
      <c r="B32" s="3">
        <v>8</v>
      </c>
      <c r="C32" s="32" t="s">
        <v>113</v>
      </c>
      <c r="D32" s="32" t="s">
        <v>114</v>
      </c>
      <c r="E32" s="3">
        <v>22</v>
      </c>
      <c r="F32" s="3">
        <v>0</v>
      </c>
      <c r="G32" s="3">
        <v>36</v>
      </c>
      <c r="H32" s="3">
        <v>4</v>
      </c>
      <c r="I32" s="3"/>
      <c r="J32" s="32"/>
    </row>
    <row r="33" spans="2:10" x14ac:dyDescent="0.25">
      <c r="B33" s="3">
        <v>9</v>
      </c>
      <c r="C33" s="32" t="s">
        <v>98</v>
      </c>
      <c r="D33" s="32" t="s">
        <v>99</v>
      </c>
      <c r="E33" s="3">
        <v>17</v>
      </c>
      <c r="F33" s="3">
        <v>6</v>
      </c>
      <c r="G33" s="3">
        <v>25</v>
      </c>
      <c r="H33" s="3">
        <v>9</v>
      </c>
      <c r="I33" s="3"/>
      <c r="J33" s="32"/>
    </row>
    <row r="34" spans="2:10" x14ac:dyDescent="0.25">
      <c r="B34" s="3">
        <v>10</v>
      </c>
      <c r="C34" s="32" t="s">
        <v>115</v>
      </c>
      <c r="D34" s="32" t="s">
        <v>116</v>
      </c>
      <c r="E34" s="3">
        <v>11</v>
      </c>
      <c r="F34" s="3">
        <v>0</v>
      </c>
      <c r="G34" s="3">
        <v>13</v>
      </c>
      <c r="H34" s="3">
        <v>0</v>
      </c>
      <c r="I34" s="3"/>
      <c r="J34" s="32"/>
    </row>
    <row r="35" spans="2:10" x14ac:dyDescent="0.25">
      <c r="B35" s="3" t="s">
        <v>67</v>
      </c>
      <c r="C35" s="32" t="s">
        <v>108</v>
      </c>
      <c r="D35" s="32" t="s">
        <v>109</v>
      </c>
      <c r="E35" s="3">
        <v>11</v>
      </c>
      <c r="F35" s="3">
        <v>0</v>
      </c>
      <c r="G35" s="3">
        <v>16</v>
      </c>
      <c r="H35" s="3">
        <v>0</v>
      </c>
      <c r="I35" s="3"/>
      <c r="J35" s="32"/>
    </row>
    <row r="36" spans="2:10" x14ac:dyDescent="0.25">
      <c r="B36" s="3" t="s">
        <v>67</v>
      </c>
      <c r="C36" s="32" t="s">
        <v>124</v>
      </c>
      <c r="D36" s="32" t="s">
        <v>125</v>
      </c>
      <c r="E36" s="3">
        <v>6</v>
      </c>
      <c r="F36" s="3">
        <v>0</v>
      </c>
      <c r="G36" s="3">
        <v>2</v>
      </c>
      <c r="H36" s="3">
        <v>0</v>
      </c>
      <c r="I36" s="3"/>
      <c r="J36" s="32"/>
    </row>
    <row r="37" spans="2:10" x14ac:dyDescent="0.25">
      <c r="B37" s="3" t="s">
        <v>67</v>
      </c>
      <c r="C37" s="32" t="s">
        <v>120</v>
      </c>
      <c r="D37" s="32" t="s">
        <v>121</v>
      </c>
      <c r="E37" s="3">
        <v>6</v>
      </c>
      <c r="F37" s="3">
        <v>0</v>
      </c>
      <c r="G37" s="3">
        <v>9</v>
      </c>
      <c r="H37" s="3">
        <v>0</v>
      </c>
      <c r="I37" s="3"/>
      <c r="J37" s="32"/>
    </row>
    <row r="38" spans="2:10" x14ac:dyDescent="0.25">
      <c r="B38" s="3" t="s">
        <v>67</v>
      </c>
      <c r="C38" s="32"/>
      <c r="D38" s="32"/>
      <c r="E38" s="3"/>
      <c r="F38" s="3"/>
      <c r="G38" s="3"/>
      <c r="H38" s="3"/>
      <c r="I38" s="3"/>
      <c r="J38" s="32"/>
    </row>
    <row r="39" spans="2:10" x14ac:dyDescent="0.25">
      <c r="B39" s="3" t="s">
        <v>67</v>
      </c>
      <c r="C39" s="32"/>
      <c r="D39" s="32"/>
      <c r="E39" s="3"/>
      <c r="F39" s="3"/>
      <c r="G39" s="3"/>
      <c r="H39" s="3"/>
      <c r="I39" s="3"/>
    </row>
    <row r="40" spans="2:10" x14ac:dyDescent="0.25">
      <c r="B40" s="3" t="s">
        <v>67</v>
      </c>
      <c r="C40" s="32"/>
      <c r="D40" s="32"/>
      <c r="E40" s="3"/>
      <c r="F40" s="3"/>
      <c r="G40" s="3"/>
      <c r="H40" s="3"/>
      <c r="I40" s="3"/>
      <c r="J40" s="32"/>
    </row>
    <row r="43" spans="2:10" x14ac:dyDescent="0.25">
      <c r="C43" t="s">
        <v>149</v>
      </c>
      <c r="D43" t="s">
        <v>150</v>
      </c>
      <c r="E43" t="s">
        <v>151</v>
      </c>
      <c r="F43" t="s">
        <v>152</v>
      </c>
    </row>
    <row r="45" spans="2:10" x14ac:dyDescent="0.25">
      <c r="C45" t="s">
        <v>153</v>
      </c>
      <c r="D45" t="s">
        <v>0</v>
      </c>
      <c r="E45" t="s">
        <v>30</v>
      </c>
      <c r="F45" t="s">
        <v>54</v>
      </c>
    </row>
    <row r="46" spans="2:10" x14ac:dyDescent="0.25">
      <c r="C46" t="s">
        <v>41</v>
      </c>
      <c r="D46" t="s">
        <v>18</v>
      </c>
      <c r="E46" t="s">
        <v>33</v>
      </c>
      <c r="F46" t="s">
        <v>48</v>
      </c>
    </row>
    <row r="47" spans="2:10" x14ac:dyDescent="0.25">
      <c r="C47" t="s">
        <v>49</v>
      </c>
      <c r="D47" t="s">
        <v>42</v>
      </c>
      <c r="E47" t="s">
        <v>51</v>
      </c>
      <c r="F47" t="s">
        <v>154</v>
      </c>
    </row>
    <row r="48" spans="2:10" x14ac:dyDescent="0.25">
      <c r="C48" t="s">
        <v>58</v>
      </c>
      <c r="D48" t="s">
        <v>77</v>
      </c>
      <c r="E48" t="s">
        <v>155</v>
      </c>
    </row>
    <row r="49" spans="4:4" x14ac:dyDescent="0.25">
      <c r="D49" t="s">
        <v>24</v>
      </c>
    </row>
    <row r="50" spans="4:4" x14ac:dyDescent="0.25">
      <c r="D50" t="s">
        <v>1</v>
      </c>
    </row>
    <row r="51" spans="4:4" x14ac:dyDescent="0.25">
      <c r="D51" t="s">
        <v>59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4D01-B089-4F83-8580-8B3E6FB0D733}">
  <sheetPr codeName="Sheet6">
    <tabColor theme="5" tint="0.79998168889431442"/>
  </sheetPr>
  <dimension ref="B2:AH223"/>
  <sheetViews>
    <sheetView workbookViewId="0">
      <selection activeCell="X20" sqref="X20"/>
    </sheetView>
  </sheetViews>
  <sheetFormatPr defaultRowHeight="15" outlineLevelCol="1" x14ac:dyDescent="0.25"/>
  <cols>
    <col min="2" max="2" width="10" hidden="1" customWidth="1" outlineLevel="1"/>
    <col min="3" max="3" width="9.7109375" hidden="1" customWidth="1" outlineLevel="1"/>
    <col min="4" max="4" width="9.140625" collapsed="1"/>
    <col min="5" max="5" width="10.140625" bestFit="1" customWidth="1"/>
    <col min="6" max="6" width="2.7109375" customWidth="1"/>
    <col min="7" max="8" width="9.7109375" hidden="1" customWidth="1" outlineLevel="1"/>
    <col min="9" max="9" width="9.140625" collapsed="1"/>
    <col min="10" max="10" width="10.140625" bestFit="1" customWidth="1"/>
    <col min="11" max="11" width="2.7109375" customWidth="1"/>
    <col min="12" max="13" width="9.7109375" hidden="1" customWidth="1" outlineLevel="1"/>
    <col min="14" max="14" width="9.140625" collapsed="1"/>
    <col min="15" max="15" width="10.140625" bestFit="1" customWidth="1"/>
    <col min="16" max="16" width="2.7109375" customWidth="1"/>
    <col min="17" max="17" width="9.140625" style="3" hidden="1" customWidth="1" outlineLevel="1" collapsed="1"/>
    <col min="18" max="18" width="9" hidden="1" customWidth="1" outlineLevel="1"/>
    <col min="19" max="19" width="9" customWidth="1" collapsed="1"/>
    <col min="20" max="21" width="10.5703125" customWidth="1"/>
    <col min="22" max="22" width="2.7109375" customWidth="1"/>
    <col min="24" max="24" width="10.5703125" bestFit="1" customWidth="1"/>
    <col min="27" max="27" width="2.7109375" customWidth="1" outlineLevel="1"/>
    <col min="28" max="29" width="10.5703125" customWidth="1" outlineLevel="1"/>
    <col min="30" max="30" width="9.140625" customWidth="1" outlineLevel="1"/>
    <col min="31" max="31" width="2.7109375" customWidth="1"/>
    <col min="32" max="32" width="10.42578125" bestFit="1" customWidth="1"/>
    <col min="34" max="34" width="10.5703125" bestFit="1" customWidth="1"/>
    <col min="35" max="35" width="2.7109375" customWidth="1"/>
  </cols>
  <sheetData>
    <row r="2" spans="2:34" x14ac:dyDescent="0.25">
      <c r="B2" s="50"/>
      <c r="C2" s="50"/>
      <c r="D2" s="20" t="s">
        <v>162</v>
      </c>
      <c r="E2" s="20"/>
      <c r="G2" s="50"/>
      <c r="H2" s="50"/>
      <c r="I2" s="20" t="s">
        <v>181</v>
      </c>
      <c r="J2" s="20"/>
      <c r="L2" s="50"/>
      <c r="M2" s="50"/>
      <c r="N2" s="20" t="s">
        <v>182</v>
      </c>
      <c r="O2" s="20"/>
      <c r="Q2" s="51"/>
      <c r="R2" s="51"/>
      <c r="S2" s="16" t="s">
        <v>167</v>
      </c>
      <c r="T2" s="16"/>
      <c r="U2" s="16"/>
      <c r="W2" s="6" t="s">
        <v>16</v>
      </c>
      <c r="X2" s="6"/>
      <c r="Y2" s="6"/>
      <c r="Z2" s="6"/>
      <c r="AB2" s="16" t="s">
        <v>23</v>
      </c>
      <c r="AC2" s="16"/>
      <c r="AD2" s="16"/>
      <c r="AF2" s="5" t="s">
        <v>12</v>
      </c>
      <c r="AG2" s="5"/>
      <c r="AH2" s="5"/>
    </row>
    <row r="3" spans="2:34" s="9" customFormat="1" x14ac:dyDescent="0.25">
      <c r="B3" s="12" t="s">
        <v>183</v>
      </c>
      <c r="C3" s="12" t="s">
        <v>184</v>
      </c>
      <c r="D3" s="12" t="s">
        <v>8</v>
      </c>
      <c r="E3" s="11" t="s">
        <v>9</v>
      </c>
      <c r="G3" s="12" t="s">
        <v>183</v>
      </c>
      <c r="H3" s="12" t="s">
        <v>184</v>
      </c>
      <c r="I3" s="12" t="s">
        <v>8</v>
      </c>
      <c r="J3" s="11" t="s">
        <v>9</v>
      </c>
      <c r="L3" s="12" t="s">
        <v>183</v>
      </c>
      <c r="M3" s="12" t="s">
        <v>184</v>
      </c>
      <c r="N3" s="12" t="s">
        <v>8</v>
      </c>
      <c r="O3" s="11" t="s">
        <v>9</v>
      </c>
      <c r="Q3" s="12" t="s">
        <v>8</v>
      </c>
      <c r="R3" s="11" t="s">
        <v>9</v>
      </c>
      <c r="S3" s="11" t="s">
        <v>176</v>
      </c>
      <c r="T3" s="11" t="s">
        <v>9</v>
      </c>
      <c r="U3" s="11" t="s">
        <v>177</v>
      </c>
      <c r="W3" s="10" t="s">
        <v>14</v>
      </c>
      <c r="X3" s="10" t="s">
        <v>10</v>
      </c>
      <c r="Y3" s="11" t="s">
        <v>9</v>
      </c>
      <c r="Z3" s="11" t="s">
        <v>15</v>
      </c>
      <c r="AB3" s="10" t="s">
        <v>10</v>
      </c>
      <c r="AC3" s="10" t="s">
        <v>10</v>
      </c>
      <c r="AD3" s="11" t="s">
        <v>9</v>
      </c>
      <c r="AF3" s="12" t="s">
        <v>8</v>
      </c>
      <c r="AG3" s="11" t="s">
        <v>9</v>
      </c>
      <c r="AH3" s="10" t="s">
        <v>10</v>
      </c>
    </row>
    <row r="4" spans="2:34" x14ac:dyDescent="0.25">
      <c r="B4" s="17">
        <v>45474</v>
      </c>
      <c r="C4" s="18">
        <f>EOMONTH(B4,0)</f>
        <v>45504</v>
      </c>
      <c r="D4" s="19">
        <f>C4</f>
        <v>45504</v>
      </c>
      <c r="E4" s="2">
        <f t="shared" ref="E4:E35" si="0">SUMIFS($AG:$AG,$AF:$AF,"&gt;="&amp;B4,$AF:$AF,"&lt;="&amp;C4)</f>
        <v>0</v>
      </c>
      <c r="G4" s="17">
        <v>45474</v>
      </c>
      <c r="H4" s="18">
        <f>EOMONTH(G4,5)</f>
        <v>45657</v>
      </c>
      <c r="I4" s="26" t="s">
        <v>185</v>
      </c>
      <c r="J4" s="2">
        <f t="shared" ref="J4:J25" si="1">SUMIFS($AG:$AG,$AF:$AF,"&gt;="&amp;G4,$AF:$AF,"&lt;="&amp;H4)</f>
        <v>0</v>
      </c>
      <c r="L4" s="17">
        <v>45474</v>
      </c>
      <c r="M4" s="18">
        <f>EOMONTH(L4,11)</f>
        <v>45838</v>
      </c>
      <c r="N4" s="26" t="s">
        <v>207</v>
      </c>
      <c r="O4" s="2">
        <f t="shared" ref="O4:O14" si="2">SUMIFS($AG:$AG,$AF:$AF,"&gt;="&amp;L4,$AF:$AF,"&lt;="&amp;M4)</f>
        <v>63200</v>
      </c>
      <c r="Q4" s="3">
        <v>1</v>
      </c>
      <c r="R4" s="3">
        <v>5</v>
      </c>
      <c r="S4" s="28" t="s">
        <v>168</v>
      </c>
      <c r="T4" s="15" cm="1">
        <f t="array" ref="T4">IF(Q4&gt;COUNT($Y$4:$Y$43), NA(), SUM(LARGE($Y$4:$Y$43, _xlfn.SEQUENCE(MIN(R4,COUNT($Y$4:$Y$43))-Q4+1, 1,Q4))))</f>
        <v>301287</v>
      </c>
      <c r="U4" s="47">
        <f>_xlfn.IFNA(NA(),T4/$Y$44)</f>
        <v>0.48854314461533471</v>
      </c>
      <c r="W4" s="3">
        <v>1</v>
      </c>
      <c r="X4" s="3" t="str">
        <f t="shared" ref="X4:X43" si="3">_xlfn.XLOOKUP(W4,$AB:$AB,$AC:$AC)</f>
        <v>Greencape</v>
      </c>
      <c r="Y4" s="15">
        <f t="shared" ref="Y4:Y43" si="4">_xlfn.XLOOKUP(W4,$AB:$AB,$AD:$AD)</f>
        <v>102500</v>
      </c>
      <c r="Z4" s="7">
        <f t="shared" ref="Z4:Z43" si="5">COUNTIF($AH:$AH,$X4)</f>
        <v>12</v>
      </c>
      <c r="AB4" s="3">
        <f>RANK($AD4,$AD$4:$AD$33,0)+COUNTIF($AD$4:$AD4,$AD4)-1</f>
        <v>2</v>
      </c>
      <c r="AC4" s="3" t="str" cm="1">
        <f t="array" ref="AC4:AC34">_xlfn.UNIQUE(_xlfn._xlws.FILTER($AH$4:$AH$497,$AH$4:$AH$497&lt;&gt;""))</f>
        <v>BAEP</v>
      </c>
      <c r="AD4" s="15">
        <f t="shared" ref="AD4:AD43" si="6">SUMIF($AH:$AH,$AC4,$AG:$AG)</f>
        <v>75100</v>
      </c>
      <c r="AF4" s="21">
        <v>45716</v>
      </c>
      <c r="AG4" s="22">
        <v>1500</v>
      </c>
      <c r="AH4" s="23" t="s">
        <v>0</v>
      </c>
    </row>
    <row r="5" spans="2:34" x14ac:dyDescent="0.25">
      <c r="B5" s="18">
        <f>C4+1</f>
        <v>45505</v>
      </c>
      <c r="C5" s="18">
        <f t="shared" ref="C5:C15" si="7">EOMONTH(B5,0)</f>
        <v>45535</v>
      </c>
      <c r="D5" s="19">
        <f t="shared" ref="D5:D15" si="8">C5</f>
        <v>45535</v>
      </c>
      <c r="E5" s="2">
        <f t="shared" si="0"/>
        <v>0</v>
      </c>
      <c r="G5" s="18">
        <f>H4+1</f>
        <v>45658</v>
      </c>
      <c r="H5" s="18">
        <f t="shared" ref="H5:H25" si="9">EOMONTH(G5,5)</f>
        <v>45838</v>
      </c>
      <c r="I5" s="26" t="s">
        <v>186</v>
      </c>
      <c r="J5" s="2">
        <f t="shared" si="1"/>
        <v>63200</v>
      </c>
      <c r="L5" s="18">
        <f>M4+1</f>
        <v>45839</v>
      </c>
      <c r="M5" s="18">
        <f t="shared" ref="M5:M14" si="10">EOMONTH(L5,11)</f>
        <v>46203</v>
      </c>
      <c r="N5" s="26" t="s">
        <v>208</v>
      </c>
      <c r="O5" s="2">
        <f t="shared" si="2"/>
        <v>494455</v>
      </c>
      <c r="Q5" s="3">
        <v>6</v>
      </c>
      <c r="R5" s="3">
        <v>10</v>
      </c>
      <c r="S5" s="48" t="s">
        <v>169</v>
      </c>
      <c r="T5" s="15" cm="1">
        <f t="array" ref="T5">IF(Q5&gt;COUNT($Y$4:$Y$43), NA(), SUM(LARGE($Y$4:$Y$43, _xlfn.SEQUENCE(MIN(R5,COUNT($Y$4:$Y$43))-Q5+1, 1,Q5))))</f>
        <v>138450</v>
      </c>
      <c r="U5" s="47">
        <f t="shared" ref="U5:U11" si="11">_xlfn.IFNA(NA(),T5/$Y$44)</f>
        <v>0.22449955813557534</v>
      </c>
      <c r="W5" s="3">
        <f>IF(COUNT($W$4:$W4)+1&gt;MAX($AB$4:$AB$43),"",W4+1)</f>
        <v>2</v>
      </c>
      <c r="X5" s="3" t="str">
        <f t="shared" si="3"/>
        <v>BAEP</v>
      </c>
      <c r="Y5" s="15">
        <f t="shared" si="4"/>
        <v>75100</v>
      </c>
      <c r="Z5" s="7">
        <f t="shared" si="5"/>
        <v>25</v>
      </c>
      <c r="AB5" s="3">
        <f>RANK($AD5,$AD$4:$AD$33,0)+COUNTIF($AD$4:$AD5,$AD5)-1</f>
        <v>5</v>
      </c>
      <c r="AC5" s="3" t="str">
        <v>CBUS</v>
      </c>
      <c r="AD5" s="15">
        <f t="shared" si="6"/>
        <v>38000</v>
      </c>
      <c r="AF5" s="21">
        <v>45749</v>
      </c>
      <c r="AG5" s="22">
        <v>2300</v>
      </c>
      <c r="AH5" s="23" t="s">
        <v>0</v>
      </c>
    </row>
    <row r="6" spans="2:34" x14ac:dyDescent="0.25">
      <c r="B6" s="18">
        <f t="shared" ref="B6:B15" si="12">C5+1</f>
        <v>45536</v>
      </c>
      <c r="C6" s="18">
        <f t="shared" si="7"/>
        <v>45565</v>
      </c>
      <c r="D6" s="19">
        <f t="shared" si="8"/>
        <v>45565</v>
      </c>
      <c r="E6" s="2">
        <f t="shared" si="0"/>
        <v>0</v>
      </c>
      <c r="G6" s="18">
        <f t="shared" ref="G6:G25" si="13">H5+1</f>
        <v>45839</v>
      </c>
      <c r="H6" s="18">
        <f t="shared" si="9"/>
        <v>46022</v>
      </c>
      <c r="I6" s="26" t="s">
        <v>187</v>
      </c>
      <c r="J6" s="2">
        <f t="shared" si="1"/>
        <v>248737</v>
      </c>
      <c r="L6" s="18">
        <f t="shared" ref="L6:L14" si="14">M5+1</f>
        <v>46204</v>
      </c>
      <c r="M6" s="18">
        <f t="shared" si="10"/>
        <v>46568</v>
      </c>
      <c r="N6" s="26" t="s">
        <v>209</v>
      </c>
      <c r="O6" s="2">
        <f t="shared" si="2"/>
        <v>64050</v>
      </c>
      <c r="Q6" s="3">
        <v>11</v>
      </c>
      <c r="R6" s="3">
        <v>15</v>
      </c>
      <c r="S6" s="48" t="s">
        <v>175</v>
      </c>
      <c r="T6" s="15" cm="1">
        <f t="array" ref="T6">IF(Q6&gt;COUNT($Y$4:$Y$43), NA(), SUM(LARGE($Y$4:$Y$43, _xlfn.SEQUENCE(MIN(R6,COUNT($Y$4:$Y$43))-Q6+1, 1,Q6))))</f>
        <v>77000</v>
      </c>
      <c r="U6" s="47">
        <f t="shared" si="11"/>
        <v>0.12485710347735141</v>
      </c>
      <c r="W6" s="3">
        <f>IF(COUNT($W$4:$W5)+1&gt;MAX($AB$4:$AB$43),"",W5+1)</f>
        <v>3</v>
      </c>
      <c r="X6" s="3" t="str">
        <f t="shared" si="3"/>
        <v>Quest</v>
      </c>
      <c r="Y6" s="15">
        <f t="shared" si="4"/>
        <v>45687</v>
      </c>
      <c r="Z6" s="7">
        <f t="shared" si="5"/>
        <v>3</v>
      </c>
      <c r="AB6" s="3">
        <f>RANK($AD6,$AD$4:$AD$33,0)+COUNTIF($AD$4:$AD6,$AD6)-1</f>
        <v>30</v>
      </c>
      <c r="AC6" s="3" t="str">
        <v>Wavestone</v>
      </c>
      <c r="AD6" s="15">
        <f t="shared" si="6"/>
        <v>1500</v>
      </c>
      <c r="AF6" s="21">
        <v>45750</v>
      </c>
      <c r="AG6" s="22">
        <v>1100</v>
      </c>
      <c r="AH6" s="23" t="s">
        <v>0</v>
      </c>
    </row>
    <row r="7" spans="2:34" x14ac:dyDescent="0.25">
      <c r="B7" s="18">
        <f t="shared" si="12"/>
        <v>45566</v>
      </c>
      <c r="C7" s="18">
        <f t="shared" si="7"/>
        <v>45596</v>
      </c>
      <c r="D7" s="19">
        <f t="shared" si="8"/>
        <v>45596</v>
      </c>
      <c r="E7" s="2">
        <f t="shared" si="0"/>
        <v>0</v>
      </c>
      <c r="G7" s="18">
        <f t="shared" si="13"/>
        <v>46023</v>
      </c>
      <c r="H7" s="18">
        <f t="shared" si="9"/>
        <v>46203</v>
      </c>
      <c r="I7" s="26" t="s">
        <v>188</v>
      </c>
      <c r="J7" s="2">
        <f t="shared" si="1"/>
        <v>245718</v>
      </c>
      <c r="L7" s="18">
        <f t="shared" si="14"/>
        <v>46569</v>
      </c>
      <c r="M7" s="18">
        <f t="shared" si="10"/>
        <v>46934</v>
      </c>
      <c r="N7" s="26" t="s">
        <v>210</v>
      </c>
      <c r="O7" s="2">
        <f t="shared" si="2"/>
        <v>0</v>
      </c>
      <c r="Q7" s="3">
        <v>16</v>
      </c>
      <c r="R7" s="3">
        <v>20</v>
      </c>
      <c r="S7" s="48" t="s">
        <v>170</v>
      </c>
      <c r="T7" s="15" cm="1">
        <f t="array" ref="T7">IF(Q7&gt;COUNT($Y$4:$Y$43), NA(), SUM(LARGE($Y$4:$Y$43, _xlfn.SEQUENCE(MIN(R7,COUNT($Y$4:$Y$43))-Q7+1, 1,Q7))))</f>
        <v>50968</v>
      </c>
      <c r="U7" s="47">
        <f t="shared" si="11"/>
        <v>8.2645673377060344E-2</v>
      </c>
      <c r="W7" s="3">
        <f>IF(COUNT($W$4:$W6)+1&gt;MAX($AB$4:$AB$43),"",W6+1)</f>
        <v>4</v>
      </c>
      <c r="X7" s="3" t="str">
        <f t="shared" si="3"/>
        <v>WAM</v>
      </c>
      <c r="Y7" s="15">
        <f t="shared" si="4"/>
        <v>40000</v>
      </c>
      <c r="Z7" s="7">
        <f t="shared" si="5"/>
        <v>3</v>
      </c>
      <c r="AB7" s="3">
        <f>RANK($AD7,$AD$4:$AD$33,0)+COUNTIF($AD$4:$AD7,$AD7)-1</f>
        <v>1</v>
      </c>
      <c r="AC7" s="3" t="str">
        <v>Greencape</v>
      </c>
      <c r="AD7" s="15">
        <f t="shared" si="6"/>
        <v>102500</v>
      </c>
      <c r="AF7" s="21">
        <v>45750</v>
      </c>
      <c r="AG7" s="22">
        <v>10000</v>
      </c>
      <c r="AH7" s="23" t="s">
        <v>1</v>
      </c>
    </row>
    <row r="8" spans="2:34" x14ac:dyDescent="0.25">
      <c r="B8" s="18">
        <f t="shared" si="12"/>
        <v>45597</v>
      </c>
      <c r="C8" s="18">
        <f t="shared" si="7"/>
        <v>45626</v>
      </c>
      <c r="D8" s="19">
        <f t="shared" si="8"/>
        <v>45626</v>
      </c>
      <c r="E8" s="2">
        <f t="shared" si="0"/>
        <v>0</v>
      </c>
      <c r="G8" s="18">
        <f t="shared" si="13"/>
        <v>46204</v>
      </c>
      <c r="H8" s="18">
        <f t="shared" si="9"/>
        <v>46387</v>
      </c>
      <c r="I8" s="26" t="s">
        <v>189</v>
      </c>
      <c r="J8" s="2">
        <f t="shared" si="1"/>
        <v>64050</v>
      </c>
      <c r="L8" s="18">
        <f t="shared" si="14"/>
        <v>46935</v>
      </c>
      <c r="M8" s="18">
        <f t="shared" si="10"/>
        <v>47299</v>
      </c>
      <c r="N8" s="26" t="s">
        <v>211</v>
      </c>
      <c r="O8" s="2">
        <f t="shared" si="2"/>
        <v>0</v>
      </c>
      <c r="Q8" s="3">
        <v>21</v>
      </c>
      <c r="R8" s="3">
        <v>25</v>
      </c>
      <c r="S8" s="48" t="s">
        <v>171</v>
      </c>
      <c r="T8" s="15" cm="1">
        <f t="array" ref="T8">IF(Q8&gt;COUNT($Y$4:$Y$43), NA(), SUM(LARGE($Y$4:$Y$43, _xlfn.SEQUENCE(MIN(R8,COUNT($Y$4:$Y$43))-Q8+1, 1,Q8))))</f>
        <v>33500</v>
      </c>
      <c r="U8" s="47">
        <f t="shared" si="11"/>
        <v>5.4320947616769769E-2</v>
      </c>
      <c r="W8" s="3">
        <f>IF(COUNT($W$4:$W7)+1&gt;MAX($AB$4:$AB$43),"",W7+1)</f>
        <v>5</v>
      </c>
      <c r="X8" s="3" t="str">
        <f t="shared" si="3"/>
        <v>CBUS</v>
      </c>
      <c r="Y8" s="15">
        <f t="shared" si="4"/>
        <v>38000</v>
      </c>
      <c r="Z8" s="7">
        <f t="shared" si="5"/>
        <v>5</v>
      </c>
      <c r="AB8" s="3">
        <f>RANK($AD8,$AD$4:$AD$33,0)+COUNTIF($AD$4:$AD8,$AD8)-1</f>
        <v>8</v>
      </c>
      <c r="AC8" s="3" t="str">
        <v>ICE</v>
      </c>
      <c r="AD8" s="15">
        <f t="shared" si="6"/>
        <v>31000</v>
      </c>
      <c r="AF8" s="21">
        <v>45756</v>
      </c>
      <c r="AG8" s="22">
        <v>3000</v>
      </c>
      <c r="AH8" s="23" t="s">
        <v>0</v>
      </c>
    </row>
    <row r="9" spans="2:34" x14ac:dyDescent="0.25">
      <c r="B9" s="18">
        <f t="shared" si="12"/>
        <v>45627</v>
      </c>
      <c r="C9" s="18">
        <f t="shared" si="7"/>
        <v>45657</v>
      </c>
      <c r="D9" s="19">
        <f t="shared" si="8"/>
        <v>45657</v>
      </c>
      <c r="E9" s="2">
        <f t="shared" si="0"/>
        <v>0</v>
      </c>
      <c r="G9" s="18">
        <f t="shared" si="13"/>
        <v>46388</v>
      </c>
      <c r="H9" s="18">
        <f t="shared" si="9"/>
        <v>46568</v>
      </c>
      <c r="I9" s="26" t="s">
        <v>190</v>
      </c>
      <c r="J9" s="2">
        <f t="shared" si="1"/>
        <v>0</v>
      </c>
      <c r="L9" s="18">
        <f t="shared" si="14"/>
        <v>47300</v>
      </c>
      <c r="M9" s="18">
        <f t="shared" si="10"/>
        <v>47664</v>
      </c>
      <c r="N9" s="26" t="s">
        <v>212</v>
      </c>
      <c r="O9" s="2">
        <f t="shared" si="2"/>
        <v>0</v>
      </c>
      <c r="Q9" s="3">
        <v>26</v>
      </c>
      <c r="R9" s="3">
        <v>30</v>
      </c>
      <c r="S9" s="48" t="s">
        <v>172</v>
      </c>
      <c r="T9" s="15" cm="1">
        <f t="array" ref="T9">IF(Q9&gt;COUNT($Y$4:$Y$43), NA(), SUM(LARGE($Y$4:$Y$43, _xlfn.SEQUENCE(MIN(R9,COUNT($Y$4:$Y$43))-Q9+1, 1,Q9))))</f>
        <v>15500</v>
      </c>
      <c r="U9" s="47">
        <f t="shared" si="11"/>
        <v>2.5133572777908401E-2</v>
      </c>
      <c r="W9" s="3">
        <f>IF(COUNT($W$4:$W8)+1&gt;MAX($AB$4:$AB$43),"",W8+1)</f>
        <v>6</v>
      </c>
      <c r="X9" s="3" t="str">
        <f t="shared" si="3"/>
        <v>Solaris</v>
      </c>
      <c r="Y9" s="15">
        <f t="shared" si="4"/>
        <v>37500</v>
      </c>
      <c r="Z9" s="7">
        <f t="shared" si="5"/>
        <v>7</v>
      </c>
      <c r="AB9" s="3">
        <f>RANK($AD9,$AD$4:$AD$33,0)+COUNTIF($AD$4:$AD9,$AD9)-1</f>
        <v>6</v>
      </c>
      <c r="AC9" s="3" t="str">
        <v>Solaris</v>
      </c>
      <c r="AD9" s="15">
        <f t="shared" si="6"/>
        <v>37500</v>
      </c>
      <c r="AF9" s="21">
        <v>45761</v>
      </c>
      <c r="AG9" s="22">
        <v>3400</v>
      </c>
      <c r="AH9" s="23" t="s">
        <v>0</v>
      </c>
    </row>
    <row r="10" spans="2:34" x14ac:dyDescent="0.25">
      <c r="B10" s="18">
        <f t="shared" si="12"/>
        <v>45658</v>
      </c>
      <c r="C10" s="18">
        <f t="shared" si="7"/>
        <v>45688</v>
      </c>
      <c r="D10" s="19">
        <f t="shared" si="8"/>
        <v>45688</v>
      </c>
      <c r="E10" s="2">
        <f t="shared" si="0"/>
        <v>0</v>
      </c>
      <c r="G10" s="18">
        <f t="shared" si="13"/>
        <v>46569</v>
      </c>
      <c r="H10" s="18">
        <f t="shared" si="9"/>
        <v>46752</v>
      </c>
      <c r="I10" s="26" t="s">
        <v>191</v>
      </c>
      <c r="J10" s="2">
        <f t="shared" si="1"/>
        <v>0</v>
      </c>
      <c r="L10" s="18">
        <f t="shared" si="14"/>
        <v>47665</v>
      </c>
      <c r="M10" s="18">
        <f t="shared" si="10"/>
        <v>48029</v>
      </c>
      <c r="N10" s="26" t="s">
        <v>213</v>
      </c>
      <c r="O10" s="2">
        <f t="shared" si="2"/>
        <v>0</v>
      </c>
      <c r="Q10" s="3">
        <v>31</v>
      </c>
      <c r="R10" s="3">
        <v>35</v>
      </c>
      <c r="S10" s="48" t="s">
        <v>173</v>
      </c>
      <c r="T10" s="15" cm="1">
        <f t="array" ref="T10">IF(Q10&gt;COUNT($Y$4:$Y$43), NA(), SUM(LARGE($Y$4:$Y$43, _xlfn.SEQUENCE(MIN(R10,COUNT($Y$4:$Y$43))-Q10+1, 1,Q10))))</f>
        <v>0</v>
      </c>
      <c r="U10" s="47">
        <f t="shared" si="11"/>
        <v>0</v>
      </c>
      <c r="W10" s="3">
        <f>IF(COUNT($W$4:$W9)+1&gt;MAX($AB$4:$AB$43),"",W9+1)</f>
        <v>7</v>
      </c>
      <c r="X10" s="3" t="str">
        <f t="shared" si="3"/>
        <v>Perps Private</v>
      </c>
      <c r="Y10" s="15">
        <f t="shared" si="4"/>
        <v>32000</v>
      </c>
      <c r="Z10" s="7">
        <f t="shared" si="5"/>
        <v>4</v>
      </c>
      <c r="AB10" s="3">
        <f>RANK($AD10,$AD$4:$AD$33,0)+COUNTIF($AD$4:$AD10,$AD10)-1</f>
        <v>25</v>
      </c>
      <c r="AC10" s="3" t="str">
        <v>SG Hiscock</v>
      </c>
      <c r="AD10" s="15">
        <f t="shared" si="6"/>
        <v>5000</v>
      </c>
      <c r="AF10" s="21">
        <v>45776</v>
      </c>
      <c r="AG10" s="22">
        <v>3000</v>
      </c>
      <c r="AH10" s="23" t="s">
        <v>0</v>
      </c>
    </row>
    <row r="11" spans="2:34" x14ac:dyDescent="0.25">
      <c r="B11" s="18">
        <f t="shared" si="12"/>
        <v>45689</v>
      </c>
      <c r="C11" s="18">
        <f t="shared" si="7"/>
        <v>45716</v>
      </c>
      <c r="D11" s="19">
        <f t="shared" si="8"/>
        <v>45716</v>
      </c>
      <c r="E11" s="2">
        <f t="shared" si="0"/>
        <v>1500</v>
      </c>
      <c r="G11" s="18">
        <f t="shared" si="13"/>
        <v>46753</v>
      </c>
      <c r="H11" s="18">
        <f t="shared" si="9"/>
        <v>46934</v>
      </c>
      <c r="I11" s="26" t="s">
        <v>192</v>
      </c>
      <c r="J11" s="2">
        <f t="shared" si="1"/>
        <v>0</v>
      </c>
      <c r="L11" s="18">
        <f t="shared" si="14"/>
        <v>48030</v>
      </c>
      <c r="M11" s="18">
        <f t="shared" si="10"/>
        <v>48395</v>
      </c>
      <c r="N11" s="26" t="s">
        <v>214</v>
      </c>
      <c r="O11" s="2">
        <f t="shared" si="2"/>
        <v>0</v>
      </c>
      <c r="Q11" s="3">
        <v>36</v>
      </c>
      <c r="R11" s="3">
        <v>40</v>
      </c>
      <c r="S11" s="48" t="s">
        <v>174</v>
      </c>
      <c r="T11" s="15" cm="1">
        <f t="array" ref="T11">IF(Q11&gt;COUNT($Y$4:$Y$43), NA(), SUM(LARGE($Y$4:$Y$43, _xlfn.SEQUENCE(MIN(R11,COUNT($Y$4:$Y$43))-Q11+1, 1,Q11))))</f>
        <v>0</v>
      </c>
      <c r="U11" s="47">
        <f t="shared" si="11"/>
        <v>0</v>
      </c>
      <c r="W11" s="3">
        <f>IF(COUNT($W$4:$W10)+1&gt;MAX($AB$4:$AB$43),"",W10+1)</f>
        <v>8</v>
      </c>
      <c r="X11" s="3" t="str">
        <f t="shared" si="3"/>
        <v>ICE</v>
      </c>
      <c r="Y11" s="15">
        <f t="shared" si="4"/>
        <v>31000</v>
      </c>
      <c r="Z11" s="7">
        <f t="shared" si="5"/>
        <v>9</v>
      </c>
      <c r="AB11" s="3">
        <f>RANK($AD11,$AD$4:$AD$33,0)+COUNTIF($AD$4:$AD11,$AD11)-1</f>
        <v>13</v>
      </c>
      <c r="AC11" s="3" t="str">
        <v>Ellerston</v>
      </c>
      <c r="AD11" s="15">
        <f t="shared" si="6"/>
        <v>15000</v>
      </c>
      <c r="AF11" s="21">
        <v>45777</v>
      </c>
      <c r="AG11" s="22">
        <v>1400</v>
      </c>
      <c r="AH11" s="23" t="s">
        <v>0</v>
      </c>
    </row>
    <row r="12" spans="2:34" x14ac:dyDescent="0.25">
      <c r="B12" s="18">
        <f t="shared" si="12"/>
        <v>45717</v>
      </c>
      <c r="C12" s="18">
        <f t="shared" si="7"/>
        <v>45747</v>
      </c>
      <c r="D12" s="19">
        <f t="shared" si="8"/>
        <v>45747</v>
      </c>
      <c r="E12" s="2">
        <f t="shared" si="0"/>
        <v>0</v>
      </c>
      <c r="G12" s="18">
        <f t="shared" si="13"/>
        <v>46935</v>
      </c>
      <c r="H12" s="18">
        <f t="shared" si="9"/>
        <v>47118</v>
      </c>
      <c r="I12" s="26" t="s">
        <v>193</v>
      </c>
      <c r="J12" s="2">
        <f t="shared" si="1"/>
        <v>0</v>
      </c>
      <c r="L12" s="18">
        <f t="shared" si="14"/>
        <v>48396</v>
      </c>
      <c r="M12" s="18">
        <f t="shared" si="10"/>
        <v>48760</v>
      </c>
      <c r="N12" s="26" t="s">
        <v>215</v>
      </c>
      <c r="O12" s="2">
        <f t="shared" si="2"/>
        <v>0</v>
      </c>
      <c r="R12" s="3"/>
      <c r="S12" s="3"/>
      <c r="T12" s="15"/>
      <c r="U12" s="15"/>
      <c r="W12" s="3">
        <f>IF(COUNT($W$4:$W11)+1&gt;MAX($AB$4:$AB$43),"",W11+1)</f>
        <v>9</v>
      </c>
      <c r="X12" s="3" t="str">
        <f t="shared" si="3"/>
        <v>L1 Capital</v>
      </c>
      <c r="Y12" s="15">
        <f t="shared" si="4"/>
        <v>19200</v>
      </c>
      <c r="Z12" s="7">
        <f t="shared" si="5"/>
        <v>1</v>
      </c>
      <c r="AB12" s="3">
        <f>RANK($AD12,$AD$4:$AD$33,0)+COUNTIF($AD$4:$AD12,$AD12)-1</f>
        <v>4</v>
      </c>
      <c r="AC12" s="3" t="str">
        <v>WAM</v>
      </c>
      <c r="AD12" s="15">
        <f t="shared" si="6"/>
        <v>40000</v>
      </c>
      <c r="AF12" s="21">
        <v>45777</v>
      </c>
      <c r="AG12" s="22">
        <v>1500</v>
      </c>
      <c r="AH12" s="23" t="s">
        <v>0</v>
      </c>
    </row>
    <row r="13" spans="2:34" x14ac:dyDescent="0.25">
      <c r="B13" s="18">
        <f t="shared" si="12"/>
        <v>45748</v>
      </c>
      <c r="C13" s="18">
        <f t="shared" si="7"/>
        <v>45777</v>
      </c>
      <c r="D13" s="19">
        <f t="shared" si="8"/>
        <v>45777</v>
      </c>
      <c r="E13" s="2">
        <f t="shared" si="0"/>
        <v>25700</v>
      </c>
      <c r="G13" s="18">
        <f t="shared" si="13"/>
        <v>47119</v>
      </c>
      <c r="H13" s="18">
        <f t="shared" si="9"/>
        <v>47299</v>
      </c>
      <c r="I13" s="26" t="s">
        <v>194</v>
      </c>
      <c r="J13" s="2">
        <f t="shared" si="1"/>
        <v>0</v>
      </c>
      <c r="L13" s="18">
        <f t="shared" si="14"/>
        <v>48761</v>
      </c>
      <c r="M13" s="18">
        <f t="shared" si="10"/>
        <v>49125</v>
      </c>
      <c r="N13" s="26" t="s">
        <v>216</v>
      </c>
      <c r="O13" s="2">
        <f t="shared" si="2"/>
        <v>0</v>
      </c>
      <c r="Q13" s="3">
        <v>1</v>
      </c>
      <c r="R13" s="3">
        <v>3</v>
      </c>
      <c r="S13" s="3" t="s">
        <v>76</v>
      </c>
      <c r="T13" s="15" cm="1">
        <f t="array" ref="T13">IF(Q13&gt;COUNT($Y$4:$Y$43), NA(), SUM(LARGE($Y$4:$Y$43, _xlfn.SEQUENCE(MIN(R13,COUNT($Y$4:$Y$43))-Q13+1, 1,Q13))))</f>
        <v>223287</v>
      </c>
      <c r="U13" s="47">
        <f t="shared" ref="U13:U17" si="15">_xlfn.IFNA(NA(),T13/$Y$44)</f>
        <v>0.36206452031360215</v>
      </c>
      <c r="W13" s="3">
        <f>IF(COUNT($W$4:$W12)+1&gt;MAX($AB$4:$AB$43),"",W12+1)</f>
        <v>10</v>
      </c>
      <c r="X13" s="3" t="str">
        <f t="shared" si="3"/>
        <v>Antares</v>
      </c>
      <c r="Y13" s="15">
        <f t="shared" si="4"/>
        <v>18750</v>
      </c>
      <c r="Z13" s="7">
        <f t="shared" si="5"/>
        <v>4</v>
      </c>
      <c r="AB13" s="3">
        <f>RANK($AD13,$AD$4:$AD$33,0)+COUNTIF($AD$4:$AD13,$AD13)-1</f>
        <v>11</v>
      </c>
      <c r="AC13" s="3" t="str">
        <v>Arrow</v>
      </c>
      <c r="AD13" s="15">
        <f t="shared" si="6"/>
        <v>18000</v>
      </c>
      <c r="AF13" s="21">
        <v>45782</v>
      </c>
      <c r="AG13" s="22">
        <v>1500</v>
      </c>
      <c r="AH13" s="23" t="s">
        <v>17</v>
      </c>
    </row>
    <row r="14" spans="2:34" x14ac:dyDescent="0.25">
      <c r="B14" s="18">
        <f t="shared" si="12"/>
        <v>45778</v>
      </c>
      <c r="C14" s="18">
        <f t="shared" si="7"/>
        <v>45808</v>
      </c>
      <c r="D14" s="19">
        <f t="shared" si="8"/>
        <v>45808</v>
      </c>
      <c r="E14" s="2">
        <f t="shared" si="0"/>
        <v>14500</v>
      </c>
      <c r="G14" s="18">
        <f t="shared" si="13"/>
        <v>47300</v>
      </c>
      <c r="H14" s="18">
        <f t="shared" si="9"/>
        <v>47483</v>
      </c>
      <c r="I14" s="26" t="s">
        <v>195</v>
      </c>
      <c r="J14" s="2">
        <f t="shared" si="1"/>
        <v>0</v>
      </c>
      <c r="L14" s="18">
        <f t="shared" si="14"/>
        <v>49126</v>
      </c>
      <c r="M14" s="18">
        <f t="shared" si="10"/>
        <v>49490</v>
      </c>
      <c r="N14" s="26" t="s">
        <v>217</v>
      </c>
      <c r="O14" s="2">
        <f t="shared" si="2"/>
        <v>0</v>
      </c>
      <c r="Q14" s="3">
        <v>1</v>
      </c>
      <c r="R14" s="3">
        <v>5</v>
      </c>
      <c r="S14" s="3" t="s">
        <v>75</v>
      </c>
      <c r="T14" s="15" cm="1">
        <f t="array" ref="T14">IF(Q14&gt;COUNT($Y$4:$Y$43), NA(), SUM(LARGE($Y$4:$Y$43, _xlfn.SEQUENCE(MIN(R14,COUNT($Y$4:$Y$43))-Q14+1, 1,Q14))))</f>
        <v>301287</v>
      </c>
      <c r="U14" s="47">
        <f t="shared" si="15"/>
        <v>0.48854314461533471</v>
      </c>
      <c r="W14" s="3">
        <f>IF(COUNT($W$4:$W13)+1&gt;MAX($AB$4:$AB$43),"",W13+1)</f>
        <v>11</v>
      </c>
      <c r="X14" s="3" t="str">
        <f t="shared" si="3"/>
        <v>Arrow</v>
      </c>
      <c r="Y14" s="15">
        <f t="shared" si="4"/>
        <v>18000</v>
      </c>
      <c r="Z14" s="7">
        <f t="shared" si="5"/>
        <v>2</v>
      </c>
      <c r="AB14" s="3">
        <f>RANK($AD14,$AD$4:$AD$33,0)+COUNTIF($AD$4:$AD14,$AD14)-1</f>
        <v>22</v>
      </c>
      <c r="AC14" s="3" t="str">
        <v>Pendal</v>
      </c>
      <c r="AD14" s="15">
        <f t="shared" si="6"/>
        <v>7500</v>
      </c>
      <c r="AF14" s="21">
        <v>45783</v>
      </c>
      <c r="AG14" s="22">
        <v>7500</v>
      </c>
      <c r="AH14" s="23" t="s">
        <v>18</v>
      </c>
    </row>
    <row r="15" spans="2:34" x14ac:dyDescent="0.25">
      <c r="B15" s="18">
        <f t="shared" si="12"/>
        <v>45809</v>
      </c>
      <c r="C15" s="18">
        <f t="shared" si="7"/>
        <v>45838</v>
      </c>
      <c r="D15" s="19">
        <f t="shared" si="8"/>
        <v>45838</v>
      </c>
      <c r="E15" s="2">
        <f t="shared" si="0"/>
        <v>21500</v>
      </c>
      <c r="G15" s="18">
        <f t="shared" si="13"/>
        <v>47484</v>
      </c>
      <c r="H15" s="18">
        <f t="shared" si="9"/>
        <v>47664</v>
      </c>
      <c r="I15" s="26" t="s">
        <v>196</v>
      </c>
      <c r="J15" s="2">
        <f t="shared" si="1"/>
        <v>0</v>
      </c>
      <c r="L15" s="18"/>
      <c r="M15" s="18"/>
      <c r="N15" s="26"/>
      <c r="O15" s="2"/>
      <c r="Q15" s="3">
        <v>1</v>
      </c>
      <c r="R15" s="3">
        <v>10</v>
      </c>
      <c r="S15" s="3" t="s">
        <v>178</v>
      </c>
      <c r="T15" s="15" cm="1">
        <f t="array" ref="T15">IF(Q15&gt;COUNT($Y$4:$Y$43), NA(), SUM(LARGE($Y$4:$Y$43, _xlfn.SEQUENCE(MIN(R15,COUNT($Y$4:$Y$43))-Q15+1, 1,Q15))))</f>
        <v>439737</v>
      </c>
      <c r="U15" s="47">
        <f t="shared" si="15"/>
        <v>0.71304270275091008</v>
      </c>
      <c r="W15" s="3">
        <f>IF(COUNT($W$4:$W14)+1&gt;MAX($AB$4:$AB$43),"",W14+1)</f>
        <v>12</v>
      </c>
      <c r="X15" s="3" t="str">
        <f t="shared" si="3"/>
        <v>OC Funds</v>
      </c>
      <c r="Y15" s="15">
        <f t="shared" si="4"/>
        <v>17500</v>
      </c>
      <c r="Z15" s="7">
        <f t="shared" si="5"/>
        <v>6</v>
      </c>
      <c r="AB15" s="3">
        <f>RANK($AD15,$AD$4:$AD$33,0)+COUNTIF($AD$4:$AD15,$AD15)-1</f>
        <v>26</v>
      </c>
      <c r="AC15" s="3" t="str">
        <v>Regal</v>
      </c>
      <c r="AD15" s="15">
        <f t="shared" si="6"/>
        <v>5000</v>
      </c>
      <c r="AF15" s="21">
        <v>45789</v>
      </c>
      <c r="AG15" s="22">
        <v>5500</v>
      </c>
      <c r="AH15" s="23" t="s">
        <v>20</v>
      </c>
    </row>
    <row r="16" spans="2:34" x14ac:dyDescent="0.25">
      <c r="B16" s="18">
        <f t="shared" ref="B16:B39" si="16">C15+1</f>
        <v>45839</v>
      </c>
      <c r="C16" s="18">
        <f t="shared" ref="C16:C39" si="17">EOMONTH(B16,0)</f>
        <v>45869</v>
      </c>
      <c r="D16" s="19">
        <f t="shared" ref="D16:D39" si="18">C16</f>
        <v>45869</v>
      </c>
      <c r="E16" s="2">
        <f t="shared" si="0"/>
        <v>29600</v>
      </c>
      <c r="G16" s="18">
        <f t="shared" si="13"/>
        <v>47665</v>
      </c>
      <c r="H16" s="18">
        <f t="shared" si="9"/>
        <v>47848</v>
      </c>
      <c r="I16" s="26" t="s">
        <v>197</v>
      </c>
      <c r="J16" s="2">
        <f t="shared" si="1"/>
        <v>0</v>
      </c>
      <c r="L16" s="18"/>
      <c r="M16" s="18"/>
      <c r="N16" s="26"/>
      <c r="O16" s="2"/>
      <c r="Q16" s="3">
        <v>1</v>
      </c>
      <c r="R16" s="3">
        <v>20</v>
      </c>
      <c r="S16" s="3" t="s">
        <v>179</v>
      </c>
      <c r="T16" s="15" cm="1">
        <f t="array" ref="T16">IF(Q16&gt;COUNT($Y$4:$Y$43), NA(), SUM(LARGE($Y$4:$Y$43, _xlfn.SEQUENCE(MIN(R16,COUNT($Y$4:$Y$43))-Q16+1, 1,Q16))))</f>
        <v>567705</v>
      </c>
      <c r="U16" s="47">
        <f t="shared" si="15"/>
        <v>0.92054547960532185</v>
      </c>
      <c r="W16" s="3">
        <f>IF(COUNT($W$4:$W15)+1&gt;MAX($AB$4:$AB$43),"",W15+1)</f>
        <v>13</v>
      </c>
      <c r="X16" s="3" t="str">
        <f t="shared" si="3"/>
        <v>Ellerston</v>
      </c>
      <c r="Y16" s="15">
        <f t="shared" si="4"/>
        <v>15000</v>
      </c>
      <c r="Z16" s="7">
        <f t="shared" si="5"/>
        <v>5</v>
      </c>
      <c r="AB16" s="3">
        <f>RANK($AD16,$AD$4:$AD$33,0)+COUNTIF($AD$4:$AD16,$AD16)-1</f>
        <v>18</v>
      </c>
      <c r="AC16" s="3" t="str">
        <v>Coopers</v>
      </c>
      <c r="AD16" s="15">
        <f t="shared" si="6"/>
        <v>10000</v>
      </c>
      <c r="AF16" s="21">
        <v>45811</v>
      </c>
      <c r="AG16" s="22">
        <v>7500</v>
      </c>
      <c r="AH16" s="23" t="s">
        <v>18</v>
      </c>
    </row>
    <row r="17" spans="2:34" x14ac:dyDescent="0.25">
      <c r="B17" s="18">
        <f t="shared" si="16"/>
        <v>45870</v>
      </c>
      <c r="C17" s="18">
        <f t="shared" si="17"/>
        <v>45900</v>
      </c>
      <c r="D17" s="19">
        <f t="shared" si="18"/>
        <v>45900</v>
      </c>
      <c r="E17" s="2">
        <f t="shared" si="0"/>
        <v>58800</v>
      </c>
      <c r="G17" s="18">
        <f t="shared" si="13"/>
        <v>47849</v>
      </c>
      <c r="H17" s="18">
        <f t="shared" si="9"/>
        <v>48029</v>
      </c>
      <c r="I17" s="26" t="s">
        <v>198</v>
      </c>
      <c r="J17" s="2">
        <f t="shared" si="1"/>
        <v>0</v>
      </c>
      <c r="L17" s="18"/>
      <c r="M17" s="18"/>
      <c r="N17" s="26"/>
      <c r="O17" s="2"/>
      <c r="Q17" s="3">
        <v>1</v>
      </c>
      <c r="R17" s="3">
        <v>50</v>
      </c>
      <c r="S17" s="3" t="s">
        <v>180</v>
      </c>
      <c r="T17" s="15" cm="1">
        <f t="array" ref="T17">IF(Q17&gt;COUNT($Y$4:$Y$43), NA(), SUM(LARGE($Y$4:$Y$43, _xlfn.SEQUENCE(MIN(R17,COUNT($Y$4:$Y$43))-Q17+1, 1,Q17))))</f>
        <v>616705</v>
      </c>
      <c r="U17" s="47">
        <f t="shared" si="15"/>
        <v>1</v>
      </c>
      <c r="W17" s="3">
        <f>IF(COUNT($W$4:$W16)+1&gt;MAX($AB$4:$AB$43),"",W16+1)</f>
        <v>14</v>
      </c>
      <c r="X17" s="3" t="str">
        <f t="shared" si="3"/>
        <v>QVG</v>
      </c>
      <c r="Y17" s="15">
        <f t="shared" si="4"/>
        <v>14000</v>
      </c>
      <c r="Z17" s="7">
        <f t="shared" si="5"/>
        <v>3</v>
      </c>
      <c r="AB17" s="3">
        <f>RANK($AD17,$AD$4:$AD$33,0)+COUNTIF($AD$4:$AD17,$AD17)-1</f>
        <v>23</v>
      </c>
      <c r="AC17" s="3" t="str">
        <v>Hesta</v>
      </c>
      <c r="AD17" s="15">
        <f t="shared" si="6"/>
        <v>6000</v>
      </c>
      <c r="AF17" s="21">
        <v>45818</v>
      </c>
      <c r="AG17" s="22">
        <v>2000</v>
      </c>
      <c r="AH17" s="23" t="s">
        <v>20</v>
      </c>
    </row>
    <row r="18" spans="2:34" x14ac:dyDescent="0.25">
      <c r="B18" s="18">
        <f t="shared" si="16"/>
        <v>45901</v>
      </c>
      <c r="C18" s="18">
        <f t="shared" si="17"/>
        <v>45930</v>
      </c>
      <c r="D18" s="19">
        <f t="shared" si="18"/>
        <v>45930</v>
      </c>
      <c r="E18" s="2">
        <f t="shared" si="0"/>
        <v>32137</v>
      </c>
      <c r="G18" s="18">
        <f t="shared" si="13"/>
        <v>48030</v>
      </c>
      <c r="H18" s="18">
        <f t="shared" si="9"/>
        <v>48213</v>
      </c>
      <c r="I18" s="26" t="s">
        <v>199</v>
      </c>
      <c r="J18" s="2">
        <f t="shared" si="1"/>
        <v>0</v>
      </c>
      <c r="L18" s="18"/>
      <c r="M18" s="18"/>
      <c r="N18" s="26"/>
      <c r="O18" s="2"/>
      <c r="R18" s="3"/>
      <c r="S18" s="3"/>
      <c r="T18" s="3"/>
      <c r="U18" s="3"/>
      <c r="W18" s="3">
        <f>IF(COUNT($W$4:$W17)+1&gt;MAX($AB$4:$AB$43),"",W17+1)</f>
        <v>15</v>
      </c>
      <c r="X18" s="3" t="str">
        <f t="shared" si="3"/>
        <v>Centennial</v>
      </c>
      <c r="Y18" s="15">
        <f t="shared" si="4"/>
        <v>12500</v>
      </c>
      <c r="Z18" s="7">
        <f t="shared" si="5"/>
        <v>1</v>
      </c>
      <c r="AB18" s="3">
        <f>RANK($AD18,$AD$4:$AD$33,0)+COUNTIF($AD$4:$AD18,$AD18)-1</f>
        <v>3</v>
      </c>
      <c r="AC18" s="3" t="str">
        <v>Quest</v>
      </c>
      <c r="AD18" s="15">
        <f t="shared" si="6"/>
        <v>45687</v>
      </c>
      <c r="AF18" s="21">
        <v>45828</v>
      </c>
      <c r="AG18" s="22">
        <v>5000</v>
      </c>
      <c r="AH18" s="23" t="s">
        <v>24</v>
      </c>
    </row>
    <row r="19" spans="2:34" x14ac:dyDescent="0.25">
      <c r="B19" s="18">
        <f t="shared" si="16"/>
        <v>45931</v>
      </c>
      <c r="C19" s="18">
        <f t="shared" si="17"/>
        <v>45961</v>
      </c>
      <c r="D19" s="19">
        <f t="shared" si="18"/>
        <v>45961</v>
      </c>
      <c r="E19" s="2">
        <f t="shared" si="0"/>
        <v>34700</v>
      </c>
      <c r="G19" s="18">
        <f t="shared" si="13"/>
        <v>48214</v>
      </c>
      <c r="H19" s="18">
        <f t="shared" si="9"/>
        <v>48395</v>
      </c>
      <c r="I19" s="26" t="s">
        <v>200</v>
      </c>
      <c r="J19" s="2">
        <f t="shared" si="1"/>
        <v>0</v>
      </c>
      <c r="L19" s="18"/>
      <c r="M19" s="18"/>
      <c r="N19" s="26"/>
      <c r="O19" s="2"/>
      <c r="R19" s="3"/>
      <c r="S19" s="3"/>
      <c r="T19" s="3"/>
      <c r="U19" s="3"/>
      <c r="W19" s="3">
        <f>IF(COUNT($W$4:$W18)+1&gt;MAX($AB$4:$AB$43),"",W18+1)</f>
        <v>16</v>
      </c>
      <c r="X19" s="3" t="str">
        <f t="shared" si="3"/>
        <v>Aus Super</v>
      </c>
      <c r="Y19" s="15">
        <f t="shared" si="4"/>
        <v>10900</v>
      </c>
      <c r="Z19" s="7">
        <f t="shared" si="5"/>
        <v>1</v>
      </c>
      <c r="AB19" s="3">
        <f>RANK($AD19,$AD$4:$AD$33,0)+COUNTIF($AD$4:$AD19,$AD19)-1</f>
        <v>19</v>
      </c>
      <c r="AC19" s="3" t="str">
        <v>Ophir</v>
      </c>
      <c r="AD19" s="15">
        <f t="shared" si="6"/>
        <v>10000</v>
      </c>
      <c r="AF19" s="21">
        <v>45833</v>
      </c>
      <c r="AG19" s="22">
        <v>7000</v>
      </c>
      <c r="AH19" s="23" t="s">
        <v>1</v>
      </c>
    </row>
    <row r="20" spans="2:34" x14ac:dyDescent="0.25">
      <c r="B20" s="18">
        <f t="shared" si="16"/>
        <v>45962</v>
      </c>
      <c r="C20" s="18">
        <f t="shared" si="17"/>
        <v>45991</v>
      </c>
      <c r="D20" s="19">
        <f t="shared" si="18"/>
        <v>45991</v>
      </c>
      <c r="E20" s="2">
        <f t="shared" si="0"/>
        <v>32500</v>
      </c>
      <c r="G20" s="18">
        <f t="shared" si="13"/>
        <v>48396</v>
      </c>
      <c r="H20" s="18">
        <f t="shared" si="9"/>
        <v>48579</v>
      </c>
      <c r="I20" s="26" t="s">
        <v>201</v>
      </c>
      <c r="J20" s="2">
        <f t="shared" si="1"/>
        <v>0</v>
      </c>
      <c r="L20" s="18"/>
      <c r="M20" s="18"/>
      <c r="N20" s="26"/>
      <c r="O20" s="2"/>
      <c r="R20" s="3"/>
      <c r="S20" s="3"/>
      <c r="T20" s="3"/>
      <c r="U20" s="3"/>
      <c r="W20" s="3">
        <f>IF(COUNT($W$4:$W19)+1&gt;MAX($AB$4:$AB$43),"",W19+1)</f>
        <v>17</v>
      </c>
      <c r="X20" s="3" t="str">
        <f t="shared" si="3"/>
        <v>SMID</v>
      </c>
      <c r="Y20" s="15">
        <f t="shared" si="4"/>
        <v>10068</v>
      </c>
      <c r="Z20" s="7">
        <f t="shared" si="5"/>
        <v>1</v>
      </c>
      <c r="AB20" s="3">
        <f>RANK($AD20,$AD$4:$AD$33,0)+COUNTIF($AD$4:$AD20,$AD20)-1</f>
        <v>7</v>
      </c>
      <c r="AC20" s="3" t="str">
        <v>Perps Private</v>
      </c>
      <c r="AD20" s="15">
        <f t="shared" si="6"/>
        <v>32000</v>
      </c>
      <c r="AF20" s="41">
        <f>IF(ISBLANK('FY26'!W4),NA(),'FY26'!W4)</f>
        <v>45841</v>
      </c>
      <c r="AG20" s="42">
        <f>IF(ISBLANK('FY26'!X4),NA(),'FY26'!X4)</f>
        <v>6100</v>
      </c>
      <c r="AH20" s="43" t="str">
        <f>IF(ISBLANK('FY26'!Y4),NA(),'FY26'!Y4)</f>
        <v>BAEP</v>
      </c>
    </row>
    <row r="21" spans="2:34" x14ac:dyDescent="0.25">
      <c r="B21" s="18">
        <f t="shared" si="16"/>
        <v>45992</v>
      </c>
      <c r="C21" s="18">
        <f t="shared" si="17"/>
        <v>46022</v>
      </c>
      <c r="D21" s="19">
        <f t="shared" si="18"/>
        <v>46022</v>
      </c>
      <c r="E21" s="2">
        <f t="shared" si="0"/>
        <v>61000</v>
      </c>
      <c r="G21" s="18">
        <f t="shared" si="13"/>
        <v>48580</v>
      </c>
      <c r="H21" s="18">
        <f t="shared" si="9"/>
        <v>48760</v>
      </c>
      <c r="I21" s="26" t="s">
        <v>202</v>
      </c>
      <c r="J21" s="2">
        <f t="shared" si="1"/>
        <v>0</v>
      </c>
      <c r="L21" s="18"/>
      <c r="M21" s="18"/>
      <c r="N21" s="26"/>
      <c r="O21" s="2"/>
      <c r="R21" s="3"/>
      <c r="S21" s="3"/>
      <c r="T21" s="3"/>
      <c r="U21" s="3"/>
      <c r="W21" s="3">
        <f>IF(COUNT($W$4:$W20)+1&gt;MAX($AB$4:$AB$43),"",W20+1)</f>
        <v>18</v>
      </c>
      <c r="X21" s="3" t="str">
        <f t="shared" si="3"/>
        <v>Coopers</v>
      </c>
      <c r="Y21" s="15">
        <f t="shared" si="4"/>
        <v>10000</v>
      </c>
      <c r="Z21" s="7">
        <f t="shared" si="5"/>
        <v>1</v>
      </c>
      <c r="AB21" s="3">
        <f>RANK($AD21,$AD$4:$AD$33,0)+COUNTIF($AD$4:$AD21,$AD21)-1</f>
        <v>20</v>
      </c>
      <c r="AC21" s="3" t="str">
        <v>Platypus</v>
      </c>
      <c r="AD21" s="15">
        <f t="shared" si="6"/>
        <v>10000</v>
      </c>
      <c r="AF21" s="41">
        <f>IF(ISBLANK('FY26'!W5),NA(),'FY26'!W5)</f>
        <v>45841</v>
      </c>
      <c r="AG21" s="42">
        <f>IF(ISBLANK('FY26'!X5),NA(),'FY26'!X5)</f>
        <v>5000</v>
      </c>
      <c r="AH21" s="43" t="str">
        <f>IF(ISBLANK('FY26'!Y5),NA(),'FY26'!Y5)</f>
        <v>SG Hiscock</v>
      </c>
    </row>
    <row r="22" spans="2:34" x14ac:dyDescent="0.25">
      <c r="B22" s="18">
        <f t="shared" si="16"/>
        <v>46023</v>
      </c>
      <c r="C22" s="18">
        <f t="shared" si="17"/>
        <v>46053</v>
      </c>
      <c r="D22" s="19">
        <f t="shared" si="18"/>
        <v>46053</v>
      </c>
      <c r="E22" s="2">
        <f t="shared" si="0"/>
        <v>35000</v>
      </c>
      <c r="G22" s="18">
        <f t="shared" si="13"/>
        <v>48761</v>
      </c>
      <c r="H22" s="18">
        <f t="shared" si="9"/>
        <v>48944</v>
      </c>
      <c r="I22" s="26" t="s">
        <v>203</v>
      </c>
      <c r="J22" s="2">
        <f t="shared" si="1"/>
        <v>0</v>
      </c>
      <c r="L22" s="18"/>
      <c r="M22" s="18"/>
      <c r="N22" s="26"/>
      <c r="O22" s="2"/>
      <c r="R22" s="3"/>
      <c r="S22" s="3"/>
      <c r="T22" s="3"/>
      <c r="U22" s="3"/>
      <c r="W22" s="3">
        <f>IF(COUNT($W$4:$W21)+1&gt;MAX($AB$4:$AB$43),"",W21+1)</f>
        <v>19</v>
      </c>
      <c r="X22" s="3" t="str">
        <f t="shared" si="3"/>
        <v>Ophir</v>
      </c>
      <c r="Y22" s="15">
        <f t="shared" si="4"/>
        <v>10000</v>
      </c>
      <c r="Z22" s="7">
        <f t="shared" si="5"/>
        <v>1</v>
      </c>
      <c r="AB22" s="3">
        <f>RANK($AD22,$AD$4:$AD$33,0)+COUNTIF($AD$4:$AD22,$AD22)-1</f>
        <v>21</v>
      </c>
      <c r="AC22" s="3" t="str">
        <v>Aware</v>
      </c>
      <c r="AD22" s="15">
        <f t="shared" si="6"/>
        <v>9000</v>
      </c>
      <c r="AF22" s="41">
        <f>IF(ISBLANK('FY26'!W6),NA(),'FY26'!W6)</f>
        <v>45854</v>
      </c>
      <c r="AG22" s="42">
        <f>IF(ISBLANK('FY26'!X6),NA(),'FY26'!X6)</f>
        <v>3500</v>
      </c>
      <c r="AH22" s="43" t="str">
        <f>IF(ISBLANK('FY26'!Y6),NA(),'FY26'!Y6)</f>
        <v>Ellerston</v>
      </c>
    </row>
    <row r="23" spans="2:34" x14ac:dyDescent="0.25">
      <c r="B23" s="18">
        <f t="shared" si="16"/>
        <v>46054</v>
      </c>
      <c r="C23" s="18">
        <f t="shared" si="17"/>
        <v>46081</v>
      </c>
      <c r="D23" s="19">
        <f t="shared" si="18"/>
        <v>46081</v>
      </c>
      <c r="E23" s="2">
        <f t="shared" si="0"/>
        <v>28168</v>
      </c>
      <c r="G23" s="18">
        <f t="shared" si="13"/>
        <v>48945</v>
      </c>
      <c r="H23" s="18">
        <f t="shared" si="9"/>
        <v>49125</v>
      </c>
      <c r="I23" s="26" t="s">
        <v>204</v>
      </c>
      <c r="J23" s="2">
        <f t="shared" si="1"/>
        <v>0</v>
      </c>
      <c r="L23" s="18"/>
      <c r="M23" s="18"/>
      <c r="N23" s="26"/>
      <c r="O23" s="2"/>
      <c r="R23" s="3"/>
      <c r="S23" s="3"/>
      <c r="T23" s="3"/>
      <c r="U23" s="3"/>
      <c r="W23" s="3">
        <f>IF(COUNT($W$4:$W22)+1&gt;MAX($AB$4:$AB$43),"",W22+1)</f>
        <v>20</v>
      </c>
      <c r="X23" s="3" t="str">
        <f t="shared" si="3"/>
        <v>Platypus</v>
      </c>
      <c r="Y23" s="15">
        <f t="shared" si="4"/>
        <v>10000</v>
      </c>
      <c r="Z23" s="7">
        <f t="shared" si="5"/>
        <v>2</v>
      </c>
      <c r="AB23" s="3">
        <f>RANK($AD23,$AD$4:$AD$33,0)+COUNTIF($AD$4:$AD23,$AD23)-1</f>
        <v>27</v>
      </c>
      <c r="AC23" s="3" t="str">
        <v>Eley Griffiths</v>
      </c>
      <c r="AD23" s="15">
        <f t="shared" si="6"/>
        <v>5000</v>
      </c>
      <c r="AF23" s="41">
        <f>IF(ISBLANK('FY26'!W7),NA(),'FY26'!W7)</f>
        <v>45855</v>
      </c>
      <c r="AG23" s="42">
        <f>IF(ISBLANK('FY26'!X7),NA(),'FY26'!X7)</f>
        <v>15000</v>
      </c>
      <c r="AH23" s="43" t="str">
        <f>IF(ISBLANK('FY26'!Y7),NA(),'FY26'!Y7)</f>
        <v>WAM</v>
      </c>
    </row>
    <row r="24" spans="2:34" x14ac:dyDescent="0.25">
      <c r="B24" s="18">
        <f t="shared" si="16"/>
        <v>46082</v>
      </c>
      <c r="C24" s="18">
        <f t="shared" si="17"/>
        <v>46112</v>
      </c>
      <c r="D24" s="19">
        <f t="shared" si="18"/>
        <v>46112</v>
      </c>
      <c r="E24" s="2">
        <f t="shared" si="0"/>
        <v>35500</v>
      </c>
      <c r="G24" s="18">
        <f t="shared" si="13"/>
        <v>49126</v>
      </c>
      <c r="H24" s="18">
        <f t="shared" si="9"/>
        <v>49309</v>
      </c>
      <c r="I24" s="26" t="s">
        <v>205</v>
      </c>
      <c r="J24" s="2">
        <f t="shared" si="1"/>
        <v>0</v>
      </c>
      <c r="L24" s="18"/>
      <c r="M24" s="18"/>
      <c r="N24" s="26"/>
      <c r="O24" s="2"/>
      <c r="R24" s="3"/>
      <c r="S24" s="3"/>
      <c r="T24" s="3"/>
      <c r="U24" s="3"/>
      <c r="W24" s="3">
        <f>IF(COUNT($W$4:$W23)+1&gt;MAX($AB$4:$AB$43),"",W23+1)</f>
        <v>21</v>
      </c>
      <c r="X24" s="3" t="str">
        <f t="shared" si="3"/>
        <v>Aware</v>
      </c>
      <c r="Y24" s="15">
        <f t="shared" si="4"/>
        <v>9000</v>
      </c>
      <c r="Z24" s="7">
        <f t="shared" si="5"/>
        <v>3</v>
      </c>
      <c r="AB24" s="3">
        <f>RANK($AD24,$AD$4:$AD$33,0)+COUNTIF($AD$4:$AD24,$AD24)-1</f>
        <v>12</v>
      </c>
      <c r="AC24" t="str">
        <v>OC Funds</v>
      </c>
      <c r="AD24" s="15">
        <f t="shared" si="6"/>
        <v>17500</v>
      </c>
      <c r="AF24" s="41">
        <f>IF(ISBLANK('FY26'!W8),NA(),'FY26'!W8)</f>
        <v>45873</v>
      </c>
      <c r="AG24" s="42">
        <f>IF(ISBLANK('FY26'!X8),NA(),'FY26'!X8)</f>
        <v>4000</v>
      </c>
      <c r="AH24" s="43" t="str">
        <f>IF(ISBLANK('FY26'!Y8),NA(),'FY26'!Y8)</f>
        <v>ICE</v>
      </c>
    </row>
    <row r="25" spans="2:34" x14ac:dyDescent="0.25">
      <c r="B25" s="18">
        <f t="shared" si="16"/>
        <v>46113</v>
      </c>
      <c r="C25" s="18">
        <f t="shared" si="17"/>
        <v>46142</v>
      </c>
      <c r="D25" s="19">
        <f t="shared" si="18"/>
        <v>46142</v>
      </c>
      <c r="E25" s="2">
        <f t="shared" si="0"/>
        <v>86050</v>
      </c>
      <c r="G25" s="18">
        <f t="shared" si="13"/>
        <v>49310</v>
      </c>
      <c r="H25" s="18">
        <f t="shared" si="9"/>
        <v>49490</v>
      </c>
      <c r="I25" s="26" t="s">
        <v>206</v>
      </c>
      <c r="J25" s="2">
        <f t="shared" si="1"/>
        <v>0</v>
      </c>
      <c r="L25" s="18"/>
      <c r="M25" s="18"/>
      <c r="N25" s="26"/>
      <c r="O25" s="2"/>
      <c r="R25" s="3"/>
      <c r="S25" s="3"/>
      <c r="T25" s="3"/>
      <c r="U25" s="3"/>
      <c r="W25" s="3">
        <f>IF(COUNT($W$4:$W24)+1&gt;MAX($AB$4:$AB$43),"",W24+1)</f>
        <v>22</v>
      </c>
      <c r="X25" s="3" t="str">
        <f t="shared" si="3"/>
        <v>Pendal</v>
      </c>
      <c r="Y25" s="15">
        <f t="shared" si="4"/>
        <v>7500</v>
      </c>
      <c r="Z25" s="7">
        <f t="shared" si="5"/>
        <v>1</v>
      </c>
      <c r="AB25" s="3">
        <f>RANK($AD25,$AD$4:$AD$33,0)+COUNTIF($AD$4:$AD25,$AD25)-1</f>
        <v>9</v>
      </c>
      <c r="AC25" t="str">
        <v>L1 Capital</v>
      </c>
      <c r="AD25" s="15">
        <f t="shared" si="6"/>
        <v>19200</v>
      </c>
      <c r="AF25" s="41">
        <f>IF(ISBLANK('FY26'!W9),NA(),'FY26'!W9)</f>
        <v>45873</v>
      </c>
      <c r="AG25" s="42">
        <f>IF(ISBLANK('FY26'!X9),NA(),'FY26'!X9)</f>
        <v>10000</v>
      </c>
      <c r="AH25" s="43" t="str">
        <f>IF(ISBLANK('FY26'!Y9),NA(),'FY26'!Y9)</f>
        <v>Greencape</v>
      </c>
    </row>
    <row r="26" spans="2:34" x14ac:dyDescent="0.25">
      <c r="B26" s="18">
        <f t="shared" si="16"/>
        <v>46143</v>
      </c>
      <c r="C26" s="18">
        <f t="shared" si="17"/>
        <v>46173</v>
      </c>
      <c r="D26" s="19">
        <f t="shared" si="18"/>
        <v>46173</v>
      </c>
      <c r="E26" s="2">
        <f t="shared" si="0"/>
        <v>22500</v>
      </c>
      <c r="G26" s="19"/>
      <c r="H26" s="19"/>
      <c r="I26" s="19"/>
      <c r="J26" s="2"/>
      <c r="L26" s="19"/>
      <c r="M26" s="19"/>
      <c r="N26" s="19"/>
      <c r="O26" s="2"/>
      <c r="W26" s="3">
        <f>IF(COUNT($W$4:$W25)+1&gt;MAX($AB$4:$AB$43),"",W25+1)</f>
        <v>23</v>
      </c>
      <c r="X26" s="3" t="str">
        <f t="shared" si="3"/>
        <v>Hesta</v>
      </c>
      <c r="Y26" s="15">
        <f t="shared" si="4"/>
        <v>6000</v>
      </c>
      <c r="Z26" s="7">
        <f t="shared" si="5"/>
        <v>2</v>
      </c>
      <c r="AB26" s="3">
        <f>RANK($AD26,$AD$4:$AD$33,0)+COUNTIF($AD$4:$AD26,$AD26)-1</f>
        <v>10</v>
      </c>
      <c r="AC26" t="str">
        <v>Antares</v>
      </c>
      <c r="AD26" s="15">
        <f t="shared" si="6"/>
        <v>18750</v>
      </c>
      <c r="AF26" s="41">
        <f>IF(ISBLANK('FY26'!W10),NA(),'FY26'!W10)</f>
        <v>45874</v>
      </c>
      <c r="AG26" s="42">
        <f>IF(ISBLANK('FY26'!X10),NA(),'FY26'!X10)</f>
        <v>3200</v>
      </c>
      <c r="AH26" s="43" t="str">
        <f>IF(ISBLANK('FY26'!Y10),NA(),'FY26'!Y10)</f>
        <v>BAEP</v>
      </c>
    </row>
    <row r="27" spans="2:34" x14ac:dyDescent="0.25">
      <c r="B27" s="18">
        <f t="shared" si="16"/>
        <v>46174</v>
      </c>
      <c r="C27" s="18">
        <f t="shared" si="17"/>
        <v>46203</v>
      </c>
      <c r="D27" s="19">
        <f t="shared" si="18"/>
        <v>46203</v>
      </c>
      <c r="E27" s="2">
        <f t="shared" si="0"/>
        <v>38500</v>
      </c>
      <c r="G27" s="19"/>
      <c r="H27" s="19"/>
      <c r="I27" s="19"/>
      <c r="J27" s="2"/>
      <c r="L27" s="19"/>
      <c r="M27" s="19"/>
      <c r="N27" s="19"/>
      <c r="O27" s="2"/>
      <c r="W27" s="3">
        <f>IF(COUNT($W$4:$W26)+1&gt;MAX($AB$4:$AB$43),"",W26+1)</f>
        <v>24</v>
      </c>
      <c r="X27" s="3" t="str">
        <f t="shared" si="3"/>
        <v>Firetrail</v>
      </c>
      <c r="Y27" s="15">
        <f t="shared" si="4"/>
        <v>6000</v>
      </c>
      <c r="Z27" s="7">
        <f t="shared" si="5"/>
        <v>2</v>
      </c>
      <c r="AB27" s="3">
        <f>RANK($AD27,$AD$4:$AD$33,0)+COUNTIF($AD$4:$AD27,$AD27)-1</f>
        <v>14</v>
      </c>
      <c r="AC27" t="str">
        <v>QVG</v>
      </c>
      <c r="AD27" s="15">
        <f t="shared" si="6"/>
        <v>14000</v>
      </c>
      <c r="AF27" s="41">
        <f>IF(ISBLANK('FY26'!W11),NA(),'FY26'!W11)</f>
        <v>45876</v>
      </c>
      <c r="AG27" s="42">
        <f>IF(ISBLANK('FY26'!X11),NA(),'FY26'!X11)</f>
        <v>8000</v>
      </c>
      <c r="AH27" s="43" t="str">
        <f>IF(ISBLANK('FY26'!Y11),NA(),'FY26'!Y11)</f>
        <v>Arrow</v>
      </c>
    </row>
    <row r="28" spans="2:34" x14ac:dyDescent="0.25">
      <c r="B28" s="18">
        <f t="shared" si="16"/>
        <v>46204</v>
      </c>
      <c r="C28" s="18">
        <f t="shared" si="17"/>
        <v>46234</v>
      </c>
      <c r="D28" s="19">
        <f t="shared" si="18"/>
        <v>46234</v>
      </c>
      <c r="E28" s="2">
        <f t="shared" si="0"/>
        <v>35000</v>
      </c>
      <c r="G28" s="19"/>
      <c r="H28" s="19"/>
      <c r="I28" s="19"/>
      <c r="J28" s="2"/>
      <c r="L28" s="19"/>
      <c r="M28" s="19"/>
      <c r="N28" s="19"/>
      <c r="O28" s="2"/>
      <c r="W28" s="3">
        <f>IF(COUNT($W$4:$W27)+1&gt;MAX($AB$4:$AB$43),"",W27+1)</f>
        <v>25</v>
      </c>
      <c r="X28" s="3" t="str">
        <f t="shared" si="3"/>
        <v>SG Hiscock</v>
      </c>
      <c r="Y28" s="15">
        <f t="shared" si="4"/>
        <v>5000</v>
      </c>
      <c r="Z28" s="7">
        <f t="shared" si="5"/>
        <v>1</v>
      </c>
      <c r="AB28" s="3">
        <f>RANK($AD28,$AD$4:$AD$33,0)+COUNTIF($AD$4:$AD28,$AD28)-1</f>
        <v>17</v>
      </c>
      <c r="AC28" t="str">
        <v>SMID</v>
      </c>
      <c r="AD28" s="15">
        <f t="shared" si="6"/>
        <v>10068</v>
      </c>
      <c r="AF28" s="41">
        <f>IF(ISBLANK('FY26'!W12),NA(),'FY26'!W12)</f>
        <v>45880</v>
      </c>
      <c r="AG28" s="42">
        <f>IF(ISBLANK('FY26'!X12),NA(),'FY26'!X12)</f>
        <v>2500</v>
      </c>
      <c r="AH28" s="43" t="str">
        <f>IF(ISBLANK('FY26'!Y12),NA(),'FY26'!Y12)</f>
        <v>Solaris</v>
      </c>
    </row>
    <row r="29" spans="2:34" x14ac:dyDescent="0.25">
      <c r="B29" s="18">
        <f t="shared" si="16"/>
        <v>46235</v>
      </c>
      <c r="C29" s="18">
        <f t="shared" si="17"/>
        <v>46265</v>
      </c>
      <c r="D29" s="19">
        <f t="shared" si="18"/>
        <v>46265</v>
      </c>
      <c r="E29" s="2">
        <f t="shared" si="0"/>
        <v>12000</v>
      </c>
      <c r="G29" s="19"/>
      <c r="H29" s="19"/>
      <c r="I29" s="19"/>
      <c r="J29" s="2"/>
      <c r="L29" s="19"/>
      <c r="M29" s="19"/>
      <c r="N29" s="19"/>
      <c r="O29" s="2"/>
      <c r="W29" s="3">
        <f>IF(COUNT($W$4:$W28)+1&gt;MAX($AB$4:$AB$43),"",W28+1)</f>
        <v>26</v>
      </c>
      <c r="X29" s="3" t="str">
        <f t="shared" si="3"/>
        <v>Regal</v>
      </c>
      <c r="Y29" s="15">
        <f t="shared" si="4"/>
        <v>5000</v>
      </c>
      <c r="Z29" s="7">
        <f t="shared" si="5"/>
        <v>1</v>
      </c>
      <c r="AB29" s="3">
        <f>RANK($AD29,$AD$4:$AD$33,0)+COUNTIF($AD$4:$AD29,$AD29)-1</f>
        <v>24</v>
      </c>
      <c r="AC29" t="str">
        <v>Firetrail</v>
      </c>
      <c r="AD29" s="15">
        <f t="shared" si="6"/>
        <v>6000</v>
      </c>
      <c r="AF29" s="41">
        <f>IF(ISBLANK('FY26'!W13),NA(),'FY26'!W13)</f>
        <v>45880</v>
      </c>
      <c r="AG29" s="42">
        <f>IF(ISBLANK('FY26'!X13),NA(),'FY26'!X13)</f>
        <v>7500</v>
      </c>
      <c r="AH29" s="43" t="str">
        <f>IF(ISBLANK('FY26'!Y13),NA(),'FY26'!Y13)</f>
        <v>Pendal</v>
      </c>
    </row>
    <row r="30" spans="2:34" x14ac:dyDescent="0.25">
      <c r="B30" s="18">
        <f t="shared" si="16"/>
        <v>46266</v>
      </c>
      <c r="C30" s="18">
        <f t="shared" si="17"/>
        <v>46295</v>
      </c>
      <c r="D30" s="19">
        <f t="shared" si="18"/>
        <v>46295</v>
      </c>
      <c r="E30" s="2">
        <f t="shared" si="0"/>
        <v>17050</v>
      </c>
      <c r="G30" s="19"/>
      <c r="H30" s="19"/>
      <c r="I30" s="19"/>
      <c r="J30" s="2"/>
      <c r="L30" s="19"/>
      <c r="M30" s="19"/>
      <c r="N30" s="19"/>
      <c r="O30" s="2"/>
      <c r="W30" s="3">
        <f>IF(COUNT($W$4:$W29)+1&gt;MAX($AB$4:$AB$43),"",W29+1)</f>
        <v>27</v>
      </c>
      <c r="X30" s="3" t="str">
        <f t="shared" si="3"/>
        <v>Eley Griffiths</v>
      </c>
      <c r="Y30" s="15">
        <f t="shared" si="4"/>
        <v>5000</v>
      </c>
      <c r="Z30" s="7">
        <f t="shared" si="5"/>
        <v>1</v>
      </c>
      <c r="AB30" s="3">
        <f>RANK($AD30,$AD$4:$AD$33,0)+COUNTIF($AD$4:$AD30,$AD30)-1</f>
        <v>15</v>
      </c>
      <c r="AC30" t="str">
        <v>Centennial</v>
      </c>
      <c r="AD30" s="15">
        <f t="shared" si="6"/>
        <v>12500</v>
      </c>
      <c r="AF30" s="41">
        <f>IF(ISBLANK('FY26'!W14),NA(),'FY26'!W14)</f>
        <v>45881</v>
      </c>
      <c r="AG30" s="42">
        <f>IF(ISBLANK('FY26'!X14),NA(),'FY26'!X14)</f>
        <v>3100</v>
      </c>
      <c r="AH30" s="43" t="str">
        <f>IF(ISBLANK('FY26'!Y14),NA(),'FY26'!Y14)</f>
        <v>BAEP</v>
      </c>
    </row>
    <row r="31" spans="2:34" x14ac:dyDescent="0.25">
      <c r="B31" s="18">
        <f t="shared" si="16"/>
        <v>46296</v>
      </c>
      <c r="C31" s="18">
        <f t="shared" si="17"/>
        <v>46326</v>
      </c>
      <c r="D31" s="19">
        <f t="shared" si="18"/>
        <v>46326</v>
      </c>
      <c r="E31" s="2">
        <f t="shared" si="0"/>
        <v>0</v>
      </c>
      <c r="G31" s="19"/>
      <c r="H31" s="19"/>
      <c r="I31" s="19"/>
      <c r="J31" s="2"/>
      <c r="L31" s="19"/>
      <c r="M31" s="19"/>
      <c r="N31" s="19"/>
      <c r="O31" s="2"/>
      <c r="W31" s="3">
        <f>IF(COUNT($W$4:$W30)+1&gt;MAX($AB$4:$AB$43),"",W30+1)</f>
        <v>28</v>
      </c>
      <c r="X31" s="3" t="str">
        <f t="shared" si="3"/>
        <v>Alliance Bernstein</v>
      </c>
      <c r="Y31" s="15">
        <f t="shared" si="4"/>
        <v>2000</v>
      </c>
      <c r="Z31" s="7">
        <f t="shared" si="5"/>
        <v>1</v>
      </c>
      <c r="AB31" s="3">
        <f>RANK($AD31,$AD$4:$AD$33,0)+COUNTIF($AD$4:$AD31,$AD31)-1</f>
        <v>16</v>
      </c>
      <c r="AC31" t="str">
        <v>Aus Super</v>
      </c>
      <c r="AD31" s="15">
        <f t="shared" si="6"/>
        <v>10900</v>
      </c>
      <c r="AF31" s="41">
        <f>IF(ISBLANK('FY26'!W15),NA(),'FY26'!W15)</f>
        <v>45881</v>
      </c>
      <c r="AG31" s="42">
        <f>IF(ISBLANK('FY26'!X15),NA(),'FY26'!X15)</f>
        <v>2500</v>
      </c>
      <c r="AH31" s="43" t="str">
        <f>IF(ISBLANK('FY26'!Y15),NA(),'FY26'!Y15)</f>
        <v>Solaris</v>
      </c>
    </row>
    <row r="32" spans="2:34" x14ac:dyDescent="0.25">
      <c r="B32" s="18">
        <f t="shared" si="16"/>
        <v>46327</v>
      </c>
      <c r="C32" s="18">
        <f t="shared" si="17"/>
        <v>46356</v>
      </c>
      <c r="D32" s="19">
        <f t="shared" si="18"/>
        <v>46356</v>
      </c>
      <c r="E32" s="2">
        <f t="shared" si="0"/>
        <v>0</v>
      </c>
      <c r="G32" s="19"/>
      <c r="H32" s="19"/>
      <c r="I32" s="19"/>
      <c r="J32" s="2"/>
      <c r="L32" s="19"/>
      <c r="M32" s="19"/>
      <c r="N32" s="19"/>
      <c r="O32" s="2"/>
      <c r="W32" s="3">
        <f>IF(COUNT($W$4:$W31)+1&gt;MAX($AB$4:$AB$43),"",W31+1)</f>
        <v>29</v>
      </c>
      <c r="X32" s="3" t="str">
        <f t="shared" si="3"/>
        <v>Hyperion</v>
      </c>
      <c r="Y32" s="15">
        <f t="shared" si="4"/>
        <v>2000</v>
      </c>
      <c r="Z32" s="7">
        <f t="shared" si="5"/>
        <v>1</v>
      </c>
      <c r="AB32" s="3">
        <f>RANK($AD32,$AD$4:$AD$33,0)+COUNTIF($AD$4:$AD32,$AD32)-1</f>
        <v>28</v>
      </c>
      <c r="AC32" t="str">
        <v>Alliance Bernstein</v>
      </c>
      <c r="AD32" s="15">
        <f t="shared" si="6"/>
        <v>2000</v>
      </c>
      <c r="AF32" s="41">
        <f>IF(ISBLANK('FY26'!W16),NA(),'FY26'!W16)</f>
        <v>45881</v>
      </c>
      <c r="AG32" s="42">
        <f>IF(ISBLANK('FY26'!X16),NA(),'FY26'!X16)</f>
        <v>5000</v>
      </c>
      <c r="AH32" s="43" t="str">
        <f>IF(ISBLANK('FY26'!Y16),NA(),'FY26'!Y16)</f>
        <v>Regal</v>
      </c>
    </row>
    <row r="33" spans="2:34" x14ac:dyDescent="0.25">
      <c r="B33" s="18">
        <f t="shared" si="16"/>
        <v>46357</v>
      </c>
      <c r="C33" s="18">
        <f t="shared" si="17"/>
        <v>46387</v>
      </c>
      <c r="D33" s="19">
        <f t="shared" si="18"/>
        <v>46387</v>
      </c>
      <c r="E33" s="2">
        <f t="shared" si="0"/>
        <v>0</v>
      </c>
      <c r="G33" s="19"/>
      <c r="H33" s="19"/>
      <c r="I33" s="19"/>
      <c r="J33" s="2"/>
      <c r="L33" s="19"/>
      <c r="M33" s="19"/>
      <c r="N33" s="19"/>
      <c r="O33" s="2"/>
      <c r="W33" s="3">
        <f>IF(COUNT($W$4:$W32)+1&gt;MAX($AB$4:$AB$43),"",W32+1)</f>
        <v>30</v>
      </c>
      <c r="X33" s="3" t="str">
        <f t="shared" si="3"/>
        <v>Wavestone</v>
      </c>
      <c r="Y33" s="15">
        <f t="shared" si="4"/>
        <v>1500</v>
      </c>
      <c r="Z33" s="7">
        <f t="shared" si="5"/>
        <v>1</v>
      </c>
      <c r="AB33" s="3">
        <f>RANK($AD33,$AD$4:$AD$33,0)+COUNTIF($AD$4:$AD33,$AD33)-1</f>
        <v>29</v>
      </c>
      <c r="AC33" t="str">
        <v>Hyperion</v>
      </c>
      <c r="AD33" s="15">
        <f t="shared" si="6"/>
        <v>2000</v>
      </c>
      <c r="AF33" s="41">
        <f>IF(ISBLANK('FY26'!W17),NA(),'FY26'!W17)</f>
        <v>45883</v>
      </c>
      <c r="AG33" s="42">
        <f>IF(ISBLANK('FY26'!X17),NA(),'FY26'!X17)</f>
        <v>10000</v>
      </c>
      <c r="AH33" s="43" t="str">
        <f>IF(ISBLANK('FY26'!Y17),NA(),'FY26'!Y17)</f>
        <v>Coopers</v>
      </c>
    </row>
    <row r="34" spans="2:34" x14ac:dyDescent="0.25">
      <c r="B34" s="18">
        <f t="shared" si="16"/>
        <v>46388</v>
      </c>
      <c r="C34" s="18">
        <f t="shared" si="17"/>
        <v>46418</v>
      </c>
      <c r="D34" s="19">
        <f t="shared" si="18"/>
        <v>46418</v>
      </c>
      <c r="E34" s="2">
        <f t="shared" si="0"/>
        <v>0</v>
      </c>
      <c r="G34" s="19"/>
      <c r="H34" s="19"/>
      <c r="I34" s="19"/>
      <c r="J34" s="2"/>
      <c r="L34" s="19"/>
      <c r="M34" s="19"/>
      <c r="N34" s="19"/>
      <c r="O34" s="2"/>
      <c r="W34" s="3" t="str">
        <f>IF(COUNT($W$4:$W33)+1&gt;MAX($AB$4:$AB$43),"",W33+1)</f>
        <v/>
      </c>
      <c r="X34" s="3">
        <f t="shared" si="3"/>
        <v>0</v>
      </c>
      <c r="Y34" s="15">
        <f t="shared" si="4"/>
        <v>0</v>
      </c>
      <c r="Z34" s="7">
        <f t="shared" si="5"/>
        <v>0</v>
      </c>
      <c r="AB34" s="3">
        <f>IF(AD34=0,"",RANK($AD34,$AD$4:$AD$33,0)+COUNTIF($AD$4:$AD34,$AD34)-1)</f>
        <v>28</v>
      </c>
      <c r="AC34" t="str">
        <v>Airlie</v>
      </c>
      <c r="AD34" s="15">
        <f t="shared" si="6"/>
        <v>5000</v>
      </c>
      <c r="AF34" s="41">
        <f>IF(ISBLANK('FY26'!W18),NA(),'FY26'!W18)</f>
        <v>45895</v>
      </c>
      <c r="AG34" s="42">
        <f>IF(ISBLANK('FY26'!X18),NA(),'FY26'!X18)</f>
        <v>3000</v>
      </c>
      <c r="AH34" s="43" t="str">
        <f>IF(ISBLANK('FY26'!Y18),NA(),'FY26'!Y18)</f>
        <v>Hesta</v>
      </c>
    </row>
    <row r="35" spans="2:34" x14ac:dyDescent="0.25">
      <c r="B35" s="18">
        <f t="shared" si="16"/>
        <v>46419</v>
      </c>
      <c r="C35" s="18">
        <f t="shared" si="17"/>
        <v>46446</v>
      </c>
      <c r="D35" s="19">
        <f t="shared" si="18"/>
        <v>46446</v>
      </c>
      <c r="E35" s="2">
        <f t="shared" si="0"/>
        <v>0</v>
      </c>
      <c r="G35" s="19"/>
      <c r="H35" s="19"/>
      <c r="I35" s="19"/>
      <c r="J35" s="2"/>
      <c r="L35" s="19"/>
      <c r="M35" s="19"/>
      <c r="N35" s="19"/>
      <c r="O35" s="2"/>
      <c r="W35" s="3" t="str">
        <f>IF(COUNT($W$4:$W34)+1&gt;MAX($AB$4:$AB$43),"",W34+1)</f>
        <v/>
      </c>
      <c r="X35" s="3">
        <f t="shared" si="3"/>
        <v>0</v>
      </c>
      <c r="Y35" s="15">
        <f t="shared" si="4"/>
        <v>0</v>
      </c>
      <c r="Z35" s="7">
        <f t="shared" si="5"/>
        <v>0</v>
      </c>
      <c r="AB35" s="3" t="str">
        <f>IF(AD35=0,"",RANK($AD35,$AD$4:$AD$33,0)+COUNTIF($AD$4:$AD35,$AD35)-1)</f>
        <v/>
      </c>
      <c r="AD35" s="15">
        <f t="shared" si="6"/>
        <v>0</v>
      </c>
      <c r="AF35" s="41">
        <f>IF(ISBLANK('FY26'!W19),"",'FY26'!W19)</f>
        <v>45905</v>
      </c>
      <c r="AG35" s="42">
        <f>IF(ISBLANK('FY26'!X19),"",'FY26'!X19)</f>
        <v>10937</v>
      </c>
      <c r="AH35" s="43" t="str">
        <f>IF(ISBLANK('FY26'!Y19),"",'FY26'!Y19)</f>
        <v>Quest</v>
      </c>
    </row>
    <row r="36" spans="2:34" x14ac:dyDescent="0.25">
      <c r="B36" s="18">
        <f t="shared" si="16"/>
        <v>46447</v>
      </c>
      <c r="C36" s="18">
        <f t="shared" si="17"/>
        <v>46477</v>
      </c>
      <c r="D36" s="19">
        <f t="shared" si="18"/>
        <v>46477</v>
      </c>
      <c r="E36" s="2">
        <f t="shared" ref="E36:E67" si="19">SUMIFS($AG:$AG,$AF:$AF,"&gt;="&amp;B36,$AF:$AF,"&lt;="&amp;C36)</f>
        <v>0</v>
      </c>
      <c r="G36" s="19"/>
      <c r="H36" s="19"/>
      <c r="I36" s="19"/>
      <c r="J36" s="2"/>
      <c r="L36" s="19"/>
      <c r="M36" s="19"/>
      <c r="N36" s="19"/>
      <c r="O36" s="2"/>
      <c r="W36" s="3" t="str">
        <f>IF(COUNT($W$4:$W35)+1&gt;MAX($AB$4:$AB$43),"",W35+1)</f>
        <v/>
      </c>
      <c r="X36" s="3">
        <f t="shared" si="3"/>
        <v>0</v>
      </c>
      <c r="Y36" s="15">
        <f t="shared" si="4"/>
        <v>0</v>
      </c>
      <c r="Z36" s="7">
        <f t="shared" si="5"/>
        <v>0</v>
      </c>
      <c r="AB36" s="3" t="str">
        <f>IF(AD36=0,"",RANK($AD36,$AD$4:$AD$33,0)+COUNTIF($AD$4:$AD36,$AD36)-1)</f>
        <v/>
      </c>
      <c r="AD36" s="15">
        <f t="shared" si="6"/>
        <v>0</v>
      </c>
      <c r="AF36" s="41">
        <f>IF(ISBLANK('FY26'!W20),"",'FY26'!W20)</f>
        <v>45912</v>
      </c>
      <c r="AG36" s="42">
        <f>IF(ISBLANK('FY26'!X20),"",'FY26'!X20)</f>
        <v>7000</v>
      </c>
      <c r="AH36" s="43" t="str">
        <f>IF(ISBLANK('FY26'!Y20),"",'FY26'!Y20)</f>
        <v>CBUS</v>
      </c>
    </row>
    <row r="37" spans="2:34" x14ac:dyDescent="0.25">
      <c r="B37" s="18">
        <f t="shared" si="16"/>
        <v>46478</v>
      </c>
      <c r="C37" s="18">
        <f t="shared" si="17"/>
        <v>46507</v>
      </c>
      <c r="D37" s="19">
        <f t="shared" si="18"/>
        <v>46507</v>
      </c>
      <c r="E37" s="2">
        <f t="shared" si="19"/>
        <v>0</v>
      </c>
      <c r="G37" s="19"/>
      <c r="H37" s="19"/>
      <c r="I37" s="19"/>
      <c r="J37" s="2"/>
      <c r="L37" s="19"/>
      <c r="M37" s="19"/>
      <c r="N37" s="19"/>
      <c r="O37" s="2"/>
      <c r="W37" s="3" t="str">
        <f>IF(COUNT($W$4:$W36)+1&gt;MAX($AB$4:$AB$43),"",W36+1)</f>
        <v/>
      </c>
      <c r="X37" s="3">
        <f t="shared" si="3"/>
        <v>0</v>
      </c>
      <c r="Y37" s="15">
        <f t="shared" si="4"/>
        <v>0</v>
      </c>
      <c r="Z37" s="7">
        <f t="shared" si="5"/>
        <v>0</v>
      </c>
      <c r="AB37" s="3" t="str">
        <f>IF(AD37=0,"",RANK($AD37,$AD$4:$AD$33,0)+COUNTIF($AD$4:$AD37,$AD37)-1)</f>
        <v/>
      </c>
      <c r="AD37" s="15">
        <f t="shared" si="6"/>
        <v>0</v>
      </c>
      <c r="AF37" s="41">
        <f>IF(ISBLANK('FY26'!W21),"",'FY26'!W21)</f>
        <v>45929</v>
      </c>
      <c r="AG37" s="42">
        <f>IF(ISBLANK('FY26'!X21),"",'FY26'!X21)</f>
        <v>4200</v>
      </c>
      <c r="AH37" s="43" t="str">
        <f>IF(ISBLANK('FY26'!Y21),"",'FY26'!Y21)</f>
        <v>BAEP</v>
      </c>
    </row>
    <row r="38" spans="2:34" x14ac:dyDescent="0.25">
      <c r="B38" s="18">
        <f t="shared" si="16"/>
        <v>46508</v>
      </c>
      <c r="C38" s="18">
        <f t="shared" si="17"/>
        <v>46538</v>
      </c>
      <c r="D38" s="19">
        <f t="shared" si="18"/>
        <v>46538</v>
      </c>
      <c r="E38" s="2">
        <f t="shared" si="19"/>
        <v>0</v>
      </c>
      <c r="G38" s="19"/>
      <c r="H38" s="19"/>
      <c r="I38" s="19"/>
      <c r="J38" s="2"/>
      <c r="L38" s="19"/>
      <c r="M38" s="19"/>
      <c r="N38" s="19"/>
      <c r="O38" s="2"/>
      <c r="W38" s="3" t="str">
        <f>IF(COUNT($W$4:$W37)+1&gt;MAX($AB$4:$AB$43),"",W37+1)</f>
        <v/>
      </c>
      <c r="X38" s="3">
        <f t="shared" si="3"/>
        <v>0</v>
      </c>
      <c r="Y38" s="15">
        <f t="shared" si="4"/>
        <v>0</v>
      </c>
      <c r="Z38" s="7">
        <f t="shared" si="5"/>
        <v>0</v>
      </c>
      <c r="AB38" s="3" t="str">
        <f>IF(AD38=0,"",RANK($AD38,$AD$4:$AD$33,0)+COUNTIF($AD$4:$AD38,$AD38)-1)</f>
        <v/>
      </c>
      <c r="AD38" s="15">
        <f t="shared" si="6"/>
        <v>0</v>
      </c>
      <c r="AF38" s="41">
        <f>IF(ISBLANK('FY26'!W22),"",'FY26'!W22)</f>
        <v>45930</v>
      </c>
      <c r="AG38" s="42">
        <f>IF(ISBLANK('FY26'!X22),"",'FY26'!X22)</f>
        <v>10000</v>
      </c>
      <c r="AH38" s="43" t="str">
        <f>IF(ISBLANK('FY26'!Y22),"",'FY26'!Y22)</f>
        <v>Ophir</v>
      </c>
    </row>
    <row r="39" spans="2:34" x14ac:dyDescent="0.25">
      <c r="B39" s="18">
        <f t="shared" si="16"/>
        <v>46539</v>
      </c>
      <c r="C39" s="18">
        <f t="shared" si="17"/>
        <v>46568</v>
      </c>
      <c r="D39" s="19">
        <f t="shared" si="18"/>
        <v>46568</v>
      </c>
      <c r="E39" s="2">
        <f t="shared" si="19"/>
        <v>0</v>
      </c>
      <c r="G39" s="19"/>
      <c r="H39" s="19"/>
      <c r="I39" s="19"/>
      <c r="J39" s="2"/>
      <c r="L39" s="19"/>
      <c r="M39" s="19"/>
      <c r="N39" s="19"/>
      <c r="O39" s="2"/>
      <c r="W39" s="3" t="str">
        <f>IF(COUNT($W$4:$W38)+1&gt;MAX($AB$4:$AB$43),"",W38+1)</f>
        <v/>
      </c>
      <c r="X39" s="3">
        <f t="shared" si="3"/>
        <v>0</v>
      </c>
      <c r="Y39" s="15">
        <f t="shared" si="4"/>
        <v>0</v>
      </c>
      <c r="Z39" s="7">
        <f t="shared" si="5"/>
        <v>0</v>
      </c>
      <c r="AB39" s="3" t="str">
        <f>IF(AD39=0,"",RANK($AD39,$AD$4:$AD$33,0)+COUNTIF($AD$4:$AD39,$AD39)-1)</f>
        <v/>
      </c>
      <c r="AD39" s="15">
        <f t="shared" si="6"/>
        <v>0</v>
      </c>
      <c r="AF39" s="41">
        <f>IF(ISBLANK('FY26'!W23),"",'FY26'!W23)</f>
        <v>45933</v>
      </c>
      <c r="AG39" s="42">
        <f>IF(ISBLANK('FY26'!X23),"",'FY26'!X23)</f>
        <v>3500</v>
      </c>
      <c r="AH39" s="43" t="str">
        <f>IF(ISBLANK('FY26'!Y23),"",'FY26'!Y23)</f>
        <v>BAEP</v>
      </c>
    </row>
    <row r="40" spans="2:34" x14ac:dyDescent="0.25">
      <c r="B40" s="18">
        <f t="shared" ref="B40:B63" si="20">C39+1</f>
        <v>46569</v>
      </c>
      <c r="C40" s="18">
        <f t="shared" ref="C40:C63" si="21">EOMONTH(B40,0)</f>
        <v>46599</v>
      </c>
      <c r="D40" s="19">
        <f t="shared" ref="D40:D54" si="22">C40</f>
        <v>46599</v>
      </c>
      <c r="E40" s="2">
        <f t="shared" si="19"/>
        <v>0</v>
      </c>
      <c r="G40" s="19"/>
      <c r="H40" s="19"/>
      <c r="I40" s="19"/>
      <c r="J40" s="2"/>
      <c r="L40" s="19"/>
      <c r="M40" s="19"/>
      <c r="N40" s="19"/>
      <c r="O40" s="2"/>
      <c r="W40" s="3" t="str">
        <f>IF(COUNT($W$4:$W39)+1&gt;MAX($AB$4:$AB$43),"",W39+1)</f>
        <v/>
      </c>
      <c r="X40" s="3">
        <f t="shared" si="3"/>
        <v>0</v>
      </c>
      <c r="Y40" s="15">
        <f t="shared" si="4"/>
        <v>0</v>
      </c>
      <c r="Z40" s="7">
        <f t="shared" si="5"/>
        <v>0</v>
      </c>
      <c r="AB40" s="3" t="str">
        <f>IF(AD40=0,"",RANK($AD40,$AD$4:$AD$33,0)+COUNTIF($AD$4:$AD40,$AD40)-1)</f>
        <v/>
      </c>
      <c r="AD40" s="15">
        <f t="shared" si="6"/>
        <v>0</v>
      </c>
      <c r="AF40" s="41">
        <f>IF(ISBLANK('FY26'!W24),"",'FY26'!W24)</f>
        <v>45933</v>
      </c>
      <c r="AG40" s="42">
        <f>IF(ISBLANK('FY26'!X24),"",'FY26'!X24)</f>
        <v>2500</v>
      </c>
      <c r="AH40" s="43" t="str">
        <f>IF(ISBLANK('FY26'!Y24),"",'FY26'!Y24)</f>
        <v>ICE</v>
      </c>
    </row>
    <row r="41" spans="2:34" x14ac:dyDescent="0.25">
      <c r="B41" s="18">
        <f t="shared" si="20"/>
        <v>46600</v>
      </c>
      <c r="C41" s="18">
        <f t="shared" si="21"/>
        <v>46630</v>
      </c>
      <c r="D41" s="19">
        <f t="shared" si="22"/>
        <v>46630</v>
      </c>
      <c r="E41" s="2">
        <f t="shared" si="19"/>
        <v>0</v>
      </c>
      <c r="G41" s="19"/>
      <c r="H41" s="19"/>
      <c r="I41" s="19"/>
      <c r="J41" s="2"/>
      <c r="L41" s="19"/>
      <c r="M41" s="19"/>
      <c r="N41" s="19"/>
      <c r="O41" s="2"/>
      <c r="W41" s="3" t="str">
        <f>IF(COUNT($W$4:$W40)+1&gt;MAX($AB$4:$AB$43),"",W40+1)</f>
        <v/>
      </c>
      <c r="X41" s="3">
        <f t="shared" si="3"/>
        <v>0</v>
      </c>
      <c r="Y41" s="15">
        <f t="shared" si="4"/>
        <v>0</v>
      </c>
      <c r="Z41" s="7">
        <f t="shared" si="5"/>
        <v>0</v>
      </c>
      <c r="AB41" s="3" t="str">
        <f>IF(AD41=0,"",RANK($AD41,$AD$4:$AD$33,0)+COUNTIF($AD$4:$AD41,$AD41)-1)</f>
        <v/>
      </c>
      <c r="AD41" s="15">
        <f t="shared" si="6"/>
        <v>0</v>
      </c>
      <c r="AF41" s="41">
        <f>IF(ISBLANK('FY26'!W25),"",'FY26'!W25)</f>
        <v>45937</v>
      </c>
      <c r="AG41" s="42">
        <f>IF(ISBLANK('FY26'!X25),"",'FY26'!X25)</f>
        <v>10000</v>
      </c>
      <c r="AH41" s="43" t="str">
        <f>IF(ISBLANK('FY26'!Y25),"",'FY26'!Y25)</f>
        <v>Greencape</v>
      </c>
    </row>
    <row r="42" spans="2:34" x14ac:dyDescent="0.25">
      <c r="B42" s="18">
        <f t="shared" si="20"/>
        <v>46631</v>
      </c>
      <c r="C42" s="18">
        <f t="shared" si="21"/>
        <v>46660</v>
      </c>
      <c r="D42" s="19">
        <f t="shared" si="22"/>
        <v>46660</v>
      </c>
      <c r="E42" s="2">
        <f t="shared" si="19"/>
        <v>0</v>
      </c>
      <c r="G42" s="19"/>
      <c r="H42" s="19"/>
      <c r="I42" s="19"/>
      <c r="J42" s="2"/>
      <c r="L42" s="19"/>
      <c r="M42" s="19"/>
      <c r="N42" s="19"/>
      <c r="O42" s="2"/>
      <c r="W42" s="3" t="str">
        <f>IF(COUNT($W$4:$W41)+1&gt;MAX($AB$4:$AB$43),"",W41+1)</f>
        <v/>
      </c>
      <c r="X42" s="3">
        <f t="shared" si="3"/>
        <v>0</v>
      </c>
      <c r="Y42" s="15">
        <f t="shared" si="4"/>
        <v>0</v>
      </c>
      <c r="Z42" s="7">
        <f t="shared" si="5"/>
        <v>0</v>
      </c>
      <c r="AB42" s="3" t="str">
        <f>IF(AD42=0,"",RANK($AD42,$AD$4:$AD$33,0)+COUNTIF($AD$4:$AD42,$AD42)-1)</f>
        <v/>
      </c>
      <c r="AD42" s="15">
        <f t="shared" si="6"/>
        <v>0</v>
      </c>
      <c r="AF42" s="41">
        <f>IF(ISBLANK('FY26'!W26),"",'FY26'!W26)</f>
        <v>45939</v>
      </c>
      <c r="AG42" s="42">
        <f>IF(ISBLANK('FY26'!X26),"",'FY26'!X26)</f>
        <v>4000</v>
      </c>
      <c r="AH42" s="43" t="str">
        <f>IF(ISBLANK('FY26'!Y26),"",'FY26'!Y26)</f>
        <v>Perps Private</v>
      </c>
    </row>
    <row r="43" spans="2:34" x14ac:dyDescent="0.25">
      <c r="B43" s="18">
        <f t="shared" si="20"/>
        <v>46661</v>
      </c>
      <c r="C43" s="18">
        <f t="shared" si="21"/>
        <v>46691</v>
      </c>
      <c r="D43" s="19">
        <f t="shared" si="22"/>
        <v>46691</v>
      </c>
      <c r="E43" s="2">
        <f t="shared" si="19"/>
        <v>0</v>
      </c>
      <c r="G43" s="19"/>
      <c r="H43" s="19"/>
      <c r="I43" s="19"/>
      <c r="J43" s="2"/>
      <c r="L43" s="19"/>
      <c r="M43" s="19"/>
      <c r="N43" s="19"/>
      <c r="O43" s="2"/>
      <c r="W43" s="3" t="str">
        <f>IF(COUNT($W$4:$W42)+1&gt;MAX($AB$4:$AB$43),"",W42+1)</f>
        <v/>
      </c>
      <c r="X43" s="3">
        <f t="shared" si="3"/>
        <v>0</v>
      </c>
      <c r="Y43" s="15">
        <f t="shared" si="4"/>
        <v>0</v>
      </c>
      <c r="Z43" s="7">
        <f t="shared" si="5"/>
        <v>0</v>
      </c>
      <c r="AB43" s="3" t="str">
        <f>IF(AD43=0,"",RANK($AD43,$AD$4:$AD$33,0)+COUNTIF($AD$4:$AD43,$AD43)-1)</f>
        <v/>
      </c>
      <c r="AD43" s="15">
        <f t="shared" si="6"/>
        <v>0</v>
      </c>
      <c r="AF43" s="41">
        <f>IF(ISBLANK('FY26'!W27),"",'FY26'!W27)</f>
        <v>45945</v>
      </c>
      <c r="AG43" s="42">
        <f>IF(ISBLANK('FY26'!X27),"",'FY26'!X27)</f>
        <v>3000</v>
      </c>
      <c r="AH43" s="43" t="str">
        <f>IF(ISBLANK('FY26'!Y27),"",'FY26'!Y27)</f>
        <v>Hesta</v>
      </c>
    </row>
    <row r="44" spans="2:34" x14ac:dyDescent="0.25">
      <c r="B44" s="18">
        <f t="shared" si="20"/>
        <v>46692</v>
      </c>
      <c r="C44" s="18">
        <f t="shared" si="21"/>
        <v>46721</v>
      </c>
      <c r="D44" s="19">
        <f t="shared" si="22"/>
        <v>46721</v>
      </c>
      <c r="E44" s="2">
        <f t="shared" si="19"/>
        <v>0</v>
      </c>
      <c r="G44" s="19"/>
      <c r="H44" s="19"/>
      <c r="I44" s="19"/>
      <c r="J44" s="2"/>
      <c r="L44" s="19"/>
      <c r="M44" s="19"/>
      <c r="N44" s="19"/>
      <c r="O44" s="2"/>
      <c r="W44" s="13" t="s">
        <v>19</v>
      </c>
      <c r="X44" s="13"/>
      <c r="Y44" s="14">
        <f>SUM(Y4:Y43)</f>
        <v>616705</v>
      </c>
      <c r="Z44" s="13"/>
      <c r="AF44" s="41">
        <f>IF(ISBLANK('FY26'!W28),"",'FY26'!W28)</f>
        <v>45954</v>
      </c>
      <c r="AG44" s="42">
        <f>IF(ISBLANK('FY26'!X28),"",'FY26'!X28)</f>
        <v>2500</v>
      </c>
      <c r="AH44" s="43" t="str">
        <f>IF(ISBLANK('FY26'!Y28),"",'FY26'!Y28)</f>
        <v>BAEP</v>
      </c>
    </row>
    <row r="45" spans="2:34" x14ac:dyDescent="0.25">
      <c r="B45" s="18">
        <f t="shared" si="20"/>
        <v>46722</v>
      </c>
      <c r="C45" s="18">
        <f t="shared" si="21"/>
        <v>46752</v>
      </c>
      <c r="D45" s="19">
        <f t="shared" si="22"/>
        <v>46752</v>
      </c>
      <c r="E45" s="2">
        <f t="shared" si="19"/>
        <v>0</v>
      </c>
      <c r="G45" s="19"/>
      <c r="H45" s="19"/>
      <c r="I45" s="19"/>
      <c r="J45" s="2"/>
      <c r="L45" s="19"/>
      <c r="M45" s="19"/>
      <c r="N45" s="19"/>
      <c r="O45" s="2"/>
      <c r="AF45" s="41">
        <f>IF(ISBLANK('FY26'!W29),"",'FY26'!W29)</f>
        <v>45954</v>
      </c>
      <c r="AG45" s="42">
        <f>IF(ISBLANK('FY26'!X29),"",'FY26'!X29)</f>
        <v>5000</v>
      </c>
      <c r="AH45" s="43" t="str">
        <f>IF(ISBLANK('FY26'!Y29),"",'FY26'!Y29)</f>
        <v>Platypus</v>
      </c>
    </row>
    <row r="46" spans="2:34" x14ac:dyDescent="0.25">
      <c r="B46" s="18">
        <f t="shared" si="20"/>
        <v>46753</v>
      </c>
      <c r="C46" s="18">
        <f t="shared" si="21"/>
        <v>46783</v>
      </c>
      <c r="D46" s="19">
        <f t="shared" si="22"/>
        <v>46783</v>
      </c>
      <c r="E46" s="2">
        <f t="shared" si="19"/>
        <v>0</v>
      </c>
      <c r="G46" s="19"/>
      <c r="H46" s="19"/>
      <c r="I46" s="19"/>
      <c r="J46" s="2"/>
      <c r="L46" s="19"/>
      <c r="M46" s="19"/>
      <c r="N46" s="19"/>
      <c r="O46" s="2"/>
      <c r="AF46" s="41">
        <f>IF(ISBLANK('FY26'!W30),"",'FY26'!W30)</f>
        <v>45960</v>
      </c>
      <c r="AG46" s="42">
        <f>IF(ISBLANK('FY26'!X30),"",'FY26'!X30)</f>
        <v>4200</v>
      </c>
      <c r="AH46" s="43" t="str">
        <f>IF(ISBLANK('FY26'!Y30),"",'FY26'!Y30)</f>
        <v>BAEP</v>
      </c>
    </row>
    <row r="47" spans="2:34" x14ac:dyDescent="0.25">
      <c r="B47" s="18">
        <f t="shared" si="20"/>
        <v>46784</v>
      </c>
      <c r="C47" s="18">
        <f t="shared" si="21"/>
        <v>46812</v>
      </c>
      <c r="D47" s="19">
        <f t="shared" si="22"/>
        <v>46812</v>
      </c>
      <c r="E47" s="2">
        <f t="shared" si="19"/>
        <v>0</v>
      </c>
      <c r="G47" s="19"/>
      <c r="H47" s="19"/>
      <c r="I47" s="19"/>
      <c r="J47" s="2"/>
      <c r="L47" s="19"/>
      <c r="M47" s="19"/>
      <c r="N47" s="19"/>
      <c r="O47" s="2"/>
      <c r="AF47" s="41">
        <f>IF(ISBLANK('FY26'!W31),"",'FY26'!W31)</f>
        <v>45967</v>
      </c>
      <c r="AG47" s="42">
        <f>IF(ISBLANK('FY26'!X31),"",'FY26'!X31)</f>
        <v>10000</v>
      </c>
      <c r="AH47" s="43" t="str">
        <f>IF(ISBLANK('FY26'!Y31),"",'FY26'!Y31)</f>
        <v>Greencape</v>
      </c>
    </row>
    <row r="48" spans="2:34" x14ac:dyDescent="0.25">
      <c r="B48" s="18">
        <f t="shared" si="20"/>
        <v>46813</v>
      </c>
      <c r="C48" s="18">
        <f t="shared" si="21"/>
        <v>46843</v>
      </c>
      <c r="D48" s="19">
        <f t="shared" si="22"/>
        <v>46843</v>
      </c>
      <c r="E48" s="2">
        <f t="shared" si="19"/>
        <v>0</v>
      </c>
      <c r="G48" s="19"/>
      <c r="H48" s="19"/>
      <c r="I48" s="19"/>
      <c r="J48" s="2"/>
      <c r="L48" s="19"/>
      <c r="M48" s="19"/>
      <c r="N48" s="19"/>
      <c r="O48" s="2"/>
      <c r="AF48" s="41">
        <f>IF(ISBLANK('FY26'!W32),"",'FY26'!W32)</f>
        <v>45968</v>
      </c>
      <c r="AG48" s="42">
        <f>IF(ISBLANK('FY26'!X32),"",'FY26'!X32)</f>
        <v>3000</v>
      </c>
      <c r="AH48" s="43" t="str">
        <f>IF(ISBLANK('FY26'!Y32),"",'FY26'!Y32)</f>
        <v>Aware</v>
      </c>
    </row>
    <row r="49" spans="2:34" x14ac:dyDescent="0.25">
      <c r="B49" s="18">
        <f t="shared" si="20"/>
        <v>46844</v>
      </c>
      <c r="C49" s="18">
        <f t="shared" si="21"/>
        <v>46873</v>
      </c>
      <c r="D49" s="19">
        <f t="shared" si="22"/>
        <v>46873</v>
      </c>
      <c r="E49" s="2">
        <f t="shared" si="19"/>
        <v>0</v>
      </c>
      <c r="G49" s="19"/>
      <c r="H49" s="19"/>
      <c r="I49" s="19"/>
      <c r="J49" s="2"/>
      <c r="L49" s="19"/>
      <c r="M49" s="19"/>
      <c r="N49" s="19"/>
      <c r="O49" s="2"/>
      <c r="AF49" s="41">
        <f>IF(ISBLANK('FY26'!W33),"",'FY26'!W33)</f>
        <v>45968</v>
      </c>
      <c r="AG49" s="42">
        <f>IF(ISBLANK('FY26'!X33),"",'FY26'!X33)</f>
        <v>2500</v>
      </c>
      <c r="AH49" s="43" t="str">
        <f>IF(ISBLANK('FY26'!Y33),"",'FY26'!Y33)</f>
        <v>Ellerston</v>
      </c>
    </row>
    <row r="50" spans="2:34" x14ac:dyDescent="0.25">
      <c r="B50" s="18">
        <f t="shared" si="20"/>
        <v>46874</v>
      </c>
      <c r="C50" s="18">
        <f t="shared" si="21"/>
        <v>46904</v>
      </c>
      <c r="D50" s="19">
        <f t="shared" si="22"/>
        <v>46904</v>
      </c>
      <c r="E50" s="2">
        <f t="shared" si="19"/>
        <v>0</v>
      </c>
      <c r="G50" s="19"/>
      <c r="H50" s="19"/>
      <c r="I50" s="19"/>
      <c r="J50" s="2"/>
      <c r="L50" s="19"/>
      <c r="M50" s="19"/>
      <c r="N50" s="19"/>
      <c r="O50" s="2"/>
      <c r="AF50" s="41">
        <f>IF(ISBLANK('FY26'!W34),"",'FY26'!W34)</f>
        <v>45968</v>
      </c>
      <c r="AG50" s="42">
        <f>IF(ISBLANK('FY26'!X34),"",'FY26'!X34)</f>
        <v>5000</v>
      </c>
      <c r="AH50" s="43" t="str">
        <f>IF(ISBLANK('FY26'!Y34),"",'FY26'!Y34)</f>
        <v>Eley Griffiths</v>
      </c>
    </row>
    <row r="51" spans="2:34" x14ac:dyDescent="0.25">
      <c r="B51" s="18">
        <f t="shared" si="20"/>
        <v>46905</v>
      </c>
      <c r="C51" s="18">
        <f t="shared" si="21"/>
        <v>46934</v>
      </c>
      <c r="D51" s="19">
        <f t="shared" si="22"/>
        <v>46934</v>
      </c>
      <c r="E51" s="2">
        <f t="shared" si="19"/>
        <v>0</v>
      </c>
      <c r="G51" s="19"/>
      <c r="H51" s="19"/>
      <c r="I51" s="19"/>
      <c r="J51" s="2"/>
      <c r="L51" s="19"/>
      <c r="M51" s="19"/>
      <c r="N51" s="19"/>
      <c r="O51" s="2"/>
      <c r="AF51" s="41">
        <f>IF(ISBLANK('FY26'!W35),"",'FY26'!W35)</f>
        <v>45975</v>
      </c>
      <c r="AG51" s="42">
        <f>IF(ISBLANK('FY26'!X35),"",'FY26'!X35)</f>
        <v>2000</v>
      </c>
      <c r="AH51" s="43" t="str">
        <f>IF(ISBLANK('FY26'!Y35),"",'FY26'!Y35)</f>
        <v>OC Funds</v>
      </c>
    </row>
    <row r="52" spans="2:34" x14ac:dyDescent="0.25">
      <c r="B52" s="18">
        <f t="shared" si="20"/>
        <v>46935</v>
      </c>
      <c r="C52" s="18">
        <f t="shared" si="21"/>
        <v>46965</v>
      </c>
      <c r="D52" s="19">
        <f t="shared" si="22"/>
        <v>46965</v>
      </c>
      <c r="E52" s="2">
        <f t="shared" si="19"/>
        <v>0</v>
      </c>
      <c r="G52" s="19"/>
      <c r="H52" s="19"/>
      <c r="I52" s="19"/>
      <c r="J52" s="2"/>
      <c r="L52" s="19"/>
      <c r="M52" s="19"/>
      <c r="N52" s="19"/>
      <c r="O52" s="2"/>
      <c r="AF52" s="41">
        <f>IF(ISBLANK('FY26'!W36),"",'FY26'!W36)</f>
        <v>45986</v>
      </c>
      <c r="AG52" s="42">
        <f>IF(ISBLANK('FY26'!X36),"",'FY26'!X36)</f>
        <v>10000</v>
      </c>
      <c r="AH52" s="43" t="str">
        <f>IF(ISBLANK('FY26'!Y36),"",'FY26'!Y36)</f>
        <v>Solaris</v>
      </c>
    </row>
    <row r="53" spans="2:34" x14ac:dyDescent="0.25">
      <c r="B53" s="18">
        <f t="shared" si="20"/>
        <v>46966</v>
      </c>
      <c r="C53" s="18">
        <f t="shared" si="21"/>
        <v>46996</v>
      </c>
      <c r="D53" s="19">
        <f t="shared" si="22"/>
        <v>46996</v>
      </c>
      <c r="E53" s="2">
        <f t="shared" si="19"/>
        <v>0</v>
      </c>
      <c r="G53" s="19"/>
      <c r="H53" s="19"/>
      <c r="I53" s="19"/>
      <c r="J53" s="2"/>
      <c r="L53" s="19"/>
      <c r="M53" s="19"/>
      <c r="N53" s="19"/>
      <c r="O53" s="2"/>
      <c r="AF53" s="41">
        <f>IF(ISBLANK('FY26'!W37),"",'FY26'!W37)</f>
        <v>45992</v>
      </c>
      <c r="AG53" s="42">
        <f>IF(ISBLANK('FY26'!X37),"",'FY26'!X37)</f>
        <v>4000</v>
      </c>
      <c r="AH53" s="43" t="str">
        <f>IF(ISBLANK('FY26'!Y37),"",'FY26'!Y37)</f>
        <v>ICE</v>
      </c>
    </row>
    <row r="54" spans="2:34" x14ac:dyDescent="0.25">
      <c r="B54" s="18">
        <f t="shared" si="20"/>
        <v>46997</v>
      </c>
      <c r="C54" s="18">
        <f t="shared" si="21"/>
        <v>47026</v>
      </c>
      <c r="D54" s="19">
        <f t="shared" si="22"/>
        <v>47026</v>
      </c>
      <c r="E54" s="2">
        <f t="shared" si="19"/>
        <v>0</v>
      </c>
      <c r="G54" s="19"/>
      <c r="H54" s="19"/>
      <c r="I54" s="19"/>
      <c r="J54" s="2"/>
      <c r="L54" s="19"/>
      <c r="M54" s="19"/>
      <c r="N54" s="19"/>
      <c r="O54" s="2"/>
      <c r="AF54" s="41">
        <f>IF(ISBLANK('FY26'!W38),"",'FY26'!W38)</f>
        <v>45994</v>
      </c>
      <c r="AG54" s="42">
        <f>IF(ISBLANK('FY26'!X38),"",'FY26'!X38)</f>
        <v>7500</v>
      </c>
      <c r="AH54" s="43" t="str">
        <f>IF(ISBLANK('FY26'!Y38),"",'FY26'!Y38)</f>
        <v>Greencape</v>
      </c>
    </row>
    <row r="55" spans="2:34" x14ac:dyDescent="0.25">
      <c r="B55" s="18">
        <f t="shared" si="20"/>
        <v>47027</v>
      </c>
      <c r="C55" s="18">
        <f t="shared" si="21"/>
        <v>47057</v>
      </c>
      <c r="D55" s="19">
        <f t="shared" ref="D55:D63" si="23">C55</f>
        <v>47057</v>
      </c>
      <c r="E55" s="2">
        <f t="shared" si="19"/>
        <v>0</v>
      </c>
      <c r="G55" s="19"/>
      <c r="H55" s="19"/>
      <c r="I55" s="19"/>
      <c r="J55" s="2"/>
      <c r="L55" s="19"/>
      <c r="M55" s="19"/>
      <c r="N55" s="19"/>
      <c r="O55" s="2"/>
      <c r="AF55" s="41">
        <f>IF(ISBLANK('FY26'!W39),"",'FY26'!W39)</f>
        <v>45996</v>
      </c>
      <c r="AG55" s="42">
        <f>IF(ISBLANK('FY26'!X39),"",'FY26'!X39)</f>
        <v>6300</v>
      </c>
      <c r="AH55" s="43" t="str">
        <f>IF(ISBLANK('FY26'!Y39),"",'FY26'!Y39)</f>
        <v>BAEP</v>
      </c>
    </row>
    <row r="56" spans="2:34" x14ac:dyDescent="0.25">
      <c r="B56" s="18">
        <f t="shared" si="20"/>
        <v>47058</v>
      </c>
      <c r="C56" s="18">
        <f t="shared" si="21"/>
        <v>47087</v>
      </c>
      <c r="D56" s="19">
        <f t="shared" si="23"/>
        <v>47087</v>
      </c>
      <c r="E56" s="2">
        <f t="shared" si="19"/>
        <v>0</v>
      </c>
      <c r="G56" s="19"/>
      <c r="H56" s="19"/>
      <c r="I56" s="19"/>
      <c r="J56" s="2"/>
      <c r="L56" s="19"/>
      <c r="M56" s="19"/>
      <c r="N56" s="19"/>
      <c r="O56" s="2"/>
      <c r="AF56" s="41">
        <f>IF(ISBLANK('FY26'!W40),"",'FY26'!W40)</f>
        <v>45998</v>
      </c>
      <c r="AG56" s="42">
        <f>IF(ISBLANK('FY26'!X40),"",'FY26'!X40)</f>
        <v>10000</v>
      </c>
      <c r="AH56" s="43" t="str">
        <f>IF(ISBLANK('FY26'!Y40),"",'FY26'!Y40)</f>
        <v>Quest</v>
      </c>
    </row>
    <row r="57" spans="2:34" x14ac:dyDescent="0.25">
      <c r="B57" s="18">
        <f t="shared" si="20"/>
        <v>47088</v>
      </c>
      <c r="C57" s="18">
        <f t="shared" si="21"/>
        <v>47118</v>
      </c>
      <c r="D57" s="19">
        <f t="shared" si="23"/>
        <v>47118</v>
      </c>
      <c r="E57" s="2">
        <f t="shared" si="19"/>
        <v>0</v>
      </c>
      <c r="G57" s="19"/>
      <c r="H57" s="19"/>
      <c r="I57" s="19"/>
      <c r="J57" s="2"/>
      <c r="L57" s="19"/>
      <c r="M57" s="19"/>
      <c r="N57" s="19"/>
      <c r="O57" s="2"/>
      <c r="AF57" s="41">
        <f>IF(ISBLANK('FY26'!W41),"",'FY26'!W41)</f>
        <v>46000</v>
      </c>
      <c r="AG57" s="42">
        <f>IF(ISBLANK('FY26'!X41),"",'FY26'!X41)</f>
        <v>3000</v>
      </c>
      <c r="AH57" s="43" t="str">
        <f>IF(ISBLANK('FY26'!Y41),"",'FY26'!Y41)</f>
        <v>Ellerston</v>
      </c>
    </row>
    <row r="58" spans="2:34" x14ac:dyDescent="0.25">
      <c r="B58" s="18">
        <f t="shared" si="20"/>
        <v>47119</v>
      </c>
      <c r="C58" s="18">
        <f t="shared" si="21"/>
        <v>47149</v>
      </c>
      <c r="D58" s="19">
        <f t="shared" si="23"/>
        <v>47149</v>
      </c>
      <c r="E58" s="2">
        <f t="shared" si="19"/>
        <v>0</v>
      </c>
      <c r="G58" s="19"/>
      <c r="H58" s="19"/>
      <c r="I58" s="19"/>
      <c r="J58" s="2"/>
      <c r="L58" s="19"/>
      <c r="M58" s="19"/>
      <c r="N58" s="19"/>
      <c r="O58" s="2"/>
      <c r="AF58" s="41">
        <f>IF(ISBLANK('FY26'!W42),"",'FY26'!W42)</f>
        <v>46003</v>
      </c>
      <c r="AG58" s="42">
        <f>IF(ISBLANK('FY26'!X42),"",'FY26'!X42)</f>
        <v>7000</v>
      </c>
      <c r="AH58" s="43" t="str">
        <f>IF(ISBLANK('FY26'!Y42),"",'FY26'!Y42)</f>
        <v>CBUS</v>
      </c>
    </row>
    <row r="59" spans="2:34" x14ac:dyDescent="0.25">
      <c r="B59" s="18">
        <f t="shared" si="20"/>
        <v>47150</v>
      </c>
      <c r="C59" s="18">
        <f t="shared" si="21"/>
        <v>47177</v>
      </c>
      <c r="D59" s="19">
        <f t="shared" si="23"/>
        <v>47177</v>
      </c>
      <c r="E59" s="2">
        <f t="shared" si="19"/>
        <v>0</v>
      </c>
      <c r="G59" s="19"/>
      <c r="H59" s="19"/>
      <c r="I59" s="19"/>
      <c r="J59" s="2"/>
      <c r="L59" s="19"/>
      <c r="M59" s="19"/>
      <c r="N59" s="19"/>
      <c r="O59" s="2"/>
      <c r="AF59" s="41">
        <f>IF(ISBLANK('FY26'!W43),"",'FY26'!W43)</f>
        <v>46006</v>
      </c>
      <c r="AG59" s="42">
        <f>IF(ISBLANK('FY26'!X43),"",'FY26'!X43)</f>
        <v>19200</v>
      </c>
      <c r="AH59" s="43" t="str">
        <f>IF(ISBLANK('FY26'!Y43),"",'FY26'!Y43)</f>
        <v>L1 Capital</v>
      </c>
    </row>
    <row r="60" spans="2:34" x14ac:dyDescent="0.25">
      <c r="B60" s="18">
        <f t="shared" si="20"/>
        <v>47178</v>
      </c>
      <c r="C60" s="18">
        <f t="shared" si="21"/>
        <v>47208</v>
      </c>
      <c r="D60" s="19">
        <f t="shared" si="23"/>
        <v>47208</v>
      </c>
      <c r="E60" s="2">
        <f t="shared" si="19"/>
        <v>0</v>
      </c>
      <c r="G60" s="19"/>
      <c r="H60" s="19"/>
      <c r="I60" s="19"/>
      <c r="J60" s="2"/>
      <c r="L60" s="19"/>
      <c r="M60" s="19"/>
      <c r="N60" s="19"/>
      <c r="O60" s="2"/>
      <c r="AF60" s="41">
        <f>IF(ISBLANK('FY26'!W44),"",'FY26'!W44)</f>
        <v>46007</v>
      </c>
      <c r="AG60" s="42">
        <f>IF(ISBLANK('FY26'!X44),"",'FY26'!X44)</f>
        <v>4000</v>
      </c>
      <c r="AH60" s="43" t="str">
        <f>IF(ISBLANK('FY26'!Y44),"",'FY26'!Y44)</f>
        <v>OC Funds</v>
      </c>
    </row>
    <row r="61" spans="2:34" x14ac:dyDescent="0.25">
      <c r="B61" s="18">
        <f t="shared" si="20"/>
        <v>47209</v>
      </c>
      <c r="C61" s="18">
        <f t="shared" si="21"/>
        <v>47238</v>
      </c>
      <c r="D61" s="19">
        <f t="shared" si="23"/>
        <v>47238</v>
      </c>
      <c r="E61" s="2">
        <f t="shared" si="19"/>
        <v>0</v>
      </c>
      <c r="G61" s="19"/>
      <c r="H61" s="19"/>
      <c r="I61" s="19"/>
      <c r="J61" s="2"/>
      <c r="L61" s="19"/>
      <c r="M61" s="19"/>
      <c r="N61" s="19"/>
      <c r="O61" s="2"/>
      <c r="AF61" s="41">
        <f>IF(ISBLANK('FY26'!W45),"",'FY26'!W45)</f>
        <v>46028</v>
      </c>
      <c r="AG61" s="42">
        <f>IF(ISBLANK('FY26'!X45),"",'FY26'!X45)</f>
        <v>5000</v>
      </c>
      <c r="AH61" s="43" t="str">
        <f>IF(ISBLANK('FY26'!Y45),"",'FY26'!Y45)</f>
        <v>Antares</v>
      </c>
    </row>
    <row r="62" spans="2:34" x14ac:dyDescent="0.25">
      <c r="B62" s="18">
        <f t="shared" si="20"/>
        <v>47239</v>
      </c>
      <c r="C62" s="18">
        <f t="shared" si="21"/>
        <v>47269</v>
      </c>
      <c r="D62" s="19">
        <f t="shared" si="23"/>
        <v>47269</v>
      </c>
      <c r="E62" s="2">
        <f t="shared" si="19"/>
        <v>0</v>
      </c>
      <c r="G62" s="19"/>
      <c r="H62" s="19"/>
      <c r="I62" s="19"/>
      <c r="J62" s="2"/>
      <c r="L62" s="19"/>
      <c r="M62" s="19"/>
      <c r="N62" s="19"/>
      <c r="O62" s="2"/>
      <c r="AF62" s="41">
        <f>IF(ISBLANK('FY26'!W46),"",'FY26'!W46)</f>
        <v>46035</v>
      </c>
      <c r="AG62" s="42">
        <f>IF(ISBLANK('FY26'!X46),"",'FY26'!X46)</f>
        <v>5000</v>
      </c>
      <c r="AH62" s="43" t="str">
        <f>IF(ISBLANK('FY26'!Y46),"",'FY26'!Y46)</f>
        <v>ICE</v>
      </c>
    </row>
    <row r="63" spans="2:34" x14ac:dyDescent="0.25">
      <c r="B63" s="18">
        <f t="shared" si="20"/>
        <v>47270</v>
      </c>
      <c r="C63" s="18">
        <f t="shared" si="21"/>
        <v>47299</v>
      </c>
      <c r="D63" s="19">
        <f t="shared" si="23"/>
        <v>47299</v>
      </c>
      <c r="E63" s="2">
        <f t="shared" si="19"/>
        <v>0</v>
      </c>
      <c r="G63" s="19"/>
      <c r="H63" s="19"/>
      <c r="I63" s="19"/>
      <c r="J63" s="2"/>
      <c r="L63" s="19"/>
      <c r="M63" s="19"/>
      <c r="N63" s="19"/>
      <c r="O63" s="2"/>
      <c r="AF63" s="41">
        <f>IF(ISBLANK('FY26'!W47),"",'FY26'!W47)</f>
        <v>46038</v>
      </c>
      <c r="AG63" s="42">
        <f>IF(ISBLANK('FY26'!X47),"",'FY26'!X47)</f>
        <v>4000</v>
      </c>
      <c r="AH63" s="43" t="str">
        <f>IF(ISBLANK('FY26'!Y47),"",'FY26'!Y47)</f>
        <v>BAEP</v>
      </c>
    </row>
    <row r="64" spans="2:34" x14ac:dyDescent="0.25">
      <c r="B64" s="18">
        <f t="shared" ref="B64:B75" si="24">C63+1</f>
        <v>47300</v>
      </c>
      <c r="C64" s="18">
        <f t="shared" ref="C64:C75" si="25">EOMONTH(B64,0)</f>
        <v>47330</v>
      </c>
      <c r="D64" s="19">
        <f t="shared" ref="D64:D75" si="26">C64</f>
        <v>47330</v>
      </c>
      <c r="E64" s="2">
        <f t="shared" si="19"/>
        <v>0</v>
      </c>
      <c r="G64" s="19"/>
      <c r="H64" s="19"/>
      <c r="I64" s="19"/>
      <c r="J64" s="2"/>
      <c r="L64" s="19"/>
      <c r="M64" s="19"/>
      <c r="N64" s="19"/>
      <c r="O64" s="2"/>
      <c r="AF64" s="41">
        <f>IF(ISBLANK('FY26'!W48),"",'FY26'!W48)</f>
        <v>46051</v>
      </c>
      <c r="AG64" s="42">
        <f>IF(ISBLANK('FY26'!X48),"",'FY26'!X48)</f>
        <v>6000</v>
      </c>
      <c r="AH64" s="43" t="str">
        <f>IF(ISBLANK('FY26'!Y48),"",'FY26'!Y48)</f>
        <v>Perps Private</v>
      </c>
    </row>
    <row r="65" spans="2:34" x14ac:dyDescent="0.25">
      <c r="B65" s="18">
        <f t="shared" si="24"/>
        <v>47331</v>
      </c>
      <c r="C65" s="18">
        <f t="shared" si="25"/>
        <v>47361</v>
      </c>
      <c r="D65" s="19">
        <f t="shared" si="26"/>
        <v>47361</v>
      </c>
      <c r="E65" s="2">
        <f t="shared" si="19"/>
        <v>0</v>
      </c>
      <c r="G65" s="19"/>
      <c r="H65" s="19"/>
      <c r="I65" s="19"/>
      <c r="J65" s="2"/>
      <c r="L65" s="19"/>
      <c r="M65" s="19"/>
      <c r="N65" s="19"/>
      <c r="O65" s="2"/>
      <c r="AF65" s="41">
        <f>IF(ISBLANK('FY26'!W49),"",'FY26'!W49)</f>
        <v>46052</v>
      </c>
      <c r="AG65" s="42">
        <f>IF(ISBLANK('FY26'!X49),"",'FY26'!X49)</f>
        <v>15000</v>
      </c>
      <c r="AH65" s="43" t="str">
        <f>IF(ISBLANK('FY26'!Y49),"",'FY26'!Y49)</f>
        <v>WAM</v>
      </c>
    </row>
    <row r="66" spans="2:34" x14ac:dyDescent="0.25">
      <c r="B66" s="18">
        <f t="shared" si="24"/>
        <v>47362</v>
      </c>
      <c r="C66" s="18">
        <f t="shared" si="25"/>
        <v>47391</v>
      </c>
      <c r="D66" s="19">
        <f t="shared" si="26"/>
        <v>47391</v>
      </c>
      <c r="E66" s="2">
        <f t="shared" si="19"/>
        <v>0</v>
      </c>
      <c r="G66" s="19"/>
      <c r="H66" s="19"/>
      <c r="I66" s="19"/>
      <c r="J66" s="2"/>
      <c r="L66" s="19"/>
      <c r="M66" s="19"/>
      <c r="N66" s="19"/>
      <c r="O66" s="2"/>
      <c r="AF66" s="41">
        <f>IF(ISBLANK('FY26'!W50),"",'FY26'!W50)</f>
        <v>46057</v>
      </c>
      <c r="AG66" s="42">
        <f>IF(ISBLANK('FY26'!X50),"",'FY26'!X50)</f>
        <v>2000</v>
      </c>
      <c r="AH66" s="43" t="str">
        <f>IF(ISBLANK('FY26'!Y50),"",'FY26'!Y50)</f>
        <v>BAEP</v>
      </c>
    </row>
    <row r="67" spans="2:34" x14ac:dyDescent="0.25">
      <c r="B67" s="18">
        <f t="shared" si="24"/>
        <v>47392</v>
      </c>
      <c r="C67" s="18">
        <f t="shared" si="25"/>
        <v>47422</v>
      </c>
      <c r="D67" s="19">
        <f t="shared" si="26"/>
        <v>47422</v>
      </c>
      <c r="E67" s="2">
        <f t="shared" si="19"/>
        <v>0</v>
      </c>
      <c r="G67" s="19"/>
      <c r="H67" s="19"/>
      <c r="I67" s="19"/>
      <c r="J67" s="2"/>
      <c r="L67" s="19"/>
      <c r="M67" s="19"/>
      <c r="N67" s="19"/>
      <c r="O67" s="2"/>
      <c r="AF67" s="41">
        <f>IF(ISBLANK('FY26'!W51),"",'FY26'!W51)</f>
        <v>46058</v>
      </c>
      <c r="AG67" s="42">
        <f>IF(ISBLANK('FY26'!X51),"",'FY26'!X51)</f>
        <v>5000</v>
      </c>
      <c r="AH67" s="43" t="str">
        <f>IF(ISBLANK('FY26'!Y51),"",'FY26'!Y51)</f>
        <v>QVG</v>
      </c>
    </row>
    <row r="68" spans="2:34" x14ac:dyDescent="0.25">
      <c r="B68" s="18">
        <f t="shared" si="24"/>
        <v>47423</v>
      </c>
      <c r="C68" s="18">
        <f t="shared" si="25"/>
        <v>47452</v>
      </c>
      <c r="D68" s="19">
        <f t="shared" si="26"/>
        <v>47452</v>
      </c>
      <c r="E68" s="2">
        <f t="shared" ref="E68:E75" si="27">SUMIFS($AG:$AG,$AF:$AF,"&gt;="&amp;B68,$AF:$AF,"&lt;="&amp;C68)</f>
        <v>0</v>
      </c>
      <c r="G68" s="19"/>
      <c r="H68" s="19"/>
      <c r="I68" s="19"/>
      <c r="J68" s="2"/>
      <c r="L68" s="19"/>
      <c r="M68" s="19"/>
      <c r="N68" s="19"/>
      <c r="O68" s="2"/>
      <c r="AF68" s="41">
        <f>IF(ISBLANK('FY26'!W52),"",'FY26'!W52)</f>
        <v>46062</v>
      </c>
      <c r="AG68" s="42">
        <f>IF(ISBLANK('FY26'!X52),"",'FY26'!X52)</f>
        <v>4000</v>
      </c>
      <c r="AH68" s="43" t="str">
        <f>IF(ISBLANK('FY26'!Y52),"",'FY26'!Y52)</f>
        <v>BAEP</v>
      </c>
    </row>
    <row r="69" spans="2:34" x14ac:dyDescent="0.25">
      <c r="B69" s="18">
        <f t="shared" si="24"/>
        <v>47453</v>
      </c>
      <c r="C69" s="18">
        <f t="shared" si="25"/>
        <v>47483</v>
      </c>
      <c r="D69" s="19">
        <f t="shared" si="26"/>
        <v>47483</v>
      </c>
      <c r="E69" s="2">
        <f t="shared" si="27"/>
        <v>0</v>
      </c>
      <c r="G69" s="19"/>
      <c r="H69" s="19"/>
      <c r="I69" s="19"/>
      <c r="J69" s="2"/>
      <c r="L69" s="19"/>
      <c r="M69" s="19"/>
      <c r="N69" s="19"/>
      <c r="O69" s="2"/>
      <c r="AF69" s="41">
        <f>IF(ISBLANK('FY26'!W53),"",'FY26'!W53)</f>
        <v>46064</v>
      </c>
      <c r="AG69" s="42">
        <f>IF(ISBLANK('FY26'!X53),"",'FY26'!X53)</f>
        <v>3000</v>
      </c>
      <c r="AH69" s="43" t="str">
        <f>IF(ISBLANK('FY26'!Y53),"",'FY26'!Y53)</f>
        <v>Ellerston</v>
      </c>
    </row>
    <row r="70" spans="2:34" x14ac:dyDescent="0.25">
      <c r="B70" s="18">
        <f t="shared" si="24"/>
        <v>47484</v>
      </c>
      <c r="C70" s="18">
        <f t="shared" si="25"/>
        <v>47514</v>
      </c>
      <c r="D70" s="19">
        <f t="shared" si="26"/>
        <v>47514</v>
      </c>
      <c r="E70" s="2">
        <f t="shared" si="27"/>
        <v>0</v>
      </c>
      <c r="G70" s="19"/>
      <c r="H70" s="19"/>
      <c r="I70" s="19"/>
      <c r="J70" s="2"/>
      <c r="L70" s="19"/>
      <c r="M70" s="19"/>
      <c r="N70" s="19"/>
      <c r="O70" s="2"/>
      <c r="AF70" s="41">
        <f>IF(ISBLANK('FY26'!W54),"",'FY26'!W54)</f>
        <v>46065</v>
      </c>
      <c r="AG70" s="42">
        <f>IF(ISBLANK('FY26'!X54),"",'FY26'!X54)</f>
        <v>10068</v>
      </c>
      <c r="AH70" s="43" t="str">
        <f>IF(ISBLANK('FY26'!Y54),"",'FY26'!Y54)</f>
        <v>SMID</v>
      </c>
    </row>
    <row r="71" spans="2:34" x14ac:dyDescent="0.25">
      <c r="B71" s="18">
        <f t="shared" si="24"/>
        <v>47515</v>
      </c>
      <c r="C71" s="18">
        <f t="shared" si="25"/>
        <v>47542</v>
      </c>
      <c r="D71" s="19">
        <f t="shared" si="26"/>
        <v>47542</v>
      </c>
      <c r="E71" s="2">
        <f t="shared" si="27"/>
        <v>0</v>
      </c>
      <c r="G71" s="19"/>
      <c r="H71" s="19"/>
      <c r="I71" s="19"/>
      <c r="J71" s="2"/>
      <c r="L71" s="19"/>
      <c r="M71" s="19"/>
      <c r="N71" s="19"/>
      <c r="O71" s="2"/>
      <c r="AF71" s="41">
        <f>IF(ISBLANK('FY26'!W55),"",'FY26'!W55)</f>
        <v>46069</v>
      </c>
      <c r="AG71" s="42">
        <f>IF(ISBLANK('FY26'!X55),"",'FY26'!X55)</f>
        <v>3000</v>
      </c>
      <c r="AH71" s="43" t="str">
        <f>IF(ISBLANK('FY26'!Y55),"",'FY26'!Y55)</f>
        <v>BAEP</v>
      </c>
    </row>
    <row r="72" spans="2:34" x14ac:dyDescent="0.25">
      <c r="B72" s="18">
        <f t="shared" si="24"/>
        <v>47543</v>
      </c>
      <c r="C72" s="18">
        <f t="shared" si="25"/>
        <v>47573</v>
      </c>
      <c r="D72" s="19">
        <f t="shared" si="26"/>
        <v>47573</v>
      </c>
      <c r="E72" s="2">
        <f t="shared" si="27"/>
        <v>0</v>
      </c>
      <c r="G72" s="19"/>
      <c r="H72" s="19"/>
      <c r="I72" s="19"/>
      <c r="J72" s="2"/>
      <c r="L72" s="19"/>
      <c r="M72" s="19"/>
      <c r="N72" s="19"/>
      <c r="O72" s="2"/>
      <c r="AF72" s="41">
        <f>IF(ISBLANK('FY26'!W56),"",'FY26'!W56)</f>
        <v>46077</v>
      </c>
      <c r="AG72" s="42">
        <f>IF(ISBLANK('FY26'!X56),"",'FY26'!X56)</f>
        <v>1100</v>
      </c>
      <c r="AH72" s="43" t="str">
        <f>IF(ISBLANK('FY26'!Y56),"",'FY26'!Y56)</f>
        <v>BAEP</v>
      </c>
    </row>
    <row r="73" spans="2:34" x14ac:dyDescent="0.25">
      <c r="B73" s="18">
        <f t="shared" si="24"/>
        <v>47574</v>
      </c>
      <c r="C73" s="18">
        <f t="shared" si="25"/>
        <v>47603</v>
      </c>
      <c r="D73" s="19">
        <f t="shared" si="26"/>
        <v>47603</v>
      </c>
      <c r="E73" s="2">
        <f t="shared" si="27"/>
        <v>0</v>
      </c>
      <c r="G73" s="19"/>
      <c r="H73" s="19"/>
      <c r="I73" s="19"/>
      <c r="J73" s="2"/>
      <c r="L73" s="19"/>
      <c r="M73" s="19"/>
      <c r="N73" s="19"/>
      <c r="O73" s="2"/>
      <c r="AF73" s="41">
        <f>IF(ISBLANK('FY26'!W57),"",'FY26'!W57)</f>
        <v>46082</v>
      </c>
      <c r="AG73" s="42">
        <f>IF(ISBLANK('FY26'!X57),"",'FY26'!X57)</f>
        <v>3000</v>
      </c>
      <c r="AH73" s="43" t="str">
        <f>IF(ISBLANK('FY26'!Y57),"",'FY26'!Y57)</f>
        <v>Firetrail</v>
      </c>
    </row>
    <row r="74" spans="2:34" x14ac:dyDescent="0.25">
      <c r="B74" s="18">
        <f t="shared" si="24"/>
        <v>47604</v>
      </c>
      <c r="C74" s="18">
        <f t="shared" si="25"/>
        <v>47634</v>
      </c>
      <c r="D74" s="19">
        <f t="shared" si="26"/>
        <v>47634</v>
      </c>
      <c r="E74" s="2">
        <f t="shared" si="27"/>
        <v>0</v>
      </c>
      <c r="G74" s="19"/>
      <c r="H74" s="19"/>
      <c r="I74" s="19"/>
      <c r="J74" s="2"/>
      <c r="L74" s="19"/>
      <c r="M74" s="19"/>
      <c r="N74" s="19"/>
      <c r="O74" s="2"/>
      <c r="AF74" s="41">
        <f>IF(ISBLANK('FY26'!W58),"",'FY26'!W58)</f>
        <v>46092</v>
      </c>
      <c r="AG74" s="42">
        <f>IF(ISBLANK('FY26'!X58),"",'FY26'!X58)</f>
        <v>10000</v>
      </c>
      <c r="AH74" s="43" t="str">
        <f>IF(ISBLANK('FY26'!Y58),"",'FY26'!Y58)</f>
        <v>Greencape</v>
      </c>
    </row>
    <row r="75" spans="2:34" x14ac:dyDescent="0.25">
      <c r="B75" s="18">
        <f t="shared" si="24"/>
        <v>47635</v>
      </c>
      <c r="C75" s="18">
        <f t="shared" si="25"/>
        <v>47664</v>
      </c>
      <c r="D75" s="19">
        <f t="shared" si="26"/>
        <v>47664</v>
      </c>
      <c r="E75" s="2">
        <f t="shared" si="27"/>
        <v>0</v>
      </c>
      <c r="G75" s="19"/>
      <c r="H75" s="19"/>
      <c r="I75" s="19"/>
      <c r="J75" s="2"/>
      <c r="L75" s="19"/>
      <c r="M75" s="19"/>
      <c r="N75" s="19"/>
      <c r="O75" s="2"/>
      <c r="AF75" s="41">
        <f>IF(ISBLANK('FY26'!W59),"",'FY26'!W59)</f>
        <v>46093</v>
      </c>
      <c r="AG75" s="42">
        <f>IF(ISBLANK('FY26'!X59),"",'FY26'!X59)</f>
        <v>10000</v>
      </c>
      <c r="AH75" s="43" t="str">
        <f>IF(ISBLANK('FY26'!Y59),"",'FY26'!Y59)</f>
        <v>Antares</v>
      </c>
    </row>
    <row r="76" spans="2:34" x14ac:dyDescent="0.25">
      <c r="AF76" s="41">
        <f>IF(ISBLANK('FY26'!W60),"",'FY26'!W60)</f>
        <v>46098</v>
      </c>
      <c r="AG76" s="42">
        <f>IF(ISBLANK('FY26'!X60),"",'FY26'!X60)</f>
        <v>2500</v>
      </c>
      <c r="AH76" s="43" t="str">
        <f>IF(ISBLANK('FY26'!Y60),"",'FY26'!Y60)</f>
        <v>ICE</v>
      </c>
    </row>
    <row r="77" spans="2:34" x14ac:dyDescent="0.25">
      <c r="AF77" s="41">
        <f>IF(ISBLANK('FY26'!W61),"",'FY26'!W61)</f>
        <v>46107</v>
      </c>
      <c r="AG77" s="42">
        <f>IF(ISBLANK('FY26'!X61),"",'FY26'!X61)</f>
        <v>10000</v>
      </c>
      <c r="AH77" s="43" t="str">
        <f>IF(ISBLANK('FY26'!Y61),"",'FY26'!Y61)</f>
        <v>Arrow</v>
      </c>
    </row>
    <row r="78" spans="2:34" x14ac:dyDescent="0.25">
      <c r="AF78" s="41">
        <f>IF(ISBLANK('FY26'!W62),"",'FY26'!W62)</f>
        <v>46114</v>
      </c>
      <c r="AG78" s="42">
        <f>IF(ISBLANK('FY26'!X62),"",'FY26'!X62)</f>
        <v>2900</v>
      </c>
      <c r="AH78" s="43" t="str">
        <f>IF(ISBLANK('FY26'!Y62),"",'FY26'!Y62)</f>
        <v>BAEP</v>
      </c>
    </row>
    <row r="79" spans="2:34" x14ac:dyDescent="0.25">
      <c r="AF79" s="41">
        <f>IF(ISBLANK('FY26'!W63),"",'FY26'!W63)</f>
        <v>46121</v>
      </c>
      <c r="AG79" s="42">
        <f>IF(ISBLANK('FY26'!X63),"",'FY26'!X63)</f>
        <v>11000</v>
      </c>
      <c r="AH79" s="43" t="str">
        <f>IF(ISBLANK('FY26'!Y63),"",'FY26'!Y63)</f>
        <v>Perps Private</v>
      </c>
    </row>
    <row r="80" spans="2:34" x14ac:dyDescent="0.25">
      <c r="AF80" s="41">
        <f>IF(ISBLANK('FY26'!W64),"",'FY26'!W64)</f>
        <v>46121</v>
      </c>
      <c r="AG80" s="42">
        <f>IF(ISBLANK('FY26'!X64),"",'FY26'!X64)</f>
        <v>10000</v>
      </c>
      <c r="AH80" s="43" t="str">
        <f>IF(ISBLANK('FY26'!Y64),"",'FY26'!Y64)</f>
        <v>Greencape</v>
      </c>
    </row>
    <row r="81" spans="32:34" x14ac:dyDescent="0.25">
      <c r="AF81" s="41">
        <f>IF(ISBLANK('FY26'!W65),"",'FY26'!W65)</f>
        <v>46122</v>
      </c>
      <c r="AG81" s="42">
        <f>IF(ISBLANK('FY26'!X65),"",'FY26'!X65)</f>
        <v>3000</v>
      </c>
      <c r="AH81" s="43" t="str">
        <f>IF(ISBLANK('FY26'!Y65),"",'FY26'!Y65)</f>
        <v>Aware</v>
      </c>
    </row>
    <row r="82" spans="32:34" x14ac:dyDescent="0.25">
      <c r="AF82" s="41">
        <f>IF(ISBLANK('FY26'!W66),"",'FY26'!W66)</f>
        <v>46125</v>
      </c>
      <c r="AG82" s="42">
        <f>IF(ISBLANK('FY26'!X66),"",'FY26'!X66)</f>
        <v>3000</v>
      </c>
      <c r="AH82" s="43" t="str">
        <f>IF(ISBLANK('FY26'!Y66),"",'FY26'!Y66)</f>
        <v>ICE</v>
      </c>
    </row>
    <row r="83" spans="32:34" x14ac:dyDescent="0.25">
      <c r="AF83" s="41">
        <f>IF(ISBLANK('FY26'!W67),"",'FY26'!W67)</f>
        <v>46125</v>
      </c>
      <c r="AG83" s="42">
        <f>IF(ISBLANK('FY26'!X67),"",'FY26'!X67)</f>
        <v>5000</v>
      </c>
      <c r="AH83" s="43" t="str">
        <f>IF(ISBLANK('FY26'!Y67),"",'FY26'!Y67)</f>
        <v>Platypus</v>
      </c>
    </row>
    <row r="84" spans="32:34" x14ac:dyDescent="0.25">
      <c r="AF84" s="41">
        <f>IF(ISBLANK('FY26'!W68),"",'FY26'!W68)</f>
        <v>46126</v>
      </c>
      <c r="AG84" s="42">
        <f>IF(ISBLANK('FY26'!X68),"",'FY26'!X68)</f>
        <v>3000</v>
      </c>
      <c r="AH84" s="43" t="str">
        <f>IF(ISBLANK('FY26'!Y68),"",'FY26'!Y68)</f>
        <v>Ellerston</v>
      </c>
    </row>
    <row r="85" spans="32:34" x14ac:dyDescent="0.25">
      <c r="AF85" s="41">
        <f>IF(ISBLANK('FY26'!W69),"",'FY26'!W69)</f>
        <v>46133</v>
      </c>
      <c r="AG85" s="42">
        <f>IF(ISBLANK('FY26'!X69),"",'FY26'!X69)</f>
        <v>24750</v>
      </c>
      <c r="AH85" s="43" t="str">
        <f>IF(ISBLANK('FY26'!Y69),"",'FY26'!Y69)</f>
        <v>Quest</v>
      </c>
    </row>
    <row r="86" spans="32:34" x14ac:dyDescent="0.25">
      <c r="AF86" s="41">
        <f>IF(ISBLANK('FY26'!W70),"",'FY26'!W70)</f>
        <v>46140</v>
      </c>
      <c r="AG86" s="42">
        <f>IF(ISBLANK('FY26'!X70),"",'FY26'!X70)</f>
        <v>12500</v>
      </c>
      <c r="AH86" s="43" t="str">
        <f>IF(ISBLANK('FY26'!Y70),"",'FY26'!Y70)</f>
        <v>Centennial</v>
      </c>
    </row>
    <row r="87" spans="32:34" x14ac:dyDescent="0.25">
      <c r="AF87" s="41">
        <f>IF(ISBLANK('FY26'!W71),"",'FY26'!W71)</f>
        <v>46142</v>
      </c>
      <c r="AG87" s="42">
        <f>IF(ISBLANK('FY26'!X71),"",'FY26'!X71)</f>
        <v>10900</v>
      </c>
      <c r="AH87" s="43" t="str">
        <f>IF(ISBLANK('FY26'!Y71),"",'FY26'!Y71)</f>
        <v>Aus Super</v>
      </c>
    </row>
    <row r="88" spans="32:34" x14ac:dyDescent="0.25">
      <c r="AF88" s="41">
        <f>IF(ISBLANK('FY26'!W72),"",'FY26'!W72)</f>
        <v>46143</v>
      </c>
      <c r="AG88" s="42">
        <f>IF(ISBLANK('FY26'!X72),"",'FY26'!X72)</f>
        <v>10000</v>
      </c>
      <c r="AH88" s="43" t="str">
        <f>IF(ISBLANK('FY26'!Y72),"",'FY26'!Y72)</f>
        <v>WAM</v>
      </c>
    </row>
    <row r="89" spans="32:34" x14ac:dyDescent="0.25">
      <c r="AF89" s="41">
        <f>IF(ISBLANK('FY26'!W73),"",'FY26'!W73)</f>
        <v>46154</v>
      </c>
      <c r="AG89" s="42">
        <f>IF(ISBLANK('FY26'!X73),"",'FY26'!X73)</f>
        <v>10000</v>
      </c>
      <c r="AH89" s="43" t="str">
        <f>IF(ISBLANK('FY26'!Y73),"",'FY26'!Y73)</f>
        <v>Greencape</v>
      </c>
    </row>
    <row r="90" spans="32:34" x14ac:dyDescent="0.25">
      <c r="AF90" s="41">
        <f>IF(ISBLANK('FY26'!W74),"",'FY26'!W74)</f>
        <v>46159</v>
      </c>
      <c r="AG90" s="42">
        <f>IF(ISBLANK('FY26'!X74),"",'FY26'!X74)</f>
        <v>2500</v>
      </c>
      <c r="AH90" s="43" t="str">
        <f>IF(ISBLANK('FY26'!Y74),"",'FY26'!Y74)</f>
        <v>ICE</v>
      </c>
    </row>
    <row r="91" spans="32:34" x14ac:dyDescent="0.25">
      <c r="AF91" s="41">
        <f>IF(ISBLANK('FY26'!W75),"",'FY26'!W75)</f>
        <v>46182</v>
      </c>
      <c r="AG91" s="42">
        <f>IF(ISBLANK('FY26'!X75),"",'FY26'!X75)</f>
        <v>2500</v>
      </c>
      <c r="AH91" s="43" t="str">
        <f>IF(ISBLANK('FY26'!Y75),"",'FY26'!Y75)</f>
        <v>OC Funds</v>
      </c>
    </row>
    <row r="92" spans="32:34" x14ac:dyDescent="0.25">
      <c r="AF92" s="41">
        <f>IF(ISBLANK('FY26'!W76),"",'FY26'!W76)</f>
        <v>46182</v>
      </c>
      <c r="AG92" s="42">
        <f>IF(ISBLANK('FY26'!X76),"",'FY26'!X76)</f>
        <v>7500</v>
      </c>
      <c r="AH92" s="43" t="str">
        <f>IF(ISBLANK('FY26'!Y76),"",'FY26'!Y76)</f>
        <v>Solaris</v>
      </c>
    </row>
    <row r="93" spans="32:34" x14ac:dyDescent="0.25">
      <c r="AF93" s="41">
        <f>IF(ISBLANK('FY26'!W77),"",'FY26'!W77)</f>
        <v>46183</v>
      </c>
      <c r="AG93" s="42">
        <f>IF(ISBLANK('FY26'!X77),"",'FY26'!X77)</f>
        <v>7000</v>
      </c>
      <c r="AH93" s="43" t="str">
        <f>IF(ISBLANK('FY26'!Y77),"",'FY26'!Y77)</f>
        <v>CBUS</v>
      </c>
    </row>
    <row r="94" spans="32:34" x14ac:dyDescent="0.25">
      <c r="AF94" s="41">
        <f>IF(ISBLANK('FY26'!W78),"",'FY26'!W78)</f>
        <v>46184</v>
      </c>
      <c r="AG94" s="42">
        <f>IF(ISBLANK('FY26'!X78),"",'FY26'!X78)</f>
        <v>3000</v>
      </c>
      <c r="AH94" s="43" t="str">
        <f>IF(ISBLANK('FY26'!Y78),"",'FY26'!Y78)</f>
        <v>Firetrail</v>
      </c>
    </row>
    <row r="95" spans="32:34" x14ac:dyDescent="0.25">
      <c r="AF95" s="41">
        <f>IF(ISBLANK('FY26'!W79),"",'FY26'!W79)</f>
        <v>46185</v>
      </c>
      <c r="AG95" s="42">
        <f>IF(ISBLANK('FY26'!X79),"",'FY26'!X79)</f>
        <v>4000</v>
      </c>
      <c r="AH95" s="43" t="str">
        <f>IF(ISBLANK('FY26'!Y79),"",'FY26'!Y79)</f>
        <v>QVG</v>
      </c>
    </row>
    <row r="96" spans="32:34" x14ac:dyDescent="0.25">
      <c r="AF96" s="41">
        <f>IF(ISBLANK('FY26'!W80),"",'FY26'!W80)</f>
        <v>46188</v>
      </c>
      <c r="AG96" s="42">
        <f>IF(ISBLANK('FY26'!X80),"",'FY26'!X80)</f>
        <v>4000</v>
      </c>
      <c r="AH96" s="43" t="str">
        <f>IF(ISBLANK('FY26'!Y80),"",'FY26'!Y80)</f>
        <v>BAEP</v>
      </c>
    </row>
    <row r="97" spans="32:34" x14ac:dyDescent="0.25">
      <c r="AF97" s="41">
        <f>IF(ISBLANK('FY26'!W81),"",'FY26'!W81)</f>
        <v>46190</v>
      </c>
      <c r="AG97" s="42">
        <f>IF(ISBLANK('FY26'!X81),"",'FY26'!X81)</f>
        <v>1000</v>
      </c>
      <c r="AH97" s="43" t="str">
        <f>IF(ISBLANK('FY26'!Y81),"",'FY26'!Y81)</f>
        <v>BAEP</v>
      </c>
    </row>
    <row r="98" spans="32:34" x14ac:dyDescent="0.25">
      <c r="AF98" s="41">
        <f>IF(ISBLANK('FY26'!W82),"",'FY26'!W82)</f>
        <v>46192</v>
      </c>
      <c r="AG98" s="42">
        <f>IF(ISBLANK('FY26'!X82),"",'FY26'!X82)</f>
        <v>2500</v>
      </c>
      <c r="AH98" s="43" t="str">
        <f>IF(ISBLANK('FY26'!Y82),"",'FY26'!Y82)</f>
        <v>Antares</v>
      </c>
    </row>
    <row r="99" spans="32:34" x14ac:dyDescent="0.25">
      <c r="AF99" s="41">
        <f>IF(ISBLANK('FY26'!W83),"",'FY26'!W83)</f>
        <v>46196</v>
      </c>
      <c r="AG99" s="42">
        <f>IF(ISBLANK('FY26'!X83),"",'FY26'!X83)</f>
        <v>2000</v>
      </c>
      <c r="AH99" s="43" t="str">
        <f>IF(ISBLANK('FY26'!Y83),"",'FY26'!Y83)</f>
        <v>Alliance Bernstein</v>
      </c>
    </row>
    <row r="100" spans="32:34" x14ac:dyDescent="0.25">
      <c r="AF100" s="41">
        <f>IF(ISBLANK('FY26'!W84),"",'FY26'!W84)</f>
        <v>46202</v>
      </c>
      <c r="AG100" s="42">
        <f>IF(ISBLANK('FY26'!X84),"",'FY26'!X84)</f>
        <v>5000</v>
      </c>
      <c r="AH100" s="43" t="str">
        <f>IF(ISBLANK('FY26'!Y84),"",'FY26'!Y84)</f>
        <v>Solaris</v>
      </c>
    </row>
    <row r="101" spans="32:34" x14ac:dyDescent="0.25">
      <c r="AF101" s="44">
        <f>IF(ISBLANK('FY27'!W4),"",'FY27'!W4)</f>
        <v>46206</v>
      </c>
      <c r="AG101" s="45">
        <f>IF(ISBLANK('FY27'!X4),"",'FY27'!X4)</f>
        <v>10000</v>
      </c>
      <c r="AH101" s="46" t="str">
        <f>IF(ISBLANK('FY27'!Y4),"",'FY27'!Y4)</f>
        <v>Greencape</v>
      </c>
    </row>
    <row r="102" spans="32:34" x14ac:dyDescent="0.25">
      <c r="AF102" s="44">
        <f>IF(ISBLANK('FY27'!W5),"",'FY27'!W5)</f>
        <v>46206</v>
      </c>
      <c r="AG102" s="45">
        <f>IF(ISBLANK('FY27'!X5),"",'FY27'!X5)</f>
        <v>2000</v>
      </c>
      <c r="AH102" s="46" t="str">
        <f>IF(ISBLANK('FY27'!Y5),"",'FY27'!Y5)</f>
        <v>Hyperion</v>
      </c>
    </row>
    <row r="103" spans="32:34" x14ac:dyDescent="0.25">
      <c r="AF103" s="44">
        <f>IF(ISBLANK('FY27'!W6),"",'FY27'!W6)</f>
        <v>46213</v>
      </c>
      <c r="AG103" s="45">
        <f>IF(ISBLANK('FY27'!X6),"",'FY27'!X6)</f>
        <v>11000</v>
      </c>
      <c r="AH103" s="46" t="str">
        <f>IF(ISBLANK('FY27'!Y6),"",'FY27'!Y6)</f>
        <v>Perps Private</v>
      </c>
    </row>
    <row r="104" spans="32:34" x14ac:dyDescent="0.25">
      <c r="AF104" s="44">
        <f>IF(ISBLANK('FY27'!W7),"",'FY27'!W7)</f>
        <v>46216</v>
      </c>
      <c r="AG104" s="45">
        <f>IF(ISBLANK('FY27'!X7),"",'FY27'!X7)</f>
        <v>4000</v>
      </c>
      <c r="AH104" s="46" t="str">
        <f>IF(ISBLANK('FY27'!Y7),"",'FY27'!Y7)</f>
        <v>OC Funds</v>
      </c>
    </row>
    <row r="105" spans="32:34" x14ac:dyDescent="0.25">
      <c r="AF105" s="44">
        <f>IF(ISBLANK('FY27'!W8),"",'FY27'!W8)</f>
        <v>46217</v>
      </c>
      <c r="AG105" s="45">
        <f>IF(ISBLANK('FY27'!X8),"",'FY27'!X8)</f>
        <v>5000</v>
      </c>
      <c r="AH105" s="46" t="str">
        <f>IF(ISBLANK('FY27'!Y8),"",'FY27'!Y8)</f>
        <v>Airlie</v>
      </c>
    </row>
    <row r="106" spans="32:34" x14ac:dyDescent="0.25">
      <c r="AF106" s="44">
        <f>IF(ISBLANK('FY27'!W9),"",'FY27'!W9)</f>
        <v>46225</v>
      </c>
      <c r="AG106" s="45">
        <f>IF(ISBLANK('FY27'!X9),"",'FY27'!X9)</f>
        <v>3000</v>
      </c>
      <c r="AH106" s="46" t="str">
        <f>IF(ISBLANK('FY27'!Y9),"",'FY27'!Y9)</f>
        <v>Aware</v>
      </c>
    </row>
    <row r="107" spans="32:34" x14ac:dyDescent="0.25">
      <c r="AF107" s="44">
        <f>IF(ISBLANK('FY27'!W10),"",'FY27'!W10)</f>
        <v>46240</v>
      </c>
      <c r="AG107" s="45">
        <f>IF(ISBLANK('FY27'!X10),"",'FY27'!X10)</f>
        <v>5000</v>
      </c>
      <c r="AH107" s="46" t="str">
        <f>IF(ISBLANK('FY27'!Y10),"",'FY27'!Y10)</f>
        <v>Greencape</v>
      </c>
    </row>
    <row r="108" spans="32:34" x14ac:dyDescent="0.25">
      <c r="AF108" s="44">
        <f>IF(ISBLANK('FY27'!W11),"",'FY27'!W11)</f>
        <v>46246</v>
      </c>
      <c r="AG108" s="45">
        <f>IF(ISBLANK('FY27'!X11),"",'FY27'!X11)</f>
        <v>2000</v>
      </c>
      <c r="AH108" s="46" t="str">
        <f>IF(ISBLANK('FY27'!Y11),"",'FY27'!Y11)</f>
        <v>OC Funds</v>
      </c>
    </row>
    <row r="109" spans="32:34" x14ac:dyDescent="0.25">
      <c r="AF109" s="44">
        <f>IF(ISBLANK('FY27'!W12),"",'FY27'!W12)</f>
        <v>46247</v>
      </c>
      <c r="AG109" s="45">
        <f>IF(ISBLANK('FY27'!X12),"",'FY27'!X12)</f>
        <v>5000</v>
      </c>
      <c r="AH109" s="46" t="str">
        <f>IF(ISBLANK('FY27'!Y12),"",'FY27'!Y12)</f>
        <v>Solaris</v>
      </c>
    </row>
    <row r="110" spans="32:34" x14ac:dyDescent="0.25">
      <c r="AF110" s="44">
        <f>IF(ISBLANK('FY27'!W13),"",'FY27'!W13)</f>
        <v>46266</v>
      </c>
      <c r="AG110" s="45">
        <f>IF(ISBLANK('FY27'!X13),"",'FY27'!X13)</f>
        <v>5000</v>
      </c>
      <c r="AH110" s="46" t="str">
        <f>IF(ISBLANK('FY27'!Y13),"",'FY27'!Y13)</f>
        <v>Greencape</v>
      </c>
    </row>
    <row r="111" spans="32:34" x14ac:dyDescent="0.25">
      <c r="AF111" s="44">
        <f>IF(ISBLANK('FY27'!W14),"",'FY27'!W14)</f>
        <v>46273</v>
      </c>
      <c r="AG111" s="45">
        <f>IF(ISBLANK('FY27'!X14),"",'FY27'!X14)</f>
        <v>2800</v>
      </c>
      <c r="AH111" s="46" t="str">
        <f>IF(ISBLANK('FY27'!Y14),"",'FY27'!Y14)</f>
        <v>BAEP</v>
      </c>
    </row>
    <row r="112" spans="32:34" x14ac:dyDescent="0.25">
      <c r="AF112" s="44">
        <f>IF(ISBLANK('FY27'!W15),"",'FY27'!W15)</f>
        <v>46273</v>
      </c>
      <c r="AG112" s="45">
        <f>IF(ISBLANK('FY27'!X15),"",'FY27'!X15)</f>
        <v>3000</v>
      </c>
      <c r="AH112" s="46" t="str">
        <f>IF(ISBLANK('FY27'!Y15),"",'FY27'!Y15)</f>
        <v>OC Funds</v>
      </c>
    </row>
    <row r="113" spans="32:34" x14ac:dyDescent="0.25">
      <c r="AF113" s="44">
        <f>IF(ISBLANK('FY27'!W16),"",'FY27'!W16)</f>
        <v>46281</v>
      </c>
      <c r="AG113" s="45">
        <f>IF(ISBLANK('FY27'!X16),"",'FY27'!X16)</f>
        <v>5000</v>
      </c>
      <c r="AH113" s="46" t="str">
        <f>IF(ISBLANK('FY27'!Y16),"",'FY27'!Y16)</f>
        <v>QVG</v>
      </c>
    </row>
    <row r="114" spans="32:34" x14ac:dyDescent="0.25">
      <c r="AF114" s="44">
        <f>IF(ISBLANK('FY27'!W17),"",'FY27'!W17)</f>
        <v>46288</v>
      </c>
      <c r="AG114" s="45">
        <f>IF(ISBLANK('FY27'!X17),"",'FY27'!X17)</f>
        <v>1250</v>
      </c>
      <c r="AH114" s="46" t="str">
        <f>IF(ISBLANK('FY27'!Y17),"",'FY27'!Y17)</f>
        <v>Antares</v>
      </c>
    </row>
    <row r="115" spans="32:34" x14ac:dyDescent="0.25">
      <c r="AF115" s="44" t="str">
        <f>IF(ISBLANK('FY27'!W18),"",'FY27'!W18)</f>
        <v/>
      </c>
      <c r="AG115" s="45" t="str">
        <f>IF(ISBLANK('FY27'!X18),"",'FY27'!X18)</f>
        <v/>
      </c>
      <c r="AH115" s="46" t="str">
        <f>IF(ISBLANK('FY27'!Y18),"",'FY27'!Y18)</f>
        <v/>
      </c>
    </row>
    <row r="116" spans="32:34" x14ac:dyDescent="0.25">
      <c r="AF116" s="44" t="str">
        <f>IF(ISBLANK('FY27'!W19),"",'FY27'!W19)</f>
        <v/>
      </c>
      <c r="AG116" s="45" t="str">
        <f>IF(ISBLANK('FY27'!X19),"",'FY27'!X19)</f>
        <v/>
      </c>
      <c r="AH116" s="46" t="str">
        <f>IF(ISBLANK('FY27'!Y19),"",'FY27'!Y19)</f>
        <v/>
      </c>
    </row>
    <row r="117" spans="32:34" x14ac:dyDescent="0.25">
      <c r="AF117" s="44" t="str">
        <f>IF(ISBLANK('FY27'!W20),"",'FY27'!W20)</f>
        <v/>
      </c>
      <c r="AG117" s="45" t="str">
        <f>IF(ISBLANK('FY27'!X20),"",'FY27'!X20)</f>
        <v/>
      </c>
      <c r="AH117" s="46" t="str">
        <f>IF(ISBLANK('FY27'!Y20),"",'FY27'!Y20)</f>
        <v/>
      </c>
    </row>
    <row r="118" spans="32:34" x14ac:dyDescent="0.25">
      <c r="AF118" s="44" t="str">
        <f>IF(ISBLANK('FY27'!W21),"",'FY27'!W21)</f>
        <v/>
      </c>
      <c r="AG118" s="45" t="str">
        <f>IF(ISBLANK('FY27'!X21),"",'FY27'!X21)</f>
        <v/>
      </c>
      <c r="AH118" s="46" t="str">
        <f>IF(ISBLANK('FY27'!Y21),"",'FY27'!Y21)</f>
        <v/>
      </c>
    </row>
    <row r="119" spans="32:34" x14ac:dyDescent="0.25">
      <c r="AF119" s="44" t="str">
        <f>IF(ISBLANK('FY27'!W22),"",'FY27'!W22)</f>
        <v/>
      </c>
      <c r="AG119" s="45" t="str">
        <f>IF(ISBLANK('FY27'!X22),"",'FY27'!X22)</f>
        <v/>
      </c>
      <c r="AH119" s="46" t="str">
        <f>IF(ISBLANK('FY27'!Y22),"",'FY27'!Y22)</f>
        <v/>
      </c>
    </row>
    <row r="120" spans="32:34" x14ac:dyDescent="0.25">
      <c r="AF120" s="44" t="str">
        <f>IF(ISBLANK('FY27'!W23),"",'FY27'!W23)</f>
        <v/>
      </c>
      <c r="AG120" s="45" t="str">
        <f>IF(ISBLANK('FY27'!X23),"",'FY27'!X23)</f>
        <v/>
      </c>
      <c r="AH120" s="46" t="str">
        <f>IF(ISBLANK('FY27'!Y23),"",'FY27'!Y23)</f>
        <v/>
      </c>
    </row>
    <row r="121" spans="32:34" x14ac:dyDescent="0.25">
      <c r="AF121" s="44" t="str">
        <f>IF(ISBLANK('FY27'!W24),"",'FY27'!W24)</f>
        <v/>
      </c>
      <c r="AG121" s="45" t="str">
        <f>IF(ISBLANK('FY27'!X24),"",'FY27'!X24)</f>
        <v/>
      </c>
      <c r="AH121" s="46" t="str">
        <f>IF(ISBLANK('FY27'!Y24),"",'FY27'!Y24)</f>
        <v/>
      </c>
    </row>
    <row r="122" spans="32:34" x14ac:dyDescent="0.25">
      <c r="AF122" s="44" t="str">
        <f>IF(ISBLANK('FY27'!W25),"",'FY27'!W25)</f>
        <v/>
      </c>
      <c r="AG122" s="45" t="str">
        <f>IF(ISBLANK('FY27'!X25),"",'FY27'!X25)</f>
        <v/>
      </c>
      <c r="AH122" s="46" t="str">
        <f>IF(ISBLANK('FY27'!Y25),"",'FY27'!Y25)</f>
        <v/>
      </c>
    </row>
    <row r="123" spans="32:34" x14ac:dyDescent="0.25">
      <c r="AF123" s="44" t="str">
        <f>IF(ISBLANK('FY27'!W26),"",'FY27'!W26)</f>
        <v/>
      </c>
      <c r="AG123" s="45" t="str">
        <f>IF(ISBLANK('FY27'!X26),"",'FY27'!X26)</f>
        <v/>
      </c>
      <c r="AH123" s="46" t="str">
        <f>IF(ISBLANK('FY27'!Y26),"",'FY27'!Y26)</f>
        <v/>
      </c>
    </row>
    <row r="124" spans="32:34" x14ac:dyDescent="0.25">
      <c r="AF124" s="44" t="str">
        <f>IF(ISBLANK('FY27'!W27),"",'FY27'!W27)</f>
        <v/>
      </c>
      <c r="AG124" s="45" t="str">
        <f>IF(ISBLANK('FY27'!X27),"",'FY27'!X27)</f>
        <v/>
      </c>
      <c r="AH124" s="46" t="str">
        <f>IF(ISBLANK('FY27'!Y27),"",'FY27'!Y27)</f>
        <v/>
      </c>
    </row>
    <row r="125" spans="32:34" x14ac:dyDescent="0.25">
      <c r="AF125" s="44" t="str">
        <f>IF(ISBLANK('FY27'!W28),"",'FY27'!W28)</f>
        <v/>
      </c>
      <c r="AG125" s="45" t="str">
        <f>IF(ISBLANK('FY27'!X28),"",'FY27'!X28)</f>
        <v/>
      </c>
      <c r="AH125" s="46" t="str">
        <f>IF(ISBLANK('FY27'!Y28),"",'FY27'!Y28)</f>
        <v/>
      </c>
    </row>
    <row r="126" spans="32:34" x14ac:dyDescent="0.25">
      <c r="AF126" s="44" t="str">
        <f>IF(ISBLANK('FY27'!W29),"",'FY27'!W29)</f>
        <v/>
      </c>
      <c r="AG126" s="45" t="str">
        <f>IF(ISBLANK('FY27'!X29),"",'FY27'!X29)</f>
        <v/>
      </c>
      <c r="AH126" s="46" t="str">
        <f>IF(ISBLANK('FY27'!Y29),"",'FY27'!Y29)</f>
        <v/>
      </c>
    </row>
    <row r="127" spans="32:34" x14ac:dyDescent="0.25">
      <c r="AF127" s="44" t="str">
        <f>IF(ISBLANK('FY27'!W30),"",'FY27'!W30)</f>
        <v/>
      </c>
      <c r="AG127" s="45" t="str">
        <f>IF(ISBLANK('FY27'!X30),"",'FY27'!X30)</f>
        <v/>
      </c>
      <c r="AH127" s="46" t="str">
        <f>IF(ISBLANK('FY27'!Y30),"",'FY27'!Y30)</f>
        <v/>
      </c>
    </row>
    <row r="128" spans="32:34" x14ac:dyDescent="0.25">
      <c r="AF128" s="44" t="str">
        <f>IF(ISBLANK('FY27'!W31),"",'FY27'!W31)</f>
        <v/>
      </c>
      <c r="AG128" s="45" t="str">
        <f>IF(ISBLANK('FY27'!X31),"",'FY27'!X31)</f>
        <v/>
      </c>
      <c r="AH128" s="46" t="str">
        <f>IF(ISBLANK('FY27'!Y31),"",'FY27'!Y31)</f>
        <v/>
      </c>
    </row>
    <row r="129" spans="32:34" x14ac:dyDescent="0.25">
      <c r="AF129" s="44" t="str">
        <f>IF(ISBLANK('FY27'!W32),"",'FY27'!W32)</f>
        <v/>
      </c>
      <c r="AG129" s="45" t="str">
        <f>IF(ISBLANK('FY27'!X32),"",'FY27'!X32)</f>
        <v/>
      </c>
      <c r="AH129" s="46" t="str">
        <f>IF(ISBLANK('FY27'!Y32),"",'FY27'!Y32)</f>
        <v/>
      </c>
    </row>
    <row r="130" spans="32:34" x14ac:dyDescent="0.25">
      <c r="AF130" s="44" t="str">
        <f>IF(ISBLANK('FY27'!W33),"",'FY27'!W33)</f>
        <v/>
      </c>
      <c r="AG130" s="45" t="str">
        <f>IF(ISBLANK('FY27'!X33),"",'FY27'!X33)</f>
        <v/>
      </c>
      <c r="AH130" s="46" t="str">
        <f>IF(ISBLANK('FY27'!Y33),"",'FY27'!Y33)</f>
        <v/>
      </c>
    </row>
    <row r="131" spans="32:34" x14ac:dyDescent="0.25">
      <c r="AF131" s="44" t="str">
        <f>IF(ISBLANK('FY27'!W34),"",'FY27'!W34)</f>
        <v/>
      </c>
      <c r="AG131" s="45" t="str">
        <f>IF(ISBLANK('FY27'!X34),"",'FY27'!X34)</f>
        <v/>
      </c>
      <c r="AH131" s="46" t="str">
        <f>IF(ISBLANK('FY27'!Y34),"",'FY27'!Y34)</f>
        <v/>
      </c>
    </row>
    <row r="132" spans="32:34" x14ac:dyDescent="0.25">
      <c r="AF132" s="44" t="str">
        <f>IF(ISBLANK('FY27'!W35),"",'FY27'!W35)</f>
        <v/>
      </c>
      <c r="AG132" s="45" t="str">
        <f>IF(ISBLANK('FY27'!X35),"",'FY27'!X35)</f>
        <v/>
      </c>
      <c r="AH132" s="46" t="str">
        <f>IF(ISBLANK('FY27'!Y35),"",'FY27'!Y35)</f>
        <v/>
      </c>
    </row>
    <row r="133" spans="32:34" x14ac:dyDescent="0.25">
      <c r="AF133" s="44" t="str">
        <f>IF(ISBLANK('FY27'!W36),"",'FY27'!W36)</f>
        <v/>
      </c>
      <c r="AG133" s="45" t="str">
        <f>IF(ISBLANK('FY27'!X36),"",'FY27'!X36)</f>
        <v/>
      </c>
      <c r="AH133" s="46" t="str">
        <f>IF(ISBLANK('FY27'!Y36),"",'FY27'!Y36)</f>
        <v/>
      </c>
    </row>
    <row r="134" spans="32:34" x14ac:dyDescent="0.25">
      <c r="AF134" s="44" t="str">
        <f>IF(ISBLANK('FY27'!W37),"",'FY27'!W37)</f>
        <v/>
      </c>
      <c r="AG134" s="45" t="str">
        <f>IF(ISBLANK('FY27'!X37),"",'FY27'!X37)</f>
        <v/>
      </c>
      <c r="AH134" s="46" t="str">
        <f>IF(ISBLANK('FY27'!Y37),"",'FY27'!Y37)</f>
        <v/>
      </c>
    </row>
    <row r="135" spans="32:34" x14ac:dyDescent="0.25">
      <c r="AF135" s="44" t="str">
        <f>IF(ISBLANK('FY27'!W38),"",'FY27'!W38)</f>
        <v/>
      </c>
      <c r="AG135" s="45" t="str">
        <f>IF(ISBLANK('FY27'!X38),"",'FY27'!X38)</f>
        <v/>
      </c>
      <c r="AH135" s="46" t="str">
        <f>IF(ISBLANK('FY27'!Y38),"",'FY27'!Y38)</f>
        <v/>
      </c>
    </row>
    <row r="136" spans="32:34" x14ac:dyDescent="0.25">
      <c r="AF136" s="44" t="str">
        <f>IF(ISBLANK('FY27'!W39),"",'FY27'!W39)</f>
        <v/>
      </c>
      <c r="AG136" s="45" t="str">
        <f>IF(ISBLANK('FY27'!X39),"",'FY27'!X39)</f>
        <v/>
      </c>
      <c r="AH136" s="46" t="str">
        <f>IF(ISBLANK('FY27'!Y39),"",'FY27'!Y39)</f>
        <v/>
      </c>
    </row>
    <row r="137" spans="32:34" x14ac:dyDescent="0.25">
      <c r="AF137" s="44" t="str">
        <f>IF(ISBLANK('FY27'!W40),"",'FY27'!W40)</f>
        <v/>
      </c>
      <c r="AG137" s="45" t="str">
        <f>IF(ISBLANK('FY27'!X40),"",'FY27'!X40)</f>
        <v/>
      </c>
      <c r="AH137" s="46" t="str">
        <f>IF(ISBLANK('FY27'!Y40),"",'FY27'!Y40)</f>
        <v/>
      </c>
    </row>
    <row r="138" spans="32:34" x14ac:dyDescent="0.25">
      <c r="AF138" s="44" t="str">
        <f>IF(ISBLANK('FY27'!W41),"",'FY27'!W41)</f>
        <v/>
      </c>
      <c r="AG138" s="45" t="str">
        <f>IF(ISBLANK('FY27'!X41),"",'FY27'!X41)</f>
        <v/>
      </c>
      <c r="AH138" s="46" t="str">
        <f>IF(ISBLANK('FY27'!Y41),"",'FY27'!Y41)</f>
        <v/>
      </c>
    </row>
    <row r="139" spans="32:34" x14ac:dyDescent="0.25">
      <c r="AF139" s="44" t="str">
        <f>IF(ISBLANK('FY27'!W42),"",'FY27'!W42)</f>
        <v/>
      </c>
      <c r="AG139" s="45" t="str">
        <f>IF(ISBLANK('FY27'!X42),"",'FY27'!X42)</f>
        <v/>
      </c>
      <c r="AH139" s="46" t="str">
        <f>IF(ISBLANK('FY27'!Y42),"",'FY27'!Y42)</f>
        <v/>
      </c>
    </row>
    <row r="140" spans="32:34" x14ac:dyDescent="0.25">
      <c r="AF140" s="44" t="str">
        <f>IF(ISBLANK('FY27'!W43),"",'FY27'!W43)</f>
        <v/>
      </c>
      <c r="AG140" s="45" t="str">
        <f>IF(ISBLANK('FY27'!X43),"",'FY27'!X43)</f>
        <v/>
      </c>
      <c r="AH140" s="46" t="str">
        <f>IF(ISBLANK('FY27'!Y43),"",'FY27'!Y43)</f>
        <v/>
      </c>
    </row>
    <row r="141" spans="32:34" x14ac:dyDescent="0.25">
      <c r="AF141" s="44" t="str">
        <f>IF(ISBLANK('FY27'!W44),"",'FY27'!W44)</f>
        <v/>
      </c>
      <c r="AG141" s="45" t="str">
        <f>IF(ISBLANK('FY27'!X44),"",'FY27'!X44)</f>
        <v/>
      </c>
      <c r="AH141" s="46" t="str">
        <f>IF(ISBLANK('FY27'!Y44),"",'FY27'!Y44)</f>
        <v/>
      </c>
    </row>
    <row r="142" spans="32:34" x14ac:dyDescent="0.25">
      <c r="AF142" s="44" t="str">
        <f>IF(ISBLANK('FY27'!W45),"",'FY27'!W45)</f>
        <v/>
      </c>
      <c r="AG142" s="45" t="str">
        <f>IF(ISBLANK('FY27'!X45),"",'FY27'!X45)</f>
        <v/>
      </c>
      <c r="AH142" s="46" t="str">
        <f>IF(ISBLANK('FY27'!Y45),"",'FY27'!Y45)</f>
        <v/>
      </c>
    </row>
    <row r="143" spans="32:34" x14ac:dyDescent="0.25">
      <c r="AF143" s="44" t="str">
        <f>IF(ISBLANK('FY27'!W46),"",'FY27'!W46)</f>
        <v/>
      </c>
      <c r="AG143" s="45" t="str">
        <f>IF(ISBLANK('FY27'!X46),"",'FY27'!X46)</f>
        <v/>
      </c>
      <c r="AH143" s="46" t="str">
        <f>IF(ISBLANK('FY27'!Y46),"",'FY27'!Y46)</f>
        <v/>
      </c>
    </row>
    <row r="144" spans="32:34" x14ac:dyDescent="0.25">
      <c r="AF144" s="44" t="str">
        <f>IF(ISBLANK('FY27'!W47),"",'FY27'!W47)</f>
        <v/>
      </c>
      <c r="AG144" s="45" t="str">
        <f>IF(ISBLANK('FY27'!X47),"",'FY27'!X47)</f>
        <v/>
      </c>
      <c r="AH144" s="46" t="str">
        <f>IF(ISBLANK('FY27'!Y47),"",'FY27'!Y47)</f>
        <v/>
      </c>
    </row>
    <row r="145" spans="32:34" x14ac:dyDescent="0.25">
      <c r="AF145" s="44" t="str">
        <f>IF(ISBLANK('FY27'!W48),"",'FY27'!W48)</f>
        <v/>
      </c>
      <c r="AG145" s="45" t="str">
        <f>IF(ISBLANK('FY27'!X48),"",'FY27'!X48)</f>
        <v/>
      </c>
      <c r="AH145" s="46" t="str">
        <f>IF(ISBLANK('FY27'!Y48),"",'FY27'!Y48)</f>
        <v/>
      </c>
    </row>
    <row r="146" spans="32:34" x14ac:dyDescent="0.25">
      <c r="AF146" s="44" t="str">
        <f>IF(ISBLANK('FY27'!W49),"",'FY27'!W49)</f>
        <v/>
      </c>
      <c r="AG146" s="45" t="str">
        <f>IF(ISBLANK('FY27'!X49),"",'FY27'!X49)</f>
        <v/>
      </c>
      <c r="AH146" s="46" t="str">
        <f>IF(ISBLANK('FY27'!Y49),"",'FY27'!Y49)</f>
        <v/>
      </c>
    </row>
    <row r="147" spans="32:34" x14ac:dyDescent="0.25">
      <c r="AF147" s="44" t="str">
        <f>IF(ISBLANK('FY27'!W50),"",'FY27'!W50)</f>
        <v/>
      </c>
      <c r="AG147" s="45" t="str">
        <f>IF(ISBLANK('FY27'!X50),"",'FY27'!X50)</f>
        <v/>
      </c>
      <c r="AH147" s="46" t="str">
        <f>IF(ISBLANK('FY27'!Y50),"",'FY27'!Y50)</f>
        <v/>
      </c>
    </row>
    <row r="148" spans="32:34" x14ac:dyDescent="0.25">
      <c r="AF148" s="44" t="str">
        <f>IF(ISBLANK('FY27'!W51),"",'FY27'!W51)</f>
        <v/>
      </c>
      <c r="AG148" s="45" t="str">
        <f>IF(ISBLANK('FY27'!X51),"",'FY27'!X51)</f>
        <v/>
      </c>
      <c r="AH148" s="46" t="str">
        <f>IF(ISBLANK('FY27'!Y51),"",'FY27'!Y51)</f>
        <v/>
      </c>
    </row>
    <row r="149" spans="32:34" x14ac:dyDescent="0.25">
      <c r="AF149" s="44" t="str">
        <f>IF(ISBLANK('FY27'!W52),"",'FY27'!W52)</f>
        <v/>
      </c>
      <c r="AG149" s="45" t="str">
        <f>IF(ISBLANK('FY27'!X52),"",'FY27'!X52)</f>
        <v/>
      </c>
      <c r="AH149" s="46" t="str">
        <f>IF(ISBLANK('FY27'!Y52),"",'FY27'!Y52)</f>
        <v/>
      </c>
    </row>
    <row r="150" spans="32:34" x14ac:dyDescent="0.25">
      <c r="AF150" s="44" t="str">
        <f>IF(ISBLANK('FY27'!W53),"",'FY27'!W53)</f>
        <v/>
      </c>
      <c r="AG150" s="45" t="str">
        <f>IF(ISBLANK('FY27'!X53),"",'FY27'!X53)</f>
        <v/>
      </c>
      <c r="AH150" s="46" t="str">
        <f>IF(ISBLANK('FY27'!Y53),"",'FY27'!Y53)</f>
        <v/>
      </c>
    </row>
    <row r="151" spans="32:34" x14ac:dyDescent="0.25">
      <c r="AF151" s="44" t="str">
        <f>IF(ISBLANK('FY27'!W54),"",'FY27'!W54)</f>
        <v/>
      </c>
      <c r="AG151" s="45" t="str">
        <f>IF(ISBLANK('FY27'!X54),"",'FY27'!X54)</f>
        <v/>
      </c>
      <c r="AH151" s="46" t="str">
        <f>IF(ISBLANK('FY27'!Y54),"",'FY27'!Y54)</f>
        <v/>
      </c>
    </row>
    <row r="152" spans="32:34" x14ac:dyDescent="0.25">
      <c r="AF152" s="44" t="str">
        <f>IF(ISBLANK('FY27'!W55),"",'FY27'!W55)</f>
        <v/>
      </c>
      <c r="AG152" s="45" t="str">
        <f>IF(ISBLANK('FY27'!X55),"",'FY27'!X55)</f>
        <v/>
      </c>
      <c r="AH152" s="46" t="str">
        <f>IF(ISBLANK('FY27'!Y55),"",'FY27'!Y55)</f>
        <v/>
      </c>
    </row>
    <row r="153" spans="32:34" x14ac:dyDescent="0.25">
      <c r="AF153" s="44" t="str">
        <f>IF(ISBLANK('FY27'!W56),"",'FY27'!W56)</f>
        <v/>
      </c>
      <c r="AG153" s="45" t="str">
        <f>IF(ISBLANK('FY27'!X56),"",'FY27'!X56)</f>
        <v/>
      </c>
      <c r="AH153" s="46" t="str">
        <f>IF(ISBLANK('FY27'!Y56),"",'FY27'!Y56)</f>
        <v/>
      </c>
    </row>
    <row r="154" spans="32:34" x14ac:dyDescent="0.25">
      <c r="AF154" s="44" t="str">
        <f>IF(ISBLANK('FY27'!W57),"",'FY27'!W57)</f>
        <v/>
      </c>
      <c r="AG154" s="45" t="str">
        <f>IF(ISBLANK('FY27'!X57),"",'FY27'!X57)</f>
        <v/>
      </c>
      <c r="AH154" s="46" t="str">
        <f>IF(ISBLANK('FY27'!Y57),"",'FY27'!Y57)</f>
        <v/>
      </c>
    </row>
    <row r="155" spans="32:34" x14ac:dyDescent="0.25">
      <c r="AF155" s="44" t="str">
        <f>IF(ISBLANK('FY27'!W58),"",'FY27'!W58)</f>
        <v/>
      </c>
      <c r="AG155" s="45" t="str">
        <f>IF(ISBLANK('FY27'!X58),"",'FY27'!X58)</f>
        <v/>
      </c>
      <c r="AH155" s="46" t="str">
        <f>IF(ISBLANK('FY27'!Y58),"",'FY27'!Y58)</f>
        <v/>
      </c>
    </row>
    <row r="156" spans="32:34" x14ac:dyDescent="0.25">
      <c r="AF156" s="44" t="str">
        <f>IF(ISBLANK('FY27'!W59),"",'FY27'!W59)</f>
        <v/>
      </c>
      <c r="AG156" s="45" t="str">
        <f>IF(ISBLANK('FY27'!X59),"",'FY27'!X59)</f>
        <v/>
      </c>
      <c r="AH156" s="46" t="str">
        <f>IF(ISBLANK('FY27'!Y59),"",'FY27'!Y59)</f>
        <v/>
      </c>
    </row>
    <row r="157" spans="32:34" x14ac:dyDescent="0.25">
      <c r="AF157" s="44" t="str">
        <f>IF(ISBLANK('FY27'!W60),"",'FY27'!W60)</f>
        <v/>
      </c>
      <c r="AG157" s="45" t="str">
        <f>IF(ISBLANK('FY27'!X60),"",'FY27'!X60)</f>
        <v/>
      </c>
      <c r="AH157" s="46" t="str">
        <f>IF(ISBLANK('FY27'!Y60),"",'FY27'!Y60)</f>
        <v/>
      </c>
    </row>
    <row r="158" spans="32:34" x14ac:dyDescent="0.25">
      <c r="AF158" s="44" t="str">
        <f>IF(ISBLANK('FY27'!W61),"",'FY27'!W61)</f>
        <v/>
      </c>
      <c r="AG158" s="45" t="str">
        <f>IF(ISBLANK('FY27'!X61),"",'FY27'!X61)</f>
        <v/>
      </c>
      <c r="AH158" s="46" t="str">
        <f>IF(ISBLANK('FY27'!Y61),"",'FY27'!Y61)</f>
        <v/>
      </c>
    </row>
    <row r="159" spans="32:34" x14ac:dyDescent="0.25">
      <c r="AF159" s="44" t="str">
        <f>IF(ISBLANK('FY27'!W62),"",'FY27'!W62)</f>
        <v/>
      </c>
      <c r="AG159" s="45" t="str">
        <f>IF(ISBLANK('FY27'!X62),"",'FY27'!X62)</f>
        <v/>
      </c>
      <c r="AH159" s="46" t="str">
        <f>IF(ISBLANK('FY27'!Y62),"",'FY27'!Y62)</f>
        <v/>
      </c>
    </row>
    <row r="160" spans="32:34" x14ac:dyDescent="0.25">
      <c r="AF160" s="44" t="str">
        <f>IF(ISBLANK('FY27'!W63),"",'FY27'!W63)</f>
        <v/>
      </c>
      <c r="AG160" s="45" t="str">
        <f>IF(ISBLANK('FY27'!X63),"",'FY27'!X63)</f>
        <v/>
      </c>
      <c r="AH160" s="46" t="str">
        <f>IF(ISBLANK('FY27'!Y63),"",'FY27'!Y63)</f>
        <v/>
      </c>
    </row>
    <row r="161" spans="32:34" x14ac:dyDescent="0.25">
      <c r="AF161" s="44" t="str">
        <f>IF(ISBLANK('FY27'!W64),"",'FY27'!W64)</f>
        <v/>
      </c>
      <c r="AG161" s="45" t="str">
        <f>IF(ISBLANK('FY27'!X64),"",'FY27'!X64)</f>
        <v/>
      </c>
      <c r="AH161" s="46" t="str">
        <f>IF(ISBLANK('FY27'!Y64),"",'FY27'!Y64)</f>
        <v/>
      </c>
    </row>
    <row r="162" spans="32:34" x14ac:dyDescent="0.25">
      <c r="AF162" s="44" t="str">
        <f>IF(ISBLANK('FY27'!W65),"",'FY27'!W65)</f>
        <v/>
      </c>
      <c r="AG162" s="45" t="str">
        <f>IF(ISBLANK('FY27'!X65),"",'FY27'!X65)</f>
        <v/>
      </c>
      <c r="AH162" s="46" t="str">
        <f>IF(ISBLANK('FY27'!Y65),"",'FY27'!Y65)</f>
        <v/>
      </c>
    </row>
    <row r="163" spans="32:34" x14ac:dyDescent="0.25">
      <c r="AF163" s="44" t="str">
        <f>IF(ISBLANK('FY27'!W66),"",'FY27'!W66)</f>
        <v/>
      </c>
      <c r="AG163" s="45" t="str">
        <f>IF(ISBLANK('FY27'!X66),"",'FY27'!X66)</f>
        <v/>
      </c>
      <c r="AH163" s="46" t="str">
        <f>IF(ISBLANK('FY27'!Y66),"",'FY27'!Y66)</f>
        <v/>
      </c>
    </row>
    <row r="164" spans="32:34" x14ac:dyDescent="0.25">
      <c r="AF164" s="44" t="str">
        <f>IF(ISBLANK('FY27'!W67),"",'FY27'!W67)</f>
        <v/>
      </c>
      <c r="AG164" s="45" t="str">
        <f>IF(ISBLANK('FY27'!X67),"",'FY27'!X67)</f>
        <v/>
      </c>
      <c r="AH164" s="46" t="str">
        <f>IF(ISBLANK('FY27'!Y67),"",'FY27'!Y67)</f>
        <v/>
      </c>
    </row>
    <row r="165" spans="32:34" x14ac:dyDescent="0.25">
      <c r="AF165" s="44" t="str">
        <f>IF(ISBLANK('FY27'!W68),"",'FY27'!W68)</f>
        <v/>
      </c>
      <c r="AG165" s="45" t="str">
        <f>IF(ISBLANK('FY27'!X68),"",'FY27'!X68)</f>
        <v/>
      </c>
      <c r="AH165" s="46" t="str">
        <f>IF(ISBLANK('FY27'!Y68),"",'FY27'!Y68)</f>
        <v/>
      </c>
    </row>
    <row r="166" spans="32:34" x14ac:dyDescent="0.25">
      <c r="AF166" s="44" t="str">
        <f>IF(ISBLANK('FY27'!W69),"",'FY27'!W69)</f>
        <v/>
      </c>
      <c r="AG166" s="45" t="str">
        <f>IF(ISBLANK('FY27'!X69),"",'FY27'!X69)</f>
        <v/>
      </c>
      <c r="AH166" s="46" t="str">
        <f>IF(ISBLANK('FY27'!Y69),"",'FY27'!Y69)</f>
        <v/>
      </c>
    </row>
    <row r="167" spans="32:34" x14ac:dyDescent="0.25">
      <c r="AF167" s="44" t="str">
        <f>IF(ISBLANK('FY27'!W70),"",'FY27'!W70)</f>
        <v/>
      </c>
      <c r="AG167" s="45" t="str">
        <f>IF(ISBLANK('FY27'!X70),"",'FY27'!X70)</f>
        <v/>
      </c>
      <c r="AH167" s="46" t="str">
        <f>IF(ISBLANK('FY27'!Y70),"",'FY27'!Y70)</f>
        <v/>
      </c>
    </row>
    <row r="168" spans="32:34" x14ac:dyDescent="0.25">
      <c r="AF168" s="44" t="str">
        <f>IF(ISBLANK('FY27'!W71),"",'FY27'!W71)</f>
        <v/>
      </c>
      <c r="AG168" s="45" t="str">
        <f>IF(ISBLANK('FY27'!X71),"",'FY27'!X71)</f>
        <v/>
      </c>
      <c r="AH168" s="46" t="str">
        <f>IF(ISBLANK('FY27'!Y71),"",'FY27'!Y71)</f>
        <v/>
      </c>
    </row>
    <row r="169" spans="32:34" x14ac:dyDescent="0.25">
      <c r="AF169" s="44" t="str">
        <f>IF(ISBLANK('FY27'!W72),"",'FY27'!W72)</f>
        <v/>
      </c>
      <c r="AG169" s="45" t="str">
        <f>IF(ISBLANK('FY27'!X72),"",'FY27'!X72)</f>
        <v/>
      </c>
      <c r="AH169" s="46" t="str">
        <f>IF(ISBLANK('FY27'!Y72),"",'FY27'!Y72)</f>
        <v/>
      </c>
    </row>
    <row r="170" spans="32:34" x14ac:dyDescent="0.25">
      <c r="AF170" s="44" t="str">
        <f>IF(ISBLANK('FY27'!W73),"",'FY27'!W73)</f>
        <v/>
      </c>
      <c r="AG170" s="45" t="str">
        <f>IF(ISBLANK('FY27'!X73),"",'FY27'!X73)</f>
        <v/>
      </c>
      <c r="AH170" s="46" t="str">
        <f>IF(ISBLANK('FY27'!Y73),"",'FY27'!Y73)</f>
        <v/>
      </c>
    </row>
    <row r="171" spans="32:34" x14ac:dyDescent="0.25">
      <c r="AF171" s="44" t="str">
        <f>IF(ISBLANK('FY27'!W74),"",'FY27'!W74)</f>
        <v/>
      </c>
      <c r="AG171" s="45" t="str">
        <f>IF(ISBLANK('FY27'!X74),"",'FY27'!X74)</f>
        <v/>
      </c>
      <c r="AH171" s="46" t="str">
        <f>IF(ISBLANK('FY27'!Y74),"",'FY27'!Y74)</f>
        <v/>
      </c>
    </row>
    <row r="172" spans="32:34" x14ac:dyDescent="0.25">
      <c r="AF172" s="44" t="str">
        <f>IF(ISBLANK('FY27'!W75),"",'FY27'!W75)</f>
        <v/>
      </c>
      <c r="AG172" s="45" t="str">
        <f>IF(ISBLANK('FY27'!X75),"",'FY27'!X75)</f>
        <v/>
      </c>
      <c r="AH172" s="46" t="str">
        <f>IF(ISBLANK('FY27'!Y75),"",'FY27'!Y75)</f>
        <v/>
      </c>
    </row>
    <row r="173" spans="32:34" x14ac:dyDescent="0.25">
      <c r="AF173" s="44" t="str">
        <f>IF(ISBLANK('FY27'!W76),"",'FY27'!W76)</f>
        <v/>
      </c>
      <c r="AG173" s="45" t="str">
        <f>IF(ISBLANK('FY27'!X76),"",'FY27'!X76)</f>
        <v/>
      </c>
      <c r="AH173" s="46" t="str">
        <f>IF(ISBLANK('FY27'!Y76),"",'FY27'!Y76)</f>
        <v/>
      </c>
    </row>
    <row r="174" spans="32:34" x14ac:dyDescent="0.25">
      <c r="AF174" s="44" t="str">
        <f>IF(ISBLANK('FY27'!W77),"",'FY27'!W77)</f>
        <v/>
      </c>
      <c r="AG174" s="45" t="str">
        <f>IF(ISBLANK('FY27'!X77),"",'FY27'!X77)</f>
        <v/>
      </c>
      <c r="AH174" s="46" t="str">
        <f>IF(ISBLANK('FY27'!Y77),"",'FY27'!Y77)</f>
        <v/>
      </c>
    </row>
    <row r="175" spans="32:34" x14ac:dyDescent="0.25">
      <c r="AF175" s="44" t="str">
        <f>IF(ISBLANK('FY27'!W78),"",'FY27'!W78)</f>
        <v/>
      </c>
      <c r="AG175" s="45" t="str">
        <f>IF(ISBLANK('FY27'!X78),"",'FY27'!X78)</f>
        <v/>
      </c>
      <c r="AH175" s="46" t="str">
        <f>IF(ISBLANK('FY27'!Y78),"",'FY27'!Y78)</f>
        <v/>
      </c>
    </row>
    <row r="176" spans="32:34" x14ac:dyDescent="0.25">
      <c r="AF176" s="44" t="str">
        <f>IF(ISBLANK('FY27'!W79),"",'FY27'!W79)</f>
        <v/>
      </c>
      <c r="AG176" s="45" t="str">
        <f>IF(ISBLANK('FY27'!X79),"",'FY27'!X79)</f>
        <v/>
      </c>
      <c r="AH176" s="46" t="str">
        <f>IF(ISBLANK('FY27'!Y79),"",'FY27'!Y79)</f>
        <v/>
      </c>
    </row>
    <row r="177" spans="32:34" x14ac:dyDescent="0.25">
      <c r="AF177" s="44" t="str">
        <f>IF(ISBLANK('FY27'!W80),"",'FY27'!W80)</f>
        <v/>
      </c>
      <c r="AG177" s="45" t="str">
        <f>IF(ISBLANK('FY27'!X80),"",'FY27'!X80)</f>
        <v/>
      </c>
      <c r="AH177" s="46" t="str">
        <f>IF(ISBLANK('FY27'!Y80),"",'FY27'!Y80)</f>
        <v/>
      </c>
    </row>
    <row r="178" spans="32:34" x14ac:dyDescent="0.25">
      <c r="AF178" s="44" t="str">
        <f>IF(ISBLANK('FY27'!W81),"",'FY27'!W81)</f>
        <v/>
      </c>
      <c r="AG178" s="45" t="str">
        <f>IF(ISBLANK('FY27'!X81),"",'FY27'!X81)</f>
        <v/>
      </c>
      <c r="AH178" s="46" t="str">
        <f>IF(ISBLANK('FY27'!Y81),"",'FY27'!Y81)</f>
        <v/>
      </c>
    </row>
    <row r="179" spans="32:34" x14ac:dyDescent="0.25">
      <c r="AF179" s="44" t="str">
        <f>IF(ISBLANK('FY27'!W82),"",'FY27'!W82)</f>
        <v/>
      </c>
      <c r="AG179" s="45" t="str">
        <f>IF(ISBLANK('FY27'!X82),"",'FY27'!X82)</f>
        <v/>
      </c>
      <c r="AH179" s="46" t="str">
        <f>IF(ISBLANK('FY27'!Y82),"",'FY27'!Y82)</f>
        <v/>
      </c>
    </row>
    <row r="180" spans="32:34" x14ac:dyDescent="0.25">
      <c r="AF180" s="44" t="str">
        <f>IF(ISBLANK('FY27'!W83),"",'FY27'!W83)</f>
        <v/>
      </c>
      <c r="AG180" s="45" t="str">
        <f>IF(ISBLANK('FY27'!X83),"",'FY27'!X83)</f>
        <v/>
      </c>
      <c r="AH180" s="46" t="str">
        <f>IF(ISBLANK('FY27'!Y83),"",'FY27'!Y83)</f>
        <v/>
      </c>
    </row>
    <row r="181" spans="32:34" x14ac:dyDescent="0.25">
      <c r="AF181" s="44" t="str">
        <f>IF(ISBLANK('FY27'!W84),"",'FY27'!W84)</f>
        <v/>
      </c>
      <c r="AG181" s="45" t="str">
        <f>IF(ISBLANK('FY27'!X84),"",'FY27'!X84)</f>
        <v/>
      </c>
      <c r="AH181" s="46" t="str">
        <f>IF(ISBLANK('FY27'!Y84),"",'FY27'!Y84)</f>
        <v/>
      </c>
    </row>
    <row r="182" spans="32:34" x14ac:dyDescent="0.25">
      <c r="AF182" s="44" t="str">
        <f>IF(ISBLANK('FY27'!W85),"",'FY27'!W85)</f>
        <v/>
      </c>
      <c r="AG182" s="45" t="str">
        <f>IF(ISBLANK('FY27'!X85),"",'FY27'!X85)</f>
        <v/>
      </c>
      <c r="AH182" s="46" t="str">
        <f>IF(ISBLANK('FY27'!Y85),"",'FY27'!Y85)</f>
        <v/>
      </c>
    </row>
    <row r="183" spans="32:34" x14ac:dyDescent="0.25">
      <c r="AF183" s="44" t="str">
        <f>IF(ISBLANK('FY27'!W86),"",'FY27'!W86)</f>
        <v/>
      </c>
      <c r="AG183" s="45" t="str">
        <f>IF(ISBLANK('FY27'!X86),"",'FY27'!X86)</f>
        <v/>
      </c>
      <c r="AH183" s="46" t="str">
        <f>IF(ISBLANK('FY27'!Y86),"",'FY27'!Y86)</f>
        <v/>
      </c>
    </row>
    <row r="184" spans="32:34" x14ac:dyDescent="0.25">
      <c r="AF184" s="44" t="str">
        <f>IF(ISBLANK('FY27'!W87),"",'FY27'!W87)</f>
        <v/>
      </c>
      <c r="AG184" s="45" t="str">
        <f>IF(ISBLANK('FY27'!X87),"",'FY27'!X87)</f>
        <v/>
      </c>
      <c r="AH184" s="46" t="str">
        <f>IF(ISBLANK('FY27'!Y87),"",'FY27'!Y87)</f>
        <v/>
      </c>
    </row>
    <row r="185" spans="32:34" x14ac:dyDescent="0.25">
      <c r="AF185" s="44" t="str">
        <f>IF(ISBLANK('FY27'!W88),"",'FY27'!W88)</f>
        <v/>
      </c>
      <c r="AG185" s="45" t="str">
        <f>IF(ISBLANK('FY27'!X88),"",'FY27'!X88)</f>
        <v/>
      </c>
      <c r="AH185" s="46" t="str">
        <f>IF(ISBLANK('FY27'!Y88),"",'FY27'!Y88)</f>
        <v/>
      </c>
    </row>
    <row r="186" spans="32:34" x14ac:dyDescent="0.25">
      <c r="AF186" s="44" t="str">
        <f>IF(ISBLANK('FY27'!W89),"",'FY27'!W89)</f>
        <v/>
      </c>
      <c r="AG186" s="45" t="str">
        <f>IF(ISBLANK('FY27'!X89),"",'FY27'!X89)</f>
        <v/>
      </c>
      <c r="AH186" s="46" t="str">
        <f>IF(ISBLANK('FY27'!Y89),"",'FY27'!Y89)</f>
        <v/>
      </c>
    </row>
    <row r="187" spans="32:34" x14ac:dyDescent="0.25">
      <c r="AF187" s="44" t="str">
        <f>IF(ISBLANK('FY27'!W90),"",'FY27'!W90)</f>
        <v/>
      </c>
      <c r="AG187" s="45" t="str">
        <f>IF(ISBLANK('FY27'!X90),"",'FY27'!X90)</f>
        <v/>
      </c>
      <c r="AH187" s="46" t="str">
        <f>IF(ISBLANK('FY27'!Y90),"",'FY27'!Y90)</f>
        <v/>
      </c>
    </row>
    <row r="188" spans="32:34" x14ac:dyDescent="0.25">
      <c r="AF188" s="44" t="str">
        <f>IF(ISBLANK('FY27'!W91),"",'FY27'!W91)</f>
        <v/>
      </c>
      <c r="AG188" s="45" t="str">
        <f>IF(ISBLANK('FY27'!X91),"",'FY27'!X91)</f>
        <v/>
      </c>
      <c r="AH188" s="46" t="str">
        <f>IF(ISBLANK('FY27'!Y91),"",'FY27'!Y91)</f>
        <v/>
      </c>
    </row>
    <row r="189" spans="32:34" x14ac:dyDescent="0.25">
      <c r="AF189" s="44" t="str">
        <f>IF(ISBLANK('FY27'!W92),"",'FY27'!W92)</f>
        <v/>
      </c>
      <c r="AG189" s="45" t="str">
        <f>IF(ISBLANK('FY27'!X92),"",'FY27'!X92)</f>
        <v/>
      </c>
      <c r="AH189" s="46" t="str">
        <f>IF(ISBLANK('FY27'!Y92),"",'FY27'!Y92)</f>
        <v/>
      </c>
    </row>
    <row r="190" spans="32:34" x14ac:dyDescent="0.25">
      <c r="AF190" s="44" t="str">
        <f>IF(ISBLANK('FY27'!W93),"",'FY27'!W93)</f>
        <v/>
      </c>
      <c r="AG190" s="45" t="str">
        <f>IF(ISBLANK('FY27'!X93),"",'FY27'!X93)</f>
        <v/>
      </c>
      <c r="AH190" s="46" t="str">
        <f>IF(ISBLANK('FY27'!Y93),"",'FY27'!Y93)</f>
        <v/>
      </c>
    </row>
    <row r="191" spans="32:34" x14ac:dyDescent="0.25">
      <c r="AF191" s="44" t="str">
        <f>IF(ISBLANK('FY27'!W94),"",'FY27'!W94)</f>
        <v/>
      </c>
      <c r="AG191" s="45" t="str">
        <f>IF(ISBLANK('FY27'!X94),"",'FY27'!X94)</f>
        <v/>
      </c>
      <c r="AH191" s="46" t="str">
        <f>IF(ISBLANK('FY27'!Y94),"",'FY27'!Y94)</f>
        <v/>
      </c>
    </row>
    <row r="192" spans="32:34" x14ac:dyDescent="0.25">
      <c r="AF192" s="44" t="str">
        <f>IF(ISBLANK('FY27'!W95),"",'FY27'!W95)</f>
        <v/>
      </c>
      <c r="AG192" s="45" t="str">
        <f>IF(ISBLANK('FY27'!X95),"",'FY27'!X95)</f>
        <v/>
      </c>
      <c r="AH192" s="46" t="str">
        <f>IF(ISBLANK('FY27'!Y95),"",'FY27'!Y95)</f>
        <v/>
      </c>
    </row>
    <row r="193" spans="32:34" x14ac:dyDescent="0.25">
      <c r="AF193" s="44" t="str">
        <f>IF(ISBLANK('FY27'!W96),"",'FY27'!W96)</f>
        <v/>
      </c>
      <c r="AG193" s="45" t="str">
        <f>IF(ISBLANK('FY27'!X96),"",'FY27'!X96)</f>
        <v/>
      </c>
      <c r="AH193" s="46" t="str">
        <f>IF(ISBLANK('FY27'!Y96),"",'FY27'!Y96)</f>
        <v/>
      </c>
    </row>
    <row r="194" spans="32:34" x14ac:dyDescent="0.25">
      <c r="AF194" s="44" t="str">
        <f>IF(ISBLANK('FY27'!W97),"",'FY27'!W97)</f>
        <v/>
      </c>
      <c r="AG194" s="45" t="str">
        <f>IF(ISBLANK('FY27'!X97),"",'FY27'!X97)</f>
        <v/>
      </c>
      <c r="AH194" s="46" t="str">
        <f>IF(ISBLANK('FY27'!Y97),"",'FY27'!Y97)</f>
        <v/>
      </c>
    </row>
    <row r="195" spans="32:34" x14ac:dyDescent="0.25">
      <c r="AF195" s="44" t="str">
        <f>IF(ISBLANK('FY27'!W98),"",'FY27'!W98)</f>
        <v/>
      </c>
      <c r="AG195" s="45" t="str">
        <f>IF(ISBLANK('FY27'!X98),"",'FY27'!X98)</f>
        <v/>
      </c>
      <c r="AH195" s="46" t="str">
        <f>IF(ISBLANK('FY27'!Y98),"",'FY27'!Y98)</f>
        <v/>
      </c>
    </row>
    <row r="196" spans="32:34" x14ac:dyDescent="0.25">
      <c r="AF196" s="44" t="str">
        <f>IF(ISBLANK('FY27'!W99),"",'FY27'!W99)</f>
        <v/>
      </c>
      <c r="AG196" s="45" t="str">
        <f>IF(ISBLANK('FY27'!X99),"",'FY27'!X99)</f>
        <v/>
      </c>
      <c r="AH196" s="46" t="str">
        <f>IF(ISBLANK('FY27'!Y99),"",'FY27'!Y99)</f>
        <v/>
      </c>
    </row>
    <row r="197" spans="32:34" x14ac:dyDescent="0.25">
      <c r="AF197" s="44" t="str">
        <f>IF(ISBLANK('FY27'!W100),"",'FY27'!W100)</f>
        <v/>
      </c>
      <c r="AG197" s="45" t="str">
        <f>IF(ISBLANK('FY27'!X100),"",'FY27'!X100)</f>
        <v/>
      </c>
      <c r="AH197" s="46" t="str">
        <f>IF(ISBLANK('FY27'!Y100),"",'FY27'!Y100)</f>
        <v/>
      </c>
    </row>
    <row r="198" spans="32:34" x14ac:dyDescent="0.25">
      <c r="AF198" s="44" t="str">
        <f>IF(ISBLANK('FY27'!W101),"",'FY27'!W101)</f>
        <v/>
      </c>
      <c r="AG198" s="45" t="str">
        <f>IF(ISBLANK('FY27'!X101),"",'FY27'!X101)</f>
        <v/>
      </c>
      <c r="AH198" s="46" t="str">
        <f>IF(ISBLANK('FY27'!Y101),"",'FY27'!Y101)</f>
        <v/>
      </c>
    </row>
    <row r="199" spans="32:34" x14ac:dyDescent="0.25">
      <c r="AF199" s="44" t="str">
        <f>IF(ISBLANK('FY27'!W102),"",'FY27'!W102)</f>
        <v/>
      </c>
      <c r="AG199" s="45" t="str">
        <f>IF(ISBLANK('FY27'!X102),"",'FY27'!X102)</f>
        <v/>
      </c>
      <c r="AH199" s="46" t="str">
        <f>IF(ISBLANK('FY27'!Y102),"",'FY27'!Y102)</f>
        <v/>
      </c>
    </row>
    <row r="200" spans="32:34" x14ac:dyDescent="0.25">
      <c r="AF200" s="44" t="str">
        <f>IF(ISBLANK('FY27'!W103),"",'FY27'!W103)</f>
        <v/>
      </c>
      <c r="AG200" s="45" t="str">
        <f>IF(ISBLANK('FY27'!X103),"",'FY27'!X103)</f>
        <v/>
      </c>
      <c r="AH200" s="46" t="str">
        <f>IF(ISBLANK('FY27'!Y103),"",'FY27'!Y103)</f>
        <v/>
      </c>
    </row>
    <row r="201" spans="32:34" x14ac:dyDescent="0.25">
      <c r="AF201" s="44" t="str">
        <f>IF(ISBLANK('FY27'!W104),"",'FY27'!W104)</f>
        <v/>
      </c>
      <c r="AG201" s="45" t="str">
        <f>IF(ISBLANK('FY27'!X104),"",'FY27'!X104)</f>
        <v/>
      </c>
      <c r="AH201" s="46" t="str">
        <f>IF(ISBLANK('FY27'!Y104),"",'FY27'!Y104)</f>
        <v/>
      </c>
    </row>
    <row r="202" spans="32:34" x14ac:dyDescent="0.25">
      <c r="AF202" s="44" t="str">
        <f>IF(ISBLANK('FY27'!W105),"",'FY27'!W105)</f>
        <v/>
      </c>
      <c r="AG202" s="45" t="str">
        <f>IF(ISBLANK('FY27'!X105),"",'FY27'!X105)</f>
        <v/>
      </c>
      <c r="AH202" s="46" t="str">
        <f>IF(ISBLANK('FY27'!Y105),"",'FY27'!Y105)</f>
        <v/>
      </c>
    </row>
    <row r="203" spans="32:34" x14ac:dyDescent="0.25">
      <c r="AF203" s="44" t="str">
        <f>IF(ISBLANK('FY27'!W106),"",'FY27'!W106)</f>
        <v/>
      </c>
      <c r="AG203" s="45" t="str">
        <f>IF(ISBLANK('FY27'!X106),"",'FY27'!X106)</f>
        <v/>
      </c>
      <c r="AH203" s="46" t="str">
        <f>IF(ISBLANK('FY27'!Y106),"",'FY27'!Y106)</f>
        <v/>
      </c>
    </row>
    <row r="204" spans="32:34" x14ac:dyDescent="0.25">
      <c r="AF204" s="44" t="str">
        <f>IF(ISBLANK('FY27'!W107),"",'FY27'!W107)</f>
        <v/>
      </c>
      <c r="AG204" s="45" t="str">
        <f>IF(ISBLANK('FY27'!X107),"",'FY27'!X107)</f>
        <v/>
      </c>
      <c r="AH204" s="46" t="str">
        <f>IF(ISBLANK('FY27'!Y107),"",'FY27'!Y107)</f>
        <v/>
      </c>
    </row>
    <row r="205" spans="32:34" x14ac:dyDescent="0.25">
      <c r="AF205" s="44" t="str">
        <f>IF(ISBLANK('FY27'!W108),"",'FY27'!W108)</f>
        <v/>
      </c>
      <c r="AG205" s="45" t="str">
        <f>IF(ISBLANK('FY27'!X108),"",'FY27'!X108)</f>
        <v/>
      </c>
      <c r="AH205" s="46" t="str">
        <f>IF(ISBLANK('FY27'!Y108),"",'FY27'!Y108)</f>
        <v/>
      </c>
    </row>
    <row r="206" spans="32:34" x14ac:dyDescent="0.25">
      <c r="AF206" s="44" t="str">
        <f>IF(ISBLANK('FY27'!W109),"",'FY27'!W109)</f>
        <v/>
      </c>
      <c r="AG206" s="45" t="str">
        <f>IF(ISBLANK('FY27'!X109),"",'FY27'!X109)</f>
        <v/>
      </c>
      <c r="AH206" s="46" t="str">
        <f>IF(ISBLANK('FY27'!Y109),"",'FY27'!Y109)</f>
        <v/>
      </c>
    </row>
    <row r="207" spans="32:34" x14ac:dyDescent="0.25">
      <c r="AF207" s="44" t="str">
        <f>IF(ISBLANK('FY27'!W110),"",'FY27'!W110)</f>
        <v/>
      </c>
      <c r="AG207" s="45" t="str">
        <f>IF(ISBLANK('FY27'!X110),"",'FY27'!X110)</f>
        <v/>
      </c>
      <c r="AH207" s="46" t="str">
        <f>IF(ISBLANK('FY27'!Y110),"",'FY27'!Y110)</f>
        <v/>
      </c>
    </row>
    <row r="208" spans="32:34" x14ac:dyDescent="0.25">
      <c r="AF208" s="44" t="str">
        <f>IF(ISBLANK('FY27'!W111),"",'FY27'!W111)</f>
        <v/>
      </c>
      <c r="AG208" s="45" t="str">
        <f>IF(ISBLANK('FY27'!X111),"",'FY27'!X111)</f>
        <v/>
      </c>
      <c r="AH208" s="46" t="str">
        <f>IF(ISBLANK('FY27'!Y111),"",'FY27'!Y111)</f>
        <v/>
      </c>
    </row>
    <row r="209" spans="32:34" x14ac:dyDescent="0.25">
      <c r="AF209" s="44" t="str">
        <f>IF(ISBLANK('FY27'!W112),"",'FY27'!W112)</f>
        <v/>
      </c>
      <c r="AG209" s="45" t="str">
        <f>IF(ISBLANK('FY27'!X112),"",'FY27'!X112)</f>
        <v/>
      </c>
      <c r="AH209" s="46" t="str">
        <f>IF(ISBLANK('FY27'!Y112),"",'FY27'!Y112)</f>
        <v/>
      </c>
    </row>
    <row r="210" spans="32:34" x14ac:dyDescent="0.25">
      <c r="AF210" s="44" t="str">
        <f>IF(ISBLANK('FY27'!W113),"",'FY27'!W113)</f>
        <v/>
      </c>
      <c r="AG210" s="45" t="str">
        <f>IF(ISBLANK('FY27'!X113),"",'FY27'!X113)</f>
        <v/>
      </c>
      <c r="AH210" s="46" t="str">
        <f>IF(ISBLANK('FY27'!Y113),"",'FY27'!Y113)</f>
        <v/>
      </c>
    </row>
    <row r="211" spans="32:34" x14ac:dyDescent="0.25">
      <c r="AF211" s="44" t="str">
        <f>IF(ISBLANK('FY27'!W114),"",'FY27'!W114)</f>
        <v/>
      </c>
      <c r="AG211" s="45" t="str">
        <f>IF(ISBLANK('FY27'!X114),"",'FY27'!X114)</f>
        <v/>
      </c>
      <c r="AH211" s="46" t="str">
        <f>IF(ISBLANK('FY27'!Y114),"",'FY27'!Y114)</f>
        <v/>
      </c>
    </row>
    <row r="212" spans="32:34" x14ac:dyDescent="0.25">
      <c r="AF212" s="44" t="str">
        <f>IF(ISBLANK('FY27'!W115),"",'FY27'!W115)</f>
        <v/>
      </c>
      <c r="AG212" s="45" t="str">
        <f>IF(ISBLANK('FY27'!X115),"",'FY27'!X115)</f>
        <v/>
      </c>
      <c r="AH212" s="46" t="str">
        <f>IF(ISBLANK('FY27'!Y115),"",'FY27'!Y115)</f>
        <v/>
      </c>
    </row>
    <row r="213" spans="32:34" x14ac:dyDescent="0.25">
      <c r="AF213" s="44" t="str">
        <f>IF(ISBLANK('FY27'!W116),"",'FY27'!W116)</f>
        <v/>
      </c>
      <c r="AG213" s="45" t="str">
        <f>IF(ISBLANK('FY27'!X116),"",'FY27'!X116)</f>
        <v/>
      </c>
      <c r="AH213" s="46" t="str">
        <f>IF(ISBLANK('FY27'!Y116),"",'FY27'!Y116)</f>
        <v/>
      </c>
    </row>
    <row r="214" spans="32:34" x14ac:dyDescent="0.25">
      <c r="AF214" s="44" t="str">
        <f>IF(ISBLANK('FY27'!W117),"",'FY27'!W117)</f>
        <v/>
      </c>
      <c r="AG214" s="45" t="str">
        <f>IF(ISBLANK('FY27'!X117),"",'FY27'!X117)</f>
        <v/>
      </c>
      <c r="AH214" s="46" t="str">
        <f>IF(ISBLANK('FY27'!Y117),"",'FY27'!Y117)</f>
        <v/>
      </c>
    </row>
    <row r="215" spans="32:34" x14ac:dyDescent="0.25">
      <c r="AF215" s="44" t="str">
        <f>IF(ISBLANK('FY27'!W118),"",'FY27'!W118)</f>
        <v/>
      </c>
      <c r="AG215" s="45" t="str">
        <f>IF(ISBLANK('FY27'!X118),"",'FY27'!X118)</f>
        <v/>
      </c>
      <c r="AH215" s="46" t="str">
        <f>IF(ISBLANK('FY27'!Y118),"",'FY27'!Y118)</f>
        <v/>
      </c>
    </row>
    <row r="216" spans="32:34" x14ac:dyDescent="0.25">
      <c r="AF216" s="44" t="str">
        <f>IF(ISBLANK('FY27'!W119),"",'FY27'!W119)</f>
        <v/>
      </c>
      <c r="AG216" s="45" t="str">
        <f>IF(ISBLANK('FY27'!X119),"",'FY27'!X119)</f>
        <v/>
      </c>
      <c r="AH216" s="46" t="str">
        <f>IF(ISBLANK('FY27'!Y119),"",'FY27'!Y119)</f>
        <v/>
      </c>
    </row>
    <row r="217" spans="32:34" x14ac:dyDescent="0.25">
      <c r="AF217" s="44" t="str">
        <f>IF(ISBLANK('FY27'!W120),"",'FY27'!W120)</f>
        <v/>
      </c>
      <c r="AG217" s="45" t="str">
        <f>IF(ISBLANK('FY27'!X120),"",'FY27'!X120)</f>
        <v/>
      </c>
      <c r="AH217" s="46" t="str">
        <f>IF(ISBLANK('FY27'!Y120),"",'FY27'!Y120)</f>
        <v/>
      </c>
    </row>
    <row r="218" spans="32:34" x14ac:dyDescent="0.25">
      <c r="AF218" s="44" t="str">
        <f>IF(ISBLANK('FY27'!W121),"",'FY27'!W121)</f>
        <v/>
      </c>
      <c r="AG218" s="45" t="str">
        <f>IF(ISBLANK('FY27'!X121),"",'FY27'!X121)</f>
        <v/>
      </c>
      <c r="AH218" s="46" t="str">
        <f>IF(ISBLANK('FY27'!Y121),"",'FY27'!Y121)</f>
        <v/>
      </c>
    </row>
    <row r="219" spans="32:34" x14ac:dyDescent="0.25">
      <c r="AF219" s="44" t="str">
        <f>IF(ISBLANK('FY27'!W122),"",'FY27'!W122)</f>
        <v/>
      </c>
      <c r="AG219" s="45" t="str">
        <f>IF(ISBLANK('FY27'!X122),"",'FY27'!X122)</f>
        <v/>
      </c>
      <c r="AH219" s="46" t="str">
        <f>IF(ISBLANK('FY27'!Y122),"",'FY27'!Y122)</f>
        <v/>
      </c>
    </row>
    <row r="220" spans="32:34" x14ac:dyDescent="0.25">
      <c r="AF220" s="44" t="str">
        <f>IF(ISBLANK('FY27'!W123),"",'FY27'!W123)</f>
        <v/>
      </c>
      <c r="AG220" s="45" t="str">
        <f>IF(ISBLANK('FY27'!X123),"",'FY27'!X123)</f>
        <v/>
      </c>
      <c r="AH220" s="46" t="str">
        <f>IF(ISBLANK('FY27'!Y123),"",'FY27'!Y123)</f>
        <v/>
      </c>
    </row>
    <row r="221" spans="32:34" x14ac:dyDescent="0.25">
      <c r="AF221" s="44" t="str">
        <f>IF(ISBLANK('FY27'!W124),"",'FY27'!W124)</f>
        <v/>
      </c>
      <c r="AG221" s="45" t="str">
        <f>IF(ISBLANK('FY27'!X124),"",'FY27'!X124)</f>
        <v/>
      </c>
      <c r="AH221" s="46" t="str">
        <f>IF(ISBLANK('FY27'!Y124),"",'FY27'!Y124)</f>
        <v/>
      </c>
    </row>
    <row r="222" spans="32:34" x14ac:dyDescent="0.25">
      <c r="AF222" s="44" t="str">
        <f>IF(ISBLANK('FY27'!W125),"",'FY27'!W125)</f>
        <v/>
      </c>
      <c r="AG222" s="45" t="str">
        <f>IF(ISBLANK('FY27'!X125),"",'FY27'!X125)</f>
        <v/>
      </c>
      <c r="AH222" s="46" t="str">
        <f>IF(ISBLANK('FY27'!Y125),"",'FY27'!Y125)</f>
        <v/>
      </c>
    </row>
    <row r="223" spans="32:34" x14ac:dyDescent="0.25">
      <c r="AF223" s="44" t="str">
        <f>IF(ISBLANK('FY27'!W126),"",'FY27'!W126)</f>
        <v/>
      </c>
      <c r="AG223" s="45" t="str">
        <f>IF(ISBLANK('FY27'!X126),"",'FY27'!X126)</f>
        <v/>
      </c>
      <c r="AH223" s="46" t="str">
        <f>IF(ISBLANK('FY27'!Y126),"",'FY27'!Y126)</f>
        <v/>
      </c>
    </row>
  </sheetData>
  <autoFilter ref="X3:Z3" xr:uid="{AA32C9B4-C5D5-47B1-8BEA-EF3AA4FA322C}"/>
  <phoneticPr fontId="9" type="noConversion"/>
  <pageMargins left="0.7" right="0.7" top="0.75" bottom="0.75" header="0.3" footer="0.3"/>
  <pageSetup paperSize="9" orientation="portrait" r:id="rId1"/>
  <ignoredErrors>
    <ignoredError sqref="S6" twoDigitTextYea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C74A-D471-4ECE-B47C-CCF1CE5ED59C}">
  <sheetPr codeName="Sheet4">
    <tabColor theme="6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9C7A-ADFA-46EC-8C72-9C435518E71D}">
  <sheetPr>
    <tabColor theme="6" tint="0.79998168889431442"/>
  </sheetPr>
  <dimension ref="B2:M14"/>
  <sheetViews>
    <sheetView tabSelected="1" workbookViewId="0">
      <selection activeCell="N24" sqref="N24"/>
    </sheetView>
  </sheetViews>
  <sheetFormatPr defaultRowHeight="15" x14ac:dyDescent="0.25"/>
  <cols>
    <col min="2" max="2" width="17" bestFit="1" customWidth="1"/>
    <col min="3" max="10" width="9.7109375" customWidth="1"/>
  </cols>
  <sheetData>
    <row r="2" spans="2:13" s="29" customFormat="1" x14ac:dyDescent="0.25">
      <c r="B2" s="38"/>
      <c r="C2" s="37">
        <v>45717</v>
      </c>
      <c r="D2" s="37">
        <v>45809</v>
      </c>
      <c r="E2" s="37">
        <v>45901</v>
      </c>
      <c r="F2" s="37">
        <v>45992</v>
      </c>
      <c r="G2" s="37">
        <v>46082</v>
      </c>
      <c r="H2" s="37">
        <v>46174</v>
      </c>
      <c r="I2" s="37">
        <v>46266</v>
      </c>
      <c r="J2" s="37">
        <v>46357</v>
      </c>
    </row>
    <row r="3" spans="2:13" x14ac:dyDescent="0.25">
      <c r="B3" s="31" t="s">
        <v>42</v>
      </c>
      <c r="C3" s="3" t="s">
        <v>75</v>
      </c>
      <c r="D3" s="3"/>
      <c r="E3" s="3"/>
      <c r="F3" s="3"/>
      <c r="G3" s="3" t="s">
        <v>76</v>
      </c>
      <c r="H3" s="3"/>
      <c r="I3" s="3"/>
      <c r="J3" s="3"/>
      <c r="K3" s="3"/>
      <c r="L3" s="3"/>
      <c r="M3" s="3"/>
    </row>
    <row r="4" spans="2:13" x14ac:dyDescent="0.25">
      <c r="B4" s="31" t="s">
        <v>49</v>
      </c>
      <c r="C4" s="3" t="s">
        <v>76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2:13" x14ac:dyDescent="0.25">
      <c r="B5" s="31" t="s">
        <v>41</v>
      </c>
      <c r="C5" s="3"/>
      <c r="D5" s="3"/>
      <c r="E5" s="3" t="s">
        <v>85</v>
      </c>
      <c r="F5" s="3"/>
      <c r="G5" s="3"/>
      <c r="H5" s="3"/>
      <c r="I5" s="3"/>
      <c r="J5" s="3"/>
      <c r="K5" s="3"/>
      <c r="L5" s="3"/>
      <c r="M5" s="3"/>
    </row>
    <row r="6" spans="2:13" x14ac:dyDescent="0.25">
      <c r="B6" s="31" t="s">
        <v>54</v>
      </c>
      <c r="C6" s="3"/>
      <c r="D6" s="3"/>
      <c r="E6" s="28" t="s">
        <v>72</v>
      </c>
      <c r="F6" s="3"/>
      <c r="G6" s="3"/>
      <c r="H6" s="3"/>
      <c r="I6" s="3"/>
      <c r="J6" s="3"/>
      <c r="K6" s="3"/>
      <c r="L6" s="3"/>
      <c r="M6" s="3"/>
    </row>
    <row r="7" spans="2:13" x14ac:dyDescent="0.25">
      <c r="B7" s="31" t="s">
        <v>58</v>
      </c>
      <c r="C7" s="3"/>
      <c r="D7" s="3"/>
      <c r="E7" s="3" t="s">
        <v>84</v>
      </c>
      <c r="F7" s="3"/>
      <c r="G7" s="3"/>
      <c r="H7" s="3"/>
      <c r="I7" s="3"/>
      <c r="J7" s="3"/>
      <c r="K7" s="3"/>
    </row>
    <row r="8" spans="2:13" x14ac:dyDescent="0.25">
      <c r="B8" s="31" t="s">
        <v>4</v>
      </c>
      <c r="C8" s="3"/>
      <c r="D8" s="3"/>
      <c r="E8" s="3" t="s">
        <v>156</v>
      </c>
      <c r="F8" s="3"/>
      <c r="G8" s="3"/>
      <c r="H8" s="3"/>
      <c r="I8" s="3"/>
      <c r="J8" s="3"/>
      <c r="K8" s="3"/>
      <c r="L8" s="3"/>
      <c r="M8" s="3"/>
    </row>
    <row r="9" spans="2:13" x14ac:dyDescent="0.25">
      <c r="B9" s="31" t="s">
        <v>73</v>
      </c>
      <c r="C9" s="3"/>
      <c r="D9" s="3" t="s">
        <v>74</v>
      </c>
      <c r="E9" s="3"/>
      <c r="F9" s="3" t="s">
        <v>74</v>
      </c>
      <c r="G9" s="3"/>
      <c r="H9" s="3" t="s">
        <v>74</v>
      </c>
      <c r="I9" s="3"/>
      <c r="J9" s="3"/>
      <c r="K9" s="3"/>
    </row>
    <row r="10" spans="2:13" x14ac:dyDescent="0.25">
      <c r="B10" s="31" t="s">
        <v>1</v>
      </c>
      <c r="C10" s="3"/>
      <c r="D10" s="3"/>
      <c r="E10" s="3" t="s">
        <v>75</v>
      </c>
      <c r="F10" s="3"/>
      <c r="G10" s="3"/>
      <c r="H10" s="3"/>
      <c r="I10" s="3"/>
      <c r="J10" s="3"/>
      <c r="K10" s="3"/>
    </row>
    <row r="11" spans="2:13" x14ac:dyDescent="0.25">
      <c r="B11" s="31" t="s">
        <v>31</v>
      </c>
      <c r="C11" s="3"/>
      <c r="D11" s="3"/>
      <c r="E11" s="3"/>
      <c r="F11" s="3" t="s">
        <v>76</v>
      </c>
      <c r="G11" s="3"/>
      <c r="H11" s="3"/>
      <c r="I11" s="3"/>
      <c r="J11" s="3"/>
      <c r="K11" s="3"/>
    </row>
    <row r="12" spans="2:13" x14ac:dyDescent="0.25">
      <c r="B12" s="31" t="s">
        <v>52</v>
      </c>
      <c r="C12" s="3" t="s">
        <v>74</v>
      </c>
      <c r="D12" s="3"/>
      <c r="E12" s="3"/>
      <c r="F12" s="3"/>
      <c r="G12" s="3"/>
      <c r="H12" s="3"/>
      <c r="I12" s="3"/>
      <c r="J12" s="3"/>
      <c r="K12" s="3"/>
    </row>
    <row r="13" spans="2:13" x14ac:dyDescent="0.25">
      <c r="B13" s="31" t="s">
        <v>43</v>
      </c>
      <c r="C13" s="3"/>
      <c r="D13" s="3"/>
      <c r="E13" s="3"/>
      <c r="F13" s="3" t="s">
        <v>219</v>
      </c>
      <c r="G13" s="3"/>
      <c r="H13" s="3" t="s">
        <v>219</v>
      </c>
      <c r="I13" s="3"/>
      <c r="J13" s="3"/>
      <c r="K13" s="3"/>
    </row>
    <row r="14" spans="2:13" x14ac:dyDescent="0.25">
      <c r="B14" s="31" t="s">
        <v>57</v>
      </c>
      <c r="C14" s="3"/>
      <c r="D14" s="3"/>
      <c r="E14" s="3"/>
      <c r="F14" s="3"/>
      <c r="G14" s="3"/>
      <c r="H14" s="3" t="s">
        <v>75</v>
      </c>
      <c r="I14" s="3"/>
      <c r="J14" s="3"/>
      <c r="K14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116F-1D63-42FA-BB6F-380AA2004C65}">
  <sheetPr codeName="Sheet5">
    <tabColor theme="6" tint="0.79998168889431442"/>
  </sheetPr>
  <dimension ref="B6:C23"/>
  <sheetViews>
    <sheetView workbookViewId="0">
      <selection activeCell="G27" sqref="G27"/>
    </sheetView>
  </sheetViews>
  <sheetFormatPr defaultRowHeight="15" x14ac:dyDescent="0.25"/>
  <cols>
    <col min="2" max="2" width="12.28515625" bestFit="1" customWidth="1"/>
    <col min="3" max="3" width="20" bestFit="1" customWidth="1"/>
  </cols>
  <sheetData>
    <row r="6" spans="2:3" x14ac:dyDescent="0.25">
      <c r="B6" s="9" t="s">
        <v>46</v>
      </c>
    </row>
    <row r="7" spans="2:3" x14ac:dyDescent="0.25">
      <c r="B7" t="s">
        <v>42</v>
      </c>
      <c r="C7" t="s">
        <v>35</v>
      </c>
    </row>
    <row r="8" spans="2:3" x14ac:dyDescent="0.25">
      <c r="B8" t="s">
        <v>49</v>
      </c>
      <c r="C8" t="s">
        <v>35</v>
      </c>
    </row>
    <row r="9" spans="2:3" x14ac:dyDescent="0.25">
      <c r="B9" t="s">
        <v>52</v>
      </c>
      <c r="C9" t="s">
        <v>35</v>
      </c>
    </row>
    <row r="10" spans="2:3" x14ac:dyDescent="0.25">
      <c r="B10" t="s">
        <v>54</v>
      </c>
      <c r="C10" t="s">
        <v>35</v>
      </c>
    </row>
    <row r="12" spans="2:3" x14ac:dyDescent="0.25">
      <c r="B12" t="s">
        <v>41</v>
      </c>
      <c r="C12" t="s">
        <v>50</v>
      </c>
    </row>
    <row r="13" spans="2:3" x14ac:dyDescent="0.25">
      <c r="B13" t="s">
        <v>48</v>
      </c>
      <c r="C13" t="s">
        <v>50</v>
      </c>
    </row>
    <row r="14" spans="2:3" x14ac:dyDescent="0.25">
      <c r="B14" t="s">
        <v>43</v>
      </c>
      <c r="C14" t="s">
        <v>36</v>
      </c>
    </row>
    <row r="15" spans="2:3" x14ac:dyDescent="0.25">
      <c r="B15" t="s">
        <v>51</v>
      </c>
      <c r="C15" t="s">
        <v>36</v>
      </c>
    </row>
    <row r="18" spans="2:3" x14ac:dyDescent="0.25">
      <c r="B18" s="9" t="s">
        <v>47</v>
      </c>
    </row>
    <row r="19" spans="2:3" x14ac:dyDescent="0.25">
      <c r="B19" t="s">
        <v>31</v>
      </c>
      <c r="C19" t="s">
        <v>32</v>
      </c>
    </row>
    <row r="20" spans="2:3" x14ac:dyDescent="0.25">
      <c r="B20" t="s">
        <v>30</v>
      </c>
      <c r="C20" t="s">
        <v>39</v>
      </c>
    </row>
    <row r="21" spans="2:3" x14ac:dyDescent="0.25">
      <c r="B21" t="s">
        <v>33</v>
      </c>
      <c r="C21" t="s">
        <v>36</v>
      </c>
    </row>
    <row r="22" spans="2:3" x14ac:dyDescent="0.25">
      <c r="B22" t="s">
        <v>34</v>
      </c>
      <c r="C22" t="s">
        <v>35</v>
      </c>
    </row>
    <row r="23" spans="2:3" x14ac:dyDescent="0.25">
      <c r="B23" t="s">
        <v>37</v>
      </c>
      <c r="C23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B464-0C48-41A5-A599-57FD207B2937}">
  <sheetPr>
    <tabColor theme="6" tint="0.79998168889431442"/>
  </sheetPr>
  <dimension ref="B3:F52"/>
  <sheetViews>
    <sheetView topLeftCell="A4" workbookViewId="0">
      <selection activeCell="G27" sqref="G27"/>
    </sheetView>
  </sheetViews>
  <sheetFormatPr defaultRowHeight="15" x14ac:dyDescent="0.25"/>
  <cols>
    <col min="2" max="2" width="17" bestFit="1" customWidth="1"/>
    <col min="3" max="3" width="16.85546875" customWidth="1"/>
    <col min="4" max="4" width="2.7109375" customWidth="1"/>
    <col min="6" max="6" width="14.42578125" bestFit="1" customWidth="1"/>
    <col min="7" max="7" width="36.85546875" bestFit="1" customWidth="1"/>
    <col min="8" max="8" width="12.42578125" bestFit="1" customWidth="1"/>
  </cols>
  <sheetData>
    <row r="3" spans="2:6" x14ac:dyDescent="0.25">
      <c r="B3" s="9" t="s">
        <v>46</v>
      </c>
    </row>
    <row r="4" spans="2:6" x14ac:dyDescent="0.25">
      <c r="B4" s="31" t="s">
        <v>42</v>
      </c>
      <c r="C4" s="3" t="s">
        <v>81</v>
      </c>
    </row>
    <row r="5" spans="2:6" x14ac:dyDescent="0.25">
      <c r="B5" s="31" t="s">
        <v>49</v>
      </c>
      <c r="C5" s="3" t="s">
        <v>76</v>
      </c>
      <c r="F5" t="s">
        <v>82</v>
      </c>
    </row>
    <row r="6" spans="2:6" x14ac:dyDescent="0.25">
      <c r="B6" s="31" t="s">
        <v>41</v>
      </c>
      <c r="C6" s="3" t="s">
        <v>89</v>
      </c>
      <c r="F6" t="s">
        <v>82</v>
      </c>
    </row>
    <row r="7" spans="2:6" x14ac:dyDescent="0.25">
      <c r="B7" s="31" t="s">
        <v>54</v>
      </c>
      <c r="C7" s="28" t="s">
        <v>72</v>
      </c>
      <c r="F7" t="s">
        <v>82</v>
      </c>
    </row>
    <row r="8" spans="2:6" x14ac:dyDescent="0.25">
      <c r="B8" s="31" t="s">
        <v>51</v>
      </c>
      <c r="C8" s="3" t="s">
        <v>81</v>
      </c>
    </row>
    <row r="9" spans="2:6" x14ac:dyDescent="0.25">
      <c r="B9" s="31" t="s">
        <v>73</v>
      </c>
      <c r="C9" s="3" t="s">
        <v>83</v>
      </c>
      <c r="F9" t="s">
        <v>82</v>
      </c>
    </row>
    <row r="10" spans="2:6" x14ac:dyDescent="0.25">
      <c r="B10" s="31" t="s">
        <v>77</v>
      </c>
      <c r="C10" s="3" t="s">
        <v>81</v>
      </c>
    </row>
    <row r="11" spans="2:6" x14ac:dyDescent="0.25">
      <c r="B11" s="31" t="s">
        <v>78</v>
      </c>
      <c r="C11" s="3" t="s">
        <v>81</v>
      </c>
    </row>
    <row r="12" spans="2:6" x14ac:dyDescent="0.25">
      <c r="B12" s="31" t="s">
        <v>34</v>
      </c>
      <c r="C12" s="28" t="s">
        <v>72</v>
      </c>
      <c r="F12" t="s">
        <v>90</v>
      </c>
    </row>
    <row r="13" spans="2:6" x14ac:dyDescent="0.25">
      <c r="B13" s="31"/>
      <c r="C13" s="28"/>
    </row>
    <row r="14" spans="2:6" x14ac:dyDescent="0.25">
      <c r="B14" s="31"/>
    </row>
    <row r="15" spans="2:6" x14ac:dyDescent="0.25">
      <c r="B15" s="9" t="s">
        <v>80</v>
      </c>
    </row>
    <row r="16" spans="2:6" x14ac:dyDescent="0.25">
      <c r="B16" s="31" t="s">
        <v>0</v>
      </c>
      <c r="C16" s="2">
        <v>44000</v>
      </c>
      <c r="F16" t="s">
        <v>69</v>
      </c>
    </row>
    <row r="17" spans="2:6" x14ac:dyDescent="0.25">
      <c r="B17" s="31" t="s">
        <v>18</v>
      </c>
      <c r="C17" s="2">
        <v>45000</v>
      </c>
      <c r="F17" t="s">
        <v>69</v>
      </c>
    </row>
    <row r="18" spans="2:6" x14ac:dyDescent="0.25">
      <c r="B18" s="31" t="s">
        <v>1</v>
      </c>
      <c r="C18" s="2">
        <v>24000</v>
      </c>
      <c r="F18" t="s">
        <v>65</v>
      </c>
    </row>
    <row r="19" spans="2:6" x14ac:dyDescent="0.25">
      <c r="B19" s="31" t="s">
        <v>30</v>
      </c>
      <c r="C19" s="2">
        <v>15000</v>
      </c>
      <c r="F19" t="s">
        <v>66</v>
      </c>
    </row>
    <row r="20" spans="2:6" x14ac:dyDescent="0.25">
      <c r="B20" s="31" t="s">
        <v>20</v>
      </c>
      <c r="C20" s="2">
        <v>14000</v>
      </c>
      <c r="F20" t="s">
        <v>66</v>
      </c>
    </row>
    <row r="21" spans="2:6" x14ac:dyDescent="0.25">
      <c r="B21" s="31" t="s">
        <v>44</v>
      </c>
      <c r="C21" s="2">
        <v>10937</v>
      </c>
      <c r="F21" t="s">
        <v>64</v>
      </c>
    </row>
    <row r="22" spans="2:6" x14ac:dyDescent="0.25">
      <c r="B22" s="31" t="s">
        <v>24</v>
      </c>
      <c r="C22" s="2">
        <v>10000</v>
      </c>
      <c r="F22" t="s">
        <v>64</v>
      </c>
    </row>
    <row r="23" spans="2:6" x14ac:dyDescent="0.25">
      <c r="B23" s="31" t="s">
        <v>4</v>
      </c>
      <c r="C23" s="2">
        <v>10000</v>
      </c>
      <c r="F23" t="s">
        <v>65</v>
      </c>
    </row>
    <row r="24" spans="2:6" x14ac:dyDescent="0.25">
      <c r="B24" s="31" t="s">
        <v>45</v>
      </c>
      <c r="C24" s="2">
        <v>10000</v>
      </c>
      <c r="F24" t="s">
        <v>66</v>
      </c>
    </row>
    <row r="25" spans="2:6" x14ac:dyDescent="0.25">
      <c r="B25" s="31" t="s">
        <v>40</v>
      </c>
      <c r="C25" s="2">
        <v>8000</v>
      </c>
      <c r="F25" t="s">
        <v>66</v>
      </c>
    </row>
    <row r="26" spans="2:6" x14ac:dyDescent="0.25">
      <c r="B26" s="31" t="s">
        <v>41</v>
      </c>
      <c r="C26" s="2">
        <v>7500</v>
      </c>
      <c r="F26" t="s">
        <v>66</v>
      </c>
    </row>
    <row r="27" spans="2:6" x14ac:dyDescent="0.25">
      <c r="B27" s="31" t="s">
        <v>43</v>
      </c>
      <c r="C27" s="2">
        <v>6000</v>
      </c>
      <c r="F27" t="s">
        <v>66</v>
      </c>
    </row>
    <row r="28" spans="2:6" x14ac:dyDescent="0.25">
      <c r="B28" s="31" t="s">
        <v>28</v>
      </c>
      <c r="C28" s="2">
        <v>6000</v>
      </c>
      <c r="F28" t="s">
        <v>65</v>
      </c>
    </row>
    <row r="29" spans="2:6" x14ac:dyDescent="0.25">
      <c r="B29" s="31" t="s">
        <v>86</v>
      </c>
      <c r="C29" s="2">
        <v>5000</v>
      </c>
      <c r="F29" t="s">
        <v>65</v>
      </c>
    </row>
    <row r="30" spans="2:6" x14ac:dyDescent="0.25">
      <c r="B30" s="31" t="s">
        <v>27</v>
      </c>
      <c r="C30" s="2">
        <v>5000</v>
      </c>
      <c r="F30" t="s">
        <v>66</v>
      </c>
    </row>
    <row r="31" spans="2:6" x14ac:dyDescent="0.25">
      <c r="B31" s="31" t="s">
        <v>42</v>
      </c>
      <c r="C31" s="2">
        <v>5000</v>
      </c>
      <c r="F31" t="s">
        <v>67</v>
      </c>
    </row>
    <row r="32" spans="2:6" x14ac:dyDescent="0.25">
      <c r="B32" s="31" t="s">
        <v>34</v>
      </c>
      <c r="C32" s="2">
        <v>5000</v>
      </c>
      <c r="F32" t="s">
        <v>68</v>
      </c>
    </row>
    <row r="33" spans="2:6" x14ac:dyDescent="0.25">
      <c r="B33" s="31" t="s">
        <v>53</v>
      </c>
      <c r="C33" s="2">
        <v>4000</v>
      </c>
      <c r="F33" t="s">
        <v>66</v>
      </c>
    </row>
    <row r="34" spans="2:6" x14ac:dyDescent="0.25">
      <c r="B34" s="31" t="s">
        <v>63</v>
      </c>
      <c r="C34" s="2">
        <v>3000</v>
      </c>
      <c r="F34" t="s">
        <v>66</v>
      </c>
    </row>
    <row r="35" spans="2:6" x14ac:dyDescent="0.25">
      <c r="B35" s="31" t="s">
        <v>17</v>
      </c>
      <c r="C35" s="2">
        <v>1500</v>
      </c>
      <c r="F35" t="s">
        <v>68</v>
      </c>
    </row>
    <row r="36" spans="2:6" x14ac:dyDescent="0.25">
      <c r="B36" s="31"/>
    </row>
    <row r="37" spans="2:6" x14ac:dyDescent="0.25">
      <c r="B37" s="9" t="s">
        <v>56</v>
      </c>
    </row>
    <row r="38" spans="2:6" x14ac:dyDescent="0.25">
      <c r="B38" s="31" t="s">
        <v>33</v>
      </c>
      <c r="F38" t="s">
        <v>68</v>
      </c>
    </row>
    <row r="39" spans="2:6" x14ac:dyDescent="0.25">
      <c r="B39" s="31" t="s">
        <v>59</v>
      </c>
      <c r="F39" t="s">
        <v>68</v>
      </c>
    </row>
    <row r="40" spans="2:6" x14ac:dyDescent="0.25">
      <c r="B40" s="31" t="s">
        <v>57</v>
      </c>
      <c r="F40" t="s">
        <v>68</v>
      </c>
    </row>
    <row r="41" spans="2:6" x14ac:dyDescent="0.25">
      <c r="B41" s="31" t="s">
        <v>52</v>
      </c>
      <c r="F41" t="s">
        <v>68</v>
      </c>
    </row>
    <row r="42" spans="2:6" x14ac:dyDescent="0.25">
      <c r="B42" s="31" t="s">
        <v>60</v>
      </c>
      <c r="F42" t="s">
        <v>68</v>
      </c>
    </row>
    <row r="43" spans="2:6" x14ac:dyDescent="0.25">
      <c r="B43" s="31" t="s">
        <v>61</v>
      </c>
      <c r="F43" t="s">
        <v>68</v>
      </c>
    </row>
    <row r="44" spans="2:6" x14ac:dyDescent="0.25">
      <c r="B44" s="31" t="s">
        <v>55</v>
      </c>
      <c r="F44" t="s">
        <v>68</v>
      </c>
    </row>
    <row r="45" spans="2:6" x14ac:dyDescent="0.25">
      <c r="B45" s="31" t="s">
        <v>62</v>
      </c>
      <c r="F45" t="s">
        <v>70</v>
      </c>
    </row>
    <row r="46" spans="2:6" x14ac:dyDescent="0.25">
      <c r="B46" s="31" t="s">
        <v>87</v>
      </c>
      <c r="F46" t="s">
        <v>88</v>
      </c>
    </row>
    <row r="47" spans="2:6" x14ac:dyDescent="0.25">
      <c r="B47" s="31"/>
    </row>
    <row r="48" spans="2:6" x14ac:dyDescent="0.25">
      <c r="B48" s="31"/>
    </row>
    <row r="49" spans="2:2" x14ac:dyDescent="0.25">
      <c r="B49" s="31"/>
    </row>
    <row r="50" spans="2:2" x14ac:dyDescent="0.25">
      <c r="B50" s="31"/>
    </row>
    <row r="51" spans="2:2" x14ac:dyDescent="0.25">
      <c r="B51" s="31"/>
    </row>
    <row r="52" spans="2:2" x14ac:dyDescent="0.25">
      <c r="B52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</vt:lpstr>
      <vt:lpstr>FY25</vt:lpstr>
      <vt:lpstr>FY26</vt:lpstr>
      <vt:lpstr>FY27</vt:lpstr>
      <vt:lpstr>Peter Lee</vt:lpstr>
      <vt:lpstr>Total</vt:lpstr>
      <vt:lpstr>II</vt:lpstr>
      <vt:lpstr>Panels</vt:lpstr>
      <vt:lpstr>Timing</vt:lpstr>
      <vt:lpstr>Monetisation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cp:lastPrinted>2026-07-27T05:30:44Z</cp:lastPrinted>
  <dcterms:created xsi:type="dcterms:W3CDTF">2025-04-17T05:43:20Z</dcterms:created>
  <dcterms:modified xsi:type="dcterms:W3CDTF">2026-10-01T22:55:19Z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2025-04-17T08:42:54Z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6a87fe8f-a40f-4848-8b3b-0806731f433d</vt:lpwstr>
  </property>
  <property fmtid="{D5CDD505-2E9C-101B-9397-08002B2CF9AE}" pid="8" name="MSIP_Label_faad4959-a4d7-4a60-89ba-8fd96e834276_ContentBits">
    <vt:lpwstr>0</vt:lpwstr>
  </property>
  <property fmtid="{D5CDD505-2E9C-101B-9397-08002B2CF9AE}" pid="9" name="MSIP_Label_faad4959-a4d7-4a60-89ba-8fd96e834276_Tag">
    <vt:lpwstr>10, 3, 0, 1</vt:lpwstr>
  </property>
  <property fmtid="{D5CDD505-2E9C-101B-9397-08002B2CF9AE}" pid="10" name="Id">
    <vt:lpwstr>71e74d4b-04a3-4c99-afeb-74a9857bbf07</vt:lpwstr>
  </property>
</Properties>
</file>