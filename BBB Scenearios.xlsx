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/>
  <mc:AlternateContent xmlns:mc="http://schemas.openxmlformats.org/markup-compatibility/2006">
    <mc:Choice Requires="x15">
      <x15ac:absPath xmlns:x15ac="http://schemas.microsoft.com/office/spreadsheetml/2010/11/ac" url="P:\Research\SB - Research\4. Lotteries\3. Market Data\3. Australian Traditional\"/>
    </mc:Choice>
  </mc:AlternateContent>
  <xr:revisionPtr revIDLastSave="0" documentId="13_ncr:1_{CF2EFFC7-4C11-4029-B433-3E51F9F34F4E}" xr6:coauthVersionLast="47" xr6:coauthVersionMax="47" xr10:uidLastSave="{00000000-0000-0000-0000-000000000000}"/>
  <bookViews>
    <workbookView xWindow="28680" yWindow="-120" windowWidth="29040" windowHeight="15720" xr2:uid="{04C246C0-D1E2-4505-88CD-1AAAD3DBC40B}"/>
  </bookViews>
  <sheets>
    <sheet name="May-26 BBB Scenarios" sheetId="4" r:id="rId1"/>
    <sheet name="Nov-25 BBB Scenarios" sheetId="3" r:id="rId2"/>
    <sheet name="BBB Scenarios" sheetId="1" r:id="rId3"/>
  </sheets>
  <definedNames>
    <definedName name="__1__123Graph_ACHART_1" hidden="1">#REF!</definedName>
    <definedName name="__10__123Graph_CCHART_1" hidden="1">#REF!</definedName>
    <definedName name="__11__123Graph_DCHART_5" hidden="1">#REF!</definedName>
    <definedName name="__12__123Graph_XCHART_1" hidden="1">#REF!</definedName>
    <definedName name="__123Graph_A" hidden="1">#REF!</definedName>
    <definedName name="__123Graph_AAL" hidden="1">#REF!</definedName>
    <definedName name="__123Graph_ACU" hidden="1">#REF!</definedName>
    <definedName name="__123Graph_AGRAPH1" localSheetId="2" hidden="1">#REF!</definedName>
    <definedName name="__123Graph_AGRAPH1" localSheetId="0" hidden="1">#REF!</definedName>
    <definedName name="__123Graph_AGRAPH1" localSheetId="1" hidden="1">#REF!</definedName>
    <definedName name="__123Graph_AGRAPH1" hidden="1">#REF!</definedName>
    <definedName name="__123Graph_ALME" hidden="1">#REF!</definedName>
    <definedName name="__123Graph_APB" hidden="1">#REF!</definedName>
    <definedName name="__123Graph_AZN" hidden="1">#REF!</definedName>
    <definedName name="__123Graph_B" hidden="1">#REF!</definedName>
    <definedName name="__123Graph_BGRAPH1" localSheetId="2" hidden="1">#REF!</definedName>
    <definedName name="__123Graph_BGRAPH1" localSheetId="0" hidden="1">#REF!</definedName>
    <definedName name="__123Graph_BGRAPH1" localSheetId="1" hidden="1">#REF!</definedName>
    <definedName name="__123Graph_BGRAPH1" hidden="1">#REF!</definedName>
    <definedName name="__123Graph_CGRAPH1" localSheetId="2" hidden="1">#REF!</definedName>
    <definedName name="__123Graph_CGRAPH1" localSheetId="0" hidden="1">#REF!</definedName>
    <definedName name="__123Graph_CGRAPH1" localSheetId="1" hidden="1">#REF!</definedName>
    <definedName name="__123Graph_CGRAPH1" hidden="1">#REF!</definedName>
    <definedName name="__123Graph_E" localSheetId="2" hidden="1">#REF!</definedName>
    <definedName name="__123Graph_E" localSheetId="0" hidden="1">#REF!</definedName>
    <definedName name="__123Graph_E" localSheetId="1" hidden="1">#REF!</definedName>
    <definedName name="__123Graph_E" hidden="1">#REF!</definedName>
    <definedName name="__123Graph_F" localSheetId="2" hidden="1">#REF!</definedName>
    <definedName name="__123Graph_F" localSheetId="0" hidden="1">#REF!</definedName>
    <definedName name="__123Graph_F" localSheetId="1" hidden="1">#REF!</definedName>
    <definedName name="__123Graph_F" hidden="1">#REF!</definedName>
    <definedName name="__123Graph_XAL" hidden="1">#REF!</definedName>
    <definedName name="__123Graph_XCU" hidden="1">#REF!</definedName>
    <definedName name="__123Graph_XGRAPH1" localSheetId="2" hidden="1">#REF!</definedName>
    <definedName name="__123Graph_XGRAPH1" localSheetId="0" hidden="1">#REF!</definedName>
    <definedName name="__123Graph_XGRAPH1" localSheetId="1" hidden="1">#REF!</definedName>
    <definedName name="__123Graph_XGRAPH1" hidden="1">#REF!</definedName>
    <definedName name="__123Graph_XLME" hidden="1">#REF!</definedName>
    <definedName name="__123Graph_XPB" hidden="1">#REF!</definedName>
    <definedName name="__123Graph_XZN" hidden="1">#REF!</definedName>
    <definedName name="__13__123Graph_XCHART_2" hidden="1">#REF!</definedName>
    <definedName name="__14__123Graph_XCHART_3" hidden="1">#REF!</definedName>
    <definedName name="__15__123Graph_XCHART_4" hidden="1">#REF!</definedName>
    <definedName name="__16__123Graph_XCHART_5" hidden="1">#REF!</definedName>
    <definedName name="__2__123Graph_ACHART_2" hidden="1">#REF!</definedName>
    <definedName name="__3__123Graph_ACHART_3" hidden="1">#REF!</definedName>
    <definedName name="__4__123Graph_ACHART_4" hidden="1">#REF!</definedName>
    <definedName name="__5__123Graph_ACHART_5" hidden="1">#REF!</definedName>
    <definedName name="__6__123Graph_BCHART_1" hidden="1">#REF!</definedName>
    <definedName name="__7__123Graph_BCHART_2" hidden="1">#REF!</definedName>
    <definedName name="__8__123Graph_BCHART_3" hidden="1">#REF!</definedName>
    <definedName name="__9__123Graph_BCHART_4" hidden="1">#REF!</definedName>
    <definedName name="__APW_RESTORE_DATA0__" hidden="1">#REF!,#REF!,#REF!,#REF!,#REF!,#REF!,#REF!</definedName>
    <definedName name="__APW_RESTORE_DATA1__" hidden="1">#REF!,#REF!,#REF!,#REF!,#REF!,#REF!,#REF!</definedName>
    <definedName name="__APW_RESTORE_DATA103__" hidden="1">#REF!,#REF!,#REF!,#REF!,#REF!,#REF!,#REF!,#REF!,#REF!,#REF!,#REF!,#REF!,#REF!,#REF!,#REF!,#REF!</definedName>
    <definedName name="__APW_RESTORE_DATA104__" hidden="1">#REF!,#REF!,#REF!,#REF!,#REF!,#REF!,#REF!,#REF!,#REF!,#REF!,#REF!,#REF!,#REF!,#REF!,#REF!,#REF!</definedName>
    <definedName name="__APW_RESTORE_DATA105__" hidden="1">#REF!,#REF!,#REF!,#REF!,#REF!,#REF!,#REF!,#REF!,#REF!,#REF!,#REF!,#REF!,#REF!,#REF!,#REF!,#REF!</definedName>
    <definedName name="__APW_RESTORE_DATA106__" hidden="1">#REF!,#REF!,#REF!,#REF!,#REF!,#REF!,#REF!,#REF!,#REF!,#REF!,#REF!,#REF!,#REF!,#REF!,#REF!,#REF!</definedName>
    <definedName name="__APW_RESTORE_DATA107__" hidden="1">#REF!,#REF!,#REF!,#REF!,#REF!,#REF!</definedName>
    <definedName name="__APW_RESTORE_DATA108__" hidden="1">#REF!,#REF!,#REF!,#REF!,#REF!,#REF!,#REF!,#REF!,#REF!,#REF!,#REF!,#REF!,#REF!,#REF!,#REF!,#REF!</definedName>
    <definedName name="__APW_RESTORE_DATA109__" hidden="1">#REF!,#REF!,#REF!,#REF!,#REF!,#REF!,#REF!,#REF!,#REF!,#REF!,#REF!,#REF!,#REF!,#REF!,#REF!,#REF!</definedName>
    <definedName name="__APW_RESTORE_DATA110__" hidden="1">#REF!,#REF!,#REF!,#REF!,#REF!,#REF!,#REF!,#REF!,#REF!,#REF!,#REF!,#REF!,#REF!,#REF!,#REF!,#REF!</definedName>
    <definedName name="__APW_RESTORE_DATA111__" hidden="1">#REF!,#REF!,#REF!,#REF!,#REF!,#REF!,#REF!,#REF!,#REF!,#REF!,#REF!,#REF!,#REF!,#REF!,#REF!,#REF!</definedName>
    <definedName name="__APW_RESTORE_DATA112__" hidden="1">#REF!,#REF!,#REF!,#REF!,#REF!,#REF!</definedName>
    <definedName name="__APW_RESTORE_DATA113__" hidden="1">#REF!,#REF!,#REF!,#REF!,#REF!,#REF!,#REF!,#REF!,#REF!,#REF!,#REF!,#REF!,#REF!,#REF!,#REF!</definedName>
    <definedName name="__APW_RESTORE_DATA114__" hidden="1">#REF!,#REF!,#REF!,#REF!,#REF!,#REF!,#REF!,#REF!,#REF!,#REF!,#REF!,#REF!,#REF!,#REF!,#REF!</definedName>
    <definedName name="__APW_RESTORE_DATA115__" hidden="1">#REF!,#REF!,#REF!,#REF!,#REF!,#REF!,#REF!,#REF!,#REF!,#REF!,#REF!,#REF!,#REF!,#REF!,#REF!</definedName>
    <definedName name="__APW_RESTORE_DATA116__" hidden="1">#REF!,#REF!,#REF!,#REF!,#REF!,#REF!,#REF!,#REF!,#REF!,#REF!,#REF!,#REF!,#REF!,#REF!,#REF!</definedName>
    <definedName name="__APW_RESTORE_DATA117__" hidden="1">#REF!,#REF!,#REF!,#REF!,#REF!,#REF!,#REF!,#REF!,#REF!,#REF!</definedName>
    <definedName name="__APW_RESTORE_DATA17__" hidden="1">#REF!,#REF!,#REF!,#REF!,#REF!,#REF!,#REF!,#REF!,#REF!,#REF!,#REF!,#REF!,#REF!,#REF!,#REF!,#REF!</definedName>
    <definedName name="__APW_RESTORE_DATA18__" hidden="1">#REF!,#REF!,#REF!,#REF!,#REF!,#REF!,#REF!,#REF!,#REF!,#REF!,#REF!,#REF!,#REF!,#REF!,#REF!,#REF!</definedName>
    <definedName name="__APW_RESTORE_DATA19__" hidden="1">#REF!,#REF!,#REF!,#REF!,#REF!,#REF!,#REF!,#REF!,#REF!,#REF!,#REF!,#REF!,#REF!,#REF!,#REF!,#REF!</definedName>
    <definedName name="__APW_RESTORE_DATA191__" hidden="1">#REF!,#REF!,#REF!,#REF!,#REF!,#REF!,#REF!,#REF!,#REF!,#REF!,#REF!,#REF!,#REF!,#REF!,#REF!,#REF!</definedName>
    <definedName name="__APW_RESTORE_DATA192__" hidden="1">#REF!,#REF!,#REF!,#REF!,#REF!,#REF!,#REF!,#REF!,#REF!,#REF!,#REF!,#REF!,#REF!,#REF!,#REF!,#REF!</definedName>
    <definedName name="__APW_RESTORE_DATA193__" hidden="1">#REF!,#REF!,#REF!,#REF!,#REF!,#REF!,#REF!,#REF!,#REF!,#REF!,#REF!,#REF!,#REF!,#REF!,#REF!,#REF!</definedName>
    <definedName name="__APW_RESTORE_DATA194__" hidden="1">#REF!,#REF!,#REF!,#REF!,#REF!,#REF!,#REF!,#REF!,#REF!,#REF!,#REF!,#REF!,#REF!,#REF!,#REF!,#REF!</definedName>
    <definedName name="__APW_RESTORE_DATA195__" hidden="1">#REF!,#REF!,#REF!,#REF!,#REF!,#REF!,#REF!,#REF!,#REF!,#REF!,#REF!,#REF!,#REF!,#REF!,#REF!,#REF!</definedName>
    <definedName name="__APW_RESTORE_DATA196__" hidden="1">#REF!,#REF!,#REF!,#REF!,#REF!,#REF!,#REF!,#REF!,#REF!,#REF!,#REF!,#REF!,#REF!,#REF!,#REF!,#REF!</definedName>
    <definedName name="__APW_RESTORE_DATA197__" hidden="1">#REF!,#REF!,#REF!,#REF!,#REF!,#REF!,#REF!,#REF!,#REF!,#REF!,#REF!,#REF!,#REF!,#REF!,#REF!,#REF!</definedName>
    <definedName name="__APW_RESTORE_DATA198__" hidden="1">#REF!,#REF!,#REF!,#REF!,#REF!,#REF!,#REF!,#REF!,#REF!,#REF!,#REF!,#REF!,#REF!,#REF!,#REF!,#REF!</definedName>
    <definedName name="__APW_RESTORE_DATA199__" hidden="1">#REF!,#REF!,#REF!,#REF!,#REF!,#REF!,#REF!,#REF!,#REF!,#REF!,#REF!,#REF!,#REF!,#REF!,#REF!,#REF!</definedName>
    <definedName name="__APW_RESTORE_DATA2__" hidden="1">#REF!,#REF!,#REF!,#REF!,#REF!,#REF!,#REF!,#REF!,#REF!,#REF!,#REF!,#REF!,#REF!,#REF!,#REF!,#REF!,#REF!</definedName>
    <definedName name="__APW_RESTORE_DATA20__" hidden="1">#REF!,#REF!,#REF!,#REF!,#REF!,#REF!,#REF!,#REF!,#REF!,#REF!,#REF!,#REF!,#REF!,#REF!,#REF!,#REF!</definedName>
    <definedName name="__APW_RESTORE_DATA200__" hidden="1">#REF!,#REF!,#REF!,#REF!,#REF!,#REF!,#REF!,#REF!,#REF!,#REF!,#REF!,#REF!,#REF!,#REF!,#REF!,#REF!</definedName>
    <definedName name="__APW_RESTORE_DATA201__" hidden="1">#REF!,#REF!,#REF!,#REF!,#REF!,#REF!,#REF!,#REF!,#REF!,#REF!,#REF!,#REF!,#REF!,#REF!,#REF!,#REF!</definedName>
    <definedName name="__APW_RESTORE_DATA202__" hidden="1">#REF!,#REF!,#REF!,#REF!,#REF!,#REF!,#REF!,#REF!,#REF!,#REF!,#REF!,#REF!,#REF!,#REF!,#REF!,#REF!</definedName>
    <definedName name="__APW_RESTORE_DATA203__" hidden="1">#REF!,#REF!,#REF!,#REF!,#REF!,#REF!,#REF!,#REF!,#REF!,#REF!,#REF!,#REF!,#REF!,#REF!,#REF!,#REF!</definedName>
    <definedName name="__APW_RESTORE_DATA204__" hidden="1">#REF!,#REF!,#REF!,#REF!,#REF!,#REF!,#REF!,#REF!,#REF!,#REF!,#REF!,#REF!</definedName>
    <definedName name="__APW_RESTORE_DATA205__" hidden="1">#REF!,#REF!,#REF!,#REF!,#REF!,#REF!,#REF!,#REF!,#REF!,#REF!,#REF!,#REF!,#REF!,#REF!,#REF!,#REF!</definedName>
    <definedName name="__APW_RESTORE_DATA206__" hidden="1">#REF!,#REF!,#REF!,#REF!,#REF!,#REF!,#REF!,#REF!,#REF!,#REF!,#REF!,#REF!,#REF!,#REF!,#REF!,#REF!</definedName>
    <definedName name="__APW_RESTORE_DATA207__" hidden="1">#REF!,#REF!,#REF!,#REF!,#REF!,#REF!,#REF!,#REF!,#REF!,#REF!,#REF!,#REF!,#REF!,#REF!,#REF!,#REF!</definedName>
    <definedName name="__APW_RESTORE_DATA208__" hidden="1">#REF!,#REF!,#REF!,#REF!,#REF!,#REF!,#REF!,#REF!,#REF!,#REF!,#REF!,#REF!,#REF!,#REF!,#REF!,#REF!</definedName>
    <definedName name="__APW_RESTORE_DATA209__" hidden="1">#REF!,#REF!,#REF!,#REF!,#REF!,#REF!,#REF!,#REF!,#REF!,#REF!,#REF!,#REF!,#REF!,#REF!,#REF!,#REF!</definedName>
    <definedName name="__APW_RESTORE_DATA21__" hidden="1">#REF!,#REF!,#REF!,#REF!,#REF!,#REF!</definedName>
    <definedName name="__APW_RESTORE_DATA210__" hidden="1">#REF!,#REF!,#REF!,#REF!,#REF!,#REF!,#REF!,#REF!,#REF!,#REF!,#REF!,#REF!</definedName>
    <definedName name="__APW_RESTORE_DATA22__" hidden="1">#REF!,#REF!,#REF!,#REF!,#REF!,#REF!,#REF!,#REF!,#REF!,#REF!,#REF!,#REF!,#REF!,#REF!,#REF!,#REF!</definedName>
    <definedName name="__APW_RESTORE_DATA23__" hidden="1">#REF!,#REF!,#REF!,#REF!,#REF!,#REF!,#REF!,#REF!,#REF!,#REF!,#REF!,#REF!,#REF!,#REF!,#REF!,#REF!</definedName>
    <definedName name="__APW_RESTORE_DATA24__" hidden="1">#REF!,#REF!,#REF!,#REF!,#REF!,#REF!,#REF!,#REF!,#REF!,#REF!,#REF!,#REF!,#REF!,#REF!,#REF!,#REF!</definedName>
    <definedName name="__APW_RESTORE_DATA25__" hidden="1">#REF!,#REF!,#REF!,#REF!,#REF!,#REF!,#REF!,#REF!,#REF!,#REF!,#REF!,#REF!,#REF!,#REF!,#REF!,#REF!</definedName>
    <definedName name="__APW_RESTORE_DATA26__" hidden="1">#REF!,#REF!,#REF!,#REF!,#REF!,#REF!</definedName>
    <definedName name="__APW_RESTORE_DATA27__" hidden="1">#REF!,#REF!,#REF!,#REF!,#REF!,#REF!,#REF!,#REF!,#REF!,#REF!,#REF!,#REF!,#REF!,#REF!,#REF!,#REF!</definedName>
    <definedName name="__APW_RESTORE_DATA28__" hidden="1">#REF!,#REF!,#REF!,#REF!,#REF!,#REF!,#REF!,#REF!,#REF!,#REF!,#REF!,#REF!,#REF!,#REF!,#REF!,#REF!</definedName>
    <definedName name="__APW_RESTORE_DATA29__" hidden="1">#REF!,#REF!,#REF!,#REF!,#REF!,#REF!,#REF!,#REF!,#REF!,#REF!,#REF!,#REF!,#REF!,#REF!,#REF!,#REF!</definedName>
    <definedName name="__APW_RESTORE_DATA3__" hidden="1">#REF!,#REF!,#REF!,#REF!,#REF!,#REF!,#REF!,#REF!,#REF!,#REF!,#REF!,#REF!,#REF!,#REF!,#REF!,#REF!,#REF!</definedName>
    <definedName name="__APW_RESTORE_DATA30__" hidden="1">#REF!,#REF!,#REF!,#REF!,#REF!,#REF!,#REF!,#REF!,#REF!,#REF!,#REF!,#REF!,#REF!,#REF!,#REF!,#REF!</definedName>
    <definedName name="__APW_RESTORE_DATA31__" hidden="1">#REF!,#REF!,#REF!,#REF!,#REF!,#REF!</definedName>
    <definedName name="__APW_RESTORE_DATA32__" hidden="1">#REF!,#REF!,#REF!,#REF!,#REF!,#REF!,#REF!,#REF!,#REF!,#REF!,#REF!,#REF!,#REF!,#REF!,#REF!,#REF!</definedName>
    <definedName name="__APW_RESTORE_DATA33__" hidden="1">#REF!,#REF!,#REF!,#REF!,#REF!,#REF!,#REF!,#REF!,#REF!,#REF!,#REF!,#REF!,#REF!,#REF!,#REF!,#REF!</definedName>
    <definedName name="__APW_RESTORE_DATA34__" hidden="1">#REF!,#REF!,#REF!,#REF!,#REF!,#REF!,#REF!,#REF!,#REF!,#REF!,#REF!,#REF!,#REF!,#REF!,#REF!,#REF!</definedName>
    <definedName name="__APW_RESTORE_DATA35__" hidden="1">#REF!,#REF!,#REF!,#REF!,#REF!,#REF!,#REF!,#REF!,#REF!,#REF!,#REF!,#REF!,#REF!,#REF!,#REF!,#REF!</definedName>
    <definedName name="__APW_RESTORE_DATA36__" hidden="1">#REF!,#REF!,#REF!,#REF!,#REF!,#REF!</definedName>
    <definedName name="__APW_RESTORE_DATA37__" hidden="1">#REF!,#REF!,#REF!,#REF!,#REF!,#REF!,#REF!,#REF!,#REF!,#REF!,#REF!,#REF!,#REF!,#REF!,#REF!</definedName>
    <definedName name="__APW_RESTORE_DATA38__" hidden="1">#REF!,#REF!,#REF!,#REF!,#REF!,#REF!,#REF!,#REF!,#REF!,#REF!,#REF!,#REF!,#REF!,#REF!,#REF!</definedName>
    <definedName name="__APW_RESTORE_DATA39__" hidden="1">#REF!,#REF!,#REF!,#REF!,#REF!,#REF!,#REF!,#REF!,#REF!,#REF!,#REF!,#REF!,#REF!,#REF!,#REF!</definedName>
    <definedName name="__APW_RESTORE_DATA4__" hidden="1">#REF!,#REF!,#REF!,#REF!,#REF!,#REF!,#REF!,#REF!,#REF!,#REF!,#REF!,#REF!,#REF!,#REF!,#REF!,#REF!,#REF!</definedName>
    <definedName name="__APW_RESTORE_DATA40__" hidden="1">#REF!,#REF!,#REF!,#REF!,#REF!,#REF!,#REF!,#REF!,#REF!,#REF!,#REF!,#REF!,#REF!,#REF!,#REF!</definedName>
    <definedName name="__APW_RESTORE_DATA41__" hidden="1">#REF!,#REF!,#REF!,#REF!,#REF!,#REF!,#REF!,#REF!,#REF!,#REF!</definedName>
    <definedName name="__APW_RESTORE_DATA42__" hidden="1">#REF!,#REF!,#REF!,#REF!,#REF!,#REF!,#REF!,#REF!,#REF!,#REF!,#REF!,#REF!,#REF!,#REF!,#REF!</definedName>
    <definedName name="__APW_RESTORE_DATA43__" hidden="1">#REF!,#REF!,#REF!,#REF!,#REF!,#REF!,#REF!,#REF!,#REF!,#REF!,#REF!,#REF!,#REF!,#REF!,#REF!</definedName>
    <definedName name="__APW_RESTORE_DATA44__" hidden="1">#REF!,#REF!,#REF!,#REF!,#REF!,#REF!,#REF!,#REF!,#REF!,#REF!,#REF!,#REF!,#REF!,#REF!,#REF!</definedName>
    <definedName name="__APW_RESTORE_DATA45__" hidden="1">#REF!,#REF!,#REF!,#REF!,#REF!,#REF!,#REF!,#REF!,#REF!,#REF!,#REF!,#REF!,#REF!,#REF!,#REF!</definedName>
    <definedName name="__APW_RESTORE_DATA46__" hidden="1">#REF!,#REF!,#REF!,#REF!,#REF!,#REF!,#REF!,#REF!,#REF!,#REF!</definedName>
    <definedName name="__APW_RESTORE_DATA47__" hidden="1">#REF!,#REF!,#REF!,#REF!,#REF!,#REF!,#REF!,#REF!,#REF!,#REF!,#REF!,#REF!,#REF!,#REF!,#REF!</definedName>
    <definedName name="__APW_RESTORE_DATA48__" hidden="1">#REF!,#REF!,#REF!,#REF!,#REF!,#REF!,#REF!,#REF!,#REF!,#REF!,#REF!,#REF!,#REF!,#REF!,#REF!</definedName>
    <definedName name="__APW_RESTORE_DATA482__" hidden="1">#REF!,#REF!,#REF!,#REF!,#REF!,#REF!,#REF!,#REF!,#REF!,#REF!,#REF!,#REF!,#REF!,#REF!,#REF!,#REF!</definedName>
    <definedName name="__APW_RESTORE_DATA483__" hidden="1">#REF!,#REF!,#REF!,#REF!,#REF!,#REF!,#REF!,#REF!,#REF!,#REF!,#REF!,#REF!,#REF!,#REF!,#REF!,#REF!</definedName>
    <definedName name="__APW_RESTORE_DATA484__" hidden="1">#REF!,#REF!,#REF!,#REF!,#REF!,#REF!,#REF!</definedName>
    <definedName name="__APW_RESTORE_DATA487__" hidden="1">#REF!,#REF!,#REF!,#REF!,#REF!,#REF!,#REF!,#REF!,#REF!,#REF!,#REF!,#REF!,#REF!,#REF!,#REF!,#REF!</definedName>
    <definedName name="__APW_RESTORE_DATA488__" hidden="1">#REF!,#REF!,#REF!,#REF!,#REF!,#REF!,#REF!,#REF!,#REF!,#REF!,#REF!,#REF!,#REF!,#REF!,#REF!,#REF!</definedName>
    <definedName name="__APW_RESTORE_DATA489__" hidden="1">#REF!,#REF!,#REF!,#REF!,#REF!,#REF!</definedName>
    <definedName name="__APW_RESTORE_DATA49__" hidden="1">#REF!,#REF!,#REF!,#REF!,#REF!,#REF!,#REF!,#REF!,#REF!,#REF!,#REF!,#REF!,#REF!,#REF!,#REF!</definedName>
    <definedName name="__APW_RESTORE_DATA492__" hidden="1">#REF!,#REF!,#REF!,#REF!,#REF!,#REF!,#REF!,#REF!,#REF!,#REF!,#REF!,#REF!,#REF!,#REF!,#REF!,#REF!</definedName>
    <definedName name="__APW_RESTORE_DATA493__" hidden="1">#REF!,#REF!,#REF!,#REF!,#REF!,#REF!,#REF!,#REF!,#REF!,#REF!,#REF!,#REF!,#REF!,#REF!,#REF!,#REF!</definedName>
    <definedName name="__APW_RESTORE_DATA494__" hidden="1">#REF!,#REF!,#REF!,#REF!,#REF!,#REF!</definedName>
    <definedName name="__APW_RESTORE_DATA497__" hidden="1">#REF!,#REF!,#REF!,#REF!,#REF!,#REF!,#REF!,#REF!,#REF!,#REF!,#REF!,#REF!,#REF!,#REF!,#REF!,#REF!</definedName>
    <definedName name="__APW_RESTORE_DATA498__" hidden="1">#REF!,#REF!,#REF!,#REF!,#REF!,#REF!,#REF!,#REF!,#REF!,#REF!,#REF!,#REF!,#REF!,#REF!,#REF!,#REF!</definedName>
    <definedName name="__APW_RESTORE_DATA499__" hidden="1">#REF!,#REF!,#REF!,#REF!,#REF!,#REF!,#REF!</definedName>
    <definedName name="__APW_RESTORE_DATA5__" hidden="1">#REF!,#REF!,#REF!,#REF!,#REF!,#REF!,#REF!,#REF!,#REF!,#REF!,#REF!,#REF!,#REF!,#REF!,#REF!,#REF!,#REF!</definedName>
    <definedName name="__APW_RESTORE_DATA50__" hidden="1">#REF!,#REF!,#REF!,#REF!,#REF!,#REF!,#REF!,#REF!,#REF!,#REF!,#REF!,#REF!,#REF!,#REF!,#REF!</definedName>
    <definedName name="__APW_RESTORE_DATA502__" hidden="1">#REF!,#REF!,#REF!,#REF!,#REF!,#REF!,#REF!,#REF!,#REF!,#REF!,#REF!,#REF!,#REF!,#REF!,#REF!,#REF!</definedName>
    <definedName name="__APW_RESTORE_DATA503__" hidden="1">#REF!,#REF!,#REF!,#REF!,#REF!,#REF!,#REF!,#REF!,#REF!,#REF!,#REF!,#REF!,#REF!,#REF!,#REF!,#REF!</definedName>
    <definedName name="__APW_RESTORE_DATA504__" hidden="1">#REF!,#REF!,#REF!,#REF!,#REF!,#REF!,#REF!</definedName>
    <definedName name="__APW_RESTORE_DATA507__" hidden="1">#REF!,#REF!,#REF!,#REF!,#REF!,#REF!,#REF!,#REF!,#REF!,#REF!,#REF!,#REF!,#REF!,#REF!,#REF!,#REF!</definedName>
    <definedName name="__APW_RESTORE_DATA508__" hidden="1">#REF!,#REF!,#REF!,#REF!,#REF!,#REF!,#REF!,#REF!,#REF!,#REF!,#REF!,#REF!,#REF!,#REF!,#REF!,#REF!</definedName>
    <definedName name="__APW_RESTORE_DATA509__" hidden="1">#REF!,#REF!,#REF!,#REF!,#REF!,#REF!,#REF!</definedName>
    <definedName name="__APW_RESTORE_DATA51__" hidden="1">#REF!,#REF!,#REF!,#REF!,#REF!,#REF!,#REF!,#REF!,#REF!,#REF!</definedName>
    <definedName name="__APW_RESTORE_DATA512__" hidden="1">#REF!,#REF!,#REF!,#REF!,#REF!,#REF!,#REF!,#REF!,#REF!,#REF!,#REF!,#REF!,#REF!,#REF!,#REF!,#REF!</definedName>
    <definedName name="__APW_RESTORE_DATA513__" hidden="1">#REF!,#REF!,#REF!,#REF!,#REF!,#REF!,#REF!,#REF!,#REF!,#REF!,#REF!,#REF!,#REF!,#REF!,#REF!,#REF!</definedName>
    <definedName name="__APW_RESTORE_DATA514__" hidden="1">#REF!,#REF!,#REF!,#REF!,#REF!,#REF!,#REF!</definedName>
    <definedName name="__APW_RESTORE_DATA517__" hidden="1">#REF!,#REF!,#REF!,#REF!,#REF!,#REF!,#REF!,#REF!,#REF!,#REF!,#REF!,#REF!,#REF!,#REF!,#REF!,#REF!</definedName>
    <definedName name="__APW_RESTORE_DATA518__" hidden="1">#REF!,#REF!,#REF!,#REF!,#REF!,#REF!,#REF!,#REF!,#REF!,#REF!,#REF!,#REF!,#REF!,#REF!,#REF!,#REF!</definedName>
    <definedName name="__APW_RESTORE_DATA519__" hidden="1">#REF!,#REF!,#REF!,#REF!,#REF!,#REF!,#REF!</definedName>
    <definedName name="__APW_RESTORE_DATA522__" hidden="1">#REF!,#REF!,#REF!,#REF!,#REF!,#REF!,#REF!,#REF!,#REF!,#REF!,#REF!,#REF!,#REF!,#REF!,#REF!,#REF!</definedName>
    <definedName name="__APW_RESTORE_DATA523__" hidden="1">#REF!,#REF!,#REF!,#REF!,#REF!,#REF!,#REF!,#REF!,#REF!,#REF!,#REF!,#REF!,#REF!,#REF!,#REF!,#REF!</definedName>
    <definedName name="__APW_RESTORE_DATA524__" hidden="1">#REF!,#REF!,#REF!,#REF!,#REF!,#REF!,#REF!</definedName>
    <definedName name="__APW_RESTORE_DATA527__" hidden="1">#REF!,#REF!,#REF!,#REF!,#REF!,#REF!,#REF!,#REF!,#REF!,#REF!,#REF!,#REF!,#REF!,#REF!,#REF!,#REF!</definedName>
    <definedName name="__APW_RESTORE_DATA528__" hidden="1">#REF!,#REF!,#REF!,#REF!,#REF!,#REF!,#REF!,#REF!,#REF!,#REF!,#REF!,#REF!,#REF!,#REF!,#REF!,#REF!</definedName>
    <definedName name="__APW_RESTORE_DATA529__" hidden="1">#REF!,#REF!,#REF!,#REF!,#REF!,#REF!,#REF!</definedName>
    <definedName name="__APW_RESTORE_DATA532__" hidden="1">#REF!,#REF!,#REF!,#REF!,#REF!,#REF!,#REF!,#REF!,#REF!,#REF!,#REF!,#REF!,#REF!,#REF!,#REF!,#REF!</definedName>
    <definedName name="__APW_RESTORE_DATA533__" hidden="1">#REF!,#REF!,#REF!,#REF!,#REF!,#REF!,#REF!,#REF!,#REF!,#REF!,#REF!,#REF!,#REF!,#REF!,#REF!,#REF!</definedName>
    <definedName name="__APW_RESTORE_DATA534__" hidden="1">#REF!,#REF!,#REF!,#REF!,#REF!,#REF!,#REF!</definedName>
    <definedName name="__APW_RESTORE_DATA57__" hidden="1">#REF!,#REF!,#REF!,#REF!,#REF!,#REF!,#REF!,#REF!,#REF!,#REF!,#REF!,#REF!,#REF!,#REF!,#REF!,#REF!</definedName>
    <definedName name="__APW_RESTORE_DATA58__" hidden="1">#REF!,#REF!,#REF!,#REF!,#REF!,#REF!,#REF!,#REF!,#REF!,#REF!,#REF!,#REF!,#REF!,#REF!,#REF!,#REF!</definedName>
    <definedName name="__APW_RESTORE_DATA59__" hidden="1">#REF!,#REF!,#REF!,#REF!,#REF!,#REF!,#REF!,#REF!,#REF!,#REF!,#REF!,#REF!,#REF!,#REF!,#REF!,#REF!</definedName>
    <definedName name="__APW_RESTORE_DATA6__" hidden="1">#REF!,#REF!</definedName>
    <definedName name="__APW_RESTORE_DATA60__" hidden="1">#REF!,#REF!,#REF!,#REF!,#REF!,#REF!,#REF!,#REF!,#REF!,#REF!,#REF!,#REF!,#REF!,#REF!,#REF!,#REF!</definedName>
    <definedName name="__APW_RESTORE_DATA61__" hidden="1">#REF!,#REF!,#REF!,#REF!,#REF!,#REF!</definedName>
    <definedName name="__FDS_HYPERLINK_TOGGLE_STATE__" hidden="1">"ON"</definedName>
    <definedName name="__FDS_UNIQUE_RANGE_ID_GENERATOR_COUNTER" hidden="1">1</definedName>
    <definedName name="_1__123Graph_ACHART_1" hidden="1">#REF!</definedName>
    <definedName name="_10__123Graph_CCHART_1" hidden="1">#REF!</definedName>
    <definedName name="_11__123Graph_DCHART_5" hidden="1">#REF!</definedName>
    <definedName name="_12__123Graph_BCHART_21A" localSheetId="2" hidden="1">#REF!</definedName>
    <definedName name="_12__123Graph_BCHART_21A" localSheetId="0" hidden="1">#REF!</definedName>
    <definedName name="_12__123Graph_BCHART_21A" localSheetId="1" hidden="1">#REF!</definedName>
    <definedName name="_12__123Graph_BCHART_21A" hidden="1">#REF!</definedName>
    <definedName name="_12__123Graph_BCHART_8A" hidden="1">#REF!</definedName>
    <definedName name="_12__123Graph_XCHART_1" hidden="1">#REF!</definedName>
    <definedName name="_13__123Graph_XCHART_2" hidden="1">#REF!</definedName>
    <definedName name="_14__123Graph_XCHART_3" hidden="1">#REF!</definedName>
    <definedName name="_15__123Graph_BCHART_8A" localSheetId="2" hidden="1">#REF!</definedName>
    <definedName name="_15__123Graph_BCHART_8A" localSheetId="0" hidden="1">#REF!</definedName>
    <definedName name="_15__123Graph_BCHART_8A" localSheetId="1" hidden="1">#REF!</definedName>
    <definedName name="_15__123Graph_BCHART_8A" hidden="1">#REF!</definedName>
    <definedName name="_15__123Graph_CCHART_21A" hidden="1">#REF!</definedName>
    <definedName name="_15__123Graph_XCHART_4" hidden="1">#REF!</definedName>
    <definedName name="_16__123Graph_XCHART_5" hidden="1">#REF!</definedName>
    <definedName name="_18__123Graph_CCHART_21A" localSheetId="2" hidden="1">#REF!</definedName>
    <definedName name="_18__123Graph_CCHART_21A" localSheetId="0" hidden="1">#REF!</definedName>
    <definedName name="_18__123Graph_CCHART_21A" localSheetId="1" hidden="1">#REF!</definedName>
    <definedName name="_18__123Graph_CCHART_21A" hidden="1">#REF!</definedName>
    <definedName name="_18__123Graph_CCHART_8A" hidden="1">#REF!</definedName>
    <definedName name="_2__123Graph_ACHART_2" hidden="1">#REF!</definedName>
    <definedName name="_21__123Graph_CCHART_8A" localSheetId="2" hidden="1">#REF!</definedName>
    <definedName name="_21__123Graph_CCHART_8A" localSheetId="0" hidden="1">#REF!</definedName>
    <definedName name="_21__123Graph_CCHART_8A" localSheetId="1" hidden="1">#REF!</definedName>
    <definedName name="_21__123Graph_CCHART_8A" hidden="1">#REF!</definedName>
    <definedName name="_21__123Graph_DCHART_21A" hidden="1">#REF!</definedName>
    <definedName name="_24__123Graph_DCHART_21A" localSheetId="2" hidden="1">#REF!</definedName>
    <definedName name="_24__123Graph_DCHART_21A" localSheetId="0" hidden="1">#REF!</definedName>
    <definedName name="_24__123Graph_DCHART_21A" localSheetId="1" hidden="1">#REF!</definedName>
    <definedName name="_24__123Graph_DCHART_21A" hidden="1">#REF!</definedName>
    <definedName name="_24__123Graph_DCHART_8A" hidden="1">#REF!</definedName>
    <definedName name="_27__123Graph_DCHART_8A" localSheetId="2" hidden="1">#REF!</definedName>
    <definedName name="_27__123Graph_DCHART_8A" localSheetId="0" hidden="1">#REF!</definedName>
    <definedName name="_27__123Graph_DCHART_8A" localSheetId="1" hidden="1">#REF!</definedName>
    <definedName name="_27__123Graph_DCHART_8A" hidden="1">#REF!</definedName>
    <definedName name="_27__123Graph_ECHART_21A" hidden="1">#REF!</definedName>
    <definedName name="_3__123Graph_ACHART_21A" hidden="1">#REF!</definedName>
    <definedName name="_3__123Graph_ACHART_3" hidden="1">#REF!</definedName>
    <definedName name="_30__123Graph_ECHART_21A" localSheetId="2" hidden="1">#REF!</definedName>
    <definedName name="_30__123Graph_ECHART_21A" localSheetId="0" hidden="1">#REF!</definedName>
    <definedName name="_30__123Graph_ECHART_21A" localSheetId="1" hidden="1">#REF!</definedName>
    <definedName name="_30__123Graph_ECHART_21A" hidden="1">#REF!</definedName>
    <definedName name="_30__123Graph_ECHART_8A" hidden="1">#REF!</definedName>
    <definedName name="_33__123Graph_ECHART_8A" localSheetId="2" hidden="1">#REF!</definedName>
    <definedName name="_33__123Graph_ECHART_8A" localSheetId="0" hidden="1">#REF!</definedName>
    <definedName name="_33__123Graph_ECHART_8A" localSheetId="1" hidden="1">#REF!</definedName>
    <definedName name="_33__123Graph_ECHART_8A" hidden="1">#REF!</definedName>
    <definedName name="_33__123Graph_FCHART_21A" hidden="1">#REF!</definedName>
    <definedName name="_36__123Graph_FCHART_21A" localSheetId="2" hidden="1">#REF!</definedName>
    <definedName name="_36__123Graph_FCHART_21A" localSheetId="0" hidden="1">#REF!</definedName>
    <definedName name="_36__123Graph_FCHART_21A" localSheetId="1" hidden="1">#REF!</definedName>
    <definedName name="_36__123Graph_FCHART_21A" hidden="1">#REF!</definedName>
    <definedName name="_36__123Graph_XCHART_21A" hidden="1">#REF!</definedName>
    <definedName name="_39__123Graph_XCHART_21A" localSheetId="2" hidden="1">#REF!</definedName>
    <definedName name="_39__123Graph_XCHART_21A" localSheetId="0" hidden="1">#REF!</definedName>
    <definedName name="_39__123Graph_XCHART_21A" localSheetId="1" hidden="1">#REF!</definedName>
    <definedName name="_39__123Graph_XCHART_21A" hidden="1">#REF!</definedName>
    <definedName name="_4__123Graph_ACHART_4" hidden="1">#REF!</definedName>
    <definedName name="_5__123Graph_ACHART_5" hidden="1">#REF!</definedName>
    <definedName name="_6__123Graph_ACHART_21A" localSheetId="2" hidden="1">#REF!</definedName>
    <definedName name="_6__123Graph_ACHART_21A" localSheetId="0" hidden="1">#REF!</definedName>
    <definedName name="_6__123Graph_ACHART_21A" localSheetId="1" hidden="1">#REF!</definedName>
    <definedName name="_6__123Graph_ACHART_21A" hidden="1">#REF!</definedName>
    <definedName name="_6__123Graph_ACHART_8A" hidden="1">#REF!</definedName>
    <definedName name="_6__123Graph_BCHART_1" hidden="1">#REF!</definedName>
    <definedName name="_7__123Graph_BCHART_2" hidden="1">#REF!</definedName>
    <definedName name="_8__123Graph_BCHART_3" hidden="1">#REF!</definedName>
    <definedName name="_9__123Graph_ACHART_8A" localSheetId="2" hidden="1">#REF!</definedName>
    <definedName name="_9__123Graph_ACHART_8A" localSheetId="0" hidden="1">#REF!</definedName>
    <definedName name="_9__123Graph_ACHART_8A" localSheetId="1" hidden="1">#REF!</definedName>
    <definedName name="_9__123Graph_ACHART_8A" hidden="1">#REF!</definedName>
    <definedName name="_9__123Graph_BCHART_21A" hidden="1">#REF!</definedName>
    <definedName name="_9__123Graph_BCHART_4" hidden="1">#REF!</definedName>
    <definedName name="_AMO_UniqueIdentifier" hidden="1">"'2995e12c-7f92-4103-a2d1-a1d598d57c6f'"</definedName>
    <definedName name="_bdm.050D39CD650D4F2095D8D24650D7326B.edm" hidden="1">#REF!</definedName>
    <definedName name="_bdm.2A10043F760B4BDFB6F9D8DB5014AD69.edm" hidden="1">#REF!</definedName>
    <definedName name="_bdm.30AE078D04674B0581A83DC0BB71CAE9.edm" hidden="1">#REF!</definedName>
    <definedName name="_bdm.400015F9721047F2AE12F65177C08B38.edm" hidden="1">#REF!</definedName>
    <definedName name="_bdm.408316A99C924475A002B539D6B19081.edm" localSheetId="2" hidden="1">#REF!</definedName>
    <definedName name="_bdm.408316A99C924475A002B539D6B19081.edm" localSheetId="0" hidden="1">#REF!</definedName>
    <definedName name="_bdm.408316A99C924475A002B539D6B19081.edm" localSheetId="1" hidden="1">#REF!</definedName>
    <definedName name="_bdm.408316A99C924475A002B539D6B19081.edm" hidden="1">#REF!</definedName>
    <definedName name="_bdm.607844024ECD4A758B546863D50AC585.edm" hidden="1">#REF!</definedName>
    <definedName name="_bdm.6C3132C4E18240B19A2542E06B6496E8.edm" hidden="1">#REF!</definedName>
    <definedName name="_bdm.9083CA28584C43EE98009F3577D43C4B.edm" hidden="1">#REF!</definedName>
    <definedName name="_bdm.A9747668DA694B539C05FB076C09D3D2.edm" localSheetId="2" hidden="1">#REF!</definedName>
    <definedName name="_bdm.A9747668DA694B539C05FB076C09D3D2.edm" localSheetId="0" hidden="1">#REF!</definedName>
    <definedName name="_bdm.A9747668DA694B539C05FB076C09D3D2.edm" localSheetId="1" hidden="1">#REF!</definedName>
    <definedName name="_bdm.A9747668DA694B539C05FB076C09D3D2.edm" hidden="1">#REF!</definedName>
    <definedName name="_bdm.AA02C9D3B8C541E8BBDF9C677034FBDA.edm" hidden="1">#REF!</definedName>
    <definedName name="_bdm.ACC583D0D3094FA89BCB4D4AEC1005C1.edm" hidden="1">#REF!</definedName>
    <definedName name="_bdm.AE6209C86C4741CFBFB6DD9A1DBF58D1.edm" hidden="1">#REF!</definedName>
    <definedName name="_bdm.CF80122F6E9B4FFC98957A0CF584493D.edm" hidden="1">#REF!</definedName>
    <definedName name="_bdm.E0A73A124C724002A7E42D1DD632219A.edm" hidden="1">#REF!</definedName>
    <definedName name="_ct2" localSheetId="2" hidden="1">{"Qtr Op Mgd Q3",#N/A,FALSE,"Qtr-Op (Mng)";"Qtr Op Rpt Q3",#N/A,FALSE,"Qtr-Op (Rpt)";"Operating Vs Reported",#N/A,FALSE,"Rpt-Op Inc"}</definedName>
    <definedName name="_ct2" localSheetId="0" hidden="1">{"Qtr Op Mgd Q3",#N/A,FALSE,"Qtr-Op (Mng)";"Qtr Op Rpt Q3",#N/A,FALSE,"Qtr-Op (Rpt)";"Operating Vs Reported",#N/A,FALSE,"Rpt-Op Inc"}</definedName>
    <definedName name="_ct2" localSheetId="1" hidden="1">{"Qtr Op Mgd Q3",#N/A,FALSE,"Qtr-Op (Mng)";"Qtr Op Rpt Q3",#N/A,FALSE,"Qtr-Op (Rpt)";"Operating Vs Reported",#N/A,FALSE,"Rpt-Op Inc"}</definedName>
    <definedName name="_ct2" hidden="1">{"Qtr Op Mgd Q3",#N/A,FALSE,"Qtr-Op (Mng)";"Qtr Op Rpt Q3",#N/A,FALSE,"Qtr-Op (Rpt)";"Operating Vs Reported",#N/A,FALSE,"Rpt-Op Inc"}</definedName>
    <definedName name="_GSRATES_1" hidden="1">"CF3000012000063019980601"</definedName>
    <definedName name="_GSRATES_2" hidden="1">"CF3000011997073119970701"</definedName>
    <definedName name="_GSRATES_3" hidden="1">"CF3000011998063019980601"</definedName>
    <definedName name="_GSRATES_4" hidden="1">"CF3000011998033119980301"</definedName>
    <definedName name="_GSRATES_COUNT" hidden="1">4</definedName>
    <definedName name="_Order1" hidden="1">0</definedName>
    <definedName name="_Order1_1" hidden="1">255</definedName>
    <definedName name="_Order2" hidden="1">255</definedName>
    <definedName name="_Regression_Int" hidden="1">1</definedName>
    <definedName name="_Regression_Out" localSheetId="2" hidden="1">#REF!</definedName>
    <definedName name="_Regression_Out" localSheetId="0" hidden="1">#REF!</definedName>
    <definedName name="_Regression_Out" localSheetId="1" hidden="1">#REF!</definedName>
    <definedName name="_Regression_Out" hidden="1">#REF!</definedName>
    <definedName name="_Regression_X" localSheetId="2" hidden="1">#REF!</definedName>
    <definedName name="_Regression_X" localSheetId="0" hidden="1">#REF!</definedName>
    <definedName name="_Regression_X" localSheetId="1" hidden="1">#REF!</definedName>
    <definedName name="_Regression_X" hidden="1">#REF!</definedName>
    <definedName name="_Regression_Y" localSheetId="2" hidden="1">#REF!</definedName>
    <definedName name="_Regression_Y" localSheetId="0" hidden="1">#REF!</definedName>
    <definedName name="_Regression_Y" localSheetId="1" hidden="1">#REF!</definedName>
    <definedName name="_Regression_Y" hidden="1">#REF!</definedName>
    <definedName name="_Table2_In1" localSheetId="2" hidden="1">#REF!</definedName>
    <definedName name="_Table2_In1" localSheetId="0" hidden="1">#REF!</definedName>
    <definedName name="_Table2_In1" localSheetId="1" hidden="1">#REF!</definedName>
    <definedName name="_Table2_In1" hidden="1">#REF!</definedName>
    <definedName name="_Table2_In2" localSheetId="2" hidden="1">#REF!</definedName>
    <definedName name="_Table2_In2" localSheetId="0" hidden="1">#REF!</definedName>
    <definedName name="_Table2_In2" localSheetId="1" hidden="1">#REF!</definedName>
    <definedName name="_Table2_In2" hidden="1">#REF!</definedName>
    <definedName name="AAA_DOCTOPS" hidden="1">"AAA_SET"</definedName>
    <definedName name="AAA_duser" hidden="1">"OFF"</definedName>
    <definedName name="aaaa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1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1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2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2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2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B_Addin5" hidden="1">"AAB_Description for addin 5,Description for addin 5,Description for addin 5,Description for addin 5,Description for addin 5,Description for addin 5"</definedName>
    <definedName name="ACwvu.bal_98." localSheetId="2" hidden="1">#REF!</definedName>
    <definedName name="ACwvu.bal_98." localSheetId="0" hidden="1">#REF!</definedName>
    <definedName name="ACwvu.bal_98." localSheetId="1" hidden="1">#REF!</definedName>
    <definedName name="ACwvu.bal_98." hidden="1">#REF!</definedName>
    <definedName name="ACwvu.Detail." localSheetId="2" hidden="1">#REF!</definedName>
    <definedName name="ACwvu.Detail." localSheetId="0" hidden="1">#REF!</definedName>
    <definedName name="ACwvu.Detail." localSheetId="1" hidden="1">#REF!</definedName>
    <definedName name="ACwvu.Detail." hidden="1">#REF!</definedName>
    <definedName name="ACwvu.Forestry." localSheetId="2" hidden="1">#REF!</definedName>
    <definedName name="ACwvu.Forestry." localSheetId="0" hidden="1">#REF!</definedName>
    <definedName name="ACwvu.Forestry." localSheetId="1" hidden="1">#REF!</definedName>
    <definedName name="ACwvu.Forestry." hidden="1">#REF!</definedName>
    <definedName name="ACwvu.Full_Year." localSheetId="2" hidden="1">#REF!</definedName>
    <definedName name="ACwvu.Full_Year." localSheetId="0" hidden="1">#REF!</definedName>
    <definedName name="ACwvu.Full_Year." localSheetId="1" hidden="1">#REF!</definedName>
    <definedName name="ACwvu.Full_Year." hidden="1">#REF!</definedName>
    <definedName name="ACwvu.Merch_Summary." localSheetId="2" hidden="1">#REF!</definedName>
    <definedName name="ACwvu.Merch_Summary." localSheetId="0" hidden="1">#REF!</definedName>
    <definedName name="ACwvu.Merch_Summary." localSheetId="1" hidden="1">#REF!</definedName>
    <definedName name="ACwvu.Merch_Summary." hidden="1">#REF!</definedName>
    <definedName name="ACwvu.Summary." localSheetId="2" hidden="1">#REF!</definedName>
    <definedName name="ACwvu.Summary." localSheetId="0" hidden="1">#REF!</definedName>
    <definedName name="ACwvu.Summary." localSheetId="1" hidden="1">#REF!</definedName>
    <definedName name="ACwvu.Summary." hidden="1">#REF!</definedName>
    <definedName name="ACwvu.Warehouse." localSheetId="2" hidden="1">#REF!</definedName>
    <definedName name="ACwvu.Warehouse." localSheetId="0" hidden="1">#REF!</definedName>
    <definedName name="ACwvu.Warehouse." localSheetId="1" hidden="1">#REF!</definedName>
    <definedName name="ACwvu.Warehouse." hidden="1">#REF!</definedName>
    <definedName name="anscount" hidden="1">1</definedName>
    <definedName name="arse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1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1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1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2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2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2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CWN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CWN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CWN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SKC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SKC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SKC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SKC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1" localSheetId="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1" localSheetId="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1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1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2" localSheetId="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2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2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CWN" localSheetId="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CWN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CWN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SKC" localSheetId="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SKC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SKC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SKC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2" localSheetId="2" hidden="1">{"Print Summary",#N/A,FALSE,"Bal_Graphs";"Print Summary",#N/A,FALSE,"DCF";"Print Summary",#N/A,FALSE,"Graphs";"Print Summary",#N/A,FALSE,"Summary"}</definedName>
    <definedName name="arse2" localSheetId="0" hidden="1">{"Print Summary",#N/A,FALSE,"Bal_Graphs";"Print Summary",#N/A,FALSE,"DCF";"Print Summary",#N/A,FALSE,"Graphs";"Print Summary",#N/A,FALSE,"Summary"}</definedName>
    <definedName name="arse2" localSheetId="1" hidden="1">{"Print Summary",#N/A,FALSE,"Bal_Graphs";"Print Summary",#N/A,FALSE,"DCF";"Print Summary",#N/A,FALSE,"Graphs";"Print Summary",#N/A,FALSE,"Summary"}</definedName>
    <definedName name="arse2" hidden="1">{"Print Summary",#N/A,FALSE,"Bal_Graphs";"Print Summary",#N/A,FALSE,"DCF";"Print Summary",#N/A,FALSE,"Graphs";"Print Summary",#N/A,FALSE,"Summary"}</definedName>
    <definedName name="arse2_1" localSheetId="2" hidden="1">{"Print Summary",#N/A,FALSE,"Bal_Graphs";"Print Summary",#N/A,FALSE,"DCF";"Print Summary",#N/A,FALSE,"Graphs";"Print Summary",#N/A,FALSE,"Summary"}</definedName>
    <definedName name="arse2_1" localSheetId="0" hidden="1">{"Print Summary",#N/A,FALSE,"Bal_Graphs";"Print Summary",#N/A,FALSE,"DCF";"Print Summary",#N/A,FALSE,"Graphs";"Print Summary",#N/A,FALSE,"Summary"}</definedName>
    <definedName name="arse2_1" localSheetId="1" hidden="1">{"Print Summary",#N/A,FALSE,"Bal_Graphs";"Print Summary",#N/A,FALSE,"DCF";"Print Summary",#N/A,FALSE,"Graphs";"Print Summary",#N/A,FALSE,"Summary"}</definedName>
    <definedName name="arse2_1" hidden="1">{"Print Summary",#N/A,FALSE,"Bal_Graphs";"Print Summary",#N/A,FALSE,"DCF";"Print Summary",#N/A,FALSE,"Graphs";"Print Summary",#N/A,FALSE,"Summary"}</definedName>
    <definedName name="arse2_2" localSheetId="2" hidden="1">{"Print Summary",#N/A,FALSE,"Bal_Graphs";"Print Summary",#N/A,FALSE,"DCF";"Print Summary",#N/A,FALSE,"Graphs";"Print Summary",#N/A,FALSE,"Summary"}</definedName>
    <definedName name="arse2_2" localSheetId="0" hidden="1">{"Print Summary",#N/A,FALSE,"Bal_Graphs";"Print Summary",#N/A,FALSE,"DCF";"Print Summary",#N/A,FALSE,"Graphs";"Print Summary",#N/A,FALSE,"Summary"}</definedName>
    <definedName name="arse2_2" localSheetId="1" hidden="1">{"Print Summary",#N/A,FALSE,"Bal_Graphs";"Print Summary",#N/A,FALSE,"DCF";"Print Summary",#N/A,FALSE,"Graphs";"Print Summary",#N/A,FALSE,"Summary"}</definedName>
    <definedName name="arse2_2" hidden="1">{"Print Summary",#N/A,FALSE,"Bal_Graphs";"Print Summary",#N/A,FALSE,"DCF";"Print Summary",#N/A,FALSE,"Graphs";"Print Summary",#N/A,FALSE,"Summary"}</definedName>
    <definedName name="arse2_CWN" localSheetId="2" hidden="1">{"Print Summary",#N/A,FALSE,"Bal_Graphs";"Print Summary",#N/A,FALSE,"DCF";"Print Summary",#N/A,FALSE,"Graphs";"Print Summary",#N/A,FALSE,"Summary"}</definedName>
    <definedName name="arse2_CWN" localSheetId="0" hidden="1">{"Print Summary",#N/A,FALSE,"Bal_Graphs";"Print Summary",#N/A,FALSE,"DCF";"Print Summary",#N/A,FALSE,"Graphs";"Print Summary",#N/A,FALSE,"Summary"}</definedName>
    <definedName name="arse2_CWN" localSheetId="1" hidden="1">{"Print Summary",#N/A,FALSE,"Bal_Graphs";"Print Summary",#N/A,FALSE,"DCF";"Print Summary",#N/A,FALSE,"Graphs";"Print Summary",#N/A,FALSE,"Summary"}</definedName>
    <definedName name="arse2_CWN" hidden="1">{"Print Summary",#N/A,FALSE,"Bal_Graphs";"Print Summary",#N/A,FALSE,"DCF";"Print Summary",#N/A,FALSE,"Graphs";"Print Summary",#N/A,FALSE,"Summary"}</definedName>
    <definedName name="berkshire" localSheetId="2" hidden="1">{"Revenue by Industry Chart",#N/A,FALSE,"Mix";"Annual Revenue Detail",#N/A,FALSE,"Mix";"Quarterly Revenue Detail",#N/A,FALSE,"Mix"}</definedName>
    <definedName name="berkshire" localSheetId="0" hidden="1">{"Revenue by Industry Chart",#N/A,FALSE,"Mix";"Annual Revenue Detail",#N/A,FALSE,"Mix";"Quarterly Revenue Detail",#N/A,FALSE,"Mix"}</definedName>
    <definedName name="berkshire" localSheetId="1" hidden="1">{"Revenue by Industry Chart",#N/A,FALSE,"Mix";"Annual Revenue Detail",#N/A,FALSE,"Mix";"Quarterly Revenue Detail",#N/A,FALSE,"Mix"}</definedName>
    <definedName name="berkshire" hidden="1">{"Revenue by Industry Chart",#N/A,FALSE,"Mix";"Annual Revenue Detail",#N/A,FALSE,"Mix";"Quarterly Revenue Detail",#N/A,FALSE,"Mix"}</definedName>
    <definedName name="BLPH1" localSheetId="2" hidden="1">#REF!</definedName>
    <definedName name="BLPH1" localSheetId="0" hidden="1">#REF!</definedName>
    <definedName name="BLPH1" localSheetId="1" hidden="1">#REF!</definedName>
    <definedName name="BLPH1" hidden="1">#REF!</definedName>
    <definedName name="BLPH100" localSheetId="2" hidden="1">#REF!</definedName>
    <definedName name="BLPH100" localSheetId="0" hidden="1">#REF!</definedName>
    <definedName name="BLPH100" localSheetId="1" hidden="1">#REF!</definedName>
    <definedName name="BLPH100" hidden="1">#REF!</definedName>
    <definedName name="BLPH101" localSheetId="2" hidden="1">#REF!</definedName>
    <definedName name="BLPH101" localSheetId="0" hidden="1">#REF!</definedName>
    <definedName name="BLPH101" localSheetId="1" hidden="1">#REF!</definedName>
    <definedName name="BLPH101" hidden="1">#REF!</definedName>
    <definedName name="BLPH102" localSheetId="2" hidden="1">#REF!</definedName>
    <definedName name="BLPH102" localSheetId="0" hidden="1">#REF!</definedName>
    <definedName name="BLPH102" localSheetId="1" hidden="1">#REF!</definedName>
    <definedName name="BLPH102" hidden="1">#REF!</definedName>
    <definedName name="BLPH103" localSheetId="2" hidden="1">#REF!</definedName>
    <definedName name="BLPH103" localSheetId="0" hidden="1">#REF!</definedName>
    <definedName name="BLPH103" localSheetId="1" hidden="1">#REF!</definedName>
    <definedName name="BLPH103" hidden="1">#REF!</definedName>
    <definedName name="BLPH104" localSheetId="2" hidden="1">#REF!</definedName>
    <definedName name="BLPH104" localSheetId="0" hidden="1">#REF!</definedName>
    <definedName name="BLPH104" localSheetId="1" hidden="1">#REF!</definedName>
    <definedName name="BLPH104" hidden="1">#REF!</definedName>
    <definedName name="BLPH105" localSheetId="2" hidden="1">#REF!</definedName>
    <definedName name="BLPH105" localSheetId="0" hidden="1">#REF!</definedName>
    <definedName name="BLPH105" localSheetId="1" hidden="1">#REF!</definedName>
    <definedName name="BLPH105" hidden="1">#REF!</definedName>
    <definedName name="BLPH106" localSheetId="2" hidden="1">#REF!</definedName>
    <definedName name="BLPH106" localSheetId="0" hidden="1">#REF!</definedName>
    <definedName name="BLPH106" localSheetId="1" hidden="1">#REF!</definedName>
    <definedName name="BLPH106" hidden="1">#REF!</definedName>
    <definedName name="BLPH107" localSheetId="2" hidden="1">#REF!</definedName>
    <definedName name="BLPH107" localSheetId="0" hidden="1">#REF!</definedName>
    <definedName name="BLPH107" localSheetId="1" hidden="1">#REF!</definedName>
    <definedName name="BLPH107" hidden="1">#REF!</definedName>
    <definedName name="BLPH108" localSheetId="2" hidden="1">#REF!</definedName>
    <definedName name="BLPH108" localSheetId="0" hidden="1">#REF!</definedName>
    <definedName name="BLPH108" localSheetId="1" hidden="1">#REF!</definedName>
    <definedName name="BLPH108" hidden="1">#REF!</definedName>
    <definedName name="BLPH109" localSheetId="2" hidden="1">#REF!</definedName>
    <definedName name="BLPH109" localSheetId="0" hidden="1">#REF!</definedName>
    <definedName name="BLPH109" localSheetId="1" hidden="1">#REF!</definedName>
    <definedName name="BLPH109" hidden="1">#REF!</definedName>
    <definedName name="BLPH110" localSheetId="2" hidden="1">#REF!</definedName>
    <definedName name="BLPH110" localSheetId="0" hidden="1">#REF!</definedName>
    <definedName name="BLPH110" localSheetId="1" hidden="1">#REF!</definedName>
    <definedName name="BLPH110" hidden="1">#REF!</definedName>
    <definedName name="BLPH111" localSheetId="2" hidden="1">#REF!</definedName>
    <definedName name="BLPH111" localSheetId="0" hidden="1">#REF!</definedName>
    <definedName name="BLPH111" localSheetId="1" hidden="1">#REF!</definedName>
    <definedName name="BLPH111" hidden="1">#REF!</definedName>
    <definedName name="BLPH112" localSheetId="2" hidden="1">#REF!</definedName>
    <definedName name="BLPH112" localSheetId="0" hidden="1">#REF!</definedName>
    <definedName name="BLPH112" localSheetId="1" hidden="1">#REF!</definedName>
    <definedName name="BLPH112" hidden="1">#REF!</definedName>
    <definedName name="BLPH113" localSheetId="2" hidden="1">#REF!</definedName>
    <definedName name="BLPH113" localSheetId="0" hidden="1">#REF!</definedName>
    <definedName name="BLPH113" localSheetId="1" hidden="1">#REF!</definedName>
    <definedName name="BLPH113" hidden="1">#REF!</definedName>
    <definedName name="BLPH114" localSheetId="2" hidden="1">#REF!</definedName>
    <definedName name="BLPH114" localSheetId="0" hidden="1">#REF!</definedName>
    <definedName name="BLPH114" localSheetId="1" hidden="1">#REF!</definedName>
    <definedName name="BLPH114" hidden="1">#REF!</definedName>
    <definedName name="BLPH115" localSheetId="2" hidden="1">#REF!</definedName>
    <definedName name="BLPH115" localSheetId="0" hidden="1">#REF!</definedName>
    <definedName name="BLPH115" localSheetId="1" hidden="1">#REF!</definedName>
    <definedName name="BLPH115" hidden="1">#REF!</definedName>
    <definedName name="BLPH116" localSheetId="2" hidden="1">#REF!</definedName>
    <definedName name="BLPH116" localSheetId="0" hidden="1">#REF!</definedName>
    <definedName name="BLPH116" localSheetId="1" hidden="1">#REF!</definedName>
    <definedName name="BLPH116" hidden="1">#REF!</definedName>
    <definedName name="BLPH117" localSheetId="2" hidden="1">#REF!</definedName>
    <definedName name="BLPH117" localSheetId="0" hidden="1">#REF!</definedName>
    <definedName name="BLPH117" localSheetId="1" hidden="1">#REF!</definedName>
    <definedName name="BLPH117" hidden="1">#REF!</definedName>
    <definedName name="BLPH118" localSheetId="2" hidden="1">#REF!</definedName>
    <definedName name="BLPH118" localSheetId="0" hidden="1">#REF!</definedName>
    <definedName name="BLPH118" localSheetId="1" hidden="1">#REF!</definedName>
    <definedName name="BLPH118" hidden="1">#REF!</definedName>
    <definedName name="BLPH119" localSheetId="2" hidden="1">#REF!</definedName>
    <definedName name="BLPH119" localSheetId="0" hidden="1">#REF!</definedName>
    <definedName name="BLPH119" localSheetId="1" hidden="1">#REF!</definedName>
    <definedName name="BLPH119" hidden="1">#REF!</definedName>
    <definedName name="BLPH120" localSheetId="2" hidden="1">#REF!</definedName>
    <definedName name="BLPH120" localSheetId="0" hidden="1">#REF!</definedName>
    <definedName name="BLPH120" localSheetId="1" hidden="1">#REF!</definedName>
    <definedName name="BLPH120" hidden="1">#REF!</definedName>
    <definedName name="BLPH121" localSheetId="2" hidden="1">#REF!</definedName>
    <definedName name="BLPH121" localSheetId="0" hidden="1">#REF!</definedName>
    <definedName name="BLPH121" localSheetId="1" hidden="1">#REF!</definedName>
    <definedName name="BLPH121" hidden="1">#REF!</definedName>
    <definedName name="BLPH122" localSheetId="2" hidden="1">#REF!</definedName>
    <definedName name="BLPH122" localSheetId="0" hidden="1">#REF!</definedName>
    <definedName name="BLPH122" localSheetId="1" hidden="1">#REF!</definedName>
    <definedName name="BLPH122" hidden="1">#REF!</definedName>
    <definedName name="BLPH154" localSheetId="2" hidden="1">#REF!</definedName>
    <definedName name="BLPH154" localSheetId="0" hidden="1">#REF!</definedName>
    <definedName name="BLPH154" localSheetId="1" hidden="1">#REF!</definedName>
    <definedName name="BLPH154" hidden="1">#REF!</definedName>
    <definedName name="BLPH155" localSheetId="2" hidden="1">#REF!</definedName>
    <definedName name="BLPH155" localSheetId="0" hidden="1">#REF!</definedName>
    <definedName name="BLPH155" localSheetId="1" hidden="1">#REF!</definedName>
    <definedName name="BLPH155" hidden="1">#REF!</definedName>
    <definedName name="BLPH156" localSheetId="2" hidden="1">#REF!</definedName>
    <definedName name="BLPH156" localSheetId="0" hidden="1">#REF!</definedName>
    <definedName name="BLPH156" localSheetId="1" hidden="1">#REF!</definedName>
    <definedName name="BLPH156" hidden="1">#REF!</definedName>
    <definedName name="BLPH157" localSheetId="2" hidden="1">#REF!</definedName>
    <definedName name="BLPH157" localSheetId="0" hidden="1">#REF!</definedName>
    <definedName name="BLPH157" localSheetId="1" hidden="1">#REF!</definedName>
    <definedName name="BLPH157" hidden="1">#REF!</definedName>
    <definedName name="BLPH158" localSheetId="2" hidden="1">#REF!</definedName>
    <definedName name="BLPH158" localSheetId="0" hidden="1">#REF!</definedName>
    <definedName name="BLPH158" localSheetId="1" hidden="1">#REF!</definedName>
    <definedName name="BLPH158" hidden="1">#REF!</definedName>
    <definedName name="BLPH159" localSheetId="2" hidden="1">#REF!</definedName>
    <definedName name="BLPH159" localSheetId="0" hidden="1">#REF!</definedName>
    <definedName name="BLPH159" localSheetId="1" hidden="1">#REF!</definedName>
    <definedName name="BLPH159" hidden="1">#REF!</definedName>
    <definedName name="BLPH171" localSheetId="2" hidden="1">#REF!</definedName>
    <definedName name="BLPH171" localSheetId="0" hidden="1">#REF!</definedName>
    <definedName name="BLPH171" localSheetId="1" hidden="1">#REF!</definedName>
    <definedName name="BLPH171" hidden="1">#REF!</definedName>
    <definedName name="BLPH172" localSheetId="2" hidden="1">#REF!</definedName>
    <definedName name="BLPH172" localSheetId="0" hidden="1">#REF!</definedName>
    <definedName name="BLPH172" localSheetId="1" hidden="1">#REF!</definedName>
    <definedName name="BLPH172" hidden="1">#REF!</definedName>
    <definedName name="BLPH173" localSheetId="2" hidden="1">#REF!</definedName>
    <definedName name="BLPH173" localSheetId="0" hidden="1">#REF!</definedName>
    <definedName name="BLPH173" localSheetId="1" hidden="1">#REF!</definedName>
    <definedName name="BLPH173" hidden="1">#REF!</definedName>
    <definedName name="BLPH174" localSheetId="2" hidden="1">#REF!</definedName>
    <definedName name="BLPH174" localSheetId="0" hidden="1">#REF!</definedName>
    <definedName name="BLPH174" localSheetId="1" hidden="1">#REF!</definedName>
    <definedName name="BLPH174" hidden="1">#REF!</definedName>
    <definedName name="BLPH175" localSheetId="2" hidden="1">#REF!</definedName>
    <definedName name="BLPH175" localSheetId="0" hidden="1">#REF!</definedName>
    <definedName name="BLPH175" localSheetId="1" hidden="1">#REF!</definedName>
    <definedName name="BLPH175" hidden="1">#REF!</definedName>
    <definedName name="BLPH176" localSheetId="2" hidden="1">#REF!</definedName>
    <definedName name="BLPH176" localSheetId="0" hidden="1">#REF!</definedName>
    <definedName name="BLPH176" localSheetId="1" hidden="1">#REF!</definedName>
    <definedName name="BLPH176" hidden="1">#REF!</definedName>
    <definedName name="BLPH177" localSheetId="2" hidden="1">#REF!</definedName>
    <definedName name="BLPH177" localSheetId="0" hidden="1">#REF!</definedName>
    <definedName name="BLPH177" localSheetId="1" hidden="1">#REF!</definedName>
    <definedName name="BLPH177" hidden="1">#REF!</definedName>
    <definedName name="BLPH178" localSheetId="2" hidden="1">#REF!</definedName>
    <definedName name="BLPH178" localSheetId="0" hidden="1">#REF!</definedName>
    <definedName name="BLPH178" localSheetId="1" hidden="1">#REF!</definedName>
    <definedName name="BLPH178" hidden="1">#REF!</definedName>
    <definedName name="BLPH179" localSheetId="2" hidden="1">#REF!</definedName>
    <definedName name="BLPH179" localSheetId="0" hidden="1">#REF!</definedName>
    <definedName name="BLPH179" localSheetId="1" hidden="1">#REF!</definedName>
    <definedName name="BLPH179" hidden="1">#REF!</definedName>
    <definedName name="BLPH180" localSheetId="2" hidden="1">#REF!</definedName>
    <definedName name="BLPH180" localSheetId="0" hidden="1">#REF!</definedName>
    <definedName name="BLPH180" localSheetId="1" hidden="1">#REF!</definedName>
    <definedName name="BLPH180" hidden="1">#REF!</definedName>
    <definedName name="BLPH181" localSheetId="2" hidden="1">#REF!</definedName>
    <definedName name="BLPH181" localSheetId="0" hidden="1">#REF!</definedName>
    <definedName name="BLPH181" localSheetId="1" hidden="1">#REF!</definedName>
    <definedName name="BLPH181" hidden="1">#REF!</definedName>
    <definedName name="BLPH182" localSheetId="2" hidden="1">#REF!</definedName>
    <definedName name="BLPH182" localSheetId="0" hidden="1">#REF!</definedName>
    <definedName name="BLPH182" localSheetId="1" hidden="1">#REF!</definedName>
    <definedName name="BLPH182" hidden="1">#REF!</definedName>
    <definedName name="BLPH183" localSheetId="2" hidden="1">#REF!</definedName>
    <definedName name="BLPH183" localSheetId="0" hidden="1">#REF!</definedName>
    <definedName name="BLPH183" localSheetId="1" hidden="1">#REF!</definedName>
    <definedName name="BLPH183" hidden="1">#REF!</definedName>
    <definedName name="BLPH184" localSheetId="2" hidden="1">#REF!</definedName>
    <definedName name="BLPH184" localSheetId="0" hidden="1">#REF!</definedName>
    <definedName name="BLPH184" localSheetId="1" hidden="1">#REF!</definedName>
    <definedName name="BLPH184" hidden="1">#REF!</definedName>
    <definedName name="BLPH185" localSheetId="2" hidden="1">#REF!</definedName>
    <definedName name="BLPH185" localSheetId="0" hidden="1">#REF!</definedName>
    <definedName name="BLPH185" localSheetId="1" hidden="1">#REF!</definedName>
    <definedName name="BLPH185" hidden="1">#REF!</definedName>
    <definedName name="BLPH186" localSheetId="2" hidden="1">#REF!</definedName>
    <definedName name="BLPH186" localSheetId="0" hidden="1">#REF!</definedName>
    <definedName name="BLPH186" localSheetId="1" hidden="1">#REF!</definedName>
    <definedName name="BLPH186" hidden="1">#REF!</definedName>
    <definedName name="BLPH187" localSheetId="2" hidden="1">#REF!</definedName>
    <definedName name="BLPH187" localSheetId="0" hidden="1">#REF!</definedName>
    <definedName name="BLPH187" localSheetId="1" hidden="1">#REF!</definedName>
    <definedName name="BLPH187" hidden="1">#REF!</definedName>
    <definedName name="BLPH188" localSheetId="2" hidden="1">#REF!</definedName>
    <definedName name="BLPH188" localSheetId="0" hidden="1">#REF!</definedName>
    <definedName name="BLPH188" localSheetId="1" hidden="1">#REF!</definedName>
    <definedName name="BLPH188" hidden="1">#REF!</definedName>
    <definedName name="BLPH189" localSheetId="2" hidden="1">#REF!</definedName>
    <definedName name="BLPH189" localSheetId="0" hidden="1">#REF!</definedName>
    <definedName name="BLPH189" localSheetId="1" hidden="1">#REF!</definedName>
    <definedName name="BLPH189" hidden="1">#REF!</definedName>
    <definedName name="BLPH190" localSheetId="2" hidden="1">#REF!</definedName>
    <definedName name="BLPH190" localSheetId="0" hidden="1">#REF!</definedName>
    <definedName name="BLPH190" localSheetId="1" hidden="1">#REF!</definedName>
    <definedName name="BLPH190" hidden="1">#REF!</definedName>
    <definedName name="BLPH191" localSheetId="2" hidden="1">#REF!</definedName>
    <definedName name="BLPH191" localSheetId="0" hidden="1">#REF!</definedName>
    <definedName name="BLPH191" localSheetId="1" hidden="1">#REF!</definedName>
    <definedName name="BLPH191" hidden="1">#REF!</definedName>
    <definedName name="BLPH192" localSheetId="2" hidden="1">#REF!</definedName>
    <definedName name="BLPH192" localSheetId="0" hidden="1">#REF!</definedName>
    <definedName name="BLPH192" localSheetId="1" hidden="1">#REF!</definedName>
    <definedName name="BLPH192" hidden="1">#REF!</definedName>
    <definedName name="BLPH193" localSheetId="2" hidden="1">#REF!</definedName>
    <definedName name="BLPH193" localSheetId="0" hidden="1">#REF!</definedName>
    <definedName name="BLPH193" localSheetId="1" hidden="1">#REF!</definedName>
    <definedName name="BLPH193" hidden="1">#REF!</definedName>
    <definedName name="BLPH194" localSheetId="2" hidden="1">#REF!</definedName>
    <definedName name="BLPH194" localSheetId="0" hidden="1">#REF!</definedName>
    <definedName name="BLPH194" localSheetId="1" hidden="1">#REF!</definedName>
    <definedName name="BLPH194" hidden="1">#REF!</definedName>
    <definedName name="BLPH195" localSheetId="2" hidden="1">#REF!</definedName>
    <definedName name="BLPH195" localSheetId="0" hidden="1">#REF!</definedName>
    <definedName name="BLPH195" localSheetId="1" hidden="1">#REF!</definedName>
    <definedName name="BLPH195" hidden="1">#REF!</definedName>
    <definedName name="BLPH196" localSheetId="2" hidden="1">#REF!</definedName>
    <definedName name="BLPH196" localSheetId="0" hidden="1">#REF!</definedName>
    <definedName name="BLPH196" localSheetId="1" hidden="1">#REF!</definedName>
    <definedName name="BLPH196" hidden="1">#REF!</definedName>
    <definedName name="BLPH197" localSheetId="2" hidden="1">#REF!</definedName>
    <definedName name="BLPH197" localSheetId="0" hidden="1">#REF!</definedName>
    <definedName name="BLPH197" localSheetId="1" hidden="1">#REF!</definedName>
    <definedName name="BLPH197" hidden="1">#REF!</definedName>
    <definedName name="BLPH198" localSheetId="2" hidden="1">#REF!</definedName>
    <definedName name="BLPH198" localSheetId="0" hidden="1">#REF!</definedName>
    <definedName name="BLPH198" localSheetId="1" hidden="1">#REF!</definedName>
    <definedName name="BLPH198" hidden="1">#REF!</definedName>
    <definedName name="BLPH199" localSheetId="2" hidden="1">#REF!</definedName>
    <definedName name="BLPH199" localSheetId="0" hidden="1">#REF!</definedName>
    <definedName name="BLPH199" localSheetId="1" hidden="1">#REF!</definedName>
    <definedName name="BLPH199" hidden="1">#REF!</definedName>
    <definedName name="BLPH2" localSheetId="2" hidden="1">#REF!</definedName>
    <definedName name="BLPH2" localSheetId="0" hidden="1">#REF!</definedName>
    <definedName name="BLPH2" localSheetId="1" hidden="1">#REF!</definedName>
    <definedName name="BLPH2" hidden="1">#REF!</definedName>
    <definedName name="BLPH200" localSheetId="2" hidden="1">#REF!</definedName>
    <definedName name="BLPH200" localSheetId="0" hidden="1">#REF!</definedName>
    <definedName name="BLPH200" localSheetId="1" hidden="1">#REF!</definedName>
    <definedName name="BLPH200" hidden="1">#REF!</definedName>
    <definedName name="BLPH201" localSheetId="2" hidden="1">#REF!</definedName>
    <definedName name="BLPH201" localSheetId="0" hidden="1">#REF!</definedName>
    <definedName name="BLPH201" localSheetId="1" hidden="1">#REF!</definedName>
    <definedName name="BLPH201" hidden="1">#REF!</definedName>
    <definedName name="BLPH202" localSheetId="2" hidden="1">#REF!</definedName>
    <definedName name="BLPH202" localSheetId="0" hidden="1">#REF!</definedName>
    <definedName name="BLPH202" localSheetId="1" hidden="1">#REF!</definedName>
    <definedName name="BLPH202" hidden="1">#REF!</definedName>
    <definedName name="BLPH203" localSheetId="2" hidden="1">#REF!</definedName>
    <definedName name="BLPH203" localSheetId="0" hidden="1">#REF!</definedName>
    <definedName name="BLPH203" localSheetId="1" hidden="1">#REF!</definedName>
    <definedName name="BLPH203" hidden="1">#REF!</definedName>
    <definedName name="BLPH204" localSheetId="2" hidden="1">#REF!</definedName>
    <definedName name="BLPH204" localSheetId="0" hidden="1">#REF!</definedName>
    <definedName name="BLPH204" localSheetId="1" hidden="1">#REF!</definedName>
    <definedName name="BLPH204" hidden="1">#REF!</definedName>
    <definedName name="BLPH205" localSheetId="2" hidden="1">#REF!</definedName>
    <definedName name="BLPH205" localSheetId="0" hidden="1">#REF!</definedName>
    <definedName name="BLPH205" localSheetId="1" hidden="1">#REF!</definedName>
    <definedName name="BLPH205" hidden="1">#REF!</definedName>
    <definedName name="BLPH206" localSheetId="2" hidden="1">#REF!</definedName>
    <definedName name="BLPH206" localSheetId="0" hidden="1">#REF!</definedName>
    <definedName name="BLPH206" localSheetId="1" hidden="1">#REF!</definedName>
    <definedName name="BLPH206" hidden="1">#REF!</definedName>
    <definedName name="BLPH207" localSheetId="2" hidden="1">#REF!</definedName>
    <definedName name="BLPH207" localSheetId="0" hidden="1">#REF!</definedName>
    <definedName name="BLPH207" localSheetId="1" hidden="1">#REF!</definedName>
    <definedName name="BLPH207" hidden="1">#REF!</definedName>
    <definedName name="BLPH208" localSheetId="2" hidden="1">#REF!</definedName>
    <definedName name="BLPH208" localSheetId="0" hidden="1">#REF!</definedName>
    <definedName name="BLPH208" localSheetId="1" hidden="1">#REF!</definedName>
    <definedName name="BLPH208" hidden="1">#REF!</definedName>
    <definedName name="BLPH209" localSheetId="2" hidden="1">#REF!</definedName>
    <definedName name="BLPH209" localSheetId="0" hidden="1">#REF!</definedName>
    <definedName name="BLPH209" localSheetId="1" hidden="1">#REF!</definedName>
    <definedName name="BLPH209" hidden="1">#REF!</definedName>
    <definedName name="BLPH210" localSheetId="2" hidden="1">#REF!</definedName>
    <definedName name="BLPH210" localSheetId="0" hidden="1">#REF!</definedName>
    <definedName name="BLPH210" localSheetId="1" hidden="1">#REF!</definedName>
    <definedName name="BLPH210" hidden="1">#REF!</definedName>
    <definedName name="BLPH211" localSheetId="2" hidden="1">#REF!</definedName>
    <definedName name="BLPH211" localSheetId="0" hidden="1">#REF!</definedName>
    <definedName name="BLPH211" localSheetId="1" hidden="1">#REF!</definedName>
    <definedName name="BLPH211" hidden="1">#REF!</definedName>
    <definedName name="BLPH212" localSheetId="2" hidden="1">#REF!</definedName>
    <definedName name="BLPH212" localSheetId="0" hidden="1">#REF!</definedName>
    <definedName name="BLPH212" localSheetId="1" hidden="1">#REF!</definedName>
    <definedName name="BLPH212" hidden="1">#REF!</definedName>
    <definedName name="BLPH213" localSheetId="2" hidden="1">#REF!</definedName>
    <definedName name="BLPH213" localSheetId="0" hidden="1">#REF!</definedName>
    <definedName name="BLPH213" localSheetId="1" hidden="1">#REF!</definedName>
    <definedName name="BLPH213" hidden="1">#REF!</definedName>
    <definedName name="BLPH214" localSheetId="2" hidden="1">#REF!</definedName>
    <definedName name="BLPH214" localSheetId="0" hidden="1">#REF!</definedName>
    <definedName name="BLPH214" localSheetId="1" hidden="1">#REF!</definedName>
    <definedName name="BLPH214" hidden="1">#REF!</definedName>
    <definedName name="BLPH215" localSheetId="2" hidden="1">#REF!</definedName>
    <definedName name="BLPH215" localSheetId="0" hidden="1">#REF!</definedName>
    <definedName name="BLPH215" localSheetId="1" hidden="1">#REF!</definedName>
    <definedName name="BLPH215" hidden="1">#REF!</definedName>
    <definedName name="BLPH216" localSheetId="2" hidden="1">#REF!</definedName>
    <definedName name="BLPH216" localSheetId="0" hidden="1">#REF!</definedName>
    <definedName name="BLPH216" localSheetId="1" hidden="1">#REF!</definedName>
    <definedName name="BLPH216" hidden="1">#REF!</definedName>
    <definedName name="BLPH217" localSheetId="2" hidden="1">#REF!</definedName>
    <definedName name="BLPH217" localSheetId="0" hidden="1">#REF!</definedName>
    <definedName name="BLPH217" localSheetId="1" hidden="1">#REF!</definedName>
    <definedName name="BLPH217" hidden="1">#REF!</definedName>
    <definedName name="BLPH218" localSheetId="2" hidden="1">#REF!</definedName>
    <definedName name="BLPH218" localSheetId="0" hidden="1">#REF!</definedName>
    <definedName name="BLPH218" localSheetId="1" hidden="1">#REF!</definedName>
    <definedName name="BLPH218" hidden="1">#REF!</definedName>
    <definedName name="BLPH219" localSheetId="2" hidden="1">#REF!</definedName>
    <definedName name="BLPH219" localSheetId="0" hidden="1">#REF!</definedName>
    <definedName name="BLPH219" localSheetId="1" hidden="1">#REF!</definedName>
    <definedName name="BLPH219" hidden="1">#REF!</definedName>
    <definedName name="BLPH220" localSheetId="2" hidden="1">#REF!</definedName>
    <definedName name="BLPH220" localSheetId="0" hidden="1">#REF!</definedName>
    <definedName name="BLPH220" localSheetId="1" hidden="1">#REF!</definedName>
    <definedName name="BLPH220" hidden="1">#REF!</definedName>
    <definedName name="BLPH221" localSheetId="2" hidden="1">#REF!</definedName>
    <definedName name="BLPH221" localSheetId="0" hidden="1">#REF!</definedName>
    <definedName name="BLPH221" localSheetId="1" hidden="1">#REF!</definedName>
    <definedName name="BLPH221" hidden="1">#REF!</definedName>
    <definedName name="BLPH222" localSheetId="2" hidden="1">#REF!</definedName>
    <definedName name="BLPH222" localSheetId="0" hidden="1">#REF!</definedName>
    <definedName name="BLPH222" localSheetId="1" hidden="1">#REF!</definedName>
    <definedName name="BLPH222" hidden="1">#REF!</definedName>
    <definedName name="BLPH223" localSheetId="2" hidden="1">#REF!</definedName>
    <definedName name="BLPH223" localSheetId="0" hidden="1">#REF!</definedName>
    <definedName name="BLPH223" localSheetId="1" hidden="1">#REF!</definedName>
    <definedName name="BLPH223" hidden="1">#REF!</definedName>
    <definedName name="BLPH224" localSheetId="2" hidden="1">#REF!</definedName>
    <definedName name="BLPH224" localSheetId="0" hidden="1">#REF!</definedName>
    <definedName name="BLPH224" localSheetId="1" hidden="1">#REF!</definedName>
    <definedName name="BLPH224" hidden="1">#REF!</definedName>
    <definedName name="BLPH225" localSheetId="2" hidden="1">#REF!</definedName>
    <definedName name="BLPH225" localSheetId="0" hidden="1">#REF!</definedName>
    <definedName name="BLPH225" localSheetId="1" hidden="1">#REF!</definedName>
    <definedName name="BLPH225" hidden="1">#REF!</definedName>
    <definedName name="BLPH226" localSheetId="2" hidden="1">#REF!</definedName>
    <definedName name="BLPH226" localSheetId="0" hidden="1">#REF!</definedName>
    <definedName name="BLPH226" localSheetId="1" hidden="1">#REF!</definedName>
    <definedName name="BLPH226" hidden="1">#REF!</definedName>
    <definedName name="BLPH227" localSheetId="2" hidden="1">#REF!</definedName>
    <definedName name="BLPH227" localSheetId="0" hidden="1">#REF!</definedName>
    <definedName name="BLPH227" localSheetId="1" hidden="1">#REF!</definedName>
    <definedName name="BLPH227" hidden="1">#REF!</definedName>
    <definedName name="BLPH228" localSheetId="2" hidden="1">#REF!</definedName>
    <definedName name="BLPH228" localSheetId="0" hidden="1">#REF!</definedName>
    <definedName name="BLPH228" localSheetId="1" hidden="1">#REF!</definedName>
    <definedName name="BLPH228" hidden="1">#REF!</definedName>
    <definedName name="BLPH229" localSheetId="2" hidden="1">#REF!</definedName>
    <definedName name="BLPH229" localSheetId="0" hidden="1">#REF!</definedName>
    <definedName name="BLPH229" localSheetId="1" hidden="1">#REF!</definedName>
    <definedName name="BLPH229" hidden="1">#REF!</definedName>
    <definedName name="BLPH230" localSheetId="2" hidden="1">#REF!</definedName>
    <definedName name="BLPH230" localSheetId="0" hidden="1">#REF!</definedName>
    <definedName name="BLPH230" localSheetId="1" hidden="1">#REF!</definedName>
    <definedName name="BLPH230" hidden="1">#REF!</definedName>
    <definedName name="BLPH231" localSheetId="2" hidden="1">#REF!</definedName>
    <definedName name="BLPH231" localSheetId="0" hidden="1">#REF!</definedName>
    <definedName name="BLPH231" localSheetId="1" hidden="1">#REF!</definedName>
    <definedName name="BLPH231" hidden="1">#REF!</definedName>
    <definedName name="BLPH232" localSheetId="2" hidden="1">#REF!</definedName>
    <definedName name="BLPH232" localSheetId="0" hidden="1">#REF!</definedName>
    <definedName name="BLPH232" localSheetId="1" hidden="1">#REF!</definedName>
    <definedName name="BLPH232" hidden="1">#REF!</definedName>
    <definedName name="BLPH233" localSheetId="2" hidden="1">#REF!</definedName>
    <definedName name="BLPH233" localSheetId="0" hidden="1">#REF!</definedName>
    <definedName name="BLPH233" localSheetId="1" hidden="1">#REF!</definedName>
    <definedName name="BLPH233" hidden="1">#REF!</definedName>
    <definedName name="BLPH234" localSheetId="2" hidden="1">#REF!</definedName>
    <definedName name="BLPH234" localSheetId="0" hidden="1">#REF!</definedName>
    <definedName name="BLPH234" localSheetId="1" hidden="1">#REF!</definedName>
    <definedName name="BLPH234" hidden="1">#REF!</definedName>
    <definedName name="BLPH235" localSheetId="2" hidden="1">#REF!</definedName>
    <definedName name="BLPH235" localSheetId="0" hidden="1">#REF!</definedName>
    <definedName name="BLPH235" localSheetId="1" hidden="1">#REF!</definedName>
    <definedName name="BLPH235" hidden="1">#REF!</definedName>
    <definedName name="BLPH236" localSheetId="2" hidden="1">#REF!</definedName>
    <definedName name="BLPH236" localSheetId="0" hidden="1">#REF!</definedName>
    <definedName name="BLPH236" localSheetId="1" hidden="1">#REF!</definedName>
    <definedName name="BLPH236" hidden="1">#REF!</definedName>
    <definedName name="BLPH237" localSheetId="2" hidden="1">#REF!</definedName>
    <definedName name="BLPH237" localSheetId="0" hidden="1">#REF!</definedName>
    <definedName name="BLPH237" localSheetId="1" hidden="1">#REF!</definedName>
    <definedName name="BLPH237" hidden="1">#REF!</definedName>
    <definedName name="BLPH238" localSheetId="2" hidden="1">#REF!</definedName>
    <definedName name="BLPH238" localSheetId="0" hidden="1">#REF!</definedName>
    <definedName name="BLPH238" localSheetId="1" hidden="1">#REF!</definedName>
    <definedName name="BLPH238" hidden="1">#REF!</definedName>
    <definedName name="BLPH239" localSheetId="2" hidden="1">#REF!</definedName>
    <definedName name="BLPH239" localSheetId="0" hidden="1">#REF!</definedName>
    <definedName name="BLPH239" localSheetId="1" hidden="1">#REF!</definedName>
    <definedName name="BLPH239" hidden="1">#REF!</definedName>
    <definedName name="BLPH240" localSheetId="2" hidden="1">#REF!</definedName>
    <definedName name="BLPH240" localSheetId="0" hidden="1">#REF!</definedName>
    <definedName name="BLPH240" localSheetId="1" hidden="1">#REF!</definedName>
    <definedName name="BLPH240" hidden="1">#REF!</definedName>
    <definedName name="BLPH241" localSheetId="2" hidden="1">#REF!</definedName>
    <definedName name="BLPH241" localSheetId="0" hidden="1">#REF!</definedName>
    <definedName name="BLPH241" localSheetId="1" hidden="1">#REF!</definedName>
    <definedName name="BLPH241" hidden="1">#REF!</definedName>
    <definedName name="BLPH242" localSheetId="2" hidden="1">#REF!</definedName>
    <definedName name="BLPH242" localSheetId="0" hidden="1">#REF!</definedName>
    <definedName name="BLPH242" localSheetId="1" hidden="1">#REF!</definedName>
    <definedName name="BLPH242" hidden="1">#REF!</definedName>
    <definedName name="BLPH243" localSheetId="2" hidden="1">#REF!</definedName>
    <definedName name="BLPH243" localSheetId="0" hidden="1">#REF!</definedName>
    <definedName name="BLPH243" localSheetId="1" hidden="1">#REF!</definedName>
    <definedName name="BLPH243" hidden="1">#REF!</definedName>
    <definedName name="BLPH244" localSheetId="2" hidden="1">#REF!</definedName>
    <definedName name="BLPH244" localSheetId="0" hidden="1">#REF!</definedName>
    <definedName name="BLPH244" localSheetId="1" hidden="1">#REF!</definedName>
    <definedName name="BLPH244" hidden="1">#REF!</definedName>
    <definedName name="BLPH25" localSheetId="2" hidden="1">#REF!</definedName>
    <definedName name="BLPH25" localSheetId="0" hidden="1">#REF!</definedName>
    <definedName name="BLPH25" localSheetId="1" hidden="1">#REF!</definedName>
    <definedName name="BLPH25" hidden="1">#REF!</definedName>
    <definedName name="BLPH253" localSheetId="2" hidden="1">#REF!</definedName>
    <definedName name="BLPH253" localSheetId="0" hidden="1">#REF!</definedName>
    <definedName name="BLPH253" localSheetId="1" hidden="1">#REF!</definedName>
    <definedName name="BLPH253" hidden="1">#REF!</definedName>
    <definedName name="BLPH254" localSheetId="2" hidden="1">#REF!</definedName>
    <definedName name="BLPH254" localSheetId="0" hidden="1">#REF!</definedName>
    <definedName name="BLPH254" localSheetId="1" hidden="1">#REF!</definedName>
    <definedName name="BLPH254" hidden="1">#REF!</definedName>
    <definedName name="BLPH255" localSheetId="2" hidden="1">#REF!</definedName>
    <definedName name="BLPH255" localSheetId="0" hidden="1">#REF!</definedName>
    <definedName name="BLPH255" localSheetId="1" hidden="1">#REF!</definedName>
    <definedName name="BLPH255" hidden="1">#REF!</definedName>
    <definedName name="BLPH256" localSheetId="2" hidden="1">#REF!</definedName>
    <definedName name="BLPH256" localSheetId="0" hidden="1">#REF!</definedName>
    <definedName name="BLPH256" localSheetId="1" hidden="1">#REF!</definedName>
    <definedName name="BLPH256" hidden="1">#REF!</definedName>
    <definedName name="BLPH257" localSheetId="2" hidden="1">#REF!</definedName>
    <definedName name="BLPH257" localSheetId="0" hidden="1">#REF!</definedName>
    <definedName name="BLPH257" localSheetId="1" hidden="1">#REF!</definedName>
    <definedName name="BLPH257" hidden="1">#REF!</definedName>
    <definedName name="BLPH258" localSheetId="2" hidden="1">#REF!</definedName>
    <definedName name="BLPH258" localSheetId="0" hidden="1">#REF!</definedName>
    <definedName name="BLPH258" localSheetId="1" hidden="1">#REF!</definedName>
    <definedName name="BLPH258" hidden="1">#REF!</definedName>
    <definedName name="BLPH259" localSheetId="2" hidden="1">#REF!</definedName>
    <definedName name="BLPH259" localSheetId="0" hidden="1">#REF!</definedName>
    <definedName name="BLPH259" localSheetId="1" hidden="1">#REF!</definedName>
    <definedName name="BLPH259" hidden="1">#REF!</definedName>
    <definedName name="BLPH26" localSheetId="2" hidden="1">#REF!</definedName>
    <definedName name="BLPH26" localSheetId="0" hidden="1">#REF!</definedName>
    <definedName name="BLPH26" localSheetId="1" hidden="1">#REF!</definedName>
    <definedName name="BLPH26" hidden="1">#REF!</definedName>
    <definedName name="BLPH260" localSheetId="2" hidden="1">#REF!</definedName>
    <definedName name="BLPH260" localSheetId="0" hidden="1">#REF!</definedName>
    <definedName name="BLPH260" localSheetId="1" hidden="1">#REF!</definedName>
    <definedName name="BLPH260" hidden="1">#REF!</definedName>
    <definedName name="BLPH261" localSheetId="2" hidden="1">#REF!</definedName>
    <definedName name="BLPH261" localSheetId="0" hidden="1">#REF!</definedName>
    <definedName name="BLPH261" localSheetId="1" hidden="1">#REF!</definedName>
    <definedName name="BLPH261" hidden="1">#REF!</definedName>
    <definedName name="BLPH262" localSheetId="2" hidden="1">#REF!</definedName>
    <definedName name="BLPH262" localSheetId="0" hidden="1">#REF!</definedName>
    <definedName name="BLPH262" localSheetId="1" hidden="1">#REF!</definedName>
    <definedName name="BLPH262" hidden="1">#REF!</definedName>
    <definedName name="BLPH263" localSheetId="2" hidden="1">#REF!</definedName>
    <definedName name="BLPH263" localSheetId="0" hidden="1">#REF!</definedName>
    <definedName name="BLPH263" localSheetId="1" hidden="1">#REF!</definedName>
    <definedName name="BLPH263" hidden="1">#REF!</definedName>
    <definedName name="BLPH264" localSheetId="2" hidden="1">#REF!</definedName>
    <definedName name="BLPH264" localSheetId="0" hidden="1">#REF!</definedName>
    <definedName name="BLPH264" localSheetId="1" hidden="1">#REF!</definedName>
    <definedName name="BLPH264" hidden="1">#REF!</definedName>
    <definedName name="BLPH265" localSheetId="2" hidden="1">#REF!</definedName>
    <definedName name="BLPH265" localSheetId="0" hidden="1">#REF!</definedName>
    <definedName name="BLPH265" localSheetId="1" hidden="1">#REF!</definedName>
    <definedName name="BLPH265" hidden="1">#REF!</definedName>
    <definedName name="BLPH266" localSheetId="2" hidden="1">#REF!</definedName>
    <definedName name="BLPH266" localSheetId="0" hidden="1">#REF!</definedName>
    <definedName name="BLPH266" localSheetId="1" hidden="1">#REF!</definedName>
    <definedName name="BLPH266" hidden="1">#REF!</definedName>
    <definedName name="BLPH267" localSheetId="2" hidden="1">#REF!</definedName>
    <definedName name="BLPH267" localSheetId="0" hidden="1">#REF!</definedName>
    <definedName name="BLPH267" localSheetId="1" hidden="1">#REF!</definedName>
    <definedName name="BLPH267" hidden="1">#REF!</definedName>
    <definedName name="BLPH268" localSheetId="2" hidden="1">#REF!</definedName>
    <definedName name="BLPH268" localSheetId="0" hidden="1">#REF!</definedName>
    <definedName name="BLPH268" localSheetId="1" hidden="1">#REF!</definedName>
    <definedName name="BLPH268" hidden="1">#REF!</definedName>
    <definedName name="BLPH269" localSheetId="2" hidden="1">#REF!</definedName>
    <definedName name="BLPH269" localSheetId="0" hidden="1">#REF!</definedName>
    <definedName name="BLPH269" localSheetId="1" hidden="1">#REF!</definedName>
    <definedName name="BLPH269" hidden="1">#REF!</definedName>
    <definedName name="BLPH27" localSheetId="2" hidden="1">#REF!</definedName>
    <definedName name="BLPH27" localSheetId="0" hidden="1">#REF!</definedName>
    <definedName name="BLPH27" localSheetId="1" hidden="1">#REF!</definedName>
    <definedName name="BLPH27" hidden="1">#REF!</definedName>
    <definedName name="BLPH294" localSheetId="2" hidden="1">#REF!</definedName>
    <definedName name="BLPH294" localSheetId="0" hidden="1">#REF!</definedName>
    <definedName name="BLPH294" localSheetId="1" hidden="1">#REF!</definedName>
    <definedName name="BLPH294" hidden="1">#REF!</definedName>
    <definedName name="BLPH3" localSheetId="2" hidden="1">#REF!</definedName>
    <definedName name="BLPH3" localSheetId="0" hidden="1">#REF!</definedName>
    <definedName name="BLPH3" localSheetId="1" hidden="1">#REF!</definedName>
    <definedName name="BLPH3" hidden="1">#REF!</definedName>
    <definedName name="BLPH30" localSheetId="2" hidden="1">#REF!</definedName>
    <definedName name="BLPH30" localSheetId="0" hidden="1">#REF!</definedName>
    <definedName name="BLPH30" localSheetId="1" hidden="1">#REF!</definedName>
    <definedName name="BLPH30" hidden="1">#REF!</definedName>
    <definedName name="BLPH31" localSheetId="2" hidden="1">#REF!</definedName>
    <definedName name="BLPH31" localSheetId="0" hidden="1">#REF!</definedName>
    <definedName name="BLPH31" localSheetId="1" hidden="1">#REF!</definedName>
    <definedName name="BLPH31" hidden="1">#REF!</definedName>
    <definedName name="BLPH34" localSheetId="2" hidden="1">#REF!</definedName>
    <definedName name="BLPH34" localSheetId="0" hidden="1">#REF!</definedName>
    <definedName name="BLPH34" localSheetId="1" hidden="1">#REF!</definedName>
    <definedName name="BLPH34" hidden="1">#REF!</definedName>
    <definedName name="BLPH4" localSheetId="2" hidden="1">#REF!</definedName>
    <definedName name="BLPH4" localSheetId="0" hidden="1">#REF!</definedName>
    <definedName name="BLPH4" localSheetId="1" hidden="1">#REF!</definedName>
    <definedName name="BLPH4" hidden="1">#REF!</definedName>
    <definedName name="BLPH5" localSheetId="2" hidden="1">#REF!</definedName>
    <definedName name="BLPH5" localSheetId="0" hidden="1">#REF!</definedName>
    <definedName name="BLPH5" localSheetId="1" hidden="1">#REF!</definedName>
    <definedName name="BLPH5" hidden="1">#REF!</definedName>
    <definedName name="BLPH60" localSheetId="2" hidden="1">#REF!</definedName>
    <definedName name="BLPH60" localSheetId="0" hidden="1">#REF!</definedName>
    <definedName name="BLPH60" localSheetId="1" hidden="1">#REF!</definedName>
    <definedName name="BLPH60" hidden="1">#REF!</definedName>
    <definedName name="BLPH61" localSheetId="2" hidden="1">#REF!</definedName>
    <definedName name="BLPH61" localSheetId="0" hidden="1">#REF!</definedName>
    <definedName name="BLPH61" localSheetId="1" hidden="1">#REF!</definedName>
    <definedName name="BLPH61" hidden="1">#REF!</definedName>
    <definedName name="BLPH67" localSheetId="2" hidden="1">#REF!</definedName>
    <definedName name="BLPH67" localSheetId="0" hidden="1">#REF!</definedName>
    <definedName name="BLPH67" localSheetId="1" hidden="1">#REF!</definedName>
    <definedName name="BLPH67" hidden="1">#REF!</definedName>
    <definedName name="BLPH68" localSheetId="2" hidden="1">#REF!</definedName>
    <definedName name="BLPH68" localSheetId="0" hidden="1">#REF!</definedName>
    <definedName name="BLPH68" localSheetId="1" hidden="1">#REF!</definedName>
    <definedName name="BLPH68" hidden="1">#REF!</definedName>
    <definedName name="BLPH69" localSheetId="2" hidden="1">#REF!</definedName>
    <definedName name="BLPH69" localSheetId="0" hidden="1">#REF!</definedName>
    <definedName name="BLPH69" localSheetId="1" hidden="1">#REF!</definedName>
    <definedName name="BLPH69" hidden="1">#REF!</definedName>
    <definedName name="BLPH70" localSheetId="2" hidden="1">#REF!</definedName>
    <definedName name="BLPH70" localSheetId="0" hidden="1">#REF!</definedName>
    <definedName name="BLPH70" localSheetId="1" hidden="1">#REF!</definedName>
    <definedName name="BLPH70" hidden="1">#REF!</definedName>
    <definedName name="BLPH71" localSheetId="2" hidden="1">#REF!</definedName>
    <definedName name="BLPH71" localSheetId="0" hidden="1">#REF!</definedName>
    <definedName name="BLPH71" localSheetId="1" hidden="1">#REF!</definedName>
    <definedName name="BLPH71" hidden="1">#REF!</definedName>
    <definedName name="BLPH72" localSheetId="2" hidden="1">#REF!</definedName>
    <definedName name="BLPH72" localSheetId="0" hidden="1">#REF!</definedName>
    <definedName name="BLPH72" localSheetId="1" hidden="1">#REF!</definedName>
    <definedName name="BLPH72" hidden="1">#REF!</definedName>
    <definedName name="BLPH73" localSheetId="2" hidden="1">#REF!</definedName>
    <definedName name="BLPH73" localSheetId="0" hidden="1">#REF!</definedName>
    <definedName name="BLPH73" localSheetId="1" hidden="1">#REF!</definedName>
    <definedName name="BLPH73" hidden="1">#REF!</definedName>
    <definedName name="BLPH74" localSheetId="2" hidden="1">#REF!</definedName>
    <definedName name="BLPH74" localSheetId="0" hidden="1">#REF!</definedName>
    <definedName name="BLPH74" localSheetId="1" hidden="1">#REF!</definedName>
    <definedName name="BLPH74" hidden="1">#REF!</definedName>
    <definedName name="BLPH75" localSheetId="2" hidden="1">#REF!</definedName>
    <definedName name="BLPH75" localSheetId="0" hidden="1">#REF!</definedName>
    <definedName name="BLPH75" localSheetId="1" hidden="1">#REF!</definedName>
    <definedName name="BLPH75" hidden="1">#REF!</definedName>
    <definedName name="BLPH76" localSheetId="2" hidden="1">#REF!</definedName>
    <definedName name="BLPH76" localSheetId="0" hidden="1">#REF!</definedName>
    <definedName name="BLPH76" localSheetId="1" hidden="1">#REF!</definedName>
    <definedName name="BLPH76" hidden="1">#REF!</definedName>
    <definedName name="BLPH77" localSheetId="2" hidden="1">#REF!</definedName>
    <definedName name="BLPH77" localSheetId="0" hidden="1">#REF!</definedName>
    <definedName name="BLPH77" localSheetId="1" hidden="1">#REF!</definedName>
    <definedName name="BLPH77" hidden="1">#REF!</definedName>
    <definedName name="BLPH78" localSheetId="2" hidden="1">#REF!</definedName>
    <definedName name="BLPH78" localSheetId="0" hidden="1">#REF!</definedName>
    <definedName name="BLPH78" localSheetId="1" hidden="1">#REF!</definedName>
    <definedName name="BLPH78" hidden="1">#REF!</definedName>
    <definedName name="BLPH79" localSheetId="2" hidden="1">#REF!</definedName>
    <definedName name="BLPH79" localSheetId="0" hidden="1">#REF!</definedName>
    <definedName name="BLPH79" localSheetId="1" hidden="1">#REF!</definedName>
    <definedName name="BLPH79" hidden="1">#REF!</definedName>
    <definedName name="BLPH80" localSheetId="2" hidden="1">#REF!</definedName>
    <definedName name="BLPH80" localSheetId="0" hidden="1">#REF!</definedName>
    <definedName name="BLPH80" localSheetId="1" hidden="1">#REF!</definedName>
    <definedName name="BLPH80" hidden="1">#REF!</definedName>
    <definedName name="BLPH81" localSheetId="2" hidden="1">#REF!</definedName>
    <definedName name="BLPH81" localSheetId="0" hidden="1">#REF!</definedName>
    <definedName name="BLPH81" localSheetId="1" hidden="1">#REF!</definedName>
    <definedName name="BLPH81" hidden="1">#REF!</definedName>
    <definedName name="BLPH82" localSheetId="2" hidden="1">#REF!</definedName>
    <definedName name="BLPH82" localSheetId="0" hidden="1">#REF!</definedName>
    <definedName name="BLPH82" localSheetId="1" hidden="1">#REF!</definedName>
    <definedName name="BLPH82" hidden="1">#REF!</definedName>
    <definedName name="BLPH83" localSheetId="2" hidden="1">#REF!</definedName>
    <definedName name="BLPH83" localSheetId="0" hidden="1">#REF!</definedName>
    <definedName name="BLPH83" localSheetId="1" hidden="1">#REF!</definedName>
    <definedName name="BLPH83" hidden="1">#REF!</definedName>
    <definedName name="BLPH84" localSheetId="2" hidden="1">#REF!</definedName>
    <definedName name="BLPH84" localSheetId="0" hidden="1">#REF!</definedName>
    <definedName name="BLPH84" localSheetId="1" hidden="1">#REF!</definedName>
    <definedName name="BLPH84" hidden="1">#REF!</definedName>
    <definedName name="BLPH85" localSheetId="2" hidden="1">#REF!</definedName>
    <definedName name="BLPH85" localSheetId="0" hidden="1">#REF!</definedName>
    <definedName name="BLPH85" localSheetId="1" hidden="1">#REF!</definedName>
    <definedName name="BLPH85" hidden="1">#REF!</definedName>
    <definedName name="BLPH86" localSheetId="2" hidden="1">#REF!</definedName>
    <definedName name="BLPH86" localSheetId="0" hidden="1">#REF!</definedName>
    <definedName name="BLPH86" localSheetId="1" hidden="1">#REF!</definedName>
    <definedName name="BLPH86" hidden="1">#REF!</definedName>
    <definedName name="BLPH87" localSheetId="2" hidden="1">#REF!</definedName>
    <definedName name="BLPH87" localSheetId="0" hidden="1">#REF!</definedName>
    <definedName name="BLPH87" localSheetId="1" hidden="1">#REF!</definedName>
    <definedName name="BLPH87" hidden="1">#REF!</definedName>
    <definedName name="BLPH88" localSheetId="2" hidden="1">#REF!</definedName>
    <definedName name="BLPH88" localSheetId="0" hidden="1">#REF!</definedName>
    <definedName name="BLPH88" localSheetId="1" hidden="1">#REF!</definedName>
    <definedName name="BLPH88" hidden="1">#REF!</definedName>
    <definedName name="BLPH89" localSheetId="2" hidden="1">#REF!</definedName>
    <definedName name="BLPH89" localSheetId="0" hidden="1">#REF!</definedName>
    <definedName name="BLPH89" localSheetId="1" hidden="1">#REF!</definedName>
    <definedName name="BLPH89" hidden="1">#REF!</definedName>
    <definedName name="BLPH90" localSheetId="2" hidden="1">#REF!</definedName>
    <definedName name="BLPH90" localSheetId="0" hidden="1">#REF!</definedName>
    <definedName name="BLPH90" localSheetId="1" hidden="1">#REF!</definedName>
    <definedName name="BLPH90" hidden="1">#REF!</definedName>
    <definedName name="BLPH91" localSheetId="2" hidden="1">#REF!</definedName>
    <definedName name="BLPH91" localSheetId="0" hidden="1">#REF!</definedName>
    <definedName name="BLPH91" localSheetId="1" hidden="1">#REF!</definedName>
    <definedName name="BLPH91" hidden="1">#REF!</definedName>
    <definedName name="BLPH92" localSheetId="2" hidden="1">#REF!</definedName>
    <definedName name="BLPH92" localSheetId="0" hidden="1">#REF!</definedName>
    <definedName name="BLPH92" localSheetId="1" hidden="1">#REF!</definedName>
    <definedName name="BLPH92" hidden="1">#REF!</definedName>
    <definedName name="BLPH93" localSheetId="2" hidden="1">#REF!</definedName>
    <definedName name="BLPH93" localSheetId="0" hidden="1">#REF!</definedName>
    <definedName name="BLPH93" localSheetId="1" hidden="1">#REF!</definedName>
    <definedName name="BLPH93" hidden="1">#REF!</definedName>
    <definedName name="BLPH94" localSheetId="2" hidden="1">#REF!</definedName>
    <definedName name="BLPH94" localSheetId="0" hidden="1">#REF!</definedName>
    <definedName name="BLPH94" localSheetId="1" hidden="1">#REF!</definedName>
    <definedName name="BLPH94" hidden="1">#REF!</definedName>
    <definedName name="BLPH95" localSheetId="2" hidden="1">#REF!</definedName>
    <definedName name="BLPH95" localSheetId="0" hidden="1">#REF!</definedName>
    <definedName name="BLPH95" localSheetId="1" hidden="1">#REF!</definedName>
    <definedName name="BLPH95" hidden="1">#REF!</definedName>
    <definedName name="BLPH96" localSheetId="2" hidden="1">#REF!</definedName>
    <definedName name="BLPH96" localSheetId="0" hidden="1">#REF!</definedName>
    <definedName name="BLPH96" localSheetId="1" hidden="1">#REF!</definedName>
    <definedName name="BLPH96" hidden="1">#REF!</definedName>
    <definedName name="BLPH97" localSheetId="2" hidden="1">#REF!</definedName>
    <definedName name="BLPH97" localSheetId="0" hidden="1">#REF!</definedName>
    <definedName name="BLPH97" localSheetId="1" hidden="1">#REF!</definedName>
    <definedName name="BLPH97" hidden="1">#REF!</definedName>
    <definedName name="BLPH98" localSheetId="2" hidden="1">#REF!</definedName>
    <definedName name="BLPH98" localSheetId="0" hidden="1">#REF!</definedName>
    <definedName name="BLPH98" localSheetId="1" hidden="1">#REF!</definedName>
    <definedName name="BLPH98" hidden="1">#REF!</definedName>
    <definedName name="BLPH99" localSheetId="2" hidden="1">#REF!</definedName>
    <definedName name="BLPH99" localSheetId="0" hidden="1">#REF!</definedName>
    <definedName name="BLPH99" localSheetId="1" hidden="1">#REF!</definedName>
    <definedName name="BLPH99" hidden="1">#REF!</definedName>
    <definedName name="charft" hidden="1">#REF!</definedName>
    <definedName name="chart1" hidden="1">#REF!</definedName>
    <definedName name="charts" localSheetId="2" hidden="1">{"IND","COMPANIES",TRUE}</definedName>
    <definedName name="charts" localSheetId="0" hidden="1">{"IND","COMPANIES",TRUE}</definedName>
    <definedName name="charts" localSheetId="1" hidden="1">{"IND","COMPANIES",TRUE}</definedName>
    <definedName name="charts" hidden="1">{"IND","COMPANIES",TRUE}</definedName>
    <definedName name="CIQWBGuid" hidden="1">"PER Analysis.xls"</definedName>
    <definedName name="cu103.EmployeeScalingFactor" hidden="1">1000</definedName>
    <definedName name="cu107.EPSSymbol" hidden="1">"A$"</definedName>
    <definedName name="cu71.ScalingFactor" hidden="1">1000000</definedName>
    <definedName name="Cwvu.Full_Year." localSheetId="2" hidden="1">#REF!</definedName>
    <definedName name="Cwvu.Full_Year." localSheetId="0" hidden="1">#REF!</definedName>
    <definedName name="Cwvu.Full_Year." localSheetId="1" hidden="1">#REF!</definedName>
    <definedName name="Cwvu.Full_Year." hidden="1">#REF!</definedName>
    <definedName name="Cwvu.Summary." localSheetId="2" hidden="1">#REF!,#REF!,#REF!,#REF!</definedName>
    <definedName name="Cwvu.Summary." localSheetId="0" hidden="1">#REF!,#REF!,#REF!,#REF!</definedName>
    <definedName name="Cwvu.Summary." localSheetId="1" hidden="1">#REF!,#REF!,#REF!,#REF!</definedName>
    <definedName name="Cwvu.Summary." hidden="1">#REF!,#REF!,#REF!,#REF!</definedName>
    <definedName name="ddddd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1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1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2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2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2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ME_BeforeCloseCompleted" hidden="1">"False"</definedName>
    <definedName name="DME_Dirty" hidden="1">"False"</definedName>
    <definedName name="DME_LocalFile" hidden="1">"True"</definedName>
    <definedName name="DS" localSheetId="2" hidden="1">{"Full_Year",#N/A,FALSE,"PE1_S";#N/A,#N/A,FALSE,"DIVIS_S"}</definedName>
    <definedName name="DS" localSheetId="0" hidden="1">{"Full_Year",#N/A,FALSE,"PE1_S";#N/A,#N/A,FALSE,"DIVIS_S"}</definedName>
    <definedName name="DS" localSheetId="1" hidden="1">{"Full_Year",#N/A,FALSE,"PE1_S";#N/A,#N/A,FALSE,"DIVIS_S"}</definedName>
    <definedName name="DS" hidden="1">{"Full_Year",#N/A,FALSE,"PE1_S";#N/A,#N/A,FALSE,"DIVIS_S"}</definedName>
    <definedName name="DS_1" localSheetId="2" hidden="1">{"Full_Year",#N/A,FALSE,"PE1_S";#N/A,#N/A,FALSE,"DIVIS_S"}</definedName>
    <definedName name="DS_1" localSheetId="0" hidden="1">{"Full_Year",#N/A,FALSE,"PE1_S";#N/A,#N/A,FALSE,"DIVIS_S"}</definedName>
    <definedName name="DS_1" localSheetId="1" hidden="1">{"Full_Year",#N/A,FALSE,"PE1_S";#N/A,#N/A,FALSE,"DIVIS_S"}</definedName>
    <definedName name="DS_1" hidden="1">{"Full_Year",#N/A,FALSE,"PE1_S";#N/A,#N/A,FALSE,"DIVIS_S"}</definedName>
    <definedName name="DS_2" localSheetId="2" hidden="1">{"Full_Year",#N/A,FALSE,"PE1_S";#N/A,#N/A,FALSE,"DIVIS_S"}</definedName>
    <definedName name="DS_2" localSheetId="0" hidden="1">{"Full_Year",#N/A,FALSE,"PE1_S";#N/A,#N/A,FALSE,"DIVIS_S"}</definedName>
    <definedName name="DS_2" localSheetId="1" hidden="1">{"Full_Year",#N/A,FALSE,"PE1_S";#N/A,#N/A,FALSE,"DIVIS_S"}</definedName>
    <definedName name="DS_2" hidden="1">{"Full_Year",#N/A,FALSE,"PE1_S";#N/A,#N/A,FALSE,"DIVIS_S"}</definedName>
    <definedName name="DS_CWN" localSheetId="2" hidden="1">{"Full_Year",#N/A,FALSE,"PE1_S";#N/A,#N/A,FALSE,"DIVIS_S"}</definedName>
    <definedName name="DS_CWN" localSheetId="0" hidden="1">{"Full_Year",#N/A,FALSE,"PE1_S";#N/A,#N/A,FALSE,"DIVIS_S"}</definedName>
    <definedName name="DS_CWN" localSheetId="1" hidden="1">{"Full_Year",#N/A,FALSE,"PE1_S";#N/A,#N/A,FALSE,"DIVIS_S"}</definedName>
    <definedName name="DS_CWN" hidden="1">{"Full_Year",#N/A,FALSE,"PE1_S";#N/A,#N/A,FALSE,"DIVIS_S"}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esnrc100c1_values" localSheetId="2" hidden="1">{"FTSE100","COMPANIES",TRUE}</definedName>
    <definedName name="esnrc100c1_values" localSheetId="0" hidden="1">{"FTSE100","COMPANIES",TRUE}</definedName>
    <definedName name="esnrc100c1_values" localSheetId="1" hidden="1">{"FTSE100","COMPANIES",TRUE}</definedName>
    <definedName name="esnrc100c1_values" hidden="1">{"FTSE100","COMPANIES",TRUE}</definedName>
    <definedName name="esnrc100c1_values_1" localSheetId="2" hidden="1">{"FTSE100","COMPANIES",TRUE}</definedName>
    <definedName name="esnrc100c1_values_1" localSheetId="0" hidden="1">{"FTSE100","COMPANIES",TRUE}</definedName>
    <definedName name="esnrc100c1_values_1" localSheetId="1" hidden="1">{"FTSE100","COMPANIES",TRUE}</definedName>
    <definedName name="esnrc100c1_values_1" hidden="1">{"FTSE100","COMPANIES",TRUE}</definedName>
    <definedName name="esnrc100c1_values_2" localSheetId="2" hidden="1">{"FTSE100","COMPANIES",TRUE}</definedName>
    <definedName name="esnrc100c1_values_2" localSheetId="0" hidden="1">{"FTSE100","COMPANIES",TRUE}</definedName>
    <definedName name="esnrc100c1_values_2" localSheetId="1" hidden="1">{"FTSE100","COMPANIES",TRUE}</definedName>
    <definedName name="esnrc100c1_values_2" hidden="1">{"FTSE100","COMPANIES",TRUE}</definedName>
    <definedName name="esnrc33c1_values" localSheetId="2" hidden="1">{"EUMOT","COMPANIES",TRUE}</definedName>
    <definedName name="esnrc33c1_values" localSheetId="0" hidden="1">{"EUMOT","COMPANIES",TRUE}</definedName>
    <definedName name="esnrc33c1_values" localSheetId="1" hidden="1">{"EUMOT","COMPANIES",TRUE}</definedName>
    <definedName name="esnrc33c1_values" hidden="1">{"EUMOT","COMPANIES",TRUE}</definedName>
    <definedName name="esnrc33c1_values_1" localSheetId="2" hidden="1">{"EUMOT","COMPANIES",TRUE}</definedName>
    <definedName name="esnrc33c1_values_1" localSheetId="0" hidden="1">{"EUMOT","COMPANIES",TRUE}</definedName>
    <definedName name="esnrc33c1_values_1" localSheetId="1" hidden="1">{"EUMOT","COMPANIES",TRUE}</definedName>
    <definedName name="esnrc33c1_values_1" hidden="1">{"EUMOT","COMPANIES",TRUE}</definedName>
    <definedName name="esnrc33c1_values_2" localSheetId="2" hidden="1">{"EUMOT","COMPANIES",TRUE}</definedName>
    <definedName name="esnrc33c1_values_2" localSheetId="0" hidden="1">{"EUMOT","COMPANIES",TRUE}</definedName>
    <definedName name="esnrc33c1_values_2" localSheetId="1" hidden="1">{"EUMOT","COMPANIES",TRUE}</definedName>
    <definedName name="esnrc33c1_values_2" hidden="1">{"EUMOT","COMPANIES",TRUE}</definedName>
    <definedName name="esnrc56c1_values" localSheetId="2" hidden="1">{"ASCONGRP","COMPANIES",TRUE}</definedName>
    <definedName name="esnrc56c1_values" localSheetId="0" hidden="1">{"ASCONGRP","COMPANIES",TRUE}</definedName>
    <definedName name="esnrc56c1_values" localSheetId="1" hidden="1">{"ASCONGRP","COMPANIES",TRUE}</definedName>
    <definedName name="esnrc56c1_values" hidden="1">{"ASCONGRP","COMPANIES",TRUE}</definedName>
    <definedName name="esnrc56c1_values_1" localSheetId="2" hidden="1">{"ASCONGRP","COMPANIES",TRUE}</definedName>
    <definedName name="esnrc56c1_values_1" localSheetId="0" hidden="1">{"ASCONGRP","COMPANIES",TRUE}</definedName>
    <definedName name="esnrc56c1_values_1" localSheetId="1" hidden="1">{"ASCONGRP","COMPANIES",TRUE}</definedName>
    <definedName name="esnrc56c1_values_1" hidden="1">{"ASCONGRP","COMPANIES",TRUE}</definedName>
    <definedName name="esnrc56c1_values_2" localSheetId="2" hidden="1">{"ASCONGRP","COMPANIES",TRUE}</definedName>
    <definedName name="esnrc56c1_values_2" localSheetId="0" hidden="1">{"ASCONGRP","COMPANIES",TRUE}</definedName>
    <definedName name="esnrc56c1_values_2" localSheetId="1" hidden="1">{"ASCONGRP","COMPANIES",TRUE}</definedName>
    <definedName name="esnrc56c1_values_2" hidden="1">{"ASCONGRP","COMPANIES",TRUE}</definedName>
    <definedName name="esnrc63c1_values" localSheetId="2" hidden="1">{"EUUTIGRP","COMPANIES",TRUE}</definedName>
    <definedName name="esnrc63c1_values" localSheetId="0" hidden="1">{"EUUTIGRP","COMPANIES",TRUE}</definedName>
    <definedName name="esnrc63c1_values" localSheetId="1" hidden="1">{"EUUTIGRP","COMPANIES",TRUE}</definedName>
    <definedName name="esnrc63c1_values" hidden="1">{"EUUTIGRP","COMPANIES",TRUE}</definedName>
    <definedName name="esnrc63c1_values_1" localSheetId="2" hidden="1">{"EUUTIGRP","COMPANIES",TRUE}</definedName>
    <definedName name="esnrc63c1_values_1" localSheetId="0" hidden="1">{"EUUTIGRP","COMPANIES",TRUE}</definedName>
    <definedName name="esnrc63c1_values_1" localSheetId="1" hidden="1">{"EUUTIGRP","COMPANIES",TRUE}</definedName>
    <definedName name="esnrc63c1_values_1" hidden="1">{"EUUTIGRP","COMPANIES",TRUE}</definedName>
    <definedName name="esnrc63c1_values_2" localSheetId="2" hidden="1">{"EUUTIGRP","COMPANIES",TRUE}</definedName>
    <definedName name="esnrc63c1_values_2" localSheetId="0" hidden="1">{"EUUTIGRP","COMPANIES",TRUE}</definedName>
    <definedName name="esnrc63c1_values_2" localSheetId="1" hidden="1">{"EUUTIGRP","COMPANIES",TRUE}</definedName>
    <definedName name="esnrc63c1_values_2" hidden="1">{"EUUTIGRP","COMPANIES",TRUE}</definedName>
    <definedName name="esnrc65c1_values" localSheetId="2" hidden="1">{"IND","COMPANIES",TRUE}</definedName>
    <definedName name="esnrc65c1_values" localSheetId="0" hidden="1">{"IND","COMPANIES",TRUE}</definedName>
    <definedName name="esnrc65c1_values" localSheetId="1" hidden="1">{"IND","COMPANIES",TRUE}</definedName>
    <definedName name="esnrc65c1_values" hidden="1">{"IND","COMPANIES",TRUE}</definedName>
    <definedName name="esnrc65c1_values_1" localSheetId="2" hidden="1">{"IND","COMPANIES",TRUE}</definedName>
    <definedName name="esnrc65c1_values_1" localSheetId="0" hidden="1">{"IND","COMPANIES",TRUE}</definedName>
    <definedName name="esnrc65c1_values_1" localSheetId="1" hidden="1">{"IND","COMPANIES",TRUE}</definedName>
    <definedName name="esnrc65c1_values_1" hidden="1">{"IND","COMPANIES",TRUE}</definedName>
    <definedName name="esnrc65c1_values_2" localSheetId="2" hidden="1">{"IND","COMPANIES",TRUE}</definedName>
    <definedName name="esnrc65c1_values_2" localSheetId="0" hidden="1">{"IND","COMPANIES",TRUE}</definedName>
    <definedName name="esnrc65c1_values_2" localSheetId="1" hidden="1">{"IND","COMPANIES",TRUE}</definedName>
    <definedName name="esnrc65c1_values_2" hidden="1">{"IND","COMPANIES",TRUE}</definedName>
    <definedName name="esnrc65c1_values_CWN" localSheetId="2" hidden="1">{"IND","COMPANIES",TRUE}</definedName>
    <definedName name="esnrc65c1_values_CWN" localSheetId="0" hidden="1">{"IND","COMPANIES",TRUE}</definedName>
    <definedName name="esnrc65c1_values_CWN" localSheetId="1" hidden="1">{"IND","COMPANIES",TRUE}</definedName>
    <definedName name="esnrc65c1_values_CWN" hidden="1">{"IND","COMPANIES",TRUE}</definedName>
    <definedName name="esnrc65c2_values" localSheetId="2" hidden="1">{"IND","COMPANIES",TRUE}</definedName>
    <definedName name="esnrc65c2_values" localSheetId="0" hidden="1">{"IND","COMPANIES",TRUE}</definedName>
    <definedName name="esnrc65c2_values" localSheetId="1" hidden="1">{"IND","COMPANIES",TRUE}</definedName>
    <definedName name="esnrc65c2_values" hidden="1">{"IND","COMPANIES",TRUE}</definedName>
    <definedName name="esnrc65c2_values_1" localSheetId="2" hidden="1">{"IND","COMPANIES",TRUE}</definedName>
    <definedName name="esnrc65c2_values_1" localSheetId="0" hidden="1">{"IND","COMPANIES",TRUE}</definedName>
    <definedName name="esnrc65c2_values_1" localSheetId="1" hidden="1">{"IND","COMPANIES",TRUE}</definedName>
    <definedName name="esnrc65c2_values_1" hidden="1">{"IND","COMPANIES",TRUE}</definedName>
    <definedName name="esnrc65c2_values_2" localSheetId="2" hidden="1">{"IND","COMPANIES",TRUE}</definedName>
    <definedName name="esnrc65c2_values_2" localSheetId="0" hidden="1">{"IND","COMPANIES",TRUE}</definedName>
    <definedName name="esnrc65c2_values_2" localSheetId="1" hidden="1">{"IND","COMPANIES",TRUE}</definedName>
    <definedName name="esnrc65c2_values_2" hidden="1">{"IND","COMPANIES",TRUE}</definedName>
    <definedName name="esnrc65c2_values_CWN" localSheetId="2" hidden="1">{"IND","COMPANIES",TRUE}</definedName>
    <definedName name="esnrc65c2_values_CWN" localSheetId="0" hidden="1">{"IND","COMPANIES",TRUE}</definedName>
    <definedName name="esnrc65c2_values_CWN" localSheetId="1" hidden="1">{"IND","COMPANIES",TRUE}</definedName>
    <definedName name="esnrc65c2_values_CWN" hidden="1">{"IND","COMPANIES",TRUE}</definedName>
    <definedName name="esnrc91c1_values" localSheetId="2" hidden="1">{"EUUTI","COMPANIES",TRUE}</definedName>
    <definedName name="esnrc91c1_values" localSheetId="0" hidden="1">{"EUUTI","COMPANIES",TRUE}</definedName>
    <definedName name="esnrc91c1_values" localSheetId="1" hidden="1">{"EUUTI","COMPANIES",TRUE}</definedName>
    <definedName name="esnrc91c1_values" hidden="1">{"EUUTI","COMPANIES",TRUE}</definedName>
    <definedName name="esnrc91c1_values_1" localSheetId="2" hidden="1">{"EUUTI","COMPANIES",TRUE}</definedName>
    <definedName name="esnrc91c1_values_1" localSheetId="0" hidden="1">{"EUUTI","COMPANIES",TRUE}</definedName>
    <definedName name="esnrc91c1_values_1" localSheetId="1" hidden="1">{"EUUTI","COMPANIES",TRUE}</definedName>
    <definedName name="esnrc91c1_values_1" hidden="1">{"EUUTI","COMPANIES",TRUE}</definedName>
    <definedName name="esnrc91c1_values_2" localSheetId="2" hidden="1">{"EUUTI","COMPANIES",TRUE}</definedName>
    <definedName name="esnrc91c1_values_2" localSheetId="0" hidden="1">{"EUUTI","COMPANIES",TRUE}</definedName>
    <definedName name="esnrc91c1_values_2" localSheetId="1" hidden="1">{"EUUTI","COMPANIES",TRUE}</definedName>
    <definedName name="esnrc91c1_values_2" hidden="1">{"EUUTI","COMPANIES",TRUE}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0_1_aUrv" localSheetId="2" hidden="1">#REF!</definedName>
    <definedName name="FDP_0_1_aUrv" localSheetId="0" hidden="1">#REF!</definedName>
    <definedName name="FDP_0_1_aUrv" localSheetId="1" hidden="1">#REF!</definedName>
    <definedName name="FDP_0_1_aUrv" hidden="1">#REF!</definedName>
    <definedName name="FDP_1_1_aUrv" localSheetId="2" hidden="1">#REF!</definedName>
    <definedName name="FDP_1_1_aUrv" localSheetId="0" hidden="1">#REF!</definedName>
    <definedName name="FDP_1_1_aUrv" localSheetId="1" hidden="1">#REF!</definedName>
    <definedName name="FDP_1_1_aUrv" hidden="1">#REF!</definedName>
    <definedName name="FDP_10_1_aDrv" localSheetId="2" hidden="1">#REF!</definedName>
    <definedName name="FDP_10_1_aDrv" localSheetId="0" hidden="1">#REF!</definedName>
    <definedName name="FDP_10_1_aDrv" localSheetId="1" hidden="1">#REF!</definedName>
    <definedName name="FDP_10_1_aDrv" hidden="1">#REF!</definedName>
    <definedName name="FDP_100_1_aUrv" localSheetId="2" hidden="1">#REF!</definedName>
    <definedName name="FDP_100_1_aUrv" localSheetId="0" hidden="1">#REF!</definedName>
    <definedName name="FDP_100_1_aUrv" localSheetId="1" hidden="1">#REF!</definedName>
    <definedName name="FDP_100_1_aUrv" hidden="1">#REF!</definedName>
    <definedName name="FDP_101_1_aUrv" localSheetId="2" hidden="1">#REF!</definedName>
    <definedName name="FDP_101_1_aUrv" localSheetId="0" hidden="1">#REF!</definedName>
    <definedName name="FDP_101_1_aUrv" localSheetId="1" hidden="1">#REF!</definedName>
    <definedName name="FDP_101_1_aUrv" hidden="1">#REF!</definedName>
    <definedName name="FDP_102_1_aUrv" localSheetId="2" hidden="1">#REF!</definedName>
    <definedName name="FDP_102_1_aUrv" localSheetId="0" hidden="1">#REF!</definedName>
    <definedName name="FDP_102_1_aUrv" localSheetId="1" hidden="1">#REF!</definedName>
    <definedName name="FDP_102_1_aUrv" hidden="1">#REF!</definedName>
    <definedName name="FDP_103_1_aUrv" localSheetId="2" hidden="1">#REF!</definedName>
    <definedName name="FDP_103_1_aUrv" localSheetId="0" hidden="1">#REF!</definedName>
    <definedName name="FDP_103_1_aUrv" localSheetId="1" hidden="1">#REF!</definedName>
    <definedName name="FDP_103_1_aUrv" hidden="1">#REF!</definedName>
    <definedName name="FDP_104_1_aUrv" localSheetId="2" hidden="1">#REF!</definedName>
    <definedName name="FDP_104_1_aUrv" localSheetId="0" hidden="1">#REF!</definedName>
    <definedName name="FDP_104_1_aUrv" localSheetId="1" hidden="1">#REF!</definedName>
    <definedName name="FDP_104_1_aUrv" hidden="1">#REF!</definedName>
    <definedName name="FDP_105_1_aUrv" localSheetId="2" hidden="1">#REF!</definedName>
    <definedName name="FDP_105_1_aUrv" localSheetId="0" hidden="1">#REF!</definedName>
    <definedName name="FDP_105_1_aUrv" localSheetId="1" hidden="1">#REF!</definedName>
    <definedName name="FDP_105_1_aUrv" hidden="1">#REF!</definedName>
    <definedName name="FDP_106_1_aUrv" localSheetId="2" hidden="1">#REF!</definedName>
    <definedName name="FDP_106_1_aUrv" localSheetId="0" hidden="1">#REF!</definedName>
    <definedName name="FDP_106_1_aUrv" localSheetId="1" hidden="1">#REF!</definedName>
    <definedName name="FDP_106_1_aUrv" hidden="1">#REF!</definedName>
    <definedName name="FDP_108_1_aUrv" localSheetId="2" hidden="1">#REF!</definedName>
    <definedName name="FDP_108_1_aUrv" localSheetId="0" hidden="1">#REF!</definedName>
    <definedName name="FDP_108_1_aUrv" localSheetId="1" hidden="1">#REF!</definedName>
    <definedName name="FDP_108_1_aUrv" hidden="1">#REF!</definedName>
    <definedName name="FDP_109_1_aUrv" localSheetId="2" hidden="1">#REF!</definedName>
    <definedName name="FDP_109_1_aUrv" localSheetId="0" hidden="1">#REF!</definedName>
    <definedName name="FDP_109_1_aUrv" localSheetId="1" hidden="1">#REF!</definedName>
    <definedName name="FDP_109_1_aUrv" hidden="1">#REF!</definedName>
    <definedName name="FDP_11_1_aUrv" localSheetId="2" hidden="1">#REF!</definedName>
    <definedName name="FDP_11_1_aUrv" localSheetId="0" hidden="1">#REF!</definedName>
    <definedName name="FDP_11_1_aUrv" localSheetId="1" hidden="1">#REF!</definedName>
    <definedName name="FDP_11_1_aUrv" hidden="1">#REF!</definedName>
    <definedName name="FDP_110_1_aUrv" localSheetId="2" hidden="1">#REF!</definedName>
    <definedName name="FDP_110_1_aUrv" localSheetId="0" hidden="1">#REF!</definedName>
    <definedName name="FDP_110_1_aUrv" localSheetId="1" hidden="1">#REF!</definedName>
    <definedName name="FDP_110_1_aUrv" hidden="1">#REF!</definedName>
    <definedName name="FDP_111_1_aUrv" localSheetId="2" hidden="1">#REF!</definedName>
    <definedName name="FDP_111_1_aUrv" localSheetId="0" hidden="1">#REF!</definedName>
    <definedName name="FDP_111_1_aUrv" localSheetId="1" hidden="1">#REF!</definedName>
    <definedName name="FDP_111_1_aUrv" hidden="1">#REF!</definedName>
    <definedName name="FDP_112_1_aUrv" localSheetId="2" hidden="1">#REF!</definedName>
    <definedName name="FDP_112_1_aUrv" localSheetId="0" hidden="1">#REF!</definedName>
    <definedName name="FDP_112_1_aUrv" localSheetId="1" hidden="1">#REF!</definedName>
    <definedName name="FDP_112_1_aUrv" hidden="1">#REF!</definedName>
    <definedName name="FDP_113_1_aUrv" localSheetId="2" hidden="1">#REF!</definedName>
    <definedName name="FDP_113_1_aUrv" localSheetId="0" hidden="1">#REF!</definedName>
    <definedName name="FDP_113_1_aUrv" localSheetId="1" hidden="1">#REF!</definedName>
    <definedName name="FDP_113_1_aUrv" hidden="1">#REF!</definedName>
    <definedName name="FDP_114_1_aUrv" localSheetId="2" hidden="1">#REF!</definedName>
    <definedName name="FDP_114_1_aUrv" localSheetId="0" hidden="1">#REF!</definedName>
    <definedName name="FDP_114_1_aUrv" localSheetId="1" hidden="1">#REF!</definedName>
    <definedName name="FDP_114_1_aUrv" hidden="1">#REF!</definedName>
    <definedName name="FDP_115_1_aUrv" localSheetId="2" hidden="1">#REF!</definedName>
    <definedName name="FDP_115_1_aUrv" localSheetId="0" hidden="1">#REF!</definedName>
    <definedName name="FDP_115_1_aUrv" localSheetId="1" hidden="1">#REF!</definedName>
    <definedName name="FDP_115_1_aUrv" hidden="1">#REF!</definedName>
    <definedName name="FDP_116_1_aUrv" localSheetId="2" hidden="1">#REF!</definedName>
    <definedName name="FDP_116_1_aUrv" localSheetId="0" hidden="1">#REF!</definedName>
    <definedName name="FDP_116_1_aUrv" localSheetId="1" hidden="1">#REF!</definedName>
    <definedName name="FDP_116_1_aUrv" hidden="1">#REF!</definedName>
    <definedName name="FDP_117_1_aUrv" localSheetId="2" hidden="1">#REF!</definedName>
    <definedName name="FDP_117_1_aUrv" localSheetId="0" hidden="1">#REF!</definedName>
    <definedName name="FDP_117_1_aUrv" localSheetId="1" hidden="1">#REF!</definedName>
    <definedName name="FDP_117_1_aUrv" hidden="1">#REF!</definedName>
    <definedName name="FDP_118_1_aUrv" localSheetId="2" hidden="1">#REF!</definedName>
    <definedName name="FDP_118_1_aUrv" localSheetId="0" hidden="1">#REF!</definedName>
    <definedName name="FDP_118_1_aUrv" localSheetId="1" hidden="1">#REF!</definedName>
    <definedName name="FDP_118_1_aUrv" hidden="1">#REF!</definedName>
    <definedName name="FDP_119_1_aUrv" localSheetId="2" hidden="1">#REF!</definedName>
    <definedName name="FDP_119_1_aUrv" localSheetId="0" hidden="1">#REF!</definedName>
    <definedName name="FDP_119_1_aUrv" localSheetId="1" hidden="1">#REF!</definedName>
    <definedName name="FDP_119_1_aUrv" hidden="1">#REF!</definedName>
    <definedName name="FDP_12_1_aUrv" localSheetId="2" hidden="1">#REF!</definedName>
    <definedName name="FDP_12_1_aUrv" localSheetId="0" hidden="1">#REF!</definedName>
    <definedName name="FDP_12_1_aUrv" localSheetId="1" hidden="1">#REF!</definedName>
    <definedName name="FDP_12_1_aUrv" hidden="1">#REF!</definedName>
    <definedName name="FDP_120_1_aUrv" localSheetId="2" hidden="1">#REF!</definedName>
    <definedName name="FDP_120_1_aUrv" localSheetId="0" hidden="1">#REF!</definedName>
    <definedName name="FDP_120_1_aUrv" localSheetId="1" hidden="1">#REF!</definedName>
    <definedName name="FDP_120_1_aUrv" hidden="1">#REF!</definedName>
    <definedName name="FDP_121_1_aUrv" localSheetId="2" hidden="1">#REF!</definedName>
    <definedName name="FDP_121_1_aUrv" localSheetId="0" hidden="1">#REF!</definedName>
    <definedName name="FDP_121_1_aUrv" localSheetId="1" hidden="1">#REF!</definedName>
    <definedName name="FDP_121_1_aUrv" hidden="1">#REF!</definedName>
    <definedName name="FDP_124_1_aUrv" localSheetId="2" hidden="1">#REF!</definedName>
    <definedName name="FDP_124_1_aUrv" localSheetId="0" hidden="1">#REF!</definedName>
    <definedName name="FDP_124_1_aUrv" localSheetId="1" hidden="1">#REF!</definedName>
    <definedName name="FDP_124_1_aUrv" hidden="1">#REF!</definedName>
    <definedName name="FDP_125_1_aUrv" localSheetId="2" hidden="1">#REF!</definedName>
    <definedName name="FDP_125_1_aUrv" localSheetId="0" hidden="1">#REF!</definedName>
    <definedName name="FDP_125_1_aUrv" localSheetId="1" hidden="1">#REF!</definedName>
    <definedName name="FDP_125_1_aUrv" hidden="1">#REF!</definedName>
    <definedName name="FDP_126_1_aUrv" localSheetId="2" hidden="1">#REF!</definedName>
    <definedName name="FDP_126_1_aUrv" localSheetId="0" hidden="1">#REF!</definedName>
    <definedName name="FDP_126_1_aUrv" localSheetId="1" hidden="1">#REF!</definedName>
    <definedName name="FDP_126_1_aUrv" hidden="1">#REF!</definedName>
    <definedName name="FDP_127_1_aUrv" localSheetId="2" hidden="1">#REF!</definedName>
    <definedName name="FDP_127_1_aUrv" localSheetId="0" hidden="1">#REF!</definedName>
    <definedName name="FDP_127_1_aUrv" localSheetId="1" hidden="1">#REF!</definedName>
    <definedName name="FDP_127_1_aUrv" hidden="1">#REF!</definedName>
    <definedName name="FDP_128_1_aUrv" localSheetId="2" hidden="1">#REF!</definedName>
    <definedName name="FDP_128_1_aUrv" localSheetId="0" hidden="1">#REF!</definedName>
    <definedName name="FDP_128_1_aUrv" localSheetId="1" hidden="1">#REF!</definedName>
    <definedName name="FDP_128_1_aUrv" hidden="1">#REF!</definedName>
    <definedName name="FDP_129_1_aUrv" localSheetId="2" hidden="1">#REF!</definedName>
    <definedName name="FDP_129_1_aUrv" localSheetId="0" hidden="1">#REF!</definedName>
    <definedName name="FDP_129_1_aUrv" localSheetId="1" hidden="1">#REF!</definedName>
    <definedName name="FDP_129_1_aUrv" hidden="1">#REF!</definedName>
    <definedName name="FDP_13_1_aUrv" localSheetId="2" hidden="1">#REF!</definedName>
    <definedName name="FDP_13_1_aUrv" localSheetId="0" hidden="1">#REF!</definedName>
    <definedName name="FDP_13_1_aUrv" localSheetId="1" hidden="1">#REF!</definedName>
    <definedName name="FDP_13_1_aUrv" hidden="1">#REF!</definedName>
    <definedName name="FDP_130_1_aUrv" localSheetId="2" hidden="1">#REF!</definedName>
    <definedName name="FDP_130_1_aUrv" localSheetId="0" hidden="1">#REF!</definedName>
    <definedName name="FDP_130_1_aUrv" localSheetId="1" hidden="1">#REF!</definedName>
    <definedName name="FDP_130_1_aUrv" hidden="1">#REF!</definedName>
    <definedName name="FDP_132_1_aUrv" localSheetId="2" hidden="1">#REF!</definedName>
    <definedName name="FDP_132_1_aUrv" localSheetId="0" hidden="1">#REF!</definedName>
    <definedName name="FDP_132_1_aUrv" localSheetId="1" hidden="1">#REF!</definedName>
    <definedName name="FDP_132_1_aUrv" hidden="1">#REF!</definedName>
    <definedName name="FDP_133_1_aUrv" localSheetId="2" hidden="1">#REF!</definedName>
    <definedName name="FDP_133_1_aUrv" localSheetId="0" hidden="1">#REF!</definedName>
    <definedName name="FDP_133_1_aUrv" localSheetId="1" hidden="1">#REF!</definedName>
    <definedName name="FDP_133_1_aUrv" hidden="1">#REF!</definedName>
    <definedName name="FDP_134_1_aUrv" localSheetId="2" hidden="1">#REF!</definedName>
    <definedName name="FDP_134_1_aUrv" localSheetId="0" hidden="1">#REF!</definedName>
    <definedName name="FDP_134_1_aUrv" localSheetId="1" hidden="1">#REF!</definedName>
    <definedName name="FDP_134_1_aUrv" hidden="1">#REF!</definedName>
    <definedName name="FDP_135_1_aUrv" localSheetId="2" hidden="1">#REF!</definedName>
    <definedName name="FDP_135_1_aUrv" localSheetId="0" hidden="1">#REF!</definedName>
    <definedName name="FDP_135_1_aUrv" localSheetId="1" hidden="1">#REF!</definedName>
    <definedName name="FDP_135_1_aUrv" hidden="1">#REF!</definedName>
    <definedName name="FDP_136_1_aUrv" localSheetId="2" hidden="1">#REF!</definedName>
    <definedName name="FDP_136_1_aUrv" localSheetId="0" hidden="1">#REF!</definedName>
    <definedName name="FDP_136_1_aUrv" localSheetId="1" hidden="1">#REF!</definedName>
    <definedName name="FDP_136_1_aUrv" hidden="1">#REF!</definedName>
    <definedName name="FDP_137_1_aUrv" localSheetId="2" hidden="1">#REF!</definedName>
    <definedName name="FDP_137_1_aUrv" localSheetId="0" hidden="1">#REF!</definedName>
    <definedName name="FDP_137_1_aUrv" localSheetId="1" hidden="1">#REF!</definedName>
    <definedName name="FDP_137_1_aUrv" hidden="1">#REF!</definedName>
    <definedName name="FDP_139_1_aSrv" localSheetId="2" hidden="1">#REF!</definedName>
    <definedName name="FDP_139_1_aSrv" localSheetId="0" hidden="1">#REF!</definedName>
    <definedName name="FDP_139_1_aSrv" localSheetId="1" hidden="1">#REF!</definedName>
    <definedName name="FDP_139_1_aSrv" hidden="1">#REF!</definedName>
    <definedName name="FDP_14_1_aUrv" localSheetId="2" hidden="1">#REF!</definedName>
    <definedName name="FDP_14_1_aUrv" localSheetId="0" hidden="1">#REF!</definedName>
    <definedName name="FDP_14_1_aUrv" localSheetId="1" hidden="1">#REF!</definedName>
    <definedName name="FDP_14_1_aUrv" hidden="1">#REF!</definedName>
    <definedName name="FDP_140_1_aUrv" localSheetId="2" hidden="1">#REF!</definedName>
    <definedName name="FDP_140_1_aUrv" localSheetId="0" hidden="1">#REF!</definedName>
    <definedName name="FDP_140_1_aUrv" localSheetId="1" hidden="1">#REF!</definedName>
    <definedName name="FDP_140_1_aUrv" hidden="1">#REF!</definedName>
    <definedName name="FDP_141_1_aUrv" localSheetId="2" hidden="1">#REF!</definedName>
    <definedName name="FDP_141_1_aUrv" localSheetId="0" hidden="1">#REF!</definedName>
    <definedName name="FDP_141_1_aUrv" localSheetId="1" hidden="1">#REF!</definedName>
    <definedName name="FDP_141_1_aUrv" hidden="1">#REF!</definedName>
    <definedName name="FDP_142_1_aUrv" localSheetId="2" hidden="1">#REF!</definedName>
    <definedName name="FDP_142_1_aUrv" localSheetId="0" hidden="1">#REF!</definedName>
    <definedName name="FDP_142_1_aUrv" localSheetId="1" hidden="1">#REF!</definedName>
    <definedName name="FDP_142_1_aUrv" hidden="1">#REF!</definedName>
    <definedName name="FDP_143_1_aUrv" localSheetId="2" hidden="1">#REF!</definedName>
    <definedName name="FDP_143_1_aUrv" localSheetId="0" hidden="1">#REF!</definedName>
    <definedName name="FDP_143_1_aUrv" localSheetId="1" hidden="1">#REF!</definedName>
    <definedName name="FDP_143_1_aUrv" hidden="1">#REF!</definedName>
    <definedName name="FDP_144_1_aUrv" localSheetId="2" hidden="1">#REF!</definedName>
    <definedName name="FDP_144_1_aUrv" localSheetId="0" hidden="1">#REF!</definedName>
    <definedName name="FDP_144_1_aUrv" localSheetId="1" hidden="1">#REF!</definedName>
    <definedName name="FDP_144_1_aUrv" hidden="1">#REF!</definedName>
    <definedName name="FDP_145_1_aUrv" localSheetId="2" hidden="1">#REF!</definedName>
    <definedName name="FDP_145_1_aUrv" localSheetId="0" hidden="1">#REF!</definedName>
    <definedName name="FDP_145_1_aUrv" localSheetId="1" hidden="1">#REF!</definedName>
    <definedName name="FDP_145_1_aUrv" hidden="1">#REF!</definedName>
    <definedName name="FDP_146_1_aUrv" localSheetId="2" hidden="1">#REF!</definedName>
    <definedName name="FDP_146_1_aUrv" localSheetId="0" hidden="1">#REF!</definedName>
    <definedName name="FDP_146_1_aUrv" localSheetId="1" hidden="1">#REF!</definedName>
    <definedName name="FDP_146_1_aUrv" hidden="1">#REF!</definedName>
    <definedName name="FDP_147_1_aUrv" localSheetId="2" hidden="1">#REF!</definedName>
    <definedName name="FDP_147_1_aUrv" localSheetId="0" hidden="1">#REF!</definedName>
    <definedName name="FDP_147_1_aUrv" localSheetId="1" hidden="1">#REF!</definedName>
    <definedName name="FDP_147_1_aUrv" hidden="1">#REF!</definedName>
    <definedName name="FDP_148_1_aUrv" localSheetId="2" hidden="1">#REF!</definedName>
    <definedName name="FDP_148_1_aUrv" localSheetId="0" hidden="1">#REF!</definedName>
    <definedName name="FDP_148_1_aUrv" localSheetId="1" hidden="1">#REF!</definedName>
    <definedName name="FDP_148_1_aUrv" hidden="1">#REF!</definedName>
    <definedName name="FDP_149_1_aUrv" localSheetId="2" hidden="1">#REF!</definedName>
    <definedName name="FDP_149_1_aUrv" localSheetId="0" hidden="1">#REF!</definedName>
    <definedName name="FDP_149_1_aUrv" localSheetId="1" hidden="1">#REF!</definedName>
    <definedName name="FDP_149_1_aUrv" hidden="1">#REF!</definedName>
    <definedName name="FDP_151_1_aUrv" localSheetId="2" hidden="1">#REF!</definedName>
    <definedName name="FDP_151_1_aUrv" localSheetId="0" hidden="1">#REF!</definedName>
    <definedName name="FDP_151_1_aUrv" localSheetId="1" hidden="1">#REF!</definedName>
    <definedName name="FDP_151_1_aUrv" hidden="1">#REF!</definedName>
    <definedName name="FDP_153_1_aUrv" localSheetId="2" hidden="1">#REF!</definedName>
    <definedName name="FDP_153_1_aUrv" localSheetId="0" hidden="1">#REF!</definedName>
    <definedName name="FDP_153_1_aUrv" localSheetId="1" hidden="1">#REF!</definedName>
    <definedName name="FDP_153_1_aUrv" hidden="1">#REF!</definedName>
    <definedName name="FDP_155_1_aUrv" localSheetId="2" hidden="1">#REF!</definedName>
    <definedName name="FDP_155_1_aUrv" localSheetId="0" hidden="1">#REF!</definedName>
    <definedName name="FDP_155_1_aUrv" localSheetId="1" hidden="1">#REF!</definedName>
    <definedName name="FDP_155_1_aUrv" hidden="1">#REF!</definedName>
    <definedName name="FDP_156_1_aSrv" localSheetId="2" hidden="1">#REF!</definedName>
    <definedName name="FDP_156_1_aSrv" localSheetId="0" hidden="1">#REF!</definedName>
    <definedName name="FDP_156_1_aSrv" localSheetId="1" hidden="1">#REF!</definedName>
    <definedName name="FDP_156_1_aSrv" hidden="1">#REF!</definedName>
    <definedName name="FDP_157_1_aUrv" localSheetId="2" hidden="1">#REF!</definedName>
    <definedName name="FDP_157_1_aUrv" localSheetId="0" hidden="1">#REF!</definedName>
    <definedName name="FDP_157_1_aUrv" localSheetId="1" hidden="1">#REF!</definedName>
    <definedName name="FDP_157_1_aUrv" hidden="1">#REF!</definedName>
    <definedName name="FDP_159_1_aUrv" localSheetId="2" hidden="1">#REF!</definedName>
    <definedName name="FDP_159_1_aUrv" localSheetId="0" hidden="1">#REF!</definedName>
    <definedName name="FDP_159_1_aUrv" localSheetId="1" hidden="1">#REF!</definedName>
    <definedName name="FDP_159_1_aUrv" hidden="1">#REF!</definedName>
    <definedName name="FDP_16_1_aUrv" localSheetId="2" hidden="1">#REF!</definedName>
    <definedName name="FDP_16_1_aUrv" localSheetId="0" hidden="1">#REF!</definedName>
    <definedName name="FDP_16_1_aUrv" localSheetId="1" hidden="1">#REF!</definedName>
    <definedName name="FDP_16_1_aUrv" hidden="1">#REF!</definedName>
    <definedName name="FDP_165_1_aUrv" localSheetId="2" hidden="1">#REF!</definedName>
    <definedName name="FDP_165_1_aUrv" localSheetId="0" hidden="1">#REF!</definedName>
    <definedName name="FDP_165_1_aUrv" localSheetId="1" hidden="1">#REF!</definedName>
    <definedName name="FDP_165_1_aUrv" hidden="1">#REF!</definedName>
    <definedName name="FDP_166_1_aUrv" localSheetId="2" hidden="1">#REF!</definedName>
    <definedName name="FDP_166_1_aUrv" localSheetId="0" hidden="1">#REF!</definedName>
    <definedName name="FDP_166_1_aUrv" localSheetId="1" hidden="1">#REF!</definedName>
    <definedName name="FDP_166_1_aUrv" hidden="1">#REF!</definedName>
    <definedName name="FDP_167_1_aUrv" localSheetId="2" hidden="1">#REF!</definedName>
    <definedName name="FDP_167_1_aUrv" localSheetId="0" hidden="1">#REF!</definedName>
    <definedName name="FDP_167_1_aUrv" localSheetId="1" hidden="1">#REF!</definedName>
    <definedName name="FDP_167_1_aUrv" hidden="1">#REF!</definedName>
    <definedName name="FDP_168_1_aSrv" localSheetId="2" hidden="1">#REF!</definedName>
    <definedName name="FDP_168_1_aSrv" localSheetId="0" hidden="1">#REF!</definedName>
    <definedName name="FDP_168_1_aSrv" localSheetId="1" hidden="1">#REF!</definedName>
    <definedName name="FDP_168_1_aSrv" hidden="1">#REF!</definedName>
    <definedName name="FDP_169_1_aUrv" localSheetId="2" hidden="1">#REF!</definedName>
    <definedName name="FDP_169_1_aUrv" localSheetId="0" hidden="1">#REF!</definedName>
    <definedName name="FDP_169_1_aUrv" localSheetId="1" hidden="1">#REF!</definedName>
    <definedName name="FDP_169_1_aUrv" hidden="1">#REF!</definedName>
    <definedName name="FDP_170_1_aSrv" localSheetId="2" hidden="1">#REF!</definedName>
    <definedName name="FDP_170_1_aSrv" localSheetId="0" hidden="1">#REF!</definedName>
    <definedName name="FDP_170_1_aSrv" localSheetId="1" hidden="1">#REF!</definedName>
    <definedName name="FDP_170_1_aSrv" hidden="1">#REF!</definedName>
    <definedName name="FDP_171_1_aUrv" localSheetId="2" hidden="1">#REF!</definedName>
    <definedName name="FDP_171_1_aUrv" localSheetId="0" hidden="1">#REF!</definedName>
    <definedName name="FDP_171_1_aUrv" localSheetId="1" hidden="1">#REF!</definedName>
    <definedName name="FDP_171_1_aUrv" hidden="1">#REF!</definedName>
    <definedName name="FDP_172_1_aUrv" localSheetId="2" hidden="1">#REF!</definedName>
    <definedName name="FDP_172_1_aUrv" localSheetId="0" hidden="1">#REF!</definedName>
    <definedName name="FDP_172_1_aUrv" localSheetId="1" hidden="1">#REF!</definedName>
    <definedName name="FDP_172_1_aUrv" hidden="1">#REF!</definedName>
    <definedName name="FDP_173_1_aUrv" localSheetId="2" hidden="1">#REF!</definedName>
    <definedName name="FDP_173_1_aUrv" localSheetId="0" hidden="1">#REF!</definedName>
    <definedName name="FDP_173_1_aUrv" localSheetId="1" hidden="1">#REF!</definedName>
    <definedName name="FDP_173_1_aUrv" hidden="1">#REF!</definedName>
    <definedName name="FDP_174_1_aSrv" localSheetId="2" hidden="1">#REF!</definedName>
    <definedName name="FDP_174_1_aSrv" localSheetId="0" hidden="1">#REF!</definedName>
    <definedName name="FDP_174_1_aSrv" localSheetId="1" hidden="1">#REF!</definedName>
    <definedName name="FDP_174_1_aSrv" hidden="1">#REF!</definedName>
    <definedName name="FDP_174_1_aUrv" localSheetId="2" hidden="1">#REF!</definedName>
    <definedName name="FDP_174_1_aUrv" localSheetId="0" hidden="1">#REF!</definedName>
    <definedName name="FDP_174_1_aUrv" localSheetId="1" hidden="1">#REF!</definedName>
    <definedName name="FDP_174_1_aUrv" hidden="1">#REF!</definedName>
    <definedName name="FDP_175_1_aUrv" localSheetId="2" hidden="1">#REF!</definedName>
    <definedName name="FDP_175_1_aUrv" localSheetId="0" hidden="1">#REF!</definedName>
    <definedName name="FDP_175_1_aUrv" localSheetId="1" hidden="1">#REF!</definedName>
    <definedName name="FDP_175_1_aUrv" hidden="1">#REF!</definedName>
    <definedName name="FDP_176_1_aUrv" localSheetId="2" hidden="1">#REF!</definedName>
    <definedName name="FDP_176_1_aUrv" localSheetId="0" hidden="1">#REF!</definedName>
    <definedName name="FDP_176_1_aUrv" localSheetId="1" hidden="1">#REF!</definedName>
    <definedName name="FDP_176_1_aUrv" hidden="1">#REF!</definedName>
    <definedName name="FDP_177_1_aSrv" localSheetId="2" hidden="1">#REF!</definedName>
    <definedName name="FDP_177_1_aSrv" localSheetId="0" hidden="1">#REF!</definedName>
    <definedName name="FDP_177_1_aSrv" localSheetId="1" hidden="1">#REF!</definedName>
    <definedName name="FDP_177_1_aSrv" hidden="1">#REF!</definedName>
    <definedName name="FDP_177_1_aUrv" localSheetId="2" hidden="1">#REF!</definedName>
    <definedName name="FDP_177_1_aUrv" localSheetId="0" hidden="1">#REF!</definedName>
    <definedName name="FDP_177_1_aUrv" localSheetId="1" hidden="1">#REF!</definedName>
    <definedName name="FDP_177_1_aUrv" hidden="1">#REF!</definedName>
    <definedName name="FDP_178_1_aSrv" localSheetId="2" hidden="1">#REF!</definedName>
    <definedName name="FDP_178_1_aSrv" localSheetId="0" hidden="1">#REF!</definedName>
    <definedName name="FDP_178_1_aSrv" localSheetId="1" hidden="1">#REF!</definedName>
    <definedName name="FDP_178_1_aSrv" hidden="1">#REF!</definedName>
    <definedName name="FDP_178_1_aUrv" localSheetId="2" hidden="1">#REF!</definedName>
    <definedName name="FDP_178_1_aUrv" localSheetId="0" hidden="1">#REF!</definedName>
    <definedName name="FDP_178_1_aUrv" localSheetId="1" hidden="1">#REF!</definedName>
    <definedName name="FDP_178_1_aUrv" hidden="1">#REF!</definedName>
    <definedName name="FDP_179_1_aSrv" localSheetId="2" hidden="1">#REF!</definedName>
    <definedName name="FDP_179_1_aSrv" localSheetId="0" hidden="1">#REF!</definedName>
    <definedName name="FDP_179_1_aSrv" localSheetId="1" hidden="1">#REF!</definedName>
    <definedName name="FDP_179_1_aSrv" hidden="1">#REF!</definedName>
    <definedName name="FDP_179_1_aUrv" localSheetId="2" hidden="1">#REF!</definedName>
    <definedName name="FDP_179_1_aUrv" localSheetId="0" hidden="1">#REF!</definedName>
    <definedName name="FDP_179_1_aUrv" localSheetId="1" hidden="1">#REF!</definedName>
    <definedName name="FDP_179_1_aUrv" hidden="1">#REF!</definedName>
    <definedName name="FDP_18_1_aUrv" localSheetId="2" hidden="1">#REF!</definedName>
    <definedName name="FDP_18_1_aUrv" localSheetId="0" hidden="1">#REF!</definedName>
    <definedName name="FDP_18_1_aUrv" localSheetId="1" hidden="1">#REF!</definedName>
    <definedName name="FDP_18_1_aUrv" hidden="1">#REF!</definedName>
    <definedName name="FDP_180_1_aSrv" localSheetId="2" hidden="1">#REF!</definedName>
    <definedName name="FDP_180_1_aSrv" localSheetId="0" hidden="1">#REF!</definedName>
    <definedName name="FDP_180_1_aSrv" localSheetId="1" hidden="1">#REF!</definedName>
    <definedName name="FDP_180_1_aSrv" hidden="1">#REF!</definedName>
    <definedName name="FDP_181_1_aUrv" localSheetId="2" hidden="1">#REF!</definedName>
    <definedName name="FDP_181_1_aUrv" localSheetId="0" hidden="1">#REF!</definedName>
    <definedName name="FDP_181_1_aUrv" localSheetId="1" hidden="1">#REF!</definedName>
    <definedName name="FDP_181_1_aUrv" hidden="1">#REF!</definedName>
    <definedName name="FDP_182_1_aSrv" localSheetId="2" hidden="1">#REF!</definedName>
    <definedName name="FDP_182_1_aSrv" localSheetId="0" hidden="1">#REF!</definedName>
    <definedName name="FDP_182_1_aSrv" localSheetId="1" hidden="1">#REF!</definedName>
    <definedName name="FDP_182_1_aSrv" hidden="1">#REF!</definedName>
    <definedName name="FDP_183_1_aSrv" localSheetId="2" hidden="1">#REF!</definedName>
    <definedName name="FDP_183_1_aSrv" localSheetId="0" hidden="1">#REF!</definedName>
    <definedName name="FDP_183_1_aSrv" localSheetId="1" hidden="1">#REF!</definedName>
    <definedName name="FDP_183_1_aSrv" hidden="1">#REF!</definedName>
    <definedName name="FDP_184_1_aUrv" localSheetId="2" hidden="1">#REF!</definedName>
    <definedName name="FDP_184_1_aUrv" localSheetId="0" hidden="1">#REF!</definedName>
    <definedName name="FDP_184_1_aUrv" localSheetId="1" hidden="1">#REF!</definedName>
    <definedName name="FDP_184_1_aUrv" hidden="1">#REF!</definedName>
    <definedName name="FDP_185_1_aSrv" localSheetId="2" hidden="1">#REF!</definedName>
    <definedName name="FDP_185_1_aSrv" localSheetId="0" hidden="1">#REF!</definedName>
    <definedName name="FDP_185_1_aSrv" localSheetId="1" hidden="1">#REF!</definedName>
    <definedName name="FDP_185_1_aSrv" hidden="1">#REF!</definedName>
    <definedName name="FDP_186_1_aUrv" localSheetId="2" hidden="1">#REF!</definedName>
    <definedName name="FDP_186_1_aUrv" localSheetId="0" hidden="1">#REF!</definedName>
    <definedName name="FDP_186_1_aUrv" localSheetId="1" hidden="1">#REF!</definedName>
    <definedName name="FDP_186_1_aUrv" hidden="1">#REF!</definedName>
    <definedName name="FDP_187_1_aSrv" localSheetId="2" hidden="1">#REF!</definedName>
    <definedName name="FDP_187_1_aSrv" localSheetId="0" hidden="1">#REF!</definedName>
    <definedName name="FDP_187_1_aSrv" localSheetId="1" hidden="1">#REF!</definedName>
    <definedName name="FDP_187_1_aSrv" hidden="1">#REF!</definedName>
    <definedName name="FDP_188_1_aUrv" localSheetId="2" hidden="1">#REF!</definedName>
    <definedName name="FDP_188_1_aUrv" localSheetId="0" hidden="1">#REF!</definedName>
    <definedName name="FDP_188_1_aUrv" localSheetId="1" hidden="1">#REF!</definedName>
    <definedName name="FDP_188_1_aUrv" hidden="1">#REF!</definedName>
    <definedName name="FDP_189_1_aUrv" localSheetId="2" hidden="1">#REF!</definedName>
    <definedName name="FDP_189_1_aUrv" localSheetId="0" hidden="1">#REF!</definedName>
    <definedName name="FDP_189_1_aUrv" localSheetId="1" hidden="1">#REF!</definedName>
    <definedName name="FDP_189_1_aUrv" hidden="1">#REF!</definedName>
    <definedName name="FDP_19_1_aUrv" localSheetId="2" hidden="1">#REF!</definedName>
    <definedName name="FDP_19_1_aUrv" localSheetId="0" hidden="1">#REF!</definedName>
    <definedName name="FDP_19_1_aUrv" localSheetId="1" hidden="1">#REF!</definedName>
    <definedName name="FDP_19_1_aUrv" hidden="1">#REF!</definedName>
    <definedName name="FDP_190_1_aUrv" localSheetId="2" hidden="1">#REF!</definedName>
    <definedName name="FDP_190_1_aUrv" localSheetId="0" hidden="1">#REF!</definedName>
    <definedName name="FDP_190_1_aUrv" localSheetId="1" hidden="1">#REF!</definedName>
    <definedName name="FDP_190_1_aUrv" hidden="1">#REF!</definedName>
    <definedName name="FDP_191_1_aUrv" localSheetId="2" hidden="1">#REF!</definedName>
    <definedName name="FDP_191_1_aUrv" localSheetId="0" hidden="1">#REF!</definedName>
    <definedName name="FDP_191_1_aUrv" localSheetId="1" hidden="1">#REF!</definedName>
    <definedName name="FDP_191_1_aUrv" hidden="1">#REF!</definedName>
    <definedName name="FDP_192_1_aSrv" localSheetId="2" hidden="1">#REF!</definedName>
    <definedName name="FDP_192_1_aSrv" localSheetId="0" hidden="1">#REF!</definedName>
    <definedName name="FDP_192_1_aSrv" localSheetId="1" hidden="1">#REF!</definedName>
    <definedName name="FDP_192_1_aSrv" hidden="1">#REF!</definedName>
    <definedName name="FDP_193_1_aUrv" localSheetId="2" hidden="1">#REF!</definedName>
    <definedName name="FDP_193_1_aUrv" localSheetId="0" hidden="1">#REF!</definedName>
    <definedName name="FDP_193_1_aUrv" localSheetId="1" hidden="1">#REF!</definedName>
    <definedName name="FDP_193_1_aUrv" hidden="1">#REF!</definedName>
    <definedName name="FDP_194_1_aUrv" localSheetId="2" hidden="1">#REF!</definedName>
    <definedName name="FDP_194_1_aUrv" localSheetId="0" hidden="1">#REF!</definedName>
    <definedName name="FDP_194_1_aUrv" localSheetId="1" hidden="1">#REF!</definedName>
    <definedName name="FDP_194_1_aUrv" hidden="1">#REF!</definedName>
    <definedName name="FDP_195_1_aUrv" localSheetId="2" hidden="1">#REF!</definedName>
    <definedName name="FDP_195_1_aUrv" localSheetId="0" hidden="1">#REF!</definedName>
    <definedName name="FDP_195_1_aUrv" localSheetId="1" hidden="1">#REF!</definedName>
    <definedName name="FDP_195_1_aUrv" hidden="1">#REF!</definedName>
    <definedName name="FDP_196_1_aSrv" localSheetId="2" hidden="1">#REF!</definedName>
    <definedName name="FDP_196_1_aSrv" localSheetId="0" hidden="1">#REF!</definedName>
    <definedName name="FDP_196_1_aSrv" localSheetId="1" hidden="1">#REF!</definedName>
    <definedName name="FDP_196_1_aSrv" hidden="1">#REF!</definedName>
    <definedName name="FDP_197_1_aUrv" localSheetId="2" hidden="1">#REF!</definedName>
    <definedName name="FDP_197_1_aUrv" localSheetId="0" hidden="1">#REF!</definedName>
    <definedName name="FDP_197_1_aUrv" localSheetId="1" hidden="1">#REF!</definedName>
    <definedName name="FDP_197_1_aUrv" hidden="1">#REF!</definedName>
    <definedName name="FDP_198_1_aSrv" localSheetId="2" hidden="1">#REF!</definedName>
    <definedName name="FDP_198_1_aSrv" localSheetId="0" hidden="1">#REF!</definedName>
    <definedName name="FDP_198_1_aSrv" localSheetId="1" hidden="1">#REF!</definedName>
    <definedName name="FDP_198_1_aSrv" hidden="1">#REF!</definedName>
    <definedName name="FDP_199_1_aUrv" localSheetId="2" hidden="1">#REF!</definedName>
    <definedName name="FDP_199_1_aUrv" localSheetId="0" hidden="1">#REF!</definedName>
    <definedName name="FDP_199_1_aUrv" localSheetId="1" hidden="1">#REF!</definedName>
    <definedName name="FDP_199_1_aUrv" hidden="1">#REF!</definedName>
    <definedName name="FDP_2_1_aUrv" localSheetId="2" hidden="1">#REF!</definedName>
    <definedName name="FDP_2_1_aUrv" localSheetId="0" hidden="1">#REF!</definedName>
    <definedName name="FDP_2_1_aUrv" localSheetId="1" hidden="1">#REF!</definedName>
    <definedName name="FDP_2_1_aUrv" hidden="1">#REF!</definedName>
    <definedName name="FDP_20_1_aUrv" localSheetId="2" hidden="1">#REF!</definedName>
    <definedName name="FDP_20_1_aUrv" localSheetId="0" hidden="1">#REF!</definedName>
    <definedName name="FDP_20_1_aUrv" localSheetId="1" hidden="1">#REF!</definedName>
    <definedName name="FDP_20_1_aUrv" hidden="1">#REF!</definedName>
    <definedName name="FDP_200_1_aUrv" localSheetId="2" hidden="1">#REF!</definedName>
    <definedName name="FDP_200_1_aUrv" localSheetId="0" hidden="1">#REF!</definedName>
    <definedName name="FDP_200_1_aUrv" localSheetId="1" hidden="1">#REF!</definedName>
    <definedName name="FDP_200_1_aUrv" hidden="1">#REF!</definedName>
    <definedName name="FDP_201_1_aUrv" localSheetId="2" hidden="1">#REF!</definedName>
    <definedName name="FDP_201_1_aUrv" localSheetId="0" hidden="1">#REF!</definedName>
    <definedName name="FDP_201_1_aUrv" localSheetId="1" hidden="1">#REF!</definedName>
    <definedName name="FDP_201_1_aUrv" hidden="1">#REF!</definedName>
    <definedName name="FDP_202_1_aUrv" localSheetId="2" hidden="1">#REF!</definedName>
    <definedName name="FDP_202_1_aUrv" localSheetId="0" hidden="1">#REF!</definedName>
    <definedName name="FDP_202_1_aUrv" localSheetId="1" hidden="1">#REF!</definedName>
    <definedName name="FDP_202_1_aUrv" hidden="1">#REF!</definedName>
    <definedName name="FDP_203_1_aSrv" localSheetId="2" hidden="1">#REF!</definedName>
    <definedName name="FDP_203_1_aSrv" localSheetId="0" hidden="1">#REF!</definedName>
    <definedName name="FDP_203_1_aSrv" localSheetId="1" hidden="1">#REF!</definedName>
    <definedName name="FDP_203_1_aSrv" hidden="1">#REF!</definedName>
    <definedName name="FDP_204_1_aUrv" localSheetId="2" hidden="1">#REF!</definedName>
    <definedName name="FDP_204_1_aUrv" localSheetId="0" hidden="1">#REF!</definedName>
    <definedName name="FDP_204_1_aUrv" localSheetId="1" hidden="1">#REF!</definedName>
    <definedName name="FDP_204_1_aUrv" hidden="1">#REF!</definedName>
    <definedName name="FDP_205_1_aUrv" localSheetId="2" hidden="1">#REF!</definedName>
    <definedName name="FDP_205_1_aUrv" localSheetId="0" hidden="1">#REF!</definedName>
    <definedName name="FDP_205_1_aUrv" localSheetId="1" hidden="1">#REF!</definedName>
    <definedName name="FDP_205_1_aUrv" hidden="1">#REF!</definedName>
    <definedName name="FDP_206_1_aUrv" localSheetId="2" hidden="1">#REF!</definedName>
    <definedName name="FDP_206_1_aUrv" localSheetId="0" hidden="1">#REF!</definedName>
    <definedName name="FDP_206_1_aUrv" localSheetId="1" hidden="1">#REF!</definedName>
    <definedName name="FDP_206_1_aUrv" hidden="1">#REF!</definedName>
    <definedName name="FDP_207_1_aUrv" localSheetId="2" hidden="1">#REF!</definedName>
    <definedName name="FDP_207_1_aUrv" localSheetId="0" hidden="1">#REF!</definedName>
    <definedName name="FDP_207_1_aUrv" localSheetId="1" hidden="1">#REF!</definedName>
    <definedName name="FDP_207_1_aUrv" hidden="1">#REF!</definedName>
    <definedName name="FDP_208_1_aSrv" localSheetId="2" hidden="1">#REF!</definedName>
    <definedName name="FDP_208_1_aSrv" localSheetId="0" hidden="1">#REF!</definedName>
    <definedName name="FDP_208_1_aSrv" localSheetId="1" hidden="1">#REF!</definedName>
    <definedName name="FDP_208_1_aSrv" hidden="1">#REF!</definedName>
    <definedName name="FDP_209_1_aUrv" localSheetId="2" hidden="1">#REF!</definedName>
    <definedName name="FDP_209_1_aUrv" localSheetId="0" hidden="1">#REF!</definedName>
    <definedName name="FDP_209_1_aUrv" localSheetId="1" hidden="1">#REF!</definedName>
    <definedName name="FDP_209_1_aUrv" hidden="1">#REF!</definedName>
    <definedName name="FDP_21_1_aUrv" localSheetId="2" hidden="1">#REF!</definedName>
    <definedName name="FDP_21_1_aUrv" localSheetId="0" hidden="1">#REF!</definedName>
    <definedName name="FDP_21_1_aUrv" localSheetId="1" hidden="1">#REF!</definedName>
    <definedName name="FDP_21_1_aUrv" hidden="1">#REF!</definedName>
    <definedName name="FDP_210_1_aUrv" localSheetId="2" hidden="1">#REF!</definedName>
    <definedName name="FDP_210_1_aUrv" localSheetId="0" hidden="1">#REF!</definedName>
    <definedName name="FDP_210_1_aUrv" localSheetId="1" hidden="1">#REF!</definedName>
    <definedName name="FDP_210_1_aUrv" hidden="1">#REF!</definedName>
    <definedName name="FDP_211_1_aUrv" localSheetId="2" hidden="1">#REF!</definedName>
    <definedName name="FDP_211_1_aUrv" localSheetId="0" hidden="1">#REF!</definedName>
    <definedName name="FDP_211_1_aUrv" localSheetId="1" hidden="1">#REF!</definedName>
    <definedName name="FDP_211_1_aUrv" hidden="1">#REF!</definedName>
    <definedName name="FDP_212_1_aUrv" localSheetId="2" hidden="1">#REF!</definedName>
    <definedName name="FDP_212_1_aUrv" localSheetId="0" hidden="1">#REF!</definedName>
    <definedName name="FDP_212_1_aUrv" localSheetId="1" hidden="1">#REF!</definedName>
    <definedName name="FDP_212_1_aUrv" hidden="1">#REF!</definedName>
    <definedName name="FDP_213_1_aSrv" localSheetId="2" hidden="1">#REF!</definedName>
    <definedName name="FDP_213_1_aSrv" localSheetId="0" hidden="1">#REF!</definedName>
    <definedName name="FDP_213_1_aSrv" localSheetId="1" hidden="1">#REF!</definedName>
    <definedName name="FDP_213_1_aSrv" hidden="1">#REF!</definedName>
    <definedName name="FDP_214_1_aUrv" localSheetId="2" hidden="1">#REF!</definedName>
    <definedName name="FDP_214_1_aUrv" localSheetId="0" hidden="1">#REF!</definedName>
    <definedName name="FDP_214_1_aUrv" localSheetId="1" hidden="1">#REF!</definedName>
    <definedName name="FDP_214_1_aUrv" hidden="1">#REF!</definedName>
    <definedName name="FDP_215_1_aUrv" localSheetId="2" hidden="1">#REF!</definedName>
    <definedName name="FDP_215_1_aUrv" localSheetId="0" hidden="1">#REF!</definedName>
    <definedName name="FDP_215_1_aUrv" localSheetId="1" hidden="1">#REF!</definedName>
    <definedName name="FDP_215_1_aUrv" hidden="1">#REF!</definedName>
    <definedName name="FDP_216_1_aUrv" localSheetId="2" hidden="1">#REF!</definedName>
    <definedName name="FDP_216_1_aUrv" localSheetId="0" hidden="1">#REF!</definedName>
    <definedName name="FDP_216_1_aUrv" localSheetId="1" hidden="1">#REF!</definedName>
    <definedName name="FDP_216_1_aUrv" hidden="1">#REF!</definedName>
    <definedName name="FDP_217_1_aUrv" localSheetId="2" hidden="1">#REF!</definedName>
    <definedName name="FDP_217_1_aUrv" localSheetId="0" hidden="1">#REF!</definedName>
    <definedName name="FDP_217_1_aUrv" localSheetId="1" hidden="1">#REF!</definedName>
    <definedName name="FDP_217_1_aUrv" hidden="1">#REF!</definedName>
    <definedName name="FDP_218_1_aSrv" localSheetId="2" hidden="1">#REF!</definedName>
    <definedName name="FDP_218_1_aSrv" localSheetId="0" hidden="1">#REF!</definedName>
    <definedName name="FDP_218_1_aSrv" localSheetId="1" hidden="1">#REF!</definedName>
    <definedName name="FDP_218_1_aSrv" hidden="1">#REF!</definedName>
    <definedName name="FDP_219_1_aSrv" localSheetId="2" hidden="1">#REF!</definedName>
    <definedName name="FDP_219_1_aSrv" localSheetId="0" hidden="1">#REF!</definedName>
    <definedName name="FDP_219_1_aSrv" localSheetId="1" hidden="1">#REF!</definedName>
    <definedName name="FDP_219_1_aSrv" hidden="1">#REF!</definedName>
    <definedName name="FDP_22_1_aUrv" localSheetId="2" hidden="1">#REF!</definedName>
    <definedName name="FDP_22_1_aUrv" localSheetId="0" hidden="1">#REF!</definedName>
    <definedName name="FDP_22_1_aUrv" localSheetId="1" hidden="1">#REF!</definedName>
    <definedName name="FDP_22_1_aUrv" hidden="1">#REF!</definedName>
    <definedName name="FDP_220_1_aSrv" localSheetId="2" hidden="1">#REF!</definedName>
    <definedName name="FDP_220_1_aSrv" localSheetId="0" hidden="1">#REF!</definedName>
    <definedName name="FDP_220_1_aSrv" localSheetId="1" hidden="1">#REF!</definedName>
    <definedName name="FDP_220_1_aSrv" hidden="1">#REF!</definedName>
    <definedName name="FDP_221_1_aSrv" localSheetId="2" hidden="1">#REF!</definedName>
    <definedName name="FDP_221_1_aSrv" localSheetId="0" hidden="1">#REF!</definedName>
    <definedName name="FDP_221_1_aSrv" localSheetId="1" hidden="1">#REF!</definedName>
    <definedName name="FDP_221_1_aSrv" hidden="1">#REF!</definedName>
    <definedName name="FDP_222_1_aSrv" localSheetId="2" hidden="1">#REF!</definedName>
    <definedName name="FDP_222_1_aSrv" localSheetId="0" hidden="1">#REF!</definedName>
    <definedName name="FDP_222_1_aSrv" localSheetId="1" hidden="1">#REF!</definedName>
    <definedName name="FDP_222_1_aSrv" hidden="1">#REF!</definedName>
    <definedName name="FDP_223_1_aSrv" localSheetId="2" hidden="1">#REF!</definedName>
    <definedName name="FDP_223_1_aSrv" localSheetId="0" hidden="1">#REF!</definedName>
    <definedName name="FDP_223_1_aSrv" localSheetId="1" hidden="1">#REF!</definedName>
    <definedName name="FDP_223_1_aSrv" hidden="1">#REF!</definedName>
    <definedName name="FDP_224_1_aUrv" localSheetId="2" hidden="1">#REF!</definedName>
    <definedName name="FDP_224_1_aUrv" localSheetId="0" hidden="1">#REF!</definedName>
    <definedName name="FDP_224_1_aUrv" localSheetId="1" hidden="1">#REF!</definedName>
    <definedName name="FDP_224_1_aUrv" hidden="1">#REF!</definedName>
    <definedName name="FDP_225_1_aUrv" localSheetId="2" hidden="1">#REF!</definedName>
    <definedName name="FDP_225_1_aUrv" localSheetId="0" hidden="1">#REF!</definedName>
    <definedName name="FDP_225_1_aUrv" localSheetId="1" hidden="1">#REF!</definedName>
    <definedName name="FDP_225_1_aUrv" hidden="1">#REF!</definedName>
    <definedName name="FDP_226_1_aUrv" localSheetId="2" hidden="1">#REF!</definedName>
    <definedName name="FDP_226_1_aUrv" localSheetId="0" hidden="1">#REF!</definedName>
    <definedName name="FDP_226_1_aUrv" localSheetId="1" hidden="1">#REF!</definedName>
    <definedName name="FDP_226_1_aUrv" hidden="1">#REF!</definedName>
    <definedName name="FDP_227_1_aUrv" localSheetId="2" hidden="1">#REF!</definedName>
    <definedName name="FDP_227_1_aUrv" localSheetId="0" hidden="1">#REF!</definedName>
    <definedName name="FDP_227_1_aUrv" localSheetId="1" hidden="1">#REF!</definedName>
    <definedName name="FDP_227_1_aUrv" hidden="1">#REF!</definedName>
    <definedName name="FDP_228_1_aSrv" localSheetId="2" hidden="1">#REF!</definedName>
    <definedName name="FDP_228_1_aSrv" localSheetId="0" hidden="1">#REF!</definedName>
    <definedName name="FDP_228_1_aSrv" localSheetId="1" hidden="1">#REF!</definedName>
    <definedName name="FDP_228_1_aSrv" hidden="1">#REF!</definedName>
    <definedName name="FDP_229_1_aSrv" localSheetId="2" hidden="1">#REF!</definedName>
    <definedName name="FDP_229_1_aSrv" localSheetId="0" hidden="1">#REF!</definedName>
    <definedName name="FDP_229_1_aSrv" localSheetId="1" hidden="1">#REF!</definedName>
    <definedName name="FDP_229_1_aSrv" hidden="1">#REF!</definedName>
    <definedName name="FDP_23_1_aUrv" localSheetId="2" hidden="1">#REF!</definedName>
    <definedName name="FDP_23_1_aUrv" localSheetId="0" hidden="1">#REF!</definedName>
    <definedName name="FDP_23_1_aUrv" localSheetId="1" hidden="1">#REF!</definedName>
    <definedName name="FDP_23_1_aUrv" hidden="1">#REF!</definedName>
    <definedName name="FDP_230_1_aSrv" localSheetId="2" hidden="1">#REF!</definedName>
    <definedName name="FDP_230_1_aSrv" localSheetId="0" hidden="1">#REF!</definedName>
    <definedName name="FDP_230_1_aSrv" localSheetId="1" hidden="1">#REF!</definedName>
    <definedName name="FDP_230_1_aSrv" hidden="1">#REF!</definedName>
    <definedName name="FDP_231_1_aSrv" localSheetId="2" hidden="1">#REF!</definedName>
    <definedName name="FDP_231_1_aSrv" localSheetId="0" hidden="1">#REF!</definedName>
    <definedName name="FDP_231_1_aSrv" localSheetId="1" hidden="1">#REF!</definedName>
    <definedName name="FDP_231_1_aSrv" hidden="1">#REF!</definedName>
    <definedName name="FDP_232_1_aSrv" localSheetId="2" hidden="1">#REF!</definedName>
    <definedName name="FDP_232_1_aSrv" localSheetId="0" hidden="1">#REF!</definedName>
    <definedName name="FDP_232_1_aSrv" localSheetId="1" hidden="1">#REF!</definedName>
    <definedName name="FDP_232_1_aSrv" hidden="1">#REF!</definedName>
    <definedName name="FDP_233_1_aSrv" localSheetId="2" hidden="1">#REF!</definedName>
    <definedName name="FDP_233_1_aSrv" localSheetId="0" hidden="1">#REF!</definedName>
    <definedName name="FDP_233_1_aSrv" localSheetId="1" hidden="1">#REF!</definedName>
    <definedName name="FDP_233_1_aSrv" hidden="1">#REF!</definedName>
    <definedName name="FDP_234_1_aUrv" localSheetId="2" hidden="1">#REF!</definedName>
    <definedName name="FDP_234_1_aUrv" localSheetId="0" hidden="1">#REF!</definedName>
    <definedName name="FDP_234_1_aUrv" localSheetId="1" hidden="1">#REF!</definedName>
    <definedName name="FDP_234_1_aUrv" hidden="1">#REF!</definedName>
    <definedName name="FDP_235_1_aUrv" localSheetId="2" hidden="1">#REF!</definedName>
    <definedName name="FDP_235_1_aUrv" localSheetId="0" hidden="1">#REF!</definedName>
    <definedName name="FDP_235_1_aUrv" localSheetId="1" hidden="1">#REF!</definedName>
    <definedName name="FDP_235_1_aUrv" hidden="1">#REF!</definedName>
    <definedName name="FDP_236_1_aUrv" localSheetId="2" hidden="1">#REF!</definedName>
    <definedName name="FDP_236_1_aUrv" localSheetId="0" hidden="1">#REF!</definedName>
    <definedName name="FDP_236_1_aUrv" localSheetId="1" hidden="1">#REF!</definedName>
    <definedName name="FDP_236_1_aUrv" hidden="1">#REF!</definedName>
    <definedName name="FDP_237_1_aUrv" localSheetId="2" hidden="1">#REF!</definedName>
    <definedName name="FDP_237_1_aUrv" localSheetId="0" hidden="1">#REF!</definedName>
    <definedName name="FDP_237_1_aUrv" localSheetId="1" hidden="1">#REF!</definedName>
    <definedName name="FDP_237_1_aUrv" hidden="1">#REF!</definedName>
    <definedName name="FDP_238_1_aSrv" localSheetId="2" hidden="1">#REF!</definedName>
    <definedName name="FDP_238_1_aSrv" localSheetId="0" hidden="1">#REF!</definedName>
    <definedName name="FDP_238_1_aSrv" localSheetId="1" hidden="1">#REF!</definedName>
    <definedName name="FDP_238_1_aSrv" hidden="1">#REF!</definedName>
    <definedName name="FDP_24_1_aUrv" localSheetId="2" hidden="1">#REF!</definedName>
    <definedName name="FDP_24_1_aUrv" localSheetId="0" hidden="1">#REF!</definedName>
    <definedName name="FDP_24_1_aUrv" localSheetId="1" hidden="1">#REF!</definedName>
    <definedName name="FDP_24_1_aUrv" hidden="1">#REF!</definedName>
    <definedName name="FDP_243_1_aSrv" localSheetId="2" hidden="1">#REF!</definedName>
    <definedName name="FDP_243_1_aSrv" localSheetId="0" hidden="1">#REF!</definedName>
    <definedName name="FDP_243_1_aSrv" localSheetId="1" hidden="1">#REF!</definedName>
    <definedName name="FDP_243_1_aSrv" hidden="1">#REF!</definedName>
    <definedName name="FDP_244_1_aSrv" localSheetId="2" hidden="1">#REF!</definedName>
    <definedName name="FDP_244_1_aSrv" localSheetId="0" hidden="1">#REF!</definedName>
    <definedName name="FDP_244_1_aSrv" localSheetId="1" hidden="1">#REF!</definedName>
    <definedName name="FDP_244_1_aSrv" hidden="1">#REF!</definedName>
    <definedName name="FDP_245_1_aSrv" localSheetId="2" hidden="1">#REF!</definedName>
    <definedName name="FDP_245_1_aSrv" localSheetId="0" hidden="1">#REF!</definedName>
    <definedName name="FDP_245_1_aSrv" localSheetId="1" hidden="1">#REF!</definedName>
    <definedName name="FDP_245_1_aSrv" hidden="1">#REF!</definedName>
    <definedName name="FDP_246_1_aSrv" localSheetId="2" hidden="1">#REF!</definedName>
    <definedName name="FDP_246_1_aSrv" localSheetId="0" hidden="1">#REF!</definedName>
    <definedName name="FDP_246_1_aSrv" localSheetId="1" hidden="1">#REF!</definedName>
    <definedName name="FDP_246_1_aSrv" hidden="1">#REF!</definedName>
    <definedName name="FDP_247_1_aSrv" localSheetId="2" hidden="1">#REF!</definedName>
    <definedName name="FDP_247_1_aSrv" localSheetId="0" hidden="1">#REF!</definedName>
    <definedName name="FDP_247_1_aSrv" localSheetId="1" hidden="1">#REF!</definedName>
    <definedName name="FDP_247_1_aSrv" hidden="1">#REF!</definedName>
    <definedName name="FDP_248_1_aSrv" localSheetId="2" hidden="1">#REF!</definedName>
    <definedName name="FDP_248_1_aSrv" localSheetId="0" hidden="1">#REF!</definedName>
    <definedName name="FDP_248_1_aSrv" localSheetId="1" hidden="1">#REF!</definedName>
    <definedName name="FDP_248_1_aSrv" hidden="1">#REF!</definedName>
    <definedName name="FDP_249_1_aSrv" localSheetId="2" hidden="1">#REF!</definedName>
    <definedName name="FDP_249_1_aSrv" localSheetId="0" hidden="1">#REF!</definedName>
    <definedName name="FDP_249_1_aSrv" localSheetId="1" hidden="1">#REF!</definedName>
    <definedName name="FDP_249_1_aSrv" hidden="1">#REF!</definedName>
    <definedName name="FDP_25_1_aUrv" localSheetId="2" hidden="1">#REF!</definedName>
    <definedName name="FDP_25_1_aUrv" localSheetId="0" hidden="1">#REF!</definedName>
    <definedName name="FDP_25_1_aUrv" localSheetId="1" hidden="1">#REF!</definedName>
    <definedName name="FDP_25_1_aUrv" hidden="1">#REF!</definedName>
    <definedName name="FDP_250_1_aSrv" localSheetId="2" hidden="1">#REF!</definedName>
    <definedName name="FDP_250_1_aSrv" localSheetId="0" hidden="1">#REF!</definedName>
    <definedName name="FDP_250_1_aSrv" localSheetId="1" hidden="1">#REF!</definedName>
    <definedName name="FDP_250_1_aSrv" hidden="1">#REF!</definedName>
    <definedName name="FDP_251_1_aSrv" localSheetId="2" hidden="1">#REF!</definedName>
    <definedName name="FDP_251_1_aSrv" localSheetId="0" hidden="1">#REF!</definedName>
    <definedName name="FDP_251_1_aSrv" localSheetId="1" hidden="1">#REF!</definedName>
    <definedName name="FDP_251_1_aSrv" hidden="1">#REF!</definedName>
    <definedName name="FDP_252_1_aSrv" localSheetId="2" hidden="1">#REF!</definedName>
    <definedName name="FDP_252_1_aSrv" localSheetId="0" hidden="1">#REF!</definedName>
    <definedName name="FDP_252_1_aSrv" localSheetId="1" hidden="1">#REF!</definedName>
    <definedName name="FDP_252_1_aSrv" hidden="1">#REF!</definedName>
    <definedName name="FDP_253_1_aSrv" localSheetId="2" hidden="1">#REF!</definedName>
    <definedName name="FDP_253_1_aSrv" localSheetId="0" hidden="1">#REF!</definedName>
    <definedName name="FDP_253_1_aSrv" localSheetId="1" hidden="1">#REF!</definedName>
    <definedName name="FDP_253_1_aSrv" hidden="1">#REF!</definedName>
    <definedName name="FDP_254_1_aSrv" localSheetId="2" hidden="1">#REF!</definedName>
    <definedName name="FDP_254_1_aSrv" localSheetId="0" hidden="1">#REF!</definedName>
    <definedName name="FDP_254_1_aSrv" localSheetId="1" hidden="1">#REF!</definedName>
    <definedName name="FDP_254_1_aSrv" hidden="1">#REF!</definedName>
    <definedName name="FDP_255_1_aSrv" localSheetId="2" hidden="1">#REF!</definedName>
    <definedName name="FDP_255_1_aSrv" localSheetId="0" hidden="1">#REF!</definedName>
    <definedName name="FDP_255_1_aSrv" localSheetId="1" hidden="1">#REF!</definedName>
    <definedName name="FDP_255_1_aSrv" hidden="1">#REF!</definedName>
    <definedName name="FDP_256_1_aSrv" localSheetId="2" hidden="1">#REF!</definedName>
    <definedName name="FDP_256_1_aSrv" localSheetId="0" hidden="1">#REF!</definedName>
    <definedName name="FDP_256_1_aSrv" localSheetId="1" hidden="1">#REF!</definedName>
    <definedName name="FDP_256_1_aSrv" hidden="1">#REF!</definedName>
    <definedName name="FDP_257_1_aSrv" localSheetId="2" hidden="1">#REF!</definedName>
    <definedName name="FDP_257_1_aSrv" localSheetId="0" hidden="1">#REF!</definedName>
    <definedName name="FDP_257_1_aSrv" localSheetId="1" hidden="1">#REF!</definedName>
    <definedName name="FDP_257_1_aSrv" hidden="1">#REF!</definedName>
    <definedName name="FDP_258_1_aSrv" localSheetId="2" hidden="1">#REF!</definedName>
    <definedName name="FDP_258_1_aSrv" localSheetId="0" hidden="1">#REF!</definedName>
    <definedName name="FDP_258_1_aSrv" localSheetId="1" hidden="1">#REF!</definedName>
    <definedName name="FDP_258_1_aSrv" hidden="1">#REF!</definedName>
    <definedName name="FDP_259_1_aSrv" localSheetId="2" hidden="1">#REF!</definedName>
    <definedName name="FDP_259_1_aSrv" localSheetId="0" hidden="1">#REF!</definedName>
    <definedName name="FDP_259_1_aSrv" localSheetId="1" hidden="1">#REF!</definedName>
    <definedName name="FDP_259_1_aSrv" hidden="1">#REF!</definedName>
    <definedName name="FDP_26_1_aUrv" localSheetId="2" hidden="1">#REF!</definedName>
    <definedName name="FDP_26_1_aUrv" localSheetId="0" hidden="1">#REF!</definedName>
    <definedName name="FDP_26_1_aUrv" localSheetId="1" hidden="1">#REF!</definedName>
    <definedName name="FDP_26_1_aUrv" hidden="1">#REF!</definedName>
    <definedName name="FDP_260_1_aSrv" localSheetId="2" hidden="1">#REF!</definedName>
    <definedName name="FDP_260_1_aSrv" localSheetId="0" hidden="1">#REF!</definedName>
    <definedName name="FDP_260_1_aSrv" localSheetId="1" hidden="1">#REF!</definedName>
    <definedName name="FDP_260_1_aSrv" hidden="1">#REF!</definedName>
    <definedName name="FDP_261_1_aSrv" localSheetId="2" hidden="1">#REF!</definedName>
    <definedName name="FDP_261_1_aSrv" localSheetId="0" hidden="1">#REF!</definedName>
    <definedName name="FDP_261_1_aSrv" localSheetId="1" hidden="1">#REF!</definedName>
    <definedName name="FDP_261_1_aSrv" hidden="1">#REF!</definedName>
    <definedName name="FDP_264_1_aUrv" localSheetId="2" hidden="1">#REF!</definedName>
    <definedName name="FDP_264_1_aUrv" localSheetId="0" hidden="1">#REF!</definedName>
    <definedName name="FDP_264_1_aUrv" localSheetId="1" hidden="1">#REF!</definedName>
    <definedName name="FDP_264_1_aUrv" hidden="1">#REF!</definedName>
    <definedName name="FDP_265_1_aUrv" localSheetId="2" hidden="1">#REF!</definedName>
    <definedName name="FDP_265_1_aUrv" localSheetId="0" hidden="1">#REF!</definedName>
    <definedName name="FDP_265_1_aUrv" localSheetId="1" hidden="1">#REF!</definedName>
    <definedName name="FDP_265_1_aUrv" hidden="1">#REF!</definedName>
    <definedName name="FDP_266_1_aUrv" localSheetId="2" hidden="1">#REF!</definedName>
    <definedName name="FDP_266_1_aUrv" localSheetId="0" hidden="1">#REF!</definedName>
    <definedName name="FDP_266_1_aUrv" localSheetId="1" hidden="1">#REF!</definedName>
    <definedName name="FDP_266_1_aUrv" hidden="1">#REF!</definedName>
    <definedName name="FDP_267_1_aUrv" localSheetId="2" hidden="1">#REF!</definedName>
    <definedName name="FDP_267_1_aUrv" localSheetId="0" hidden="1">#REF!</definedName>
    <definedName name="FDP_267_1_aUrv" localSheetId="1" hidden="1">#REF!</definedName>
    <definedName name="FDP_267_1_aUrv" hidden="1">#REF!</definedName>
    <definedName name="FDP_268_1_aUrv" localSheetId="2" hidden="1">#REF!</definedName>
    <definedName name="FDP_268_1_aUrv" localSheetId="0" hidden="1">#REF!</definedName>
    <definedName name="FDP_268_1_aUrv" localSheetId="1" hidden="1">#REF!</definedName>
    <definedName name="FDP_268_1_aUrv" hidden="1">#REF!</definedName>
    <definedName name="FDP_269_1_aUrv" localSheetId="2" hidden="1">#REF!</definedName>
    <definedName name="FDP_269_1_aUrv" localSheetId="0" hidden="1">#REF!</definedName>
    <definedName name="FDP_269_1_aUrv" localSheetId="1" hidden="1">#REF!</definedName>
    <definedName name="FDP_269_1_aUrv" hidden="1">#REF!</definedName>
    <definedName name="FDP_27_1_aUrv" localSheetId="2" hidden="1">#REF!</definedName>
    <definedName name="FDP_27_1_aUrv" localSheetId="0" hidden="1">#REF!</definedName>
    <definedName name="FDP_27_1_aUrv" localSheetId="1" hidden="1">#REF!</definedName>
    <definedName name="FDP_27_1_aUrv" hidden="1">#REF!</definedName>
    <definedName name="FDP_270_1_aUrv" localSheetId="2" hidden="1">#REF!</definedName>
    <definedName name="FDP_270_1_aUrv" localSheetId="0" hidden="1">#REF!</definedName>
    <definedName name="FDP_270_1_aUrv" localSheetId="1" hidden="1">#REF!</definedName>
    <definedName name="FDP_270_1_aUrv" hidden="1">#REF!</definedName>
    <definedName name="FDP_271_1_aUrv" localSheetId="2" hidden="1">#REF!</definedName>
    <definedName name="FDP_271_1_aUrv" localSheetId="0" hidden="1">#REF!</definedName>
    <definedName name="FDP_271_1_aUrv" localSheetId="1" hidden="1">#REF!</definedName>
    <definedName name="FDP_271_1_aUrv" hidden="1">#REF!</definedName>
    <definedName name="FDP_272_1_aUrv" localSheetId="2" hidden="1">#REF!</definedName>
    <definedName name="FDP_272_1_aUrv" localSheetId="0" hidden="1">#REF!</definedName>
    <definedName name="FDP_272_1_aUrv" localSheetId="1" hidden="1">#REF!</definedName>
    <definedName name="FDP_272_1_aUrv" hidden="1">#REF!</definedName>
    <definedName name="FDP_273_1_aUrv" localSheetId="2" hidden="1">#REF!</definedName>
    <definedName name="FDP_273_1_aUrv" localSheetId="0" hidden="1">#REF!</definedName>
    <definedName name="FDP_273_1_aUrv" localSheetId="1" hidden="1">#REF!</definedName>
    <definedName name="FDP_273_1_aUrv" hidden="1">#REF!</definedName>
    <definedName name="FDP_274_1_aUrv" localSheetId="2" hidden="1">#REF!</definedName>
    <definedName name="FDP_274_1_aUrv" localSheetId="0" hidden="1">#REF!</definedName>
    <definedName name="FDP_274_1_aUrv" localSheetId="1" hidden="1">#REF!</definedName>
    <definedName name="FDP_274_1_aUrv" hidden="1">#REF!</definedName>
    <definedName name="FDP_275_1_aUrv" localSheetId="2" hidden="1">#REF!</definedName>
    <definedName name="FDP_275_1_aUrv" localSheetId="0" hidden="1">#REF!</definedName>
    <definedName name="FDP_275_1_aUrv" localSheetId="1" hidden="1">#REF!</definedName>
    <definedName name="FDP_275_1_aUrv" hidden="1">#REF!</definedName>
    <definedName name="FDP_276_1_aUrv" localSheetId="2" hidden="1">#REF!</definedName>
    <definedName name="FDP_276_1_aUrv" localSheetId="0" hidden="1">#REF!</definedName>
    <definedName name="FDP_276_1_aUrv" localSheetId="1" hidden="1">#REF!</definedName>
    <definedName name="FDP_276_1_aUrv" hidden="1">#REF!</definedName>
    <definedName name="FDP_277_1_aUrv" localSheetId="2" hidden="1">#REF!</definedName>
    <definedName name="FDP_277_1_aUrv" localSheetId="0" hidden="1">#REF!</definedName>
    <definedName name="FDP_277_1_aUrv" localSheetId="1" hidden="1">#REF!</definedName>
    <definedName name="FDP_277_1_aUrv" hidden="1">#REF!</definedName>
    <definedName name="FDP_278_1_aUrv" localSheetId="2" hidden="1">#REF!</definedName>
    <definedName name="FDP_278_1_aUrv" localSheetId="0" hidden="1">#REF!</definedName>
    <definedName name="FDP_278_1_aUrv" localSheetId="1" hidden="1">#REF!</definedName>
    <definedName name="FDP_278_1_aUrv" hidden="1">#REF!</definedName>
    <definedName name="FDP_279_1_aSrv" localSheetId="2" hidden="1">#REF!</definedName>
    <definedName name="FDP_279_1_aSrv" localSheetId="0" hidden="1">#REF!</definedName>
    <definedName name="FDP_279_1_aSrv" localSheetId="1" hidden="1">#REF!</definedName>
    <definedName name="FDP_279_1_aSrv" hidden="1">#REF!</definedName>
    <definedName name="FDP_28_1_aUrv" localSheetId="2" hidden="1">#REF!</definedName>
    <definedName name="FDP_28_1_aUrv" localSheetId="0" hidden="1">#REF!</definedName>
    <definedName name="FDP_28_1_aUrv" localSheetId="1" hidden="1">#REF!</definedName>
    <definedName name="FDP_28_1_aUrv" hidden="1">#REF!</definedName>
    <definedName name="FDP_3_1_aUrv" localSheetId="2" hidden="1">#REF!</definedName>
    <definedName name="FDP_3_1_aUrv" localSheetId="0" hidden="1">#REF!</definedName>
    <definedName name="FDP_3_1_aUrv" localSheetId="1" hidden="1">#REF!</definedName>
    <definedName name="FDP_3_1_aUrv" hidden="1">#REF!</definedName>
    <definedName name="FDP_30_1_aUrv" localSheetId="2" hidden="1">#REF!</definedName>
    <definedName name="FDP_30_1_aUrv" localSheetId="0" hidden="1">#REF!</definedName>
    <definedName name="FDP_30_1_aUrv" localSheetId="1" hidden="1">#REF!</definedName>
    <definedName name="FDP_30_1_aUrv" hidden="1">#REF!</definedName>
    <definedName name="FDP_31_1_aUrv" localSheetId="2" hidden="1">#REF!</definedName>
    <definedName name="FDP_31_1_aUrv" localSheetId="0" hidden="1">#REF!</definedName>
    <definedName name="FDP_31_1_aUrv" localSheetId="1" hidden="1">#REF!</definedName>
    <definedName name="FDP_31_1_aUrv" hidden="1">#REF!</definedName>
    <definedName name="FDP_33_1_aUrv" localSheetId="2" hidden="1">#REF!</definedName>
    <definedName name="FDP_33_1_aUrv" localSheetId="0" hidden="1">#REF!</definedName>
    <definedName name="FDP_33_1_aUrv" localSheetId="1" hidden="1">#REF!</definedName>
    <definedName name="FDP_33_1_aUrv" hidden="1">#REF!</definedName>
    <definedName name="FDP_34_1_aUrv" localSheetId="2" hidden="1">#REF!</definedName>
    <definedName name="FDP_34_1_aUrv" localSheetId="0" hidden="1">#REF!</definedName>
    <definedName name="FDP_34_1_aUrv" localSheetId="1" hidden="1">#REF!</definedName>
    <definedName name="FDP_34_1_aUrv" hidden="1">#REF!</definedName>
    <definedName name="FDP_36_1_aUrv" localSheetId="2" hidden="1">#REF!</definedName>
    <definedName name="FDP_36_1_aUrv" localSheetId="0" hidden="1">#REF!</definedName>
    <definedName name="FDP_36_1_aUrv" localSheetId="1" hidden="1">#REF!</definedName>
    <definedName name="FDP_36_1_aUrv" hidden="1">#REF!</definedName>
    <definedName name="FDP_37_1_aUrv" localSheetId="2" hidden="1">#REF!</definedName>
    <definedName name="FDP_37_1_aUrv" localSheetId="0" hidden="1">#REF!</definedName>
    <definedName name="FDP_37_1_aUrv" localSheetId="1" hidden="1">#REF!</definedName>
    <definedName name="FDP_37_1_aUrv" hidden="1">#REF!</definedName>
    <definedName name="FDP_38_1_aUrv" localSheetId="2" hidden="1">#REF!</definedName>
    <definedName name="FDP_38_1_aUrv" localSheetId="0" hidden="1">#REF!</definedName>
    <definedName name="FDP_38_1_aUrv" localSheetId="1" hidden="1">#REF!</definedName>
    <definedName name="FDP_38_1_aUrv" hidden="1">#REF!</definedName>
    <definedName name="FDP_39_1_aUrv" localSheetId="2" hidden="1">#REF!</definedName>
    <definedName name="FDP_39_1_aUrv" localSheetId="0" hidden="1">#REF!</definedName>
    <definedName name="FDP_39_1_aUrv" localSheetId="1" hidden="1">#REF!</definedName>
    <definedName name="FDP_39_1_aUrv" hidden="1">#REF!</definedName>
    <definedName name="FDP_4_1_aUrv" localSheetId="2" hidden="1">#REF!</definedName>
    <definedName name="FDP_4_1_aUrv" localSheetId="0" hidden="1">#REF!</definedName>
    <definedName name="FDP_4_1_aUrv" localSheetId="1" hidden="1">#REF!</definedName>
    <definedName name="FDP_4_1_aUrv" hidden="1">#REF!</definedName>
    <definedName name="FDP_40_1_aUrv" localSheetId="2" hidden="1">#REF!</definedName>
    <definedName name="FDP_40_1_aUrv" localSheetId="0" hidden="1">#REF!</definedName>
    <definedName name="FDP_40_1_aUrv" localSheetId="1" hidden="1">#REF!</definedName>
    <definedName name="FDP_40_1_aUrv" hidden="1">#REF!</definedName>
    <definedName name="FDP_41_1_aUrv" localSheetId="2" hidden="1">#REF!</definedName>
    <definedName name="FDP_41_1_aUrv" localSheetId="0" hidden="1">#REF!</definedName>
    <definedName name="FDP_41_1_aUrv" localSheetId="1" hidden="1">#REF!</definedName>
    <definedName name="FDP_41_1_aUrv" hidden="1">#REF!</definedName>
    <definedName name="FDP_42_1_aUrv" localSheetId="2" hidden="1">#REF!</definedName>
    <definedName name="FDP_42_1_aUrv" localSheetId="0" hidden="1">#REF!</definedName>
    <definedName name="FDP_42_1_aUrv" localSheetId="1" hidden="1">#REF!</definedName>
    <definedName name="FDP_42_1_aUrv" hidden="1">#REF!</definedName>
    <definedName name="FDP_44_1_aUrv" localSheetId="2" hidden="1">#REF!</definedName>
    <definedName name="FDP_44_1_aUrv" localSheetId="0" hidden="1">#REF!</definedName>
    <definedName name="FDP_44_1_aUrv" localSheetId="1" hidden="1">#REF!</definedName>
    <definedName name="FDP_44_1_aUrv" hidden="1">#REF!</definedName>
    <definedName name="FDP_45_1_aUrv" localSheetId="2" hidden="1">#REF!</definedName>
    <definedName name="FDP_45_1_aUrv" localSheetId="0" hidden="1">#REF!</definedName>
    <definedName name="FDP_45_1_aUrv" localSheetId="1" hidden="1">#REF!</definedName>
    <definedName name="FDP_45_1_aUrv" hidden="1">#REF!</definedName>
    <definedName name="FDP_46_1_aUrv" localSheetId="2" hidden="1">#REF!</definedName>
    <definedName name="FDP_46_1_aUrv" localSheetId="0" hidden="1">#REF!</definedName>
    <definedName name="FDP_46_1_aUrv" localSheetId="1" hidden="1">#REF!</definedName>
    <definedName name="FDP_46_1_aUrv" hidden="1">#REF!</definedName>
    <definedName name="FDP_47_1_aUrv" localSheetId="2" hidden="1">#REF!</definedName>
    <definedName name="FDP_47_1_aUrv" localSheetId="0" hidden="1">#REF!</definedName>
    <definedName name="FDP_47_1_aUrv" localSheetId="1" hidden="1">#REF!</definedName>
    <definedName name="FDP_47_1_aUrv" hidden="1">#REF!</definedName>
    <definedName name="FDP_49_1_aUrv" localSheetId="2" hidden="1">#REF!</definedName>
    <definedName name="FDP_49_1_aUrv" localSheetId="0" hidden="1">#REF!</definedName>
    <definedName name="FDP_49_1_aUrv" localSheetId="1" hidden="1">#REF!</definedName>
    <definedName name="FDP_49_1_aUrv" hidden="1">#REF!</definedName>
    <definedName name="FDP_5_1_aUrv" localSheetId="2" hidden="1">#REF!</definedName>
    <definedName name="FDP_5_1_aUrv" localSheetId="0" hidden="1">#REF!</definedName>
    <definedName name="FDP_5_1_aUrv" localSheetId="1" hidden="1">#REF!</definedName>
    <definedName name="FDP_5_1_aUrv" hidden="1">#REF!</definedName>
    <definedName name="FDP_50_1_aUrv" localSheetId="2" hidden="1">#REF!</definedName>
    <definedName name="FDP_50_1_aUrv" localSheetId="0" hidden="1">#REF!</definedName>
    <definedName name="FDP_50_1_aUrv" localSheetId="1" hidden="1">#REF!</definedName>
    <definedName name="FDP_50_1_aUrv" hidden="1">#REF!</definedName>
    <definedName name="FDP_51_1_aSrv" localSheetId="2" hidden="1">#REF!</definedName>
    <definedName name="FDP_51_1_aSrv" localSheetId="0" hidden="1">#REF!</definedName>
    <definedName name="FDP_51_1_aSrv" localSheetId="1" hidden="1">#REF!</definedName>
    <definedName name="FDP_51_1_aSrv" hidden="1">#REF!</definedName>
    <definedName name="FDP_52_1_aUrv" localSheetId="2" hidden="1">#REF!</definedName>
    <definedName name="FDP_52_1_aUrv" localSheetId="0" hidden="1">#REF!</definedName>
    <definedName name="FDP_52_1_aUrv" localSheetId="1" hidden="1">#REF!</definedName>
    <definedName name="FDP_52_1_aUrv" hidden="1">#REF!</definedName>
    <definedName name="FDP_53_1_aUrv" localSheetId="2" hidden="1">#REF!</definedName>
    <definedName name="FDP_53_1_aUrv" localSheetId="0" hidden="1">#REF!</definedName>
    <definedName name="FDP_53_1_aUrv" localSheetId="1" hidden="1">#REF!</definedName>
    <definedName name="FDP_53_1_aUrv" hidden="1">#REF!</definedName>
    <definedName name="FDP_54_1_aUrv" localSheetId="2" hidden="1">#REF!</definedName>
    <definedName name="FDP_54_1_aUrv" localSheetId="0" hidden="1">#REF!</definedName>
    <definedName name="FDP_54_1_aUrv" localSheetId="1" hidden="1">#REF!</definedName>
    <definedName name="FDP_54_1_aUrv" hidden="1">#REF!</definedName>
    <definedName name="FDP_56_1_aUrv" localSheetId="2" hidden="1">#REF!</definedName>
    <definedName name="FDP_56_1_aUrv" localSheetId="0" hidden="1">#REF!</definedName>
    <definedName name="FDP_56_1_aUrv" localSheetId="1" hidden="1">#REF!</definedName>
    <definedName name="FDP_56_1_aUrv" hidden="1">#REF!</definedName>
    <definedName name="FDP_57_1_aUrv" localSheetId="2" hidden="1">#REF!</definedName>
    <definedName name="FDP_57_1_aUrv" localSheetId="0" hidden="1">#REF!</definedName>
    <definedName name="FDP_57_1_aUrv" localSheetId="1" hidden="1">#REF!</definedName>
    <definedName name="FDP_57_1_aUrv" hidden="1">#REF!</definedName>
    <definedName name="FDP_58_1_aUrv" localSheetId="2" hidden="1">#REF!</definedName>
    <definedName name="FDP_58_1_aUrv" localSheetId="0" hidden="1">#REF!</definedName>
    <definedName name="FDP_58_1_aUrv" localSheetId="1" hidden="1">#REF!</definedName>
    <definedName name="FDP_58_1_aUrv" hidden="1">#REF!</definedName>
    <definedName name="FDP_59_1_aUrv" localSheetId="2" hidden="1">#REF!</definedName>
    <definedName name="FDP_59_1_aUrv" localSheetId="0" hidden="1">#REF!</definedName>
    <definedName name="FDP_59_1_aUrv" localSheetId="1" hidden="1">#REF!</definedName>
    <definedName name="FDP_59_1_aUrv" hidden="1">#REF!</definedName>
    <definedName name="FDP_6_1_aUrv" localSheetId="2" hidden="1">#REF!</definedName>
    <definedName name="FDP_6_1_aUrv" localSheetId="0" hidden="1">#REF!</definedName>
    <definedName name="FDP_6_1_aUrv" localSheetId="1" hidden="1">#REF!</definedName>
    <definedName name="FDP_6_1_aUrv" hidden="1">#REF!</definedName>
    <definedName name="FDP_60_1_aUrv" localSheetId="2" hidden="1">#REF!</definedName>
    <definedName name="FDP_60_1_aUrv" localSheetId="0" hidden="1">#REF!</definedName>
    <definedName name="FDP_60_1_aUrv" localSheetId="1" hidden="1">#REF!</definedName>
    <definedName name="FDP_60_1_aUrv" hidden="1">#REF!</definedName>
    <definedName name="FDP_61_1_aUrv" localSheetId="2" hidden="1">#REF!</definedName>
    <definedName name="FDP_61_1_aUrv" localSheetId="0" hidden="1">#REF!</definedName>
    <definedName name="FDP_61_1_aUrv" localSheetId="1" hidden="1">#REF!</definedName>
    <definedName name="FDP_61_1_aUrv" hidden="1">#REF!</definedName>
    <definedName name="FDP_62_1_aUrv" localSheetId="2" hidden="1">#REF!</definedName>
    <definedName name="FDP_62_1_aUrv" localSheetId="0" hidden="1">#REF!</definedName>
    <definedName name="FDP_62_1_aUrv" localSheetId="1" hidden="1">#REF!</definedName>
    <definedName name="FDP_62_1_aUrv" hidden="1">#REF!</definedName>
    <definedName name="FDP_63_1_aUrv" localSheetId="2" hidden="1">#REF!</definedName>
    <definedName name="FDP_63_1_aUrv" localSheetId="0" hidden="1">#REF!</definedName>
    <definedName name="FDP_63_1_aUrv" localSheetId="1" hidden="1">#REF!</definedName>
    <definedName name="FDP_63_1_aUrv" hidden="1">#REF!</definedName>
    <definedName name="FDP_64_1_aUrv" localSheetId="2" hidden="1">#REF!</definedName>
    <definedName name="FDP_64_1_aUrv" localSheetId="0" hidden="1">#REF!</definedName>
    <definedName name="FDP_64_1_aUrv" localSheetId="1" hidden="1">#REF!</definedName>
    <definedName name="FDP_64_1_aUrv" hidden="1">#REF!</definedName>
    <definedName name="FDP_66_1_aUrv" localSheetId="2" hidden="1">#REF!</definedName>
    <definedName name="FDP_66_1_aUrv" localSheetId="0" hidden="1">#REF!</definedName>
    <definedName name="FDP_66_1_aUrv" localSheetId="1" hidden="1">#REF!</definedName>
    <definedName name="FDP_66_1_aUrv" hidden="1">#REF!</definedName>
    <definedName name="FDP_67_1_aUrv" localSheetId="2" hidden="1">#REF!</definedName>
    <definedName name="FDP_67_1_aUrv" localSheetId="0" hidden="1">#REF!</definedName>
    <definedName name="FDP_67_1_aUrv" localSheetId="1" hidden="1">#REF!</definedName>
    <definedName name="FDP_67_1_aUrv" hidden="1">#REF!</definedName>
    <definedName name="FDP_68_1_aUrv" localSheetId="2" hidden="1">#REF!</definedName>
    <definedName name="FDP_68_1_aUrv" localSheetId="0" hidden="1">#REF!</definedName>
    <definedName name="FDP_68_1_aUrv" localSheetId="1" hidden="1">#REF!</definedName>
    <definedName name="FDP_68_1_aUrv" hidden="1">#REF!</definedName>
    <definedName name="FDP_69_1_aUrv" localSheetId="2" hidden="1">#REF!</definedName>
    <definedName name="FDP_69_1_aUrv" localSheetId="0" hidden="1">#REF!</definedName>
    <definedName name="FDP_69_1_aUrv" localSheetId="1" hidden="1">#REF!</definedName>
    <definedName name="FDP_69_1_aUrv" hidden="1">#REF!</definedName>
    <definedName name="FDP_7_1_aUrv" localSheetId="2" hidden="1">#REF!</definedName>
    <definedName name="FDP_7_1_aUrv" localSheetId="0" hidden="1">#REF!</definedName>
    <definedName name="FDP_7_1_aUrv" localSheetId="1" hidden="1">#REF!</definedName>
    <definedName name="FDP_7_1_aUrv" hidden="1">#REF!</definedName>
    <definedName name="FDP_70_1_aUrv" localSheetId="2" hidden="1">#REF!</definedName>
    <definedName name="FDP_70_1_aUrv" localSheetId="0" hidden="1">#REF!</definedName>
    <definedName name="FDP_70_1_aUrv" localSheetId="1" hidden="1">#REF!</definedName>
    <definedName name="FDP_70_1_aUrv" hidden="1">#REF!</definedName>
    <definedName name="FDP_71_1_aSrv" localSheetId="2" hidden="1">#REF!</definedName>
    <definedName name="FDP_71_1_aSrv" localSheetId="0" hidden="1">#REF!</definedName>
    <definedName name="FDP_71_1_aSrv" localSheetId="1" hidden="1">#REF!</definedName>
    <definedName name="FDP_71_1_aSrv" hidden="1">#REF!</definedName>
    <definedName name="FDP_72_1_aUrv" localSheetId="2" hidden="1">#REF!</definedName>
    <definedName name="FDP_72_1_aUrv" localSheetId="0" hidden="1">#REF!</definedName>
    <definedName name="FDP_72_1_aUrv" localSheetId="1" hidden="1">#REF!</definedName>
    <definedName name="FDP_72_1_aUrv" hidden="1">#REF!</definedName>
    <definedName name="FDP_73_1_aUrv" localSheetId="2" hidden="1">#REF!</definedName>
    <definedName name="FDP_73_1_aUrv" localSheetId="0" hidden="1">#REF!</definedName>
    <definedName name="FDP_73_1_aUrv" localSheetId="1" hidden="1">#REF!</definedName>
    <definedName name="FDP_73_1_aUrv" hidden="1">#REF!</definedName>
    <definedName name="FDP_74_1_aUrv" localSheetId="2" hidden="1">#REF!</definedName>
    <definedName name="FDP_74_1_aUrv" localSheetId="0" hidden="1">#REF!</definedName>
    <definedName name="FDP_74_1_aUrv" localSheetId="1" hidden="1">#REF!</definedName>
    <definedName name="FDP_74_1_aUrv" hidden="1">#REF!</definedName>
    <definedName name="FDP_76_1_aUrv" localSheetId="2" hidden="1">#REF!</definedName>
    <definedName name="FDP_76_1_aUrv" localSheetId="0" hidden="1">#REF!</definedName>
    <definedName name="FDP_76_1_aUrv" localSheetId="1" hidden="1">#REF!</definedName>
    <definedName name="FDP_76_1_aUrv" hidden="1">#REF!</definedName>
    <definedName name="FDP_77_1_aUrv" localSheetId="2" hidden="1">#REF!</definedName>
    <definedName name="FDP_77_1_aUrv" localSheetId="0" hidden="1">#REF!</definedName>
    <definedName name="FDP_77_1_aUrv" localSheetId="1" hidden="1">#REF!</definedName>
    <definedName name="FDP_77_1_aUrv" hidden="1">#REF!</definedName>
    <definedName name="FDP_79_1_aUrv" localSheetId="2" hidden="1">#REF!</definedName>
    <definedName name="FDP_79_1_aUrv" localSheetId="0" hidden="1">#REF!</definedName>
    <definedName name="FDP_79_1_aUrv" localSheetId="1" hidden="1">#REF!</definedName>
    <definedName name="FDP_79_1_aUrv" hidden="1">#REF!</definedName>
    <definedName name="FDP_8_1_aUrv" localSheetId="2" hidden="1">#REF!</definedName>
    <definedName name="FDP_8_1_aUrv" localSheetId="0" hidden="1">#REF!</definedName>
    <definedName name="FDP_8_1_aUrv" localSheetId="1" hidden="1">#REF!</definedName>
    <definedName name="FDP_8_1_aUrv" hidden="1">#REF!</definedName>
    <definedName name="FDP_80_1_aUrv" localSheetId="2" hidden="1">#REF!</definedName>
    <definedName name="FDP_80_1_aUrv" localSheetId="0" hidden="1">#REF!</definedName>
    <definedName name="FDP_80_1_aUrv" localSheetId="1" hidden="1">#REF!</definedName>
    <definedName name="FDP_80_1_aUrv" hidden="1">#REF!</definedName>
    <definedName name="FDP_81_1_aUrv" localSheetId="2" hidden="1">#REF!</definedName>
    <definedName name="FDP_81_1_aUrv" localSheetId="0" hidden="1">#REF!</definedName>
    <definedName name="FDP_81_1_aUrv" localSheetId="1" hidden="1">#REF!</definedName>
    <definedName name="FDP_81_1_aUrv" hidden="1">#REF!</definedName>
    <definedName name="FDP_82_1_aUrv" localSheetId="2" hidden="1">#REF!</definedName>
    <definedName name="FDP_82_1_aUrv" localSheetId="0" hidden="1">#REF!</definedName>
    <definedName name="FDP_82_1_aUrv" localSheetId="1" hidden="1">#REF!</definedName>
    <definedName name="FDP_82_1_aUrv" hidden="1">#REF!</definedName>
    <definedName name="FDP_83_1_aUrv" localSheetId="2" hidden="1">#REF!</definedName>
    <definedName name="FDP_83_1_aUrv" localSheetId="0" hidden="1">#REF!</definedName>
    <definedName name="FDP_83_1_aUrv" localSheetId="1" hidden="1">#REF!</definedName>
    <definedName name="FDP_83_1_aUrv" hidden="1">#REF!</definedName>
    <definedName name="FDP_84_1_aUrv" localSheetId="2" hidden="1">#REF!</definedName>
    <definedName name="FDP_84_1_aUrv" localSheetId="0" hidden="1">#REF!</definedName>
    <definedName name="FDP_84_1_aUrv" localSheetId="1" hidden="1">#REF!</definedName>
    <definedName name="FDP_84_1_aUrv" hidden="1">#REF!</definedName>
    <definedName name="FDP_85_1_aUrv" localSheetId="2" hidden="1">#REF!</definedName>
    <definedName name="FDP_85_1_aUrv" localSheetId="0" hidden="1">#REF!</definedName>
    <definedName name="FDP_85_1_aUrv" localSheetId="1" hidden="1">#REF!</definedName>
    <definedName name="FDP_85_1_aUrv" hidden="1">#REF!</definedName>
    <definedName name="FDP_86_1_aUrv" localSheetId="2" hidden="1">#REF!</definedName>
    <definedName name="FDP_86_1_aUrv" localSheetId="0" hidden="1">#REF!</definedName>
    <definedName name="FDP_86_1_aUrv" localSheetId="1" hidden="1">#REF!</definedName>
    <definedName name="FDP_86_1_aUrv" hidden="1">#REF!</definedName>
    <definedName name="FDP_87_1_aUrv" localSheetId="2" hidden="1">#REF!</definedName>
    <definedName name="FDP_87_1_aUrv" localSheetId="0" hidden="1">#REF!</definedName>
    <definedName name="FDP_87_1_aUrv" localSheetId="1" hidden="1">#REF!</definedName>
    <definedName name="FDP_87_1_aUrv" hidden="1">#REF!</definedName>
    <definedName name="FDP_88_1_aUrv" localSheetId="2" hidden="1">#REF!</definedName>
    <definedName name="FDP_88_1_aUrv" localSheetId="0" hidden="1">#REF!</definedName>
    <definedName name="FDP_88_1_aUrv" localSheetId="1" hidden="1">#REF!</definedName>
    <definedName name="FDP_88_1_aUrv" hidden="1">#REF!</definedName>
    <definedName name="FDP_89_1_aUrv" localSheetId="2" hidden="1">#REF!</definedName>
    <definedName name="FDP_89_1_aUrv" localSheetId="0" hidden="1">#REF!</definedName>
    <definedName name="FDP_89_1_aUrv" localSheetId="1" hidden="1">#REF!</definedName>
    <definedName name="FDP_89_1_aUrv" hidden="1">#REF!</definedName>
    <definedName name="FDP_9_1_aUrv" localSheetId="2" hidden="1">#REF!</definedName>
    <definedName name="FDP_9_1_aUrv" localSheetId="0" hidden="1">#REF!</definedName>
    <definedName name="FDP_9_1_aUrv" localSheetId="1" hidden="1">#REF!</definedName>
    <definedName name="FDP_9_1_aUrv" hidden="1">#REF!</definedName>
    <definedName name="FDP_90_1_aUrv" localSheetId="2" hidden="1">#REF!</definedName>
    <definedName name="FDP_90_1_aUrv" localSheetId="0" hidden="1">#REF!</definedName>
    <definedName name="FDP_90_1_aUrv" localSheetId="1" hidden="1">#REF!</definedName>
    <definedName name="FDP_90_1_aUrv" hidden="1">#REF!</definedName>
    <definedName name="FDP_92_1_aSrv" localSheetId="2" hidden="1">#REF!</definedName>
    <definedName name="FDP_92_1_aSrv" localSheetId="0" hidden="1">#REF!</definedName>
    <definedName name="FDP_92_1_aSrv" localSheetId="1" hidden="1">#REF!</definedName>
    <definedName name="FDP_92_1_aSrv" hidden="1">#REF!</definedName>
    <definedName name="FDP_93_1_aUrv" localSheetId="2" hidden="1">#REF!</definedName>
    <definedName name="FDP_93_1_aUrv" localSheetId="0" hidden="1">#REF!</definedName>
    <definedName name="FDP_93_1_aUrv" localSheetId="1" hidden="1">#REF!</definedName>
    <definedName name="FDP_93_1_aUrv" hidden="1">#REF!</definedName>
    <definedName name="FDP_94_1_aUrv" localSheetId="2" hidden="1">#REF!</definedName>
    <definedName name="FDP_94_1_aUrv" localSheetId="0" hidden="1">#REF!</definedName>
    <definedName name="FDP_94_1_aUrv" localSheetId="1" hidden="1">#REF!</definedName>
    <definedName name="FDP_94_1_aUrv" hidden="1">#REF!</definedName>
    <definedName name="FDP_95_1_aUrv" localSheetId="2" hidden="1">#REF!</definedName>
    <definedName name="FDP_95_1_aUrv" localSheetId="0" hidden="1">#REF!</definedName>
    <definedName name="FDP_95_1_aUrv" localSheetId="1" hidden="1">#REF!</definedName>
    <definedName name="FDP_95_1_aUrv" hidden="1">#REF!</definedName>
    <definedName name="FDP_96_1_aUrv" localSheetId="2" hidden="1">#REF!</definedName>
    <definedName name="FDP_96_1_aUrv" localSheetId="0" hidden="1">#REF!</definedName>
    <definedName name="FDP_96_1_aUrv" localSheetId="1" hidden="1">#REF!</definedName>
    <definedName name="FDP_96_1_aUrv" hidden="1">#REF!</definedName>
    <definedName name="FDP_97_1_aUrv" localSheetId="2" hidden="1">#REF!</definedName>
    <definedName name="FDP_97_1_aUrv" localSheetId="0" hidden="1">#REF!</definedName>
    <definedName name="FDP_97_1_aUrv" localSheetId="1" hidden="1">#REF!</definedName>
    <definedName name="FDP_97_1_aUrv" hidden="1">#REF!</definedName>
    <definedName name="FDP_98_1_aUrv" localSheetId="2" hidden="1">#REF!</definedName>
    <definedName name="FDP_98_1_aUrv" localSheetId="0" hidden="1">#REF!</definedName>
    <definedName name="FDP_98_1_aUrv" localSheetId="1" hidden="1">#REF!</definedName>
    <definedName name="FDP_98_1_aUrv" hidden="1">#REF!</definedName>
    <definedName name="FDP_99_1_aUrv" localSheetId="2" hidden="1">#REF!</definedName>
    <definedName name="FDP_99_1_aUrv" localSheetId="0" hidden="1">#REF!</definedName>
    <definedName name="FDP_99_1_aUrv" localSheetId="1" hidden="1">#REF!</definedName>
    <definedName name="FDP_99_1_aUrv" hidden="1">#REF!</definedName>
    <definedName name="fferw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forecast" localSheetId="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" localSheetId="0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" localSheetId="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gls_ACT_EST_ROW" localSheetId="2" hidden="1">#REF!</definedName>
    <definedName name="gls_ACT_EST_ROW" localSheetId="0" hidden="1">#REF!</definedName>
    <definedName name="gls_ACT_EST_ROW" localSheetId="1" hidden="1">#REF!</definedName>
    <definedName name="gls_ACT_EST_ROW" hidden="1">#REF!</definedName>
    <definedName name="gls_ACT_FORM_OFFSET" localSheetId="2" hidden="1">#REF!</definedName>
    <definedName name="gls_ACT_FORM_OFFSET" localSheetId="0" hidden="1">#REF!</definedName>
    <definedName name="gls_ACT_FORM_OFFSET" localSheetId="1" hidden="1">#REF!</definedName>
    <definedName name="gls_ACT_FORM_OFFSET" hidden="1">#REF!</definedName>
    <definedName name="gls_ADMIN" localSheetId="2" hidden="1">#REF!</definedName>
    <definedName name="gls_ADMIN" localSheetId="0" hidden="1">#REF!</definedName>
    <definedName name="gls_ADMIN" localSheetId="1" hidden="1">#REF!</definedName>
    <definedName name="gls_ADMIN" hidden="1">#REF!</definedName>
    <definedName name="gls_ALLOW_BOTH_PC" localSheetId="2" hidden="1">#REF!</definedName>
    <definedName name="gls_ALLOW_BOTH_PC" localSheetId="0" hidden="1">#REF!</definedName>
    <definedName name="gls_ALLOW_BOTH_PC" localSheetId="1" hidden="1">#REF!</definedName>
    <definedName name="gls_ALLOW_BOTH_PC" hidden="1">#REF!</definedName>
    <definedName name="gls_ALLOW_PARENT_OR_CONSOLIDATED" localSheetId="2" hidden="1">#REF!</definedName>
    <definedName name="gls_ALLOW_PARENT_OR_CONSOLIDATED" localSheetId="0" hidden="1">#REF!</definedName>
    <definedName name="gls_ALLOW_PARENT_OR_CONSOLIDATED" localSheetId="1" hidden="1">#REF!</definedName>
    <definedName name="gls_ALLOW_PARENT_OR_CONSOLIDATED" hidden="1">#REF!</definedName>
    <definedName name="gls_ALLOW_PUBLISH" localSheetId="2" hidden="1">#REF!</definedName>
    <definedName name="gls_ALLOW_PUBLISH" localSheetId="0" hidden="1">#REF!</definedName>
    <definedName name="gls_ALLOW_PUBLISH" localSheetId="1" hidden="1">#REF!</definedName>
    <definedName name="gls_ALLOW_PUBLISH" hidden="1">#REF!</definedName>
    <definedName name="gls_CF_BEGINS" localSheetId="2" hidden="1">#REF!</definedName>
    <definedName name="gls_CF_BEGINS" localSheetId="0" hidden="1">#REF!</definedName>
    <definedName name="gls_CF_BEGINS" localSheetId="1" hidden="1">#REF!</definedName>
    <definedName name="gls_CF_BEGINS" hidden="1">#REF!</definedName>
    <definedName name="gls_CFD_CHANGEACT" localSheetId="2" hidden="1">#REF!</definedName>
    <definedName name="gls_CFD_CHANGEACT" localSheetId="0" hidden="1">#REF!</definedName>
    <definedName name="gls_CFD_CHANGEACT" localSheetId="1" hidden="1">#REF!</definedName>
    <definedName name="gls_CFD_CHANGEACT" hidden="1">#REF!</definedName>
    <definedName name="gls_CFD_CHANGEEST" localSheetId="2" hidden="1">#REF!</definedName>
    <definedName name="gls_CFD_CHANGEEST" localSheetId="0" hidden="1">#REF!</definedName>
    <definedName name="gls_CFD_CHANGEEST" localSheetId="1" hidden="1">#REF!</definedName>
    <definedName name="gls_CFD_CHANGEEST" hidden="1">#REF!</definedName>
    <definedName name="gls_CFD_FIRSTAVAIL" localSheetId="2" hidden="1">#REF!</definedName>
    <definedName name="gls_CFD_FIRSTAVAIL" localSheetId="0" hidden="1">#REF!</definedName>
    <definedName name="gls_CFD_FIRSTAVAIL" localSheetId="1" hidden="1">#REF!</definedName>
    <definedName name="gls_CFD_FIRSTAVAIL" hidden="1">#REF!</definedName>
    <definedName name="gls_CFD_LISTAVAIL" localSheetId="2" hidden="1">#REF!</definedName>
    <definedName name="gls_CFD_LISTAVAIL" localSheetId="0" hidden="1">#REF!</definedName>
    <definedName name="gls_CFD_LISTAVAIL" localSheetId="1" hidden="1">#REF!</definedName>
    <definedName name="gls_CFD_LISTAVAIL" hidden="1">#REF!</definedName>
    <definedName name="gls_CFD_SELECTED" localSheetId="2" hidden="1">#REF!</definedName>
    <definedName name="gls_CFD_SELECTED" localSheetId="0" hidden="1">#REF!</definedName>
    <definedName name="gls_CFD_SELECTED" localSheetId="1" hidden="1">#REF!</definedName>
    <definedName name="gls_CFD_SELECTED" hidden="1">#REF!</definedName>
    <definedName name="gls_CHANGED_NAMES" localSheetId="2" hidden="1">#REF!</definedName>
    <definedName name="gls_CHANGED_NAMES" localSheetId="0" hidden="1">#REF!</definedName>
    <definedName name="gls_CHANGED_NAMES" localSheetId="1" hidden="1">#REF!</definedName>
    <definedName name="gls_CHANGED_NAMES" hidden="1">#REF!</definedName>
    <definedName name="gls_CHG_KEY_USER" localSheetId="2" hidden="1">#REF!</definedName>
    <definedName name="gls_CHG_KEY_USER" localSheetId="0" hidden="1">#REF!</definedName>
    <definedName name="gls_CHG_KEY_USER" localSheetId="1" hidden="1">#REF!</definedName>
    <definedName name="gls_CHG_KEY_USER" hidden="1">#REF!</definedName>
    <definedName name="gls_CHG_SEL_ONLY" localSheetId="2" hidden="1">#REF!</definedName>
    <definedName name="gls_CHG_SEL_ONLY" localSheetId="0" hidden="1">#REF!</definedName>
    <definedName name="gls_CHG_SEL_ONLY" localSheetId="1" hidden="1">#REF!</definedName>
    <definedName name="gls_CHG_SEL_ONLY" hidden="1">#REF!</definedName>
    <definedName name="gls_COMPANY_WORKBOOK_ID" localSheetId="2" hidden="1">#REF!</definedName>
    <definedName name="gls_COMPANY_WORKBOOK_ID" localSheetId="0" hidden="1">#REF!</definedName>
    <definedName name="gls_COMPANY_WORKBOOK_ID" localSheetId="1" hidden="1">#REF!</definedName>
    <definedName name="gls_COMPANY_WORKBOOK_ID" hidden="1">#REF!</definedName>
    <definedName name="gls_DELETED_PERIODS" localSheetId="2" hidden="1">#REF!</definedName>
    <definedName name="gls_DELETED_PERIODS" localSheetId="0" hidden="1">#REF!</definedName>
    <definedName name="gls_DELETED_PERIODS" localSheetId="1" hidden="1">#REF!</definedName>
    <definedName name="gls_DELETED_PERIODS" hidden="1">#REF!</definedName>
    <definedName name="gls_EST_FORM_OFFSET" localSheetId="2" hidden="1">#REF!</definedName>
    <definedName name="gls_EST_FORM_OFFSET" localSheetId="0" hidden="1">#REF!</definedName>
    <definedName name="gls_EST_FORM_OFFSET" localSheetId="1" hidden="1">#REF!</definedName>
    <definedName name="gls_EST_FORM_OFFSET" hidden="1">#REF!</definedName>
    <definedName name="gls_EXC_NOT_EXT" localSheetId="2" hidden="1">#REF!</definedName>
    <definedName name="gls_EXC_NOT_EXT" localSheetId="0" hidden="1">#REF!</definedName>
    <definedName name="gls_EXC_NOT_EXT" localSheetId="1" hidden="1">#REF!</definedName>
    <definedName name="gls_EXC_NOT_EXT" hidden="1">#REF!</definedName>
    <definedName name="gls_EXISTING_PERIODS" localSheetId="2" hidden="1">#REF!</definedName>
    <definedName name="gls_EXISTING_PERIODS" localSheetId="0" hidden="1">#REF!</definedName>
    <definedName name="gls_EXISTING_PERIODS" localSheetId="1" hidden="1">#REF!</definedName>
    <definedName name="gls_EXISTING_PERIODS" hidden="1">#REF!</definedName>
    <definedName name="gls_EXT_BELOW_PBT" localSheetId="2" hidden="1">#REF!</definedName>
    <definedName name="gls_EXT_BELOW_PBT" localSheetId="0" hidden="1">#REF!</definedName>
    <definedName name="gls_EXT_BELOW_PBT" localSheetId="1" hidden="1">#REF!</definedName>
    <definedName name="gls_EXT_BELOW_PBT" hidden="1">#REF!</definedName>
    <definedName name="gls_EXT_LINK_GLOSS" localSheetId="2" hidden="1">#REF!</definedName>
    <definedName name="gls_EXT_LINK_GLOSS" localSheetId="0" hidden="1">#REF!</definedName>
    <definedName name="gls_EXT_LINK_GLOSS" localSheetId="1" hidden="1">#REF!</definedName>
    <definedName name="gls_EXT_LINK_GLOSS" hidden="1">#REF!</definedName>
    <definedName name="gls_EXTERNAL_COL_REF" localSheetId="2" hidden="1">#REF!</definedName>
    <definedName name="gls_EXTERNAL_COL_REF" localSheetId="0" hidden="1">#REF!</definedName>
    <definedName name="gls_EXTERNAL_COL_REF" localSheetId="1" hidden="1">#REF!</definedName>
    <definedName name="gls_EXTERNAL_COL_REF" hidden="1">#REF!</definedName>
    <definedName name="gls_FIRST_ITEM" localSheetId="2" hidden="1">#REF!</definedName>
    <definedName name="gls_FIRST_ITEM" localSheetId="0" hidden="1">#REF!</definedName>
    <definedName name="gls_FIRST_ITEM" localSheetId="1" hidden="1">#REF!</definedName>
    <definedName name="gls_FIRST_ITEM" hidden="1">#REF!</definedName>
    <definedName name="gls_FIRST_PK" localSheetId="2" hidden="1">#REF!</definedName>
    <definedName name="gls_FIRST_PK" localSheetId="0" hidden="1">#REF!</definedName>
    <definedName name="gls_FIRST_PK" localSheetId="1" hidden="1">#REF!</definedName>
    <definedName name="gls_FIRST_PK" hidden="1">#REF!</definedName>
    <definedName name="gls_FIRST_ROWMULT" localSheetId="2" hidden="1">#REF!</definedName>
    <definedName name="gls_FIRST_ROWMULT" localSheetId="0" hidden="1">#REF!</definedName>
    <definedName name="gls_FIRST_ROWMULT" localSheetId="1" hidden="1">#REF!</definedName>
    <definedName name="gls_FIRST_ROWMULT" hidden="1">#REF!</definedName>
    <definedName name="gls_FIRST_UNITS" localSheetId="2" hidden="1">#REF!</definedName>
    <definedName name="gls_FIRST_UNITS" localSheetId="0" hidden="1">#REF!</definedName>
    <definedName name="gls_FIRST_UNITS" localSheetId="1" hidden="1">#REF!</definedName>
    <definedName name="gls_FIRST_UNITS" hidden="1">#REF!</definedName>
    <definedName name="gls_FIXED_NAMES" localSheetId="2" hidden="1">#REF!</definedName>
    <definedName name="gls_FIXED_NAMES" localSheetId="0" hidden="1">#REF!</definedName>
    <definedName name="gls_FIXED_NAMES" localSheetId="1" hidden="1">#REF!</definedName>
    <definedName name="gls_FIXED_NAMES" hidden="1">#REF!</definedName>
    <definedName name="gls_FONT_STATUS" localSheetId="2" hidden="1">#REF!</definedName>
    <definedName name="gls_FONT_STATUS" localSheetId="0" hidden="1">#REF!</definedName>
    <definedName name="gls_FONT_STATUS" localSheetId="1" hidden="1">#REF!</definedName>
    <definedName name="gls_FONT_STATUS" hidden="1">#REF!</definedName>
    <definedName name="gls_GLOSS_MONTHS" localSheetId="2" hidden="1">#REF!</definedName>
    <definedName name="gls_GLOSS_MONTHS" localSheetId="0" hidden="1">#REF!</definedName>
    <definedName name="gls_GLOSS_MONTHS" localSheetId="1" hidden="1">#REF!</definedName>
    <definedName name="gls_GLOSS_MONTHS" hidden="1">#REF!</definedName>
    <definedName name="gls_GW_IN" localSheetId="2" hidden="1">#REF!</definedName>
    <definedName name="gls_GW_IN" localSheetId="0" hidden="1">#REF!</definedName>
    <definedName name="gls_GW_IN" localSheetId="1" hidden="1">#REF!</definedName>
    <definedName name="gls_GW_IN" hidden="1">#REF!</definedName>
    <definedName name="gls_IIAA_IN" localSheetId="2" hidden="1">#REF!</definedName>
    <definedName name="gls_IIAA_IN" localSheetId="0" hidden="1">#REF!</definedName>
    <definedName name="gls_IIAA_IN" localSheetId="1" hidden="1">#REF!</definedName>
    <definedName name="gls_IIAA_IN" hidden="1">#REF!</definedName>
    <definedName name="gls_InterimValue" localSheetId="2" hidden="1">#REF!</definedName>
    <definedName name="gls_InterimValue" localSheetId="0" hidden="1">#REF!</definedName>
    <definedName name="gls_InterimValue" localSheetId="1" hidden="1">#REF!</definedName>
    <definedName name="gls_InterimValue" hidden="1">#REF!</definedName>
    <definedName name="gls_KEY_DATA" localSheetId="2" hidden="1">#REF!</definedName>
    <definedName name="gls_KEY_DATA" localSheetId="0" hidden="1">#REF!</definedName>
    <definedName name="gls_KEY_DATA" localSheetId="1" hidden="1">#REF!</definedName>
    <definedName name="gls_KEY_DATA" hidden="1">#REF!</definedName>
    <definedName name="gls_KEY_VALUE" localSheetId="2" hidden="1">#REF!</definedName>
    <definedName name="gls_KEY_VALUE" localSheetId="0" hidden="1">#REF!</definedName>
    <definedName name="gls_KEY_VALUE" localSheetId="1" hidden="1">#REF!</definedName>
    <definedName name="gls_KEY_VALUE" hidden="1">#REF!</definedName>
    <definedName name="gls_LANGUAGE" localSheetId="2" hidden="1">#REF!</definedName>
    <definedName name="gls_LANGUAGE" localSheetId="0" hidden="1">#REF!</definedName>
    <definedName name="gls_LANGUAGE" localSheetId="1" hidden="1">#REF!</definedName>
    <definedName name="gls_LANGUAGE" hidden="1">#REF!</definedName>
    <definedName name="gls_NEXT_PK" localSheetId="2" hidden="1">#REF!</definedName>
    <definedName name="gls_NEXT_PK" localSheetId="0" hidden="1">#REF!</definedName>
    <definedName name="gls_NEXT_PK" localSheetId="1" hidden="1">#REF!</definedName>
    <definedName name="gls_NEXT_PK" hidden="1">#REF!</definedName>
    <definedName name="gls_PERIOD_CODE" localSheetId="2" hidden="1">#REF!</definedName>
    <definedName name="gls_PERIOD_CODE" localSheetId="0" hidden="1">#REF!</definedName>
    <definedName name="gls_PERIOD_CODE" localSheetId="1" hidden="1">#REF!</definedName>
    <definedName name="gls_PERIOD_CODE" hidden="1">#REF!</definedName>
    <definedName name="gls_PERIOD_INDICATOR" localSheetId="2" hidden="1">#REF!</definedName>
    <definedName name="gls_PERIOD_INDICATOR" localSheetId="0" hidden="1">#REF!</definedName>
    <definedName name="gls_PERIOD_INDICATOR" localSheetId="1" hidden="1">#REF!</definedName>
    <definedName name="gls_PERIOD_INDICATOR" hidden="1">#REF!</definedName>
    <definedName name="gls_PERIOD_PARENT_OR_CONSOL" localSheetId="2" hidden="1">#REF!</definedName>
    <definedName name="gls_PERIOD_PARENT_OR_CONSOL" localSheetId="0" hidden="1">#REF!</definedName>
    <definedName name="gls_PERIOD_PARENT_OR_CONSOL" localSheetId="1" hidden="1">#REF!</definedName>
    <definedName name="gls_PERIOD_PARENT_OR_CONSOL" hidden="1">#REF!</definedName>
    <definedName name="gls_PERIOD_TYPE" localSheetId="2" hidden="1">#REF!</definedName>
    <definedName name="gls_PERIOD_TYPE" localSheetId="0" hidden="1">#REF!</definedName>
    <definedName name="gls_PERIOD_TYPE" localSheetId="1" hidden="1">#REF!</definedName>
    <definedName name="gls_PERIOD_TYPE" hidden="1">#REF!</definedName>
    <definedName name="gls_PROFILE_NAME" localSheetId="2" hidden="1">#REF!</definedName>
    <definedName name="gls_PROFILE_NAME" localSheetId="0" hidden="1">#REF!</definedName>
    <definedName name="gls_PROFILE_NAME" localSheetId="1" hidden="1">#REF!</definedName>
    <definedName name="gls_PROFILE_NAME" hidden="1">#REF!</definedName>
    <definedName name="gls_SaveBeforePublish" localSheetId="2" hidden="1">#REF!</definedName>
    <definedName name="gls_SaveBeforePublish" localSheetId="0" hidden="1">#REF!</definedName>
    <definedName name="gls_SaveBeforePublish" localSheetId="1" hidden="1">#REF!</definedName>
    <definedName name="gls_SaveBeforePublish" hidden="1">#REF!</definedName>
    <definedName name="gls_SaveWkbForNewPeriodCodes" localSheetId="2" hidden="1">#REF!</definedName>
    <definedName name="gls_SaveWkbForNewPeriodCodes" localSheetId="0" hidden="1">#REF!</definedName>
    <definedName name="gls_SaveWkbForNewPeriodCodes" localSheetId="1" hidden="1">#REF!</definedName>
    <definedName name="gls_SaveWkbForNewPeriodCodes" hidden="1">#REF!</definedName>
    <definedName name="gls_SHOW_CONTROL_VALUE" localSheetId="2" hidden="1">#REF!</definedName>
    <definedName name="gls_SHOW_CONTROL_VALUE" localSheetId="0" hidden="1">#REF!</definedName>
    <definedName name="gls_SHOW_CONTROL_VALUE" localSheetId="1" hidden="1">#REF!</definedName>
    <definedName name="gls_SHOW_CONTROL_VALUE" hidden="1">#REF!</definedName>
    <definedName name="gls_SHOW_KEY_VAL_COLUMN" localSheetId="2" hidden="1">#REF!</definedName>
    <definedName name="gls_SHOW_KEY_VAL_COLUMN" localSheetId="0" hidden="1">#REF!</definedName>
    <definedName name="gls_SHOW_KEY_VAL_COLUMN" localSheetId="1" hidden="1">#REF!</definedName>
    <definedName name="gls_SHOW_KEY_VAL_COLUMN" hidden="1">#REF!</definedName>
    <definedName name="gls_SHOW_KEY_VALUES" localSheetId="2" hidden="1">#REF!</definedName>
    <definedName name="gls_SHOW_KEY_VALUES" localSheetId="0" hidden="1">#REF!</definedName>
    <definedName name="gls_SHOW_KEY_VALUES" localSheetId="1" hidden="1">#REF!</definedName>
    <definedName name="gls_SHOW_KEY_VALUES" hidden="1">#REF!</definedName>
    <definedName name="gls_SHOW_LINKED_ITEMS" localSheetId="2" hidden="1">#REF!</definedName>
    <definedName name="gls_SHOW_LINKED_ITEMS" localSheetId="0" hidden="1">#REF!</definedName>
    <definedName name="gls_SHOW_LINKED_ITEMS" localSheetId="1" hidden="1">#REF!</definedName>
    <definedName name="gls_SHOW_LINKED_ITEMS" hidden="1">#REF!</definedName>
    <definedName name="gls_SHOW_LOCAL_NAMES" localSheetId="2" hidden="1">#REF!</definedName>
    <definedName name="gls_SHOW_LOCAL_NAMES" localSheetId="0" hidden="1">#REF!</definedName>
    <definedName name="gls_SHOW_LOCAL_NAMES" localSheetId="1" hidden="1">#REF!</definedName>
    <definedName name="gls_SHOW_LOCAL_NAMES" hidden="1">#REF!</definedName>
    <definedName name="gls_SHOW_MULTIPLIERS" localSheetId="2" hidden="1">#REF!</definedName>
    <definedName name="gls_SHOW_MULTIPLIERS" localSheetId="0" hidden="1">#REF!</definedName>
    <definedName name="gls_SHOW_MULTIPLIERS" localSheetId="1" hidden="1">#REF!</definedName>
    <definedName name="gls_SHOW_MULTIPLIERS" hidden="1">#REF!</definedName>
    <definedName name="gls_SHOW_PK_COLUMN" localSheetId="2" hidden="1">#REF!</definedName>
    <definedName name="gls_SHOW_PK_COLUMN" localSheetId="0" hidden="1">#REF!</definedName>
    <definedName name="gls_SHOW_PK_COLUMN" localSheetId="1" hidden="1">#REF!</definedName>
    <definedName name="gls_SHOW_PK_COLUMN" hidden="1">#REF!</definedName>
    <definedName name="gls_SHOW_STATUS_INFORMATION" localSheetId="2" hidden="1">#REF!</definedName>
    <definedName name="gls_SHOW_STATUS_INFORMATION" localSheetId="0" hidden="1">#REF!</definedName>
    <definedName name="gls_SHOW_STATUS_INFORMATION" localSheetId="1" hidden="1">#REF!</definedName>
    <definedName name="gls_SHOW_STATUS_INFORMATION" hidden="1">#REF!</definedName>
    <definedName name="gls_SHOW_UNITS" localSheetId="2" hidden="1">#REF!</definedName>
    <definedName name="gls_SHOW_UNITS" localSheetId="0" hidden="1">#REF!</definedName>
    <definedName name="gls_SHOW_UNITS" localSheetId="1" hidden="1">#REF!</definedName>
    <definedName name="gls_SHOW_UNITS" hidden="1">#REF!</definedName>
    <definedName name="gls_SPARE_YEARS" localSheetId="2" hidden="1">#REF!</definedName>
    <definedName name="gls_SPARE_YEARS" localSheetId="0" hidden="1">#REF!</definedName>
    <definedName name="gls_SPARE_YEARS" localSheetId="1" hidden="1">#REF!</definedName>
    <definedName name="gls_SPARE_YEARS" hidden="1">#REF!</definedName>
    <definedName name="gls_SPECIAL_DIALOG" localSheetId="2" hidden="1">#REF!</definedName>
    <definedName name="gls_SPECIAL_DIALOG" localSheetId="0" hidden="1">#REF!</definedName>
    <definedName name="gls_SPECIAL_DIALOG" localSheetId="1" hidden="1">#REF!</definedName>
    <definedName name="gls_SPECIAL_DIALOG" hidden="1">#REF!</definedName>
    <definedName name="gls_START_FORMULA_OVERRIDEABLE" localSheetId="2" hidden="1">#REF!</definedName>
    <definedName name="gls_START_FORMULA_OVERRIDEABLE" localSheetId="0" hidden="1">#REF!</definedName>
    <definedName name="gls_START_FORMULA_OVERRIDEABLE" localSheetId="1" hidden="1">#REF!</definedName>
    <definedName name="gls_START_FORMULA_OVERRIDEABLE" hidden="1">#REF!</definedName>
    <definedName name="gls_START_LOCAL_NAMES" localSheetId="2" hidden="1">#REF!</definedName>
    <definedName name="gls_START_LOCAL_NAMES" localSheetId="0" hidden="1">#REF!</definedName>
    <definedName name="gls_START_LOCAL_NAMES" localSheetId="1" hidden="1">#REF!</definedName>
    <definedName name="gls_START_LOCAL_NAMES" hidden="1">#REF!</definedName>
    <definedName name="gls_START_PERIOD_CURRENCY" localSheetId="2" hidden="1">#REF!</definedName>
    <definedName name="gls_START_PERIOD_CURRENCY" localSheetId="0" hidden="1">#REF!</definedName>
    <definedName name="gls_START_PERIOD_CURRENCY" localSheetId="1" hidden="1">#REF!</definedName>
    <definedName name="gls_START_PERIOD_CURRENCY" hidden="1">#REF!</definedName>
    <definedName name="gls_START_STATUS" localSheetId="2" hidden="1">#REF!</definedName>
    <definedName name="gls_START_STATUS" localSheetId="0" hidden="1">#REF!</definedName>
    <definedName name="gls_START_STATUS" localSheetId="1" hidden="1">#REF!</definedName>
    <definedName name="gls_START_STATUS" hidden="1">#REF!</definedName>
    <definedName name="gls_START_USER_STATUS" localSheetId="2" hidden="1">#REF!</definedName>
    <definedName name="gls_START_USER_STATUS" localSheetId="0" hidden="1">#REF!</definedName>
    <definedName name="gls_START_USER_STATUS" localSheetId="1" hidden="1">#REF!</definedName>
    <definedName name="gls_START_USER_STATUS" hidden="1">#REF!</definedName>
    <definedName name="gls_START_VALIDATION" localSheetId="2" hidden="1">#REF!</definedName>
    <definedName name="gls_START_VALIDATION" localSheetId="0" hidden="1">#REF!</definedName>
    <definedName name="gls_START_VALIDATION" localSheetId="1" hidden="1">#REF!</definedName>
    <definedName name="gls_START_VALIDATION" hidden="1">#REF!</definedName>
    <definedName name="gls_START_WHAT" localSheetId="2" hidden="1">#REF!</definedName>
    <definedName name="gls_START_WHAT" localSheetId="0" hidden="1">#REF!</definedName>
    <definedName name="gls_START_WHAT" localSheetId="1" hidden="1">#REF!</definedName>
    <definedName name="gls_START_WHAT" hidden="1">#REF!</definedName>
    <definedName name="gls_START_YEAR" localSheetId="2" hidden="1">#REF!</definedName>
    <definedName name="gls_START_YEAR" localSheetId="0" hidden="1">#REF!</definedName>
    <definedName name="gls_START_YEAR" localSheetId="1" hidden="1">#REF!</definedName>
    <definedName name="gls_START_YEAR" hidden="1">#REF!</definedName>
    <definedName name="gls_StockTicker" localSheetId="2" hidden="1">#REF!</definedName>
    <definedName name="gls_StockTicker" localSheetId="0" hidden="1">#REF!</definedName>
    <definedName name="gls_StockTicker" localSheetId="1" hidden="1">#REF!</definedName>
    <definedName name="gls_StockTicker" hidden="1">#REF!</definedName>
    <definedName name="gls_TEMP_PERIOD_CODE" localSheetId="2" hidden="1">#REF!</definedName>
    <definedName name="gls_TEMP_PERIOD_CODE" localSheetId="0" hidden="1">#REF!</definedName>
    <definedName name="gls_TEMP_PERIOD_CODE" localSheetId="1" hidden="1">#REF!</definedName>
    <definedName name="gls_TEMP_PERIOD_CODE" hidden="1">#REF!</definedName>
    <definedName name="gls_THISWORKBOOK_NAME" localSheetId="2" hidden="1">#REF!</definedName>
    <definedName name="gls_THISWORKBOOK_NAME" localSheetId="0" hidden="1">#REF!</definedName>
    <definedName name="gls_THISWORKBOOK_NAME" localSheetId="1" hidden="1">#REF!</definedName>
    <definedName name="gls_THISWORKBOOK_NAME" hidden="1">#REF!</definedName>
    <definedName name="gls_UNUSUAL_POS" localSheetId="2" hidden="1">#REF!</definedName>
    <definedName name="gls_UNUSUAL_POS" localSheetId="0" hidden="1">#REF!</definedName>
    <definedName name="gls_UNUSUAL_POS" localSheetId="1" hidden="1">#REF!</definedName>
    <definedName name="gls_UNUSUAL_POS" hidden="1">#REF!</definedName>
    <definedName name="gls_USER_CELL_FORMAT" localSheetId="2" hidden="1">#REF!</definedName>
    <definedName name="gls_USER_CELL_FORMAT" localSheetId="0" hidden="1">#REF!</definedName>
    <definedName name="gls_USER_CELL_FORMAT" localSheetId="1" hidden="1">#REF!</definedName>
    <definedName name="gls_USER_CELL_FORMAT" hidden="1">#REF!</definedName>
    <definedName name="gls_USING_CONSOLIDATED" localSheetId="2" hidden="1">#REF!</definedName>
    <definedName name="gls_USING_CONSOLIDATED" localSheetId="0" hidden="1">#REF!</definedName>
    <definedName name="gls_USING_CONSOLIDATED" localSheetId="1" hidden="1">#REF!</definedName>
    <definedName name="gls_USING_CONSOLIDATED" hidden="1">#REF!</definedName>
    <definedName name="gls_YEAR_AE_CONTROL" localSheetId="2" hidden="1">#REF!</definedName>
    <definedName name="gls_YEAR_AE_CONTROL" localSheetId="0" hidden="1">#REF!</definedName>
    <definedName name="gls_YEAR_AE_CONTROL" localSheetId="1" hidden="1">#REF!</definedName>
    <definedName name="gls_YEAR_AE_CONTROL" hidden="1">#REF!</definedName>
    <definedName name="gls_YEAR_END_ROW" localSheetId="2" hidden="1">#REF!</definedName>
    <definedName name="gls_YEAR_END_ROW" localSheetId="0" hidden="1">#REF!</definedName>
    <definedName name="gls_YEAR_END_ROW" localSheetId="1" hidden="1">#REF!</definedName>
    <definedName name="gls_YEAR_END_ROW" hidden="1">#REF!</definedName>
    <definedName name="gls_YetToRunStartupWizard" localSheetId="2" hidden="1">#REF!</definedName>
    <definedName name="gls_YetToRunStartupWizard" localSheetId="0" hidden="1">#REF!</definedName>
    <definedName name="gls_YetToRunStartupWizard" localSheetId="1" hidden="1">#REF!</definedName>
    <definedName name="gls_YetToRunStartupWizard" hidden="1">#REF!</definedName>
    <definedName name="HTML_CodePage" hidden="1">1252</definedName>
    <definedName name="HTML_Control" localSheetId="2" hidden="1">{"'Outline (2)'!$A$1:$Q$7"}</definedName>
    <definedName name="HTML_Control" localSheetId="0" hidden="1">{"'Outline (2)'!$A$1:$Q$7"}</definedName>
    <definedName name="HTML_Control" localSheetId="1" hidden="1">{"'Outline (2)'!$A$1:$Q$7"}</definedName>
    <definedName name="HTML_Control" hidden="1">{"'Outline (2)'!$A$1:$Q$7"}</definedName>
    <definedName name="HTML_Description" hidden="1">""</definedName>
    <definedName name="HTML_Email" hidden="1">""</definedName>
    <definedName name="HTML_Header" hidden="1">"Outline (2)"</definedName>
    <definedName name="HTML_LastUpdate" hidden="1">"2/9/98"</definedName>
    <definedName name="HTML_LineAfter" hidden="1">FALSE</definedName>
    <definedName name="HTML_LineBefore" hidden="1">FALSE</definedName>
    <definedName name="HTML_Name" hidden="1">"Kenfil Training Centre"</definedName>
    <definedName name="HTML_OBDlg2" hidden="1">TRUE</definedName>
    <definedName name="HTML_OBDlg4" hidden="1">TRUE</definedName>
    <definedName name="HTML_OS" hidden="1">0</definedName>
    <definedName name="HTML_PathFile" hidden="1">"F:\USERS\STUDENT\KAREEN\EXCEL97\MyHTML.htm"</definedName>
    <definedName name="HTML_Title" hidden="1">"XL97_ADV"</definedName>
    <definedName name="HTML1_1" hidden="1">"[firstpacpg59withformula.xls]Sheet1!$A$1:$G$23"</definedName>
    <definedName name="HTML1_11" hidden="1">1</definedName>
    <definedName name="HTML1_12" hidden="1">"C:\Irasia\mactopc\firstpachk\webpages\page 58 p and l 0713c.htm"</definedName>
    <definedName name="HTML1_2" hidden="1">-4146</definedName>
    <definedName name="HTML1_3" hidden="1">"C:\Irasia\mactopc\firstpachk\webpages\page 58 p and l 0713b.htm"</definedName>
    <definedName name="HTML2_1" hidden="1">"[firstpacpg58.xls]Sheet1!$A$1:$F$15"</definedName>
    <definedName name="HTML2_11" hidden="1">1</definedName>
    <definedName name="HTML2_12" hidden="1">"C:\Irasia\mactopc\firstpachk\webpages\page 58 p and l 0713b.htm"</definedName>
    <definedName name="HTML2_2" hidden="1">-4146</definedName>
    <definedName name="HTML2_3" hidden="1">"C:\Irasia\mactopc\firstpachk\webpages\page 58 p and l 0713.htm"</definedName>
    <definedName name="HTMLCount" hidden="1">1</definedName>
    <definedName name="i" localSheetId="2" hidden="1">{"Qtr Op Mgd Q3",#N/A,FALSE,"Qtr-Op (Mng)";"Qtr Op Rpt Q3",#N/A,FALSE,"Qtr-Op (Rpt)";"Operating Vs Reported",#N/A,FALSE,"Rpt-Op Inc"}</definedName>
    <definedName name="i" localSheetId="0" hidden="1">{"Qtr Op Mgd Q3",#N/A,FALSE,"Qtr-Op (Mng)";"Qtr Op Rpt Q3",#N/A,FALSE,"Qtr-Op (Rpt)";"Operating Vs Reported",#N/A,FALSE,"Rpt-Op Inc"}</definedName>
    <definedName name="i" localSheetId="1" hidden="1">{"Qtr Op Mgd Q3",#N/A,FALSE,"Qtr-Op (Mng)";"Qtr Op Rpt Q3",#N/A,FALSE,"Qtr-Op (Rpt)";"Operating Vs Reported",#N/A,FALSE,"Rpt-Op Inc"}</definedName>
    <definedName name="i" hidden="1">{"Qtr Op Mgd Q3",#N/A,FALSE,"Qtr-Op (Mng)";"Qtr Op Rpt Q3",#N/A,FALSE,"Qtr-Op (Rpt)";"Operating Vs Reported",#N/A,FALSE,"Rpt-Op Inc"}</definedName>
    <definedName name="Img_ML_1c3d1n6n" hidden="1">"IMG_11"</definedName>
    <definedName name="Img_ML_1d1b5x3i" hidden="1">"IMG_18"</definedName>
    <definedName name="Img_ML_1e1k9n5y" hidden="1">"IMG_10"</definedName>
    <definedName name="Img_ML_1g9i6j4i" hidden="1">"IMG_6"</definedName>
    <definedName name="Img_ML_1h4n3h8h" hidden="1">"IMG_18"</definedName>
    <definedName name="Img_ML_1k2d3y6g" hidden="1">"IMG_18"</definedName>
    <definedName name="Img_ML_1k4g9u7k" hidden="1">"IMG_10"</definedName>
    <definedName name="Img_ML_1k4u6z9q" hidden="1">"IMG_12"</definedName>
    <definedName name="Img_ML_1q6n1r3y" hidden="1">"IMG_18"</definedName>
    <definedName name="Img_ML_1q7t4c5p" hidden="1">"IMG_18"</definedName>
    <definedName name="Img_ML_1q9i2k7i" hidden="1">"IMG_6"</definedName>
    <definedName name="Img_ML_1s9s8u2q" hidden="1">"IMG_12"</definedName>
    <definedName name="Img_ML_1t5s6u1f" hidden="1">"IMG_18"</definedName>
    <definedName name="Img_ML_1u3g1w9g" hidden="1">"IMG_18"</definedName>
    <definedName name="Img_ML_1v1d3k4v" hidden="1">"IMG_6"</definedName>
    <definedName name="Img_ML_1y7a6c1t" hidden="1">"IMG_17"</definedName>
    <definedName name="Img_ML_2e1r5p2m" hidden="1">"IMG_10"</definedName>
    <definedName name="Img_ML_2f4p3r6p" hidden="1">"IMG_18"</definedName>
    <definedName name="Img_ML_2i4d6c2r" hidden="1">"IMG_18"</definedName>
    <definedName name="Img_ML_2j1p7k4i" hidden="1">"IMG_6"</definedName>
    <definedName name="Img_ML_2j4h5d5y" hidden="1">"IMG_10"</definedName>
    <definedName name="Img_ML_2j6i5k6b" hidden="1">"IMG_18"</definedName>
    <definedName name="Img_ML_2m9t4m5q" hidden="1">"IMG_18"</definedName>
    <definedName name="Img_ML_2u8x3t5a" hidden="1">"IMG_3"</definedName>
    <definedName name="Img_ML_2v6s9i5c" hidden="1">"IMG_18"</definedName>
    <definedName name="Img_ML_2w1t7g9m" hidden="1">"IMG_18"</definedName>
    <definedName name="Img_ML_2x1b8j5c" hidden="1">"IMG_10"</definedName>
    <definedName name="Img_ML_2x8r4a2e" hidden="1">"IMG_18"</definedName>
    <definedName name="Img_ML_3b3j3x9k" hidden="1">"IMG_10"</definedName>
    <definedName name="Img_ML_3b5m6a3d" hidden="1">"IMG_18"</definedName>
    <definedName name="Img_ML_3b8r3t8y" hidden="1">"IMG_11"</definedName>
    <definedName name="Img_ML_3c6e9c4g" hidden="1">"IMG_11"</definedName>
    <definedName name="Img_ML_3e2q4k7i" hidden="1">"IMG_18"</definedName>
    <definedName name="Img_ML_3h2n3p4v" hidden="1">"IMG_17"</definedName>
    <definedName name="Img_ML_3j3i3p7g" hidden="1">"IMG_18"</definedName>
    <definedName name="Img_ML_3m9x5w6k" hidden="1">"IMG_6"</definedName>
    <definedName name="Img_ML_3n5p3k4y" hidden="1">"IMG_18"</definedName>
    <definedName name="Img_ML_3p2b9c6w" hidden="1">"IMG_18"</definedName>
    <definedName name="Img_ML_3p5d9q5j" hidden="1">"IMG_11"</definedName>
    <definedName name="Img_ML_3r4u7k1k" hidden="1">"IMG_18"</definedName>
    <definedName name="Img_ML_3u5n6c7g" hidden="1">"IMG_6"</definedName>
    <definedName name="Img_ML_3x8m5t8j" hidden="1">"IMG_18"</definedName>
    <definedName name="Img_ML_3y1j4m2m" hidden="1">"IMG_17"</definedName>
    <definedName name="Img_ML_4b5b4m3y" hidden="1">"IMG_18"</definedName>
    <definedName name="Img_ML_4b5r5k9y" hidden="1">"IMG_18"</definedName>
    <definedName name="Img_ML_4g9t7u4l" hidden="1">"IMG_12"</definedName>
    <definedName name="Img_ML_4k4p2k2y" hidden="1">"IMG_6"</definedName>
    <definedName name="Img_ML_4k4z1z9l" hidden="1">"IMG_11"</definedName>
    <definedName name="Img_ML_4k8k7q4x" hidden="1">"IMG_18"</definedName>
    <definedName name="Img_ML_4m1m4x3e" hidden="1">"IMG_18"</definedName>
    <definedName name="Img_ML_4m3p5r8j" hidden="1">"IMG_10"</definedName>
    <definedName name="Img_ML_4n6t1k1h" hidden="1">"IMG_18"</definedName>
    <definedName name="Img_ML_4r3t2p9g" hidden="1">"IMG_18"</definedName>
    <definedName name="Img_ML_4s4r5e3c" hidden="1">"IMG_18"</definedName>
    <definedName name="Img_ML_5d3i8b5s" hidden="1">"IMG_10"</definedName>
    <definedName name="Img_ML_5e7s6t2u" hidden="1">"IMG_10"</definedName>
    <definedName name="Img_ML_5e9m1k3s" hidden="1">"IMG_11"</definedName>
    <definedName name="Img_ML_5f9d1i5x" hidden="1">"IMG_18"</definedName>
    <definedName name="Img_ML_5f9x9u4u" hidden="1">"IMG_18"</definedName>
    <definedName name="Img_ML_5g9z1u4m" hidden="1">"IMG_11"</definedName>
    <definedName name="Img_ML_5h6q3g8u" hidden="1">"IMG_12"</definedName>
    <definedName name="Img_ML_5i2f2p6v" hidden="1">"IMG_11"</definedName>
    <definedName name="Img_ML_5k1g6v5e" hidden="1">"IMG_18"</definedName>
    <definedName name="Img_ML_5k7e4n8n" hidden="1">"IMG_18"</definedName>
    <definedName name="Img_ML_5k8u7s9i" hidden="1">"IMG_11"</definedName>
    <definedName name="Img_ML_5p5a4d6d" hidden="1">"IMG_11"</definedName>
    <definedName name="Img_ML_6a6y1x1h" hidden="1">"IMG_18"</definedName>
    <definedName name="Img_ML_6d9u6u7z" hidden="1">"IMG_4"</definedName>
    <definedName name="Img_ML_6f2p1m9g" hidden="1">"IMG_10"</definedName>
    <definedName name="Img_ML_6j4v6x5i" hidden="1">"IMG_10"</definedName>
    <definedName name="Img_ML_6k5t7m9z" hidden="1">"IMG_4"</definedName>
    <definedName name="Img_ML_6k9c9p4d" hidden="1">"IMG_18"</definedName>
    <definedName name="Img_ML_6m3p7m9h" hidden="1">"IMG_18"</definedName>
    <definedName name="Img_ML_6m5d9e6r" hidden="1">"IMG_18"</definedName>
    <definedName name="Img_ML_6m6i9t6k" hidden="1">"IMG_18"</definedName>
    <definedName name="Img_ML_6n6c2h1d" hidden="1">"IMG_18"</definedName>
    <definedName name="Img_ML_6p2b6u6k" hidden="1">"IMG_12"</definedName>
    <definedName name="Img_ML_6p3m8v1n" hidden="1">"IMG_18"</definedName>
    <definedName name="Img_ML_6p9x3u7k" hidden="1">"IMG_18"</definedName>
    <definedName name="Img_ML_6r9u1n9k" hidden="1">"IMG_5"</definedName>
    <definedName name="Img_ML_6s4w4z2z" hidden="1">"IMG_3"</definedName>
    <definedName name="Img_ML_6s5x3m6z" hidden="1">"IMG_3"</definedName>
    <definedName name="Img_ML_6u1b6h4m" hidden="1">"IMG_18"</definedName>
    <definedName name="Img_ML_6u4t7r7e" hidden="1">"IMG_11"</definedName>
    <definedName name="Img_ML_6w6m7b7r" hidden="1">"IMG_10"</definedName>
    <definedName name="Img_ML_6y9f7y3n" hidden="1">"IMG_10"</definedName>
    <definedName name="Img_ML_7b3x8f2f" hidden="1">"IMG_18"</definedName>
    <definedName name="Img_ML_7d3a8x3f" hidden="1">"IMG_18"</definedName>
    <definedName name="Img_ML_7e1g7x4r" hidden="1">"IMG_18"</definedName>
    <definedName name="Img_ML_7f1w1m7s" hidden="1">"IMG_11"</definedName>
    <definedName name="Img_ML_7g4k9d6i" hidden="1">"IMG_10"</definedName>
    <definedName name="Img_ML_7g5e5e2b" hidden="1">"IMG_11"</definedName>
    <definedName name="Img_ML_7j3p5m6t" hidden="1">"IMG_18"</definedName>
    <definedName name="Img_ML_7j8s8t8i" hidden="1">"IMG_11"</definedName>
    <definedName name="Img_ML_7m3b4p7p" hidden="1">"IMG_18"</definedName>
    <definedName name="Img_ML_7m5m4k3b" hidden="1">"IMG_17"</definedName>
    <definedName name="Img_ML_7n6h3t1t" hidden="1">"IMG_17"</definedName>
    <definedName name="Img_ML_7s4w7c6r" hidden="1">"IMG_10"</definedName>
    <definedName name="Img_ML_7s5s8m2i" hidden="1">"IMG_12"</definedName>
    <definedName name="Img_ML_7t5s6e3m" hidden="1">"IMG_11"</definedName>
    <definedName name="Img_ML_7w3j1h9t" hidden="1">"IMG_18"</definedName>
    <definedName name="Img_ML_8a8m2p9x" hidden="1">"IMG_11"</definedName>
    <definedName name="Img_ML_8b4s3j4n" hidden="1">"IMG_18"</definedName>
    <definedName name="Img_ML_8b9j5t1p" hidden="1">"IMG_10"</definedName>
    <definedName name="Img_ML_8c2q5i2r" hidden="1">"IMG_18"</definedName>
    <definedName name="Img_ML_8d2v5j7j" hidden="1">"IMG_12"</definedName>
    <definedName name="Img_ML_8e3p4n9n" hidden="1">"IMG_18"</definedName>
    <definedName name="Img_ML_8f5v8k5i" hidden="1">"IMG_11"</definedName>
    <definedName name="Img_ML_8g3e4a7v" hidden="1">"IMG_17"</definedName>
    <definedName name="Img_ML_8h3m3i1m" hidden="1">"IMG_11"</definedName>
    <definedName name="Img_ML_8i9u7w8k" hidden="1">"IMG_18"</definedName>
    <definedName name="Img_ML_8j3w6p4c" hidden="1">"IMG_12"</definedName>
    <definedName name="Img_ML_8n6m2q6v" hidden="1">"IMG_18"</definedName>
    <definedName name="Img_ML_8r1k8t4y" hidden="1">"IMG_10"</definedName>
    <definedName name="Img_ML_8r9f4n4f" hidden="1">"IMG_18"</definedName>
    <definedName name="Img_ML_8s3q3c1i" hidden="1">"IMG_18"</definedName>
    <definedName name="Img_ML_8s9d7q9u" hidden="1">"IMG_11"</definedName>
    <definedName name="Img_ML_8t3m5u6f" hidden="1">"IMG_11"</definedName>
    <definedName name="Img_ML_8y3q6y4b" hidden="1">"IMG_18"</definedName>
    <definedName name="Img_ML_8y5b6i3r" hidden="1">"IMG_6"</definedName>
    <definedName name="Img_ML_9c9p6w6g" hidden="1">"IMG_18"</definedName>
    <definedName name="Img_ML_9e4j3y6n" hidden="1">"IMG_18"</definedName>
    <definedName name="Img_ML_9g2r1i7c" hidden="1">"IMG_18"</definedName>
    <definedName name="Img_ML_9g3r6t7h" hidden="1">"IMG_18"</definedName>
    <definedName name="Img_ML_9h6h8h8e" hidden="1">"IMG_18"</definedName>
    <definedName name="Img_ML_9h6p7r7t" hidden="1">"IMG_18"</definedName>
    <definedName name="Img_ML_9j3t2m3v" hidden="1">"IMG_18"</definedName>
    <definedName name="Img_ML_9m3v1d9u" hidden="1">"IMG_18"</definedName>
    <definedName name="Img_ML_9n1s4m5f" hidden="1">"IMG_18"</definedName>
    <definedName name="Img_ML_9t4s6m1a" hidden="1">"IMG_18"</definedName>
    <definedName name="Img_ML_9u2c1d4e" hidden="1">"IMG_11"</definedName>
    <definedName name="Img_ML_9v4y5y5t" hidden="1">"IMG_11"</definedName>
    <definedName name="Img_ML_9v6s2g1u" hidden="1">"IMG_18"</definedName>
    <definedName name="Img_NAV_chart" hidden="1">"IMG_50"</definedName>
    <definedName name="Img_Office_S_vs_Rental" hidden="1">"IMG_10"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EST_REUT" hidden="1">"c5453"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FOOTNOTE" hidden="1">"c4540"</definedName>
    <definedName name="IQ_EST_FOOTNOTE_CIQ" hidden="1">"c12022"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ADJ_ACT_OR_EST_CIQ" hidden="1">"c4960"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40917.624212963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EST_REUT" hidden="1">"c3634"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39890.4646875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"iQShowAnnual"</definedName>
    <definedName name="limcount" hidden="1">1</definedName>
    <definedName name="M_PlaceofPath" hidden="1">"H:\excel\AIG\aig_vdf.xls"</definedName>
    <definedName name="MnPrices" hidden="1">#REF!</definedName>
    <definedName name="MODEL_db_ORIGINATOR" hidden="1">"1"</definedName>
    <definedName name="MODEL_db_TICKER" hidden="1">"ABC"</definedName>
    <definedName name="q" localSheetId="2" hidden="1">{"Qtr Op Mgd Q2",#N/A,FALSE,"Qtr-Op (Mng)";"Qtr Op Rpt Q2",#N/A,FALSE,"Qtr-Op (Rpt)";"Operating Vs Reported",#N/A,FALSE,"Rpt-Op Inc"}</definedName>
    <definedName name="q" localSheetId="0" hidden="1">{"Qtr Op Mgd Q2",#N/A,FALSE,"Qtr-Op (Mng)";"Qtr Op Rpt Q2",#N/A,FALSE,"Qtr-Op (Rpt)";"Operating Vs Reported",#N/A,FALSE,"Rpt-Op Inc"}</definedName>
    <definedName name="q" localSheetId="1" hidden="1">{"Qtr Op Mgd Q2",#N/A,FALSE,"Qtr-Op (Mng)";"Qtr Op Rpt Q2",#N/A,FALSE,"Qtr-Op (Rpt)";"Operating Vs Reported",#N/A,FALSE,"Rpt-Op Inc"}</definedName>
    <definedName name="q" hidden="1">{"Qtr Op Mgd Q2",#N/A,FALSE,"Qtr-Op (Mng)";"Qtr Op Rpt Q2",#N/A,FALSE,"Qtr-Op (Rpt)";"Operating Vs Reported",#N/A,FALSE,"Rpt-Op Inc"}</definedName>
    <definedName name="qwer" localSheetId="2" hidden="1">{"'Outline (2)'!$A$1:$Q$7"}</definedName>
    <definedName name="qwer" localSheetId="0" hidden="1">{"'Outline (2)'!$A$1:$Q$7"}</definedName>
    <definedName name="qwer" localSheetId="1" hidden="1">{"'Outline (2)'!$A$1:$Q$7"}</definedName>
    <definedName name="qwer" hidden="1">{"'Outline (2)'!$A$1:$Q$7"}</definedName>
    <definedName name="rep" localSheetId="2" hidden="1">{#N/A,#N/A,FALSE,"COVER";#N/A,#N/A,FALSE,"VALUATION";#N/A,#N/A,FALSE,"FORECAST";#N/A,#N/A,FALSE,"FY ANALYSIS ";#N/A,#N/A,FALSE," HY ANALYSIS"}</definedName>
    <definedName name="rep" localSheetId="0" hidden="1">{#N/A,#N/A,FALSE,"COVER";#N/A,#N/A,FALSE,"VALUATION";#N/A,#N/A,FALSE,"FORECAST";#N/A,#N/A,FALSE,"FY ANALYSIS ";#N/A,#N/A,FALSE," HY ANALYSIS"}</definedName>
    <definedName name="rep" localSheetId="1" hidden="1">{#N/A,#N/A,FALSE,"COVER";#N/A,#N/A,FALSE,"VALUATION";#N/A,#N/A,FALSE,"FORECAST";#N/A,#N/A,FALSE,"FY ANALYSIS ";#N/A,#N/A,FALSE," HY ANALYSIS"}</definedName>
    <definedName name="rep" hidden="1">{#N/A,#N/A,FALSE,"COVER";#N/A,#N/A,FALSE,"VALUATION";#N/A,#N/A,FALSE,"FORECAST";#N/A,#N/A,FALSE,"FY ANALYSIS ";#N/A,#N/A,FALSE," HY ANALYSIS"}</definedName>
    <definedName name="RiM_A.ValMethod" localSheetId="2" hidden="1">#REF!</definedName>
    <definedName name="RiM_A.ValMethod" localSheetId="0" hidden="1">#REF!</definedName>
    <definedName name="RiM_A.ValMethod" localSheetId="1" hidden="1">#REF!</definedName>
    <definedName name="RiM_A.ValMethod" hidden="1">#REF!</definedName>
    <definedName name="RiM_SHAREUNITS" hidden="1">"U.WN.MIL"</definedName>
    <definedName name="RiM_UNITS" hidden="1">"U.CUR.MIL"</definedName>
    <definedName name="rrrrrr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1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1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2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2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2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wvu.bal_98." localSheetId="2" hidden="1">#REF!</definedName>
    <definedName name="Rwvu.bal_98." localSheetId="0" hidden="1">#REF!</definedName>
    <definedName name="Rwvu.bal_98." localSheetId="1" hidden="1">#REF!</definedName>
    <definedName name="Rwvu.bal_98." hidden="1">#REF!</definedName>
    <definedName name="Rwvu.Full_Year." localSheetId="2" hidden="1">#REF!,#REF!,#REF!,#REF!</definedName>
    <definedName name="Rwvu.Full_Year." localSheetId="0" hidden="1">#REF!,#REF!,#REF!,#REF!</definedName>
    <definedName name="Rwvu.Full_Year." localSheetId="1" hidden="1">#REF!,#REF!,#REF!,#REF!</definedName>
    <definedName name="Rwvu.Full_Year." hidden="1">#REF!,#REF!,#REF!,#REF!</definedName>
    <definedName name="s" localSheetId="2" hidden="1">{"IND","COMPANIES",TRUE}</definedName>
    <definedName name="s" localSheetId="0" hidden="1">{"IND","COMPANIES",TRUE}</definedName>
    <definedName name="s" localSheetId="1" hidden="1">{"IND","COMPANIES",TRUE}</definedName>
    <definedName name="s" hidden="1">{"IND","COMPANIES",TRUE}</definedName>
    <definedName name="sencount" hidden="1">1</definedName>
    <definedName name="solver_cvg" hidden="1">0.000000001</definedName>
    <definedName name="solver_drv" hidden="1">1</definedName>
    <definedName name="solver_est" hidden="1">1</definedName>
    <definedName name="solver_itr" hidden="1">10000</definedName>
    <definedName name="solver_lin" hidden="1">0</definedName>
    <definedName name="solver_lin_1" hidden="1">0</definedName>
    <definedName name="solver_neg" hidden="1">2</definedName>
    <definedName name="solver_num" hidden="1">0</definedName>
    <definedName name="solver_nwt" hidden="1">1</definedName>
    <definedName name="solver_opt" localSheetId="2" hidden="1">#REF!</definedName>
    <definedName name="solver_opt" localSheetId="0" hidden="1">#REF!</definedName>
    <definedName name="solver_opt" localSheetId="1" hidden="1">#REF!</definedName>
    <definedName name="solver_opt" hidden="1">#REF!</definedName>
    <definedName name="solver_pre" hidden="1">0.000000000001</definedName>
    <definedName name="solver_scl" hidden="1">2</definedName>
    <definedName name="solver_sho" hidden="1">2</definedName>
    <definedName name="solver_tim" hidden="1">1000</definedName>
    <definedName name="solver_tol" hidden="1">0.000000000001</definedName>
    <definedName name="solver_typ" hidden="1">3</definedName>
    <definedName name="solver_val" hidden="1">5.05</definedName>
    <definedName name="srthhdg" localSheetId="2" hidden="1">{"Revenue by Industry Chart",#N/A,FALSE,"Mix";"Annual Revenue Detail",#N/A,FALSE,"Mix";"Quarterly Revenue Detail",#N/A,FALSE,"Mix"}</definedName>
    <definedName name="srthhdg" localSheetId="0" hidden="1">{"Revenue by Industry Chart",#N/A,FALSE,"Mix";"Annual Revenue Detail",#N/A,FALSE,"Mix";"Quarterly Revenue Detail",#N/A,FALSE,"Mix"}</definedName>
    <definedName name="srthhdg" localSheetId="1" hidden="1">{"Revenue by Industry Chart",#N/A,FALSE,"Mix";"Annual Revenue Detail",#N/A,FALSE,"Mix";"Quarterly Revenue Detail",#N/A,FALSE,"Mix"}</definedName>
    <definedName name="srthhdg" hidden="1">{"Revenue by Industry Chart",#N/A,FALSE,"Mix";"Annual Revenue Detail",#N/A,FALSE,"Mix";"Quarterly Revenue Detail",#N/A,FALSE,"Mix"}</definedName>
    <definedName name="sssss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1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1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2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2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2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wvu.bal_98." localSheetId="2" hidden="1">#REF!</definedName>
    <definedName name="Swvu.bal_98." localSheetId="0" hidden="1">#REF!</definedName>
    <definedName name="Swvu.bal_98." localSheetId="1" hidden="1">#REF!</definedName>
    <definedName name="Swvu.bal_98." hidden="1">#REF!</definedName>
    <definedName name="Swvu.Detail." localSheetId="2" hidden="1">#REF!</definedName>
    <definedName name="Swvu.Detail." localSheetId="0" hidden="1">#REF!</definedName>
    <definedName name="Swvu.Detail." localSheetId="1" hidden="1">#REF!</definedName>
    <definedName name="Swvu.Detail." hidden="1">#REF!</definedName>
    <definedName name="Swvu.Forestry." localSheetId="2" hidden="1">#REF!</definedName>
    <definedName name="Swvu.Forestry." localSheetId="0" hidden="1">#REF!</definedName>
    <definedName name="Swvu.Forestry." localSheetId="1" hidden="1">#REF!</definedName>
    <definedName name="Swvu.Forestry." hidden="1">#REF!</definedName>
    <definedName name="Swvu.Full_Year." localSheetId="2" hidden="1">#REF!</definedName>
    <definedName name="Swvu.Full_Year." localSheetId="0" hidden="1">#REF!</definedName>
    <definedName name="Swvu.Full_Year." localSheetId="1" hidden="1">#REF!</definedName>
    <definedName name="Swvu.Full_Year." hidden="1">#REF!</definedName>
    <definedName name="Swvu.Merch_Summary." localSheetId="2" hidden="1">#REF!</definedName>
    <definedName name="Swvu.Merch_Summary." localSheetId="0" hidden="1">#REF!</definedName>
    <definedName name="Swvu.Merch_Summary." localSheetId="1" hidden="1">#REF!</definedName>
    <definedName name="Swvu.Merch_Summary." hidden="1">#REF!</definedName>
    <definedName name="Swvu.Summary." localSheetId="2" hidden="1">#REF!</definedName>
    <definedName name="Swvu.Summary." localSheetId="0" hidden="1">#REF!</definedName>
    <definedName name="Swvu.Summary." localSheetId="1" hidden="1">#REF!</definedName>
    <definedName name="Swvu.Summary." hidden="1">#REF!</definedName>
    <definedName name="Swvu.Warehouse." localSheetId="2" hidden="1">#REF!</definedName>
    <definedName name="Swvu.Warehouse." localSheetId="0" hidden="1">#REF!</definedName>
    <definedName name="Swvu.Warehouse." localSheetId="1" hidden="1">#REF!</definedName>
    <definedName name="Swvu.Warehouse." hidden="1">#REF!</definedName>
    <definedName name="Tigr_Exhibit2cf0c7a4_8079_452d_90b1_946b4ca5791e" localSheetId="2" hidden="1">#REF!</definedName>
    <definedName name="Tigr_Exhibit2cf0c7a4_8079_452d_90b1_946b4ca5791e" localSheetId="0" hidden="1">#REF!</definedName>
    <definedName name="Tigr_Exhibit2cf0c7a4_8079_452d_90b1_946b4ca5791e" localSheetId="1" hidden="1">#REF!</definedName>
    <definedName name="Tigr_Exhibit2cf0c7a4_8079_452d_90b1_946b4ca5791e" hidden="1">#REF!</definedName>
    <definedName name="Tigr_Exhibit3edd6723_b4b8_4c96_a3d2_86d3ddbd543d" localSheetId="2" hidden="1">#REF!</definedName>
    <definedName name="Tigr_Exhibit3edd6723_b4b8_4c96_a3d2_86d3ddbd543d" localSheetId="0" hidden="1">#REF!</definedName>
    <definedName name="Tigr_Exhibit3edd6723_b4b8_4c96_a3d2_86d3ddbd543d" localSheetId="1" hidden="1">#REF!</definedName>
    <definedName name="Tigr_Exhibit3edd6723_b4b8_4c96_a3d2_86d3ddbd543d" hidden="1">#REF!</definedName>
    <definedName name="Tigr_Exhibitf2941059_9aad_40de_bd7f_fb976c9da072" localSheetId="2" hidden="1">#REF!</definedName>
    <definedName name="Tigr_Exhibitf2941059_9aad_40de_bd7f_fb976c9da072" localSheetId="0" hidden="1">#REF!</definedName>
    <definedName name="Tigr_Exhibitf2941059_9aad_40de_bd7f_fb976c9da072" localSheetId="1" hidden="1">#REF!</definedName>
    <definedName name="Tigr_Exhibitf2941059_9aad_40de_bd7f_fb976c9da072" hidden="1">#REF!</definedName>
    <definedName name="tttttt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1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1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2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2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2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known_CWN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known_CWN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known_CWN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known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1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1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1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2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2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2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1" localSheetId="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1" localSheetId="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1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1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2" localSheetId="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2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2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CWN" localSheetId="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CWN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CWN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2" localSheetId="2" hidden="1">{"Print Summary",#N/A,FALSE,"Bal_Graphs";"Print Summary",#N/A,FALSE,"DCF";"Print Summary",#N/A,FALSE,"Graphs";"Print Summary",#N/A,FALSE,"Summary"}</definedName>
    <definedName name="unknown2" localSheetId="0" hidden="1">{"Print Summary",#N/A,FALSE,"Bal_Graphs";"Print Summary",#N/A,FALSE,"DCF";"Print Summary",#N/A,FALSE,"Graphs";"Print Summary",#N/A,FALSE,"Summary"}</definedName>
    <definedName name="unknown2" localSheetId="1" hidden="1">{"Print Summary",#N/A,FALSE,"Bal_Graphs";"Print Summary",#N/A,FALSE,"DCF";"Print Summary",#N/A,FALSE,"Graphs";"Print Summary",#N/A,FALSE,"Summary"}</definedName>
    <definedName name="unknown2" hidden="1">{"Print Summary",#N/A,FALSE,"Bal_Graphs";"Print Summary",#N/A,FALSE,"DCF";"Print Summary",#N/A,FALSE,"Graphs";"Print Summary",#N/A,FALSE,"Summary"}</definedName>
    <definedName name="unknown2_1" localSheetId="2" hidden="1">{"Print Summary",#N/A,FALSE,"Bal_Graphs";"Print Summary",#N/A,FALSE,"DCF";"Print Summary",#N/A,FALSE,"Graphs";"Print Summary",#N/A,FALSE,"Summary"}</definedName>
    <definedName name="unknown2_1" localSheetId="0" hidden="1">{"Print Summary",#N/A,FALSE,"Bal_Graphs";"Print Summary",#N/A,FALSE,"DCF";"Print Summary",#N/A,FALSE,"Graphs";"Print Summary",#N/A,FALSE,"Summary"}</definedName>
    <definedName name="unknown2_1" localSheetId="1" hidden="1">{"Print Summary",#N/A,FALSE,"Bal_Graphs";"Print Summary",#N/A,FALSE,"DCF";"Print Summary",#N/A,FALSE,"Graphs";"Print Summary",#N/A,FALSE,"Summary"}</definedName>
    <definedName name="unknown2_1" hidden="1">{"Print Summary",#N/A,FALSE,"Bal_Graphs";"Print Summary",#N/A,FALSE,"DCF";"Print Summary",#N/A,FALSE,"Graphs";"Print Summary",#N/A,FALSE,"Summary"}</definedName>
    <definedName name="unknown2_2" localSheetId="2" hidden="1">{"Print Summary",#N/A,FALSE,"Bal_Graphs";"Print Summary",#N/A,FALSE,"DCF";"Print Summary",#N/A,FALSE,"Graphs";"Print Summary",#N/A,FALSE,"Summary"}</definedName>
    <definedName name="unknown2_2" localSheetId="0" hidden="1">{"Print Summary",#N/A,FALSE,"Bal_Graphs";"Print Summary",#N/A,FALSE,"DCF";"Print Summary",#N/A,FALSE,"Graphs";"Print Summary",#N/A,FALSE,"Summary"}</definedName>
    <definedName name="unknown2_2" localSheetId="1" hidden="1">{"Print Summary",#N/A,FALSE,"Bal_Graphs";"Print Summary",#N/A,FALSE,"DCF";"Print Summary",#N/A,FALSE,"Graphs";"Print Summary",#N/A,FALSE,"Summary"}</definedName>
    <definedName name="unknown2_2" hidden="1">{"Print Summary",#N/A,FALSE,"Bal_Graphs";"Print Summary",#N/A,FALSE,"DCF";"Print Summary",#N/A,FALSE,"Graphs";"Print Summary",#N/A,FALSE,"Summary"}</definedName>
    <definedName name="unknown2_CWN" localSheetId="2" hidden="1">{"Print Summary",#N/A,FALSE,"Bal_Graphs";"Print Summary",#N/A,FALSE,"DCF";"Print Summary",#N/A,FALSE,"Graphs";"Print Summary",#N/A,FALSE,"Summary"}</definedName>
    <definedName name="unknown2_CWN" localSheetId="0" hidden="1">{"Print Summary",#N/A,FALSE,"Bal_Graphs";"Print Summary",#N/A,FALSE,"DCF";"Print Summary",#N/A,FALSE,"Graphs";"Print Summary",#N/A,FALSE,"Summary"}</definedName>
    <definedName name="unknown2_CWN" localSheetId="1" hidden="1">{"Print Summary",#N/A,FALSE,"Bal_Graphs";"Print Summary",#N/A,FALSE,"DCF";"Print Summary",#N/A,FALSE,"Graphs";"Print Summary",#N/A,FALSE,"Summary"}</definedName>
    <definedName name="unknown2_CWN" hidden="1">{"Print Summary",#N/A,FALSE,"Bal_Graphs";"Print Summary",#N/A,FALSE,"DCF";"Print Summary",#N/A,FALSE,"Graphs";"Print Summary",#N/A,FALSE,"Summary"}</definedName>
    <definedName name="unknown3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1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1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1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2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2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2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CWN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CWN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CWN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1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1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1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2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2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2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CWN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CWN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CWN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5" localSheetId="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1" localSheetId="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1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1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2" localSheetId="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2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2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CWN" localSheetId="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CWN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CWN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6" localSheetId="2" hidden="1">{"Print Summary",#N/A,FALSE,"Bal_Graphs";"Print Summary",#N/A,FALSE,"DCF";"Print Summary",#N/A,FALSE,"Graphs";"Print Summary",#N/A,FALSE,"Summary"}</definedName>
    <definedName name="unknown6" localSheetId="0" hidden="1">{"Print Summary",#N/A,FALSE,"Bal_Graphs";"Print Summary",#N/A,FALSE,"DCF";"Print Summary",#N/A,FALSE,"Graphs";"Print Summary",#N/A,FALSE,"Summary"}</definedName>
    <definedName name="unknown6" localSheetId="1" hidden="1">{"Print Summary",#N/A,FALSE,"Bal_Graphs";"Print Summary",#N/A,FALSE,"DCF";"Print Summary",#N/A,FALSE,"Graphs";"Print Summary",#N/A,FALSE,"Summary"}</definedName>
    <definedName name="unknown6" hidden="1">{"Print Summary",#N/A,FALSE,"Bal_Graphs";"Print Summary",#N/A,FALSE,"DCF";"Print Summary",#N/A,FALSE,"Graphs";"Print Summary",#N/A,FALSE,"Summary"}</definedName>
    <definedName name="unknown6_1" localSheetId="2" hidden="1">{"Print Summary",#N/A,FALSE,"Bal_Graphs";"Print Summary",#N/A,FALSE,"DCF";"Print Summary",#N/A,FALSE,"Graphs";"Print Summary",#N/A,FALSE,"Summary"}</definedName>
    <definedName name="unknown6_1" localSheetId="0" hidden="1">{"Print Summary",#N/A,FALSE,"Bal_Graphs";"Print Summary",#N/A,FALSE,"DCF";"Print Summary",#N/A,FALSE,"Graphs";"Print Summary",#N/A,FALSE,"Summary"}</definedName>
    <definedName name="unknown6_1" localSheetId="1" hidden="1">{"Print Summary",#N/A,FALSE,"Bal_Graphs";"Print Summary",#N/A,FALSE,"DCF";"Print Summary",#N/A,FALSE,"Graphs";"Print Summary",#N/A,FALSE,"Summary"}</definedName>
    <definedName name="unknown6_1" hidden="1">{"Print Summary",#N/A,FALSE,"Bal_Graphs";"Print Summary",#N/A,FALSE,"DCF";"Print Summary",#N/A,FALSE,"Graphs";"Print Summary",#N/A,FALSE,"Summary"}</definedName>
    <definedName name="unknown6_2" localSheetId="2" hidden="1">{"Print Summary",#N/A,FALSE,"Bal_Graphs";"Print Summary",#N/A,FALSE,"DCF";"Print Summary",#N/A,FALSE,"Graphs";"Print Summary",#N/A,FALSE,"Summary"}</definedName>
    <definedName name="unknown6_2" localSheetId="0" hidden="1">{"Print Summary",#N/A,FALSE,"Bal_Graphs";"Print Summary",#N/A,FALSE,"DCF";"Print Summary",#N/A,FALSE,"Graphs";"Print Summary",#N/A,FALSE,"Summary"}</definedName>
    <definedName name="unknown6_2" localSheetId="1" hidden="1">{"Print Summary",#N/A,FALSE,"Bal_Graphs";"Print Summary",#N/A,FALSE,"DCF";"Print Summary",#N/A,FALSE,"Graphs";"Print Summary",#N/A,FALSE,"Summary"}</definedName>
    <definedName name="unknown6_2" hidden="1">{"Print Summary",#N/A,FALSE,"Bal_Graphs";"Print Summary",#N/A,FALSE,"DCF";"Print Summary",#N/A,FALSE,"Graphs";"Print Summary",#N/A,FALSE,"Summary"}</definedName>
    <definedName name="unknown6_CWN" localSheetId="2" hidden="1">{"Print Summary",#N/A,FALSE,"Bal_Graphs";"Print Summary",#N/A,FALSE,"DCF";"Print Summary",#N/A,FALSE,"Graphs";"Print Summary",#N/A,FALSE,"Summary"}</definedName>
    <definedName name="unknown6_CWN" localSheetId="0" hidden="1">{"Print Summary",#N/A,FALSE,"Bal_Graphs";"Print Summary",#N/A,FALSE,"DCF";"Print Summary",#N/A,FALSE,"Graphs";"Print Summary",#N/A,FALSE,"Summary"}</definedName>
    <definedName name="unknown6_CWN" localSheetId="1" hidden="1">{"Print Summary",#N/A,FALSE,"Bal_Graphs";"Print Summary",#N/A,FALSE,"DCF";"Print Summary",#N/A,FALSE,"Graphs";"Print Summary",#N/A,FALSE,"Summary"}</definedName>
    <definedName name="unknown6_CWN" hidden="1">{"Print Summary",#N/A,FALSE,"Bal_Graphs";"Print Summary",#N/A,FALSE,"DCF";"Print Summary",#N/A,FALSE,"Graphs";"Print Summary",#N/A,FALSE,"Summary"}</definedName>
    <definedName name="unknown7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1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1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1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2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2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2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CWN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CWN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CWN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uuuu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1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1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2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2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2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ar.client_detailed_skc" localSheetId="2" hidden="1">{"Full_Year",#N/A,FALSE,"PE1_S";"Full_Year",#N/A,FALSE,"Cashflow_EPS";"Full_Year",#N/A,FALSE,"EBIT_DIV"}</definedName>
    <definedName name="war.client_detailed_skc" localSheetId="0" hidden="1">{"Full_Year",#N/A,FALSE,"PE1_S";"Full_Year",#N/A,FALSE,"Cashflow_EPS";"Full_Year",#N/A,FALSE,"EBIT_DIV"}</definedName>
    <definedName name="war.client_detailed_skc" localSheetId="1" hidden="1">{"Full_Year",#N/A,FALSE,"PE1_S";"Full_Year",#N/A,FALSE,"Cashflow_EPS";"Full_Year",#N/A,FALSE,"EBIT_DIV"}</definedName>
    <definedName name="war.client_detailed_skc" hidden="1">{"Full_Year",#N/A,FALSE,"PE1_S";"Full_Year",#N/A,FALSE,"Cashflow_EPS";"Full_Year",#N/A,FALSE,"EBIT_DIV"}</definedName>
    <definedName name="warn.full_client_skc" localSheetId="2" hidden="1">{"Full_Year",#N/A,FALSE,"PE1_S";"Automotive",#N/A,FALSE,"Auto_EBIT";#N/A,#N/A,FALSE,"Industrial_EBIT";#N/A,#N/A,FALSE,"Webforge_EBIT"}</definedName>
    <definedName name="warn.full_client_skc" localSheetId="0" hidden="1">{"Full_Year",#N/A,FALSE,"PE1_S";"Automotive",#N/A,FALSE,"Auto_EBIT";#N/A,#N/A,FALSE,"Industrial_EBIT";#N/A,#N/A,FALSE,"Webforge_EBIT"}</definedName>
    <definedName name="warn.full_client_skc" localSheetId="1" hidden="1">{"Full_Year",#N/A,FALSE,"PE1_S";"Automotive",#N/A,FALSE,"Auto_EBIT";#N/A,#N/A,FALSE,"Industrial_EBIT";#N/A,#N/A,FALSE,"Webforge_EBIT"}</definedName>
    <definedName name="warn.full_client_skc" hidden="1">{"Full_Year",#N/A,FALSE,"PE1_S";"Automotive",#N/A,FALSE,"Auto_EBIT";#N/A,#N/A,FALSE,"Industrial_EBIT";#N/A,#N/A,FALSE,"Webforge_EBIT"}</definedName>
    <definedName name="wrn.1q97." localSheetId="2" hidden="1">{#N/A,#N/A,FALSE,"Allstate Inc Stmt YTD";#N/A,#N/A,FALSE,"Segment Inc Stmt YTD";#N/A,#N/A,FALSE,"Current &amp; Prior Bal Sht";#N/A,#N/A,FALSE,"Dec Bal Sht.";#N/A,#N/A,FALSE,"CASH FLOW QTR";#N/A,#N/A,FALSE,"Resegmented Underwriting";#N/A,#N/A,FALSE,"RESEG WRITTEN";#N/A,#N/A,FALSE,"Segment Underwriting";#N/A,#N/A,FALSE,"Written Premium";#N/A,#N/A,FALSE,"Life Premium";#N/A,#N/A,FALSE,"Investments";#N/A,#N/A,FALSE,"Dec Investments";#N/A,#N/A,FALSE,"4Qtr PL Inv. Income";#N/A,#N/A,FALSE,"4Qtr Life Inv. Inc.";#N/A,#N/A,FALSE,"GAAP to STAT"}</definedName>
    <definedName name="wrn.1q97." localSheetId="0" hidden="1">{#N/A,#N/A,FALSE,"Allstate Inc Stmt YTD";#N/A,#N/A,FALSE,"Segment Inc Stmt YTD";#N/A,#N/A,FALSE,"Current &amp; Prior Bal Sht";#N/A,#N/A,FALSE,"Dec Bal Sht.";#N/A,#N/A,FALSE,"CASH FLOW QTR";#N/A,#N/A,FALSE,"Resegmented Underwriting";#N/A,#N/A,FALSE,"RESEG WRITTEN";#N/A,#N/A,FALSE,"Segment Underwriting";#N/A,#N/A,FALSE,"Written Premium";#N/A,#N/A,FALSE,"Life Premium";#N/A,#N/A,FALSE,"Investments";#N/A,#N/A,FALSE,"Dec Investments";#N/A,#N/A,FALSE,"4Qtr PL Inv. Income";#N/A,#N/A,FALSE,"4Qtr Life Inv. Inc.";#N/A,#N/A,FALSE,"GAAP to STAT"}</definedName>
    <definedName name="wrn.1q97." localSheetId="1" hidden="1">{#N/A,#N/A,FALSE,"Allstate Inc Stmt YTD";#N/A,#N/A,FALSE,"Segment Inc Stmt YTD";#N/A,#N/A,FALSE,"Current &amp; Prior Bal Sht";#N/A,#N/A,FALSE,"Dec Bal Sht.";#N/A,#N/A,FALSE,"CASH FLOW QTR";#N/A,#N/A,FALSE,"Resegmented Underwriting";#N/A,#N/A,FALSE,"RESEG WRITTEN";#N/A,#N/A,FALSE,"Segment Underwriting";#N/A,#N/A,FALSE,"Written Premium";#N/A,#N/A,FALSE,"Life Premium";#N/A,#N/A,FALSE,"Investments";#N/A,#N/A,FALSE,"Dec Investments";#N/A,#N/A,FALSE,"4Qtr PL Inv. Income";#N/A,#N/A,FALSE,"4Qtr Life Inv. Inc.";#N/A,#N/A,FALSE,"GAAP to STAT"}</definedName>
    <definedName name="wrn.1q97." hidden="1">{#N/A,#N/A,FALSE,"Allstate Inc Stmt YTD";#N/A,#N/A,FALSE,"Segment Inc Stmt YTD";#N/A,#N/A,FALSE,"Current &amp; Prior Bal Sht";#N/A,#N/A,FALSE,"Dec Bal Sht.";#N/A,#N/A,FALSE,"CASH FLOW QTR";#N/A,#N/A,FALSE,"Resegmented Underwriting";#N/A,#N/A,FALSE,"RESEG WRITTEN";#N/A,#N/A,FALSE,"Segment Underwriting";#N/A,#N/A,FALSE,"Written Premium";#N/A,#N/A,FALSE,"Life Premium";#N/A,#N/A,FALSE,"Investments";#N/A,#N/A,FALSE,"Dec Investments";#N/A,#N/A,FALSE,"4Qtr PL Inv. Income";#N/A,#N/A,FALSE,"4Qtr Life Inv. Inc.";#N/A,#N/A,FALSE,"GAAP to STAT"}</definedName>
    <definedName name="wrn.3rd._.Qtr._.Supplement." localSheetId="2" hidden="1">{"STMT INC OPS 3Q QTR",#N/A,TRUE,"Allstate Corporation Inc Stmt";"STMT INC OPS 3Q YTD",#N/A,TRUE,"Allstate Corporation Inc Stmt";"Q3 Segment Qtr",#N/A,TRUE,"Segment Income Statement";"Q3 Segment Ytd",#N/A,TRUE,"Segment Income Statement";"Q3 Balance Sheet",#N/A,TRUE,"Current &amp; Prior Bal Sht";"December Balance Sheet",#N/A,TRUE,"December Bal Sht";"Q3 Cash Flow Qtr",#N/A,TRUE,"Cash Flow";"Q3 Cash Flow Ytd",#N/A,TRUE,"Cash Flow";"Third Quarter",#N/A,TRUE,"Resegmented Underwriting";"Q3 Written Premium",#N/A,TRUE,"RESEG WRITTEN";"Life Ops Third Quarter",#N/A,TRUE,"Life Premium";"Q3 Investments",#N/A,TRUE,"Investments";#N/A,#N/A,TRUE,"Dec Investments";"Q3 PL II Qtr",#N/A,TRUE,"PL Investment Income";"Q3 PL II Ytd",#N/A,TRUE,"PL Investment Income";"Q3 PL II Ytd",#N/A,TRUE,"PL Investment Income";"Q3 PL II Qtr",#N/A,TRUE,"PL Investment Income";"Q3 PL II Ytd",#N/A,TRUE,"PL Investment Income";"Q3 Life II Qtr",#N/A,TRUE,"Life Investment Income";"Q3 Life II YTD",#N/A,TRUE,"Life Investment Income";#N/A,#N/A,TRUE,"GAAP to STAT"}</definedName>
    <definedName name="wrn.3rd._.Qtr._.Supplement." localSheetId="0" hidden="1">{"STMT INC OPS 3Q QTR",#N/A,TRUE,"Allstate Corporation Inc Stmt";"STMT INC OPS 3Q YTD",#N/A,TRUE,"Allstate Corporation Inc Stmt";"Q3 Segment Qtr",#N/A,TRUE,"Segment Income Statement";"Q3 Segment Ytd",#N/A,TRUE,"Segment Income Statement";"Q3 Balance Sheet",#N/A,TRUE,"Current &amp; Prior Bal Sht";"December Balance Sheet",#N/A,TRUE,"December Bal Sht";"Q3 Cash Flow Qtr",#N/A,TRUE,"Cash Flow";"Q3 Cash Flow Ytd",#N/A,TRUE,"Cash Flow";"Third Quarter",#N/A,TRUE,"Resegmented Underwriting";"Q3 Written Premium",#N/A,TRUE,"RESEG WRITTEN";"Life Ops Third Quarter",#N/A,TRUE,"Life Premium";"Q3 Investments",#N/A,TRUE,"Investments";#N/A,#N/A,TRUE,"Dec Investments";"Q3 PL II Qtr",#N/A,TRUE,"PL Investment Income";"Q3 PL II Ytd",#N/A,TRUE,"PL Investment Income";"Q3 PL II Ytd",#N/A,TRUE,"PL Investment Income";"Q3 PL II Qtr",#N/A,TRUE,"PL Investment Income";"Q3 PL II Ytd",#N/A,TRUE,"PL Investment Income";"Q3 Life II Qtr",#N/A,TRUE,"Life Investment Income";"Q3 Life II YTD",#N/A,TRUE,"Life Investment Income";#N/A,#N/A,TRUE,"GAAP to STAT"}</definedName>
    <definedName name="wrn.3rd._.Qtr._.Supplement." localSheetId="1" hidden="1">{"STMT INC OPS 3Q QTR",#N/A,TRUE,"Allstate Corporation Inc Stmt";"STMT INC OPS 3Q YTD",#N/A,TRUE,"Allstate Corporation Inc Stmt";"Q3 Segment Qtr",#N/A,TRUE,"Segment Income Statement";"Q3 Segment Ytd",#N/A,TRUE,"Segment Income Statement";"Q3 Balance Sheet",#N/A,TRUE,"Current &amp; Prior Bal Sht";"December Balance Sheet",#N/A,TRUE,"December Bal Sht";"Q3 Cash Flow Qtr",#N/A,TRUE,"Cash Flow";"Q3 Cash Flow Ytd",#N/A,TRUE,"Cash Flow";"Third Quarter",#N/A,TRUE,"Resegmented Underwriting";"Q3 Written Premium",#N/A,TRUE,"RESEG WRITTEN";"Life Ops Third Quarter",#N/A,TRUE,"Life Premium";"Q3 Investments",#N/A,TRUE,"Investments";#N/A,#N/A,TRUE,"Dec Investments";"Q3 PL II Qtr",#N/A,TRUE,"PL Investment Income";"Q3 PL II Ytd",#N/A,TRUE,"PL Investment Income";"Q3 PL II Ytd",#N/A,TRUE,"PL Investment Income";"Q3 PL II Qtr",#N/A,TRUE,"PL Investment Income";"Q3 PL II Ytd",#N/A,TRUE,"PL Investment Income";"Q3 Life II Qtr",#N/A,TRUE,"Life Investment Income";"Q3 Life II YTD",#N/A,TRUE,"Life Investment Income";#N/A,#N/A,TRUE,"GAAP to STAT"}</definedName>
    <definedName name="wrn.3rd._.Qtr._.Supplement." hidden="1">{"STMT INC OPS 3Q QTR",#N/A,TRUE,"Allstate Corporation Inc Stmt";"STMT INC OPS 3Q YTD",#N/A,TRUE,"Allstate Corporation Inc Stmt";"Q3 Segment Qtr",#N/A,TRUE,"Segment Income Statement";"Q3 Segment Ytd",#N/A,TRUE,"Segment Income Statement";"Q3 Balance Sheet",#N/A,TRUE,"Current &amp; Prior Bal Sht";"December Balance Sheet",#N/A,TRUE,"December Bal Sht";"Q3 Cash Flow Qtr",#N/A,TRUE,"Cash Flow";"Q3 Cash Flow Ytd",#N/A,TRUE,"Cash Flow";"Third Quarter",#N/A,TRUE,"Resegmented Underwriting";"Q3 Written Premium",#N/A,TRUE,"RESEG WRITTEN";"Life Ops Third Quarter",#N/A,TRUE,"Life Premium";"Q3 Investments",#N/A,TRUE,"Investments";#N/A,#N/A,TRUE,"Dec Investments";"Q3 PL II Qtr",#N/A,TRUE,"PL Investment Income";"Q3 PL II Ytd",#N/A,TRUE,"PL Investment Income";"Q3 PL II Ytd",#N/A,TRUE,"PL Investment Income";"Q3 PL II Qtr",#N/A,TRUE,"PL Investment Income";"Q3 PL II Ytd",#N/A,TRUE,"PL Investment Income";"Q3 Life II Qtr",#N/A,TRUE,"Life Investment Income";"Q3 Life II YTD",#N/A,TRUE,"Life Investment Income";#N/A,#N/A,TRUE,"GAAP to STAT"}</definedName>
    <definedName name="wrn.3rd._.Quarter._.Supplement." localSheetId="2" hidden="1">{#N/A,#N/A,TRUE,"Allstate Inc Stmt YTD 3mths.";#N/A,#N/A,TRUE,"Allstate Inc Stmt YTD 9mths. ";#N/A,#N/A,TRUE,"Segment Inc Stmt YTD 3 mths. ";#N/A,#N/A,TRUE,"Segment Inc Stmt YTD 9 mths. ";#N/A,#N/A,TRUE,"Current &amp; Prior Bal Sht";#N/A,#N/A,TRUE,"Dec Bal Sht.";#N/A,#N/A,TRUE,"CASH FLOW QTR";#N/A,#N/A,TRUE,"Cash Flow 9 mths. ";#N/A,#N/A,TRUE,"Resegmented Underwriting";#N/A,#N/A,TRUE,"RESEG WRITTEN";#N/A,#N/A,TRUE,"Life Premium";#N/A,#N/A,TRUE,"Investments";#N/A,#N/A,TRUE,"Dec Investments";#N/A,#N/A,TRUE,"Qtr PL Inv. Income";#N/A,#N/A,TRUE,"YTD PL Inv. Inc.";#N/A,#N/A,TRUE,"Qtr Life Inv. Inc.";#N/A,#N/A,TRUE,"YTD Life Investment Income";#N/A,#N/A,TRUE,"GAAP to STAT"}</definedName>
    <definedName name="wrn.3rd._.Quarter._.Supplement." localSheetId="0" hidden="1">{#N/A,#N/A,TRUE,"Allstate Inc Stmt YTD 3mths.";#N/A,#N/A,TRUE,"Allstate Inc Stmt YTD 9mths. ";#N/A,#N/A,TRUE,"Segment Inc Stmt YTD 3 mths. ";#N/A,#N/A,TRUE,"Segment Inc Stmt YTD 9 mths. ";#N/A,#N/A,TRUE,"Current &amp; Prior Bal Sht";#N/A,#N/A,TRUE,"Dec Bal Sht.";#N/A,#N/A,TRUE,"CASH FLOW QTR";#N/A,#N/A,TRUE,"Cash Flow 9 mths. ";#N/A,#N/A,TRUE,"Resegmented Underwriting";#N/A,#N/A,TRUE,"RESEG WRITTEN";#N/A,#N/A,TRUE,"Life Premium";#N/A,#N/A,TRUE,"Investments";#N/A,#N/A,TRUE,"Dec Investments";#N/A,#N/A,TRUE,"Qtr PL Inv. Income";#N/A,#N/A,TRUE,"YTD PL Inv. Inc.";#N/A,#N/A,TRUE,"Qtr Life Inv. Inc.";#N/A,#N/A,TRUE,"YTD Life Investment Income";#N/A,#N/A,TRUE,"GAAP to STAT"}</definedName>
    <definedName name="wrn.3rd._.Quarter._.Supplement." localSheetId="1" hidden="1">{#N/A,#N/A,TRUE,"Allstate Inc Stmt YTD 3mths.";#N/A,#N/A,TRUE,"Allstate Inc Stmt YTD 9mths. ";#N/A,#N/A,TRUE,"Segment Inc Stmt YTD 3 mths. ";#N/A,#N/A,TRUE,"Segment Inc Stmt YTD 9 mths. ";#N/A,#N/A,TRUE,"Current &amp; Prior Bal Sht";#N/A,#N/A,TRUE,"Dec Bal Sht.";#N/A,#N/A,TRUE,"CASH FLOW QTR";#N/A,#N/A,TRUE,"Cash Flow 9 mths. ";#N/A,#N/A,TRUE,"Resegmented Underwriting";#N/A,#N/A,TRUE,"RESEG WRITTEN";#N/A,#N/A,TRUE,"Life Premium";#N/A,#N/A,TRUE,"Investments";#N/A,#N/A,TRUE,"Dec Investments";#N/A,#N/A,TRUE,"Qtr PL Inv. Income";#N/A,#N/A,TRUE,"YTD PL Inv. Inc.";#N/A,#N/A,TRUE,"Qtr Life Inv. Inc.";#N/A,#N/A,TRUE,"YTD Life Investment Income";#N/A,#N/A,TRUE,"GAAP to STAT"}</definedName>
    <definedName name="wrn.3rd._.Quarter._.Supplement." hidden="1">{#N/A,#N/A,TRUE,"Allstate Inc Stmt YTD 3mths.";#N/A,#N/A,TRUE,"Allstate Inc Stmt YTD 9mths. ";#N/A,#N/A,TRUE,"Segment Inc Stmt YTD 3 mths. ";#N/A,#N/A,TRUE,"Segment Inc Stmt YTD 9 mths. ";#N/A,#N/A,TRUE,"Current &amp; Prior Bal Sht";#N/A,#N/A,TRUE,"Dec Bal Sht.";#N/A,#N/A,TRUE,"CASH FLOW QTR";#N/A,#N/A,TRUE,"Cash Flow 9 mths. ";#N/A,#N/A,TRUE,"Resegmented Underwriting";#N/A,#N/A,TRUE,"RESEG WRITTEN";#N/A,#N/A,TRUE,"Life Premium";#N/A,#N/A,TRUE,"Investments";#N/A,#N/A,TRUE,"Dec Investments";#N/A,#N/A,TRUE,"Qtr PL Inv. Income";#N/A,#N/A,TRUE,"YTD PL Inv. Inc.";#N/A,#N/A,TRUE,"Qtr Life Inv. Inc.";#N/A,#N/A,TRUE,"YTD Life Investment Income";#N/A,#N/A,TRUE,"GAAP to STAT"}</definedName>
    <definedName name="wrn.all." hidden="1">{#N/A,#N/A,FALSE,"Gaming Revenues";#N/A,#N/A,FALSE,"RevCompare";#N/A,#N/A,FALSE,"Capacity";#N/A,#N/A,FALSE,"% Casino Rooms";#N/A,#N/A,FALSE,"ADR";#N/A,#N/A,FALSE,"Occupancy";#N/A,#N/A,FALSE,"Length of stay";#N/A,#N/A,FALSE,"Growth Rates";#N/A,#N/A,FALSE,"casinos";#N/A,#N/A,FALSE,"Slots&amp;Tables";#N/A,#N/A,FALSE,"tax";#N/A,#N/A,FALSE,"demographics";#N/A,#N/A,FALSE,"Rooms v stops";#N/A,#N/A,FALSE,"demos2";#N/A,#N/A,FALSE,"air arrivals";#N/A,#N/A,FALSE,"load";#N/A,#N/A,FALSE,"stays"}</definedName>
    <definedName name="wrn.AMPJAN96." hidden="1">{"Associates",#N/A,FALSE,"FULLESTI";"GPEBIT",#N/A,FALSE,"FULLESTI";"USEBIT",#N/A,FALSE,"FULLESTI";"UKEBIT",#N/A,FALSE,"FULLESTI";"AUSTEBIT",#N/A,FALSE,"FULLESTI"}</definedName>
    <definedName name="wrn.Bunnings." localSheetId="2" hidden="1">{"Summary",#N/A,FALSE,"Bunnings";"Merch_Summary",#N/A,FALSE,"Bunnings";"Forestry",#N/A,FALSE,"Bunnings"}</definedName>
    <definedName name="wrn.Bunnings." localSheetId="0" hidden="1">{"Summary",#N/A,FALSE,"Bunnings";"Merch_Summary",#N/A,FALSE,"Bunnings";"Forestry",#N/A,FALSE,"Bunnings"}</definedName>
    <definedName name="wrn.Bunnings." localSheetId="1" hidden="1">{"Summary",#N/A,FALSE,"Bunnings";"Merch_Summary",#N/A,FALSE,"Bunnings";"Forestry",#N/A,FALSE,"Bunnings"}</definedName>
    <definedName name="wrn.Bunnings." hidden="1">{"Summary",#N/A,FALSE,"Bunnings";"Merch_Summary",#N/A,FALSE,"Bunnings";"Forestry",#N/A,FALSE,"Bunnings"}</definedName>
    <definedName name="wrn.Cable." localSheetId="2" hidden="1">{"Cable_front",#N/A,TRUE,"Cable";"Cable_back",#N/A,TRUE,"Cable"}</definedName>
    <definedName name="wrn.Cable." localSheetId="0" hidden="1">{"Cable_front",#N/A,TRUE,"Cable";"Cable_back",#N/A,TRUE,"Cable"}</definedName>
    <definedName name="wrn.Cable." localSheetId="1" hidden="1">{"Cable_front",#N/A,TRUE,"Cable";"Cable_back",#N/A,TRUE,"Cable"}</definedName>
    <definedName name="wrn.Cable." hidden="1">{"Cable_front",#N/A,TRUE,"Cable";"Cable_back",#N/A,TRUE,"Cable"}</definedName>
    <definedName name="wrn.Client." localSheetId="2" hidden="1">{"Full_Year",#N/A,FALSE,"PE1_S";#N/A,#N/A,FALSE,"DIVIS_S"}</definedName>
    <definedName name="wrn.Client." localSheetId="0" hidden="1">{"Full_Year",#N/A,FALSE,"PE1_S";#N/A,#N/A,FALSE,"DIVIS_S"}</definedName>
    <definedName name="wrn.Client." localSheetId="1" hidden="1">{"Full_Year",#N/A,FALSE,"PE1_S";#N/A,#N/A,FALSE,"DIVIS_S"}</definedName>
    <definedName name="wrn.Client." hidden="1">{"Full_Year",#N/A,FALSE,"PE1_S";#N/A,#N/A,FALSE,"DIVIS_S"}</definedName>
    <definedName name="wrn.Client._1" localSheetId="2" hidden="1">{"Full_Year",#N/A,FALSE,"PE1_S";#N/A,#N/A,FALSE,"DIVIS_S"}</definedName>
    <definedName name="wrn.Client._1" localSheetId="0" hidden="1">{"Full_Year",#N/A,FALSE,"PE1_S";#N/A,#N/A,FALSE,"DIVIS_S"}</definedName>
    <definedName name="wrn.Client._1" localSheetId="1" hidden="1">{"Full_Year",#N/A,FALSE,"PE1_S";#N/A,#N/A,FALSE,"DIVIS_S"}</definedName>
    <definedName name="wrn.Client._1" hidden="1">{"Full_Year",#N/A,FALSE,"PE1_S";#N/A,#N/A,FALSE,"DIVIS_S"}</definedName>
    <definedName name="wrn.Client._2" localSheetId="2" hidden="1">{"Full_Year",#N/A,FALSE,"PE1_S";#N/A,#N/A,FALSE,"DIVIS_S"}</definedName>
    <definedName name="wrn.Client._2" localSheetId="0" hidden="1">{"Full_Year",#N/A,FALSE,"PE1_S";#N/A,#N/A,FALSE,"DIVIS_S"}</definedName>
    <definedName name="wrn.Client._2" localSheetId="1" hidden="1">{"Full_Year",#N/A,FALSE,"PE1_S";#N/A,#N/A,FALSE,"DIVIS_S"}</definedName>
    <definedName name="wrn.Client._2" hidden="1">{"Full_Year",#N/A,FALSE,"PE1_S";#N/A,#N/A,FALSE,"DIVIS_S"}</definedName>
    <definedName name="wrn.Client_CWN" localSheetId="2" hidden="1">{"Full_Year",#N/A,FALSE,"PE1_S";#N/A,#N/A,FALSE,"DIVIS_S"}</definedName>
    <definedName name="wrn.Client_CWN" localSheetId="0" hidden="1">{"Full_Year",#N/A,FALSE,"PE1_S";#N/A,#N/A,FALSE,"DIVIS_S"}</definedName>
    <definedName name="wrn.Client_CWN" localSheetId="1" hidden="1">{"Full_Year",#N/A,FALSE,"PE1_S";#N/A,#N/A,FALSE,"DIVIS_S"}</definedName>
    <definedName name="wrn.Client_CWN" hidden="1">{"Full_Year",#N/A,FALSE,"PE1_S";#N/A,#N/A,FALSE,"DIVIS_S"}</definedName>
    <definedName name="wrn.Client_Detailed." localSheetId="2" hidden="1">{"Full_Year",#N/A,FALSE,"PE1_S";"Full_Year",#N/A,FALSE,"Cashflow_EPS";"Full_Year",#N/A,FALSE,"EBIT_DIV"}</definedName>
    <definedName name="wrn.Client_Detailed." localSheetId="0" hidden="1">{"Full_Year",#N/A,FALSE,"PE1_S";"Full_Year",#N/A,FALSE,"Cashflow_EPS";"Full_Year",#N/A,FALSE,"EBIT_DIV"}</definedName>
    <definedName name="wrn.Client_Detailed." localSheetId="1" hidden="1">{"Full_Year",#N/A,FALSE,"PE1_S";"Full_Year",#N/A,FALSE,"Cashflow_EPS";"Full_Year",#N/A,FALSE,"EBIT_DIV"}</definedName>
    <definedName name="wrn.Client_Detailed." hidden="1">{"Full_Year",#N/A,FALSE,"PE1_S";"Full_Year",#N/A,FALSE,"Cashflow_EPS";"Full_Year",#N/A,FALSE,"EBIT_DIV"}</definedName>
    <definedName name="wrn.Client_Detailed._1" localSheetId="2" hidden="1">{"Full_Year",#N/A,FALSE,"PE1_S";"Full_Year",#N/A,FALSE,"Cashflow_EPS";"Full_Year",#N/A,FALSE,"EBIT_DIV"}</definedName>
    <definedName name="wrn.Client_Detailed._1" localSheetId="0" hidden="1">{"Full_Year",#N/A,FALSE,"PE1_S";"Full_Year",#N/A,FALSE,"Cashflow_EPS";"Full_Year",#N/A,FALSE,"EBIT_DIV"}</definedName>
    <definedName name="wrn.Client_Detailed._1" localSheetId="1" hidden="1">{"Full_Year",#N/A,FALSE,"PE1_S";"Full_Year",#N/A,FALSE,"Cashflow_EPS";"Full_Year",#N/A,FALSE,"EBIT_DIV"}</definedName>
    <definedName name="wrn.Client_Detailed._1" hidden="1">{"Full_Year",#N/A,FALSE,"PE1_S";"Full_Year",#N/A,FALSE,"Cashflow_EPS";"Full_Year",#N/A,FALSE,"EBIT_DIV"}</definedName>
    <definedName name="wrn.Client_Detailed._2" localSheetId="2" hidden="1">{"Full_Year",#N/A,FALSE,"PE1_S";"Full_Year",#N/A,FALSE,"Cashflow_EPS";"Full_Year",#N/A,FALSE,"EBIT_DIV"}</definedName>
    <definedName name="wrn.Client_Detailed._2" localSheetId="0" hidden="1">{"Full_Year",#N/A,FALSE,"PE1_S";"Full_Year",#N/A,FALSE,"Cashflow_EPS";"Full_Year",#N/A,FALSE,"EBIT_DIV"}</definedName>
    <definedName name="wrn.Client_Detailed._2" localSheetId="1" hidden="1">{"Full_Year",#N/A,FALSE,"PE1_S";"Full_Year",#N/A,FALSE,"Cashflow_EPS";"Full_Year",#N/A,FALSE,"EBIT_DIV"}</definedName>
    <definedName name="wrn.Client_Detailed._2" hidden="1">{"Full_Year",#N/A,FALSE,"PE1_S";"Full_Year",#N/A,FALSE,"Cashflow_EPS";"Full_Year",#N/A,FALSE,"EBIT_DIV"}</definedName>
    <definedName name="wrn.client_detailed_CWN" localSheetId="2" hidden="1">{"Full_Year",#N/A,FALSE,"PE1_S";"Full_Year",#N/A,FALSE,"Cashflow_EPS";"Full_Year",#N/A,FALSE,"EBIT_DIV"}</definedName>
    <definedName name="wrn.client_detailed_CWN" localSheetId="0" hidden="1">{"Full_Year",#N/A,FALSE,"PE1_S";"Full_Year",#N/A,FALSE,"Cashflow_EPS";"Full_Year",#N/A,FALSE,"EBIT_DIV"}</definedName>
    <definedName name="wrn.client_detailed_CWN" localSheetId="1" hidden="1">{"Full_Year",#N/A,FALSE,"PE1_S";"Full_Year",#N/A,FALSE,"Cashflow_EPS";"Full_Year",#N/A,FALSE,"EBIT_DIV"}</definedName>
    <definedName name="wrn.client_detailed_CWN" hidden="1">{"Full_Year",#N/A,FALSE,"PE1_S";"Full_Year",#N/A,FALSE,"Cashflow_EPS";"Full_Year",#N/A,FALSE,"EBIT_DIV"}</definedName>
    <definedName name="wrn.client_SKC" localSheetId="2" hidden="1">{"Full_Year",#N/A,FALSE,"PE1_S";#N/A,#N/A,FALSE,"DIVIS_S"}</definedName>
    <definedName name="wrn.client_SKC" localSheetId="0" hidden="1">{"Full_Year",#N/A,FALSE,"PE1_S";#N/A,#N/A,FALSE,"DIVIS_S"}</definedName>
    <definedName name="wrn.client_SKC" localSheetId="1" hidden="1">{"Full_Year",#N/A,FALSE,"PE1_S";#N/A,#N/A,FALSE,"DIVIS_S"}</definedName>
    <definedName name="wrn.client_SKC" hidden="1">{"Full_Year",#N/A,FALSE,"PE1_S";#N/A,#N/A,FALSE,"DIVIS_S"}</definedName>
    <definedName name="wrn.Complete._.Report.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2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2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2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2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2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2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ns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1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1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1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2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2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2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CWN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CWN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CWN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1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1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1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2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2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2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_CWN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_CWN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_CWN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daily." hidden="1">{#N/A,#N/A,FALSE,"Major v. River";#N/A,#N/A,FALSE,"Large Operators";#N/A,#N/A,FALSE,"Smaller Operators";#N/A,#N/A,FALSE,"Equip. Supply";#N/A,#N/A,FALSE,"EBITDA"}</definedName>
    <definedName name="wrn.Divisional._.Summaries." localSheetId="2" hidden="1">{"Divisional summaries",#N/A,TRUE,"Model"}</definedName>
    <definedName name="wrn.Divisional._.Summaries." localSheetId="0" hidden="1">{"Divisional summaries",#N/A,TRUE,"Model"}</definedName>
    <definedName name="wrn.Divisional._.Summaries." localSheetId="1" hidden="1">{"Divisional summaries",#N/A,TRUE,"Model"}</definedName>
    <definedName name="wrn.Divisional._.Summaries." hidden="1">{"Divisional summaries",#N/A,TRUE,"Model"}</definedName>
    <definedName name="wrn.Forecast._.Q4a" localSheetId="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localSheetId="0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localSheetId="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ull._.Divisional._.Analysis." localSheetId="2" hidden="1">{#N/A,"Likely capex",TRUE,"Model";#N/A,"Optimal ROAs",TRUE,"Model";"Full Divisional Analysis","Aggressive asset sales",TRUE,"Model"}</definedName>
    <definedName name="wrn.Full._.Divisional._.Analysis." localSheetId="0" hidden="1">{#N/A,"Likely capex",TRUE,"Model";#N/A,"Optimal ROAs",TRUE,"Model";"Full Divisional Analysis","Aggressive asset sales",TRUE,"Model"}</definedName>
    <definedName name="wrn.Full._.Divisional._.Analysis." localSheetId="1" hidden="1">{#N/A,"Likely capex",TRUE,"Model";#N/A,"Optimal ROAs",TRUE,"Model";"Full Divisional Analysis","Aggressive asset sales",TRUE,"Model"}</definedName>
    <definedName name="wrn.Full._.Divisional._.Analysis." hidden="1">{#N/A,"Likely capex",TRUE,"Model";#N/A,"Optimal ROAs",TRUE,"Model";"Full Divisional Analysis","Aggressive asset sales",TRUE,"Model"}</definedName>
    <definedName name="wrn.Full._.EBITDA._.Valuation." localSheetId="2" hidden="1">{"Full EBITDA valuation",#N/A,FALSE,"Value"}</definedName>
    <definedName name="wrn.Full._.EBITDA._.Valuation." localSheetId="0" hidden="1">{"Full EBITDA valuation",#N/A,FALSE,"Value"}</definedName>
    <definedName name="wrn.Full._.EBITDA._.Valuation." localSheetId="1" hidden="1">{"Full EBITDA valuation",#N/A,FALSE,"Value"}</definedName>
    <definedName name="wrn.Full._.EBITDA._.Valuation." hidden="1">{"Full EBITDA valuation",#N/A,FALSE,"Value"}</definedName>
    <definedName name="wrn.Full._.Report." localSheetId="2" hidden="1">{"Assumptions",#N/A,FALSE,"Sheet1";"Main Report",#N/A,FALSE,"Sheet1";"Results",#N/A,FALSE,"Sheet1";"Advances",#N/A,FALSE,"Sheet1"}</definedName>
    <definedName name="wrn.Full._.Report." localSheetId="0" hidden="1">{"Assumptions",#N/A,FALSE,"Sheet1";"Main Report",#N/A,FALSE,"Sheet1";"Results",#N/A,FALSE,"Sheet1";"Advances",#N/A,FALSE,"Sheet1"}</definedName>
    <definedName name="wrn.Full._.Report." localSheetId="1" hidden="1">{"Assumptions",#N/A,FALSE,"Sheet1";"Main Report",#N/A,FALSE,"Sheet1";"Results",#N/A,FALSE,"Sheet1";"Advances",#N/A,FALSE,"Sheet1"}</definedName>
    <definedName name="wrn.Full._.Report." hidden="1">{"Assumptions",#N/A,FALSE,"Sheet1";"Main Report",#N/A,FALSE,"Sheet1";"Results",#N/A,FALSE,"Sheet1";"Advances",#N/A,FALSE,"Sheet1"}</definedName>
    <definedName name="wrn.Full._.Report._1" localSheetId="2" hidden="1">{"Assumptions",#N/A,FALSE,"Sheet1";"Main Report",#N/A,FALSE,"Sheet1";"Results",#N/A,FALSE,"Sheet1";"Advances",#N/A,FALSE,"Sheet1"}</definedName>
    <definedName name="wrn.Full._.Report._1" localSheetId="0" hidden="1">{"Assumptions",#N/A,FALSE,"Sheet1";"Main Report",#N/A,FALSE,"Sheet1";"Results",#N/A,FALSE,"Sheet1";"Advances",#N/A,FALSE,"Sheet1"}</definedName>
    <definedName name="wrn.Full._.Report._1" localSheetId="1" hidden="1">{"Assumptions",#N/A,FALSE,"Sheet1";"Main Report",#N/A,FALSE,"Sheet1";"Results",#N/A,FALSE,"Sheet1";"Advances",#N/A,FALSE,"Sheet1"}</definedName>
    <definedName name="wrn.Full._.Report._1" hidden="1">{"Assumptions",#N/A,FALSE,"Sheet1";"Main Report",#N/A,FALSE,"Sheet1";"Results",#N/A,FALSE,"Sheet1";"Advances",#N/A,FALSE,"Sheet1"}</definedName>
    <definedName name="wrn.Full._.Report._2" localSheetId="2" hidden="1">{"Assumptions",#N/A,FALSE,"Sheet1";"Main Report",#N/A,FALSE,"Sheet1";"Results",#N/A,FALSE,"Sheet1";"Advances",#N/A,FALSE,"Sheet1"}</definedName>
    <definedName name="wrn.Full._.Report._2" localSheetId="0" hidden="1">{"Assumptions",#N/A,FALSE,"Sheet1";"Main Report",#N/A,FALSE,"Sheet1";"Results",#N/A,FALSE,"Sheet1";"Advances",#N/A,FALSE,"Sheet1"}</definedName>
    <definedName name="wrn.Full._.Report._2" localSheetId="1" hidden="1">{"Assumptions",#N/A,FALSE,"Sheet1";"Main Report",#N/A,FALSE,"Sheet1";"Results",#N/A,FALSE,"Sheet1";"Advances",#N/A,FALSE,"Sheet1"}</definedName>
    <definedName name="wrn.Full._.Report._2" hidden="1">{"Assumptions",#N/A,FALSE,"Sheet1";"Main Report",#N/A,FALSE,"Sheet1";"Results",#N/A,FALSE,"Sheet1";"Advances",#N/A,FALSE,"Sheet1"}</definedName>
    <definedName name="wrn.full._report_CWN" localSheetId="2" hidden="1">{"Assumptions",#N/A,FALSE,"Sheet1";"Main Report",#N/A,FALSE,"Sheet1";"Results",#N/A,FALSE,"Sheet1";"Advances",#N/A,FALSE,"Sheet1"}</definedName>
    <definedName name="wrn.full._report_CWN" localSheetId="0" hidden="1">{"Assumptions",#N/A,FALSE,"Sheet1";"Main Report",#N/A,FALSE,"Sheet1";"Results",#N/A,FALSE,"Sheet1";"Advances",#N/A,FALSE,"Sheet1"}</definedName>
    <definedName name="wrn.full._report_CWN" localSheetId="1" hidden="1">{"Assumptions",#N/A,FALSE,"Sheet1";"Main Report",#N/A,FALSE,"Sheet1";"Results",#N/A,FALSE,"Sheet1";"Advances",#N/A,FALSE,"Sheet1"}</definedName>
    <definedName name="wrn.full._report_CWN" hidden="1">{"Assumptions",#N/A,FALSE,"Sheet1";"Main Report",#N/A,FALSE,"Sheet1";"Results",#N/A,FALSE,"Sheet1";"Advances",#N/A,FALSE,"Sheet1"}</definedName>
    <definedName name="wrn.Full_Client." localSheetId="2" hidden="1">{"Full_Year",#N/A,FALSE,"PE1_S";"Automotive",#N/A,FALSE,"Auto_EBIT";#N/A,#N/A,FALSE,"Industrial_EBIT";#N/A,#N/A,FALSE,"Webforge_EBIT"}</definedName>
    <definedName name="wrn.Full_Client." localSheetId="0" hidden="1">{"Full_Year",#N/A,FALSE,"PE1_S";"Automotive",#N/A,FALSE,"Auto_EBIT";#N/A,#N/A,FALSE,"Industrial_EBIT";#N/A,#N/A,FALSE,"Webforge_EBIT"}</definedName>
    <definedName name="wrn.Full_Client." localSheetId="1" hidden="1">{"Full_Year",#N/A,FALSE,"PE1_S";"Automotive",#N/A,FALSE,"Auto_EBIT";#N/A,#N/A,FALSE,"Industrial_EBIT";#N/A,#N/A,FALSE,"Webforge_EBIT"}</definedName>
    <definedName name="wrn.Full_Client." hidden="1">{"Full_Year",#N/A,FALSE,"PE1_S";"Automotive",#N/A,FALSE,"Auto_EBIT";#N/A,#N/A,FALSE,"Industrial_EBIT";#N/A,#N/A,FALSE,"Webforge_EBIT"}</definedName>
    <definedName name="wrn.Full_Client._1" localSheetId="2" hidden="1">{"Full_Year",#N/A,FALSE,"PE1_S";"Automotive",#N/A,FALSE,"Auto_EBIT";#N/A,#N/A,FALSE,"Industrial_EBIT";#N/A,#N/A,FALSE,"Webforge_EBIT"}</definedName>
    <definedName name="wrn.Full_Client._1" localSheetId="0" hidden="1">{"Full_Year",#N/A,FALSE,"PE1_S";"Automotive",#N/A,FALSE,"Auto_EBIT";#N/A,#N/A,FALSE,"Industrial_EBIT";#N/A,#N/A,FALSE,"Webforge_EBIT"}</definedName>
    <definedName name="wrn.Full_Client._1" localSheetId="1" hidden="1">{"Full_Year",#N/A,FALSE,"PE1_S";"Automotive",#N/A,FALSE,"Auto_EBIT";#N/A,#N/A,FALSE,"Industrial_EBIT";#N/A,#N/A,FALSE,"Webforge_EBIT"}</definedName>
    <definedName name="wrn.Full_Client._1" hidden="1">{"Full_Year",#N/A,FALSE,"PE1_S";"Automotive",#N/A,FALSE,"Auto_EBIT";#N/A,#N/A,FALSE,"Industrial_EBIT";#N/A,#N/A,FALSE,"Webforge_EBIT"}</definedName>
    <definedName name="wrn.Full_Client._2" localSheetId="2" hidden="1">{"Full_Year",#N/A,FALSE,"PE1_S";"Automotive",#N/A,FALSE,"Auto_EBIT";#N/A,#N/A,FALSE,"Industrial_EBIT";#N/A,#N/A,FALSE,"Webforge_EBIT"}</definedName>
    <definedName name="wrn.Full_Client._2" localSheetId="0" hidden="1">{"Full_Year",#N/A,FALSE,"PE1_S";"Automotive",#N/A,FALSE,"Auto_EBIT";#N/A,#N/A,FALSE,"Industrial_EBIT";#N/A,#N/A,FALSE,"Webforge_EBIT"}</definedName>
    <definedName name="wrn.Full_Client._2" localSheetId="1" hidden="1">{"Full_Year",#N/A,FALSE,"PE1_S";"Automotive",#N/A,FALSE,"Auto_EBIT";#N/A,#N/A,FALSE,"Industrial_EBIT";#N/A,#N/A,FALSE,"Webforge_EBIT"}</definedName>
    <definedName name="wrn.Full_Client._2" hidden="1">{"Full_Year",#N/A,FALSE,"PE1_S";"Automotive",#N/A,FALSE,"Auto_EBIT";#N/A,#N/A,FALSE,"Industrial_EBIT";#N/A,#N/A,FALSE,"Webforge_EBIT"}</definedName>
    <definedName name="wrn.full_client_CWN" localSheetId="2" hidden="1">{"Full_Year",#N/A,FALSE,"PE1_S";"Automotive",#N/A,FALSE,"Auto_EBIT";#N/A,#N/A,FALSE,"Industrial_EBIT";#N/A,#N/A,FALSE,"Webforge_EBIT"}</definedName>
    <definedName name="wrn.full_client_CWN" localSheetId="0" hidden="1">{"Full_Year",#N/A,FALSE,"PE1_S";"Automotive",#N/A,FALSE,"Auto_EBIT";#N/A,#N/A,FALSE,"Industrial_EBIT";#N/A,#N/A,FALSE,"Webforge_EBIT"}</definedName>
    <definedName name="wrn.full_client_CWN" localSheetId="1" hidden="1">{"Full_Year",#N/A,FALSE,"PE1_S";"Automotive",#N/A,FALSE,"Auto_EBIT";#N/A,#N/A,FALSE,"Industrial_EBIT";#N/A,#N/A,FALSE,"Webforge_EBIT"}</definedName>
    <definedName name="wrn.full_client_CWN" hidden="1">{"Full_Year",#N/A,FALSE,"PE1_S";"Automotive",#N/A,FALSE,"Auto_EBIT";#N/A,#N/A,FALSE,"Industrial_EBIT";#N/A,#N/A,FALSE,"Webforge_EBIT"}</definedName>
    <definedName name="wrn.Full_Model." localSheetId="2" hidden="1">{"Full_Year",#N/A,FALSE,"P&amp;L";#N/A,#N/A,FALSE,"C_flow_EPS";"B_Sheet",#N/A,FALSE,"B_Sheet";"Detail",#N/A,FALSE,"Fert. &amp; Chem.";#N/A,#N/A,FALSE,"Energy";"Merch_Summary",#N/A,FALSE,"Bunnings";"Warehouse",#N/A,FALSE,"Bunnings";"Forestry",#N/A,FALSE,"Bunnings";#N/A,#N/A,FALSE,"Rural"}</definedName>
    <definedName name="wrn.Full_Model." localSheetId="0" hidden="1">{"Full_Year",#N/A,FALSE,"P&amp;L";#N/A,#N/A,FALSE,"C_flow_EPS";"B_Sheet",#N/A,FALSE,"B_Sheet";"Detail",#N/A,FALSE,"Fert. &amp; Chem.";#N/A,#N/A,FALSE,"Energy";"Merch_Summary",#N/A,FALSE,"Bunnings";"Warehouse",#N/A,FALSE,"Bunnings";"Forestry",#N/A,FALSE,"Bunnings";#N/A,#N/A,FALSE,"Rural"}</definedName>
    <definedName name="wrn.Full_Model." localSheetId="1" hidden="1">{"Full_Year",#N/A,FALSE,"P&amp;L";#N/A,#N/A,FALSE,"C_flow_EPS";"B_Sheet",#N/A,FALSE,"B_Sheet";"Detail",#N/A,FALSE,"Fert. &amp; Chem.";#N/A,#N/A,FALSE,"Energy";"Merch_Summary",#N/A,FALSE,"Bunnings";"Warehouse",#N/A,FALSE,"Bunnings";"Forestry",#N/A,FALSE,"Bunnings";#N/A,#N/A,FALSE,"Rural"}</definedName>
    <definedName name="wrn.Full_Model." hidden="1">{"Full_Year",#N/A,FALSE,"P&amp;L";#N/A,#N/A,FALSE,"C_flow_EPS";"B_Sheet",#N/A,FALSE,"B_Sheet";"Detail",#N/A,FALSE,"Fert. &amp; Chem.";#N/A,#N/A,FALSE,"Energy";"Merch_Summary",#N/A,FALSE,"Bunnings";"Warehouse",#N/A,FALSE,"Bunnings";"Forestry",#N/A,FALSE,"Bunnings";#N/A,#N/A,FALSE,"Rural"}</definedName>
    <definedName name="wrn.IGT._.Model." hidden="1">{#N/A,#N/A,TRUE,"IGT";#N/A,#N/A,TRUE,"IGTSLOT"}</definedName>
    <definedName name="wrn.input._.and._.output.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localSheetId="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localSheetId="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2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2" localSheetId="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2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_and_output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_and_output" localSheetId="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_and_output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_and_output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Level._.4." localSheetId="2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" localSheetId="0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" localSheetId="1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1" localSheetId="2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1" localSheetId="0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1" localSheetId="1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1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2" localSheetId="2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2" localSheetId="0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2" localSheetId="1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2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odging." hidden="1">{#N/A,#N/A,FALSE,"EPS";#N/A,#N/A,FALSE,"EBITDA"}</definedName>
    <definedName name="wrn.Main._.Report._.All._.Sections." localSheetId="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1" localSheetId="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1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1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2" localSheetId="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2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2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irBellagio." hidden="1">{#N/A,#N/A,FALSE,"MIR";#N/A,#N/A,FALSE,"NYNY"}</definedName>
    <definedName name="wrn.Model." hidden="1">{#N/A,#N/A,FALSE,"PRH";#N/A,#N/A,FALSE,"Units"}</definedName>
    <definedName name="wrn.Model._.Level._.3." localSheetId="2" hidden="1">{"Income (All hidden)",#N/A,FALSE,"Income";"EPS (All Hidden)",#N/A,FALSE,"EPS";"EPS (All Hidden)",#N/A,FALSE,"CashFlow";"Quarterly (Last, Current and Next)",#N/A,FALSE,"Quarterly"}</definedName>
    <definedName name="wrn.Model._.Level._.3." localSheetId="0" hidden="1">{"Income (All hidden)",#N/A,FALSE,"Income";"EPS (All Hidden)",#N/A,FALSE,"EPS";"EPS (All Hidden)",#N/A,FALSE,"CashFlow";"Quarterly (Last, Current and Next)",#N/A,FALSE,"Quarterly"}</definedName>
    <definedName name="wrn.Model._.Level._.3." localSheetId="1" hidden="1">{"Income (All hidden)",#N/A,FALSE,"Income";"EPS (All Hidden)",#N/A,FALSE,"EPS";"EPS (All Hidden)",#N/A,FALSE,"CashFlow";"Quarterly (Last, Current and Next)",#N/A,FALSE,"Quarterly"}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._.Level._.3._1" localSheetId="2" hidden="1">{"Income (All hidden)",#N/A,FALSE,"Income";"EPS (All Hidden)",#N/A,FALSE,"EPS";"EPS (All Hidden)",#N/A,FALSE,"CashFlow";"Quarterly (Last, Current and Next)",#N/A,FALSE,"Quarterly"}</definedName>
    <definedName name="wrn.Model._.Level._.3._1" localSheetId="0" hidden="1">{"Income (All hidden)",#N/A,FALSE,"Income";"EPS (All Hidden)",#N/A,FALSE,"EPS";"EPS (All Hidden)",#N/A,FALSE,"CashFlow";"Quarterly (Last, Current and Next)",#N/A,FALSE,"Quarterly"}</definedName>
    <definedName name="wrn.Model._.Level._.3._1" localSheetId="1" hidden="1">{"Income (All hidden)",#N/A,FALSE,"Income";"EPS (All Hidden)",#N/A,FALSE,"EPS";"EPS (All Hidden)",#N/A,FALSE,"CashFlow";"Quarterly (Last, Current and Next)",#N/A,FALSE,"Quarterly"}</definedName>
    <definedName name="wrn.Model._.Level._.3._1" hidden="1">{"Income (All hidden)",#N/A,FALSE,"Income";"EPS (All Hidden)",#N/A,FALSE,"EPS";"EPS (All Hidden)",#N/A,FALSE,"CashFlow";"Quarterly (Last, Current and Next)",#N/A,FALSE,"Quarterly"}</definedName>
    <definedName name="wrn.Model._.Level._.3._2" localSheetId="2" hidden="1">{"Income (All hidden)",#N/A,FALSE,"Income";"EPS (All Hidden)",#N/A,FALSE,"EPS";"EPS (All Hidden)",#N/A,FALSE,"CashFlow";"Quarterly (Last, Current and Next)",#N/A,FALSE,"Quarterly"}</definedName>
    <definedName name="wrn.Model._.Level._.3._2" localSheetId="0" hidden="1">{"Income (All hidden)",#N/A,FALSE,"Income";"EPS (All Hidden)",#N/A,FALSE,"EPS";"EPS (All Hidden)",#N/A,FALSE,"CashFlow";"Quarterly (Last, Current and Next)",#N/A,FALSE,"Quarterly"}</definedName>
    <definedName name="wrn.Model._.Level._.3._2" localSheetId="1" hidden="1">{"Income (All hidden)",#N/A,FALSE,"Income";"EPS (All Hidden)",#N/A,FALSE,"EPS";"EPS (All Hidden)",#N/A,FALSE,"CashFlow";"Quarterly (Last, Current and Next)",#N/A,FALSE,"Quarterly"}</definedName>
    <definedName name="wrn.Model._.Level._.3._2" hidden="1">{"Income (All hidden)",#N/A,FALSE,"Income";"EPS (All Hidden)",#N/A,FALSE,"EPS";"EPS (All Hidden)",#N/A,FALSE,"CashFlow";"Quarterly (Last, Current and Next)",#N/A,FALSE,"Quarterly"}</definedName>
    <definedName name="wrn.monthly.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int." hidden="1">{"Cashflow",#N/A,FALSE,"CASHFLOW";"DCF",#N/A,FALSE,"CASHFLOW"}</definedName>
    <definedName name="wrn.Q2._.Press._.Release." localSheetId="2" hidden="1">{"Q2_STMT_INC_PR",#N/A,FALSE,"STMT OF INC";"Q2 SUPPL INFO PR",#N/A,FALSE,"SUPPL INFO"}</definedName>
    <definedName name="wrn.Q2._.Press._.Release." localSheetId="0" hidden="1">{"Q2_STMT_INC_PR",#N/A,FALSE,"STMT OF INC";"Q2 SUPPL INFO PR",#N/A,FALSE,"SUPPL INFO"}</definedName>
    <definedName name="wrn.Q2._.Press._.Release." localSheetId="1" hidden="1">{"Q2_STMT_INC_PR",#N/A,FALSE,"STMT OF INC";"Q2 SUPPL INFO PR",#N/A,FALSE,"SUPPL INFO"}</definedName>
    <definedName name="wrn.Q2._.Press._.Release." hidden="1">{"Q2_STMT_INC_PR",#N/A,FALSE,"STMT OF INC";"Q2 SUPPL INFO PR",#N/A,FALSE,"SUPPL INFO"}</definedName>
    <definedName name="wrn.Report." hidden="1">{"Cashflow",#N/A,FALSE,"CASHFLOW";"DCF",#N/A,FALSE,"CASHFLOW"}</definedName>
    <definedName name="wrn.Revenue._.Details." localSheetId="2" hidden="1">{"Revenue by Industry Chart",#N/A,FALSE,"Mix";"Annual Revenue Detail",#N/A,FALSE,"Mix";"Quarterly Revenue Detail",#N/A,FALSE,"Mix"}</definedName>
    <definedName name="wrn.Revenue._.Details." localSheetId="0" hidden="1">{"Revenue by Industry Chart",#N/A,FALSE,"Mix";"Annual Revenue Detail",#N/A,FALSE,"Mix";"Quarterly Revenue Detail",#N/A,FALSE,"Mix"}</definedName>
    <definedName name="wrn.Revenue._.Details." localSheetId="1" hidden="1">{"Revenue by Industry Chart",#N/A,FALSE,"Mix";"Annual Revenue Detail",#N/A,FALSE,"Mix";"Quarterly Revenue Detail",#N/A,FALSE,"Mix"}</definedName>
    <definedName name="wrn.Revenue._.Details." hidden="1">{"Revenue by Industry Chart",#N/A,FALSE,"Mix";"Annual Revenue Detail",#N/A,FALSE,"Mix";"Quarterly Revenue Detail",#N/A,FALSE,"Mix"}</definedName>
    <definedName name="wrn.Summary." localSheetId="2" hidden="1">{"Print Summary",#N/A,FALSE,"Bal_Graphs";"Print Summary",#N/A,FALSE,"DCF";"Print Summary",#N/A,FALSE,"Graphs";"Print Summary",#N/A,FALSE,"Summary"}</definedName>
    <definedName name="wrn.Summary." localSheetId="0" hidden="1">{"Print Summary",#N/A,FALSE,"Bal_Graphs";"Print Summary",#N/A,FALSE,"DCF";"Print Summary",#N/A,FALSE,"Graphs";"Print Summary",#N/A,FALSE,"Summary"}</definedName>
    <definedName name="wrn.Summary." localSheetId="1" hidden="1">{"Print Summary",#N/A,FALSE,"Bal_Graphs";"Print Summary",#N/A,FALSE,"DCF";"Print Summary",#N/A,FALSE,"Graphs";"Print Summary",#N/A,FALSE,"Summary"}</definedName>
    <definedName name="wrn.Summary." hidden="1">{"Print Summary",#N/A,FALSE,"Bal_Graphs";"Print Summary",#N/A,FALSE,"DCF";"Print Summary",#N/A,FALSE,"Graphs";"Print Summary",#N/A,FALSE,"Summary"}</definedName>
    <definedName name="wrn.Summary._1" localSheetId="2" hidden="1">{"Print Summary",#N/A,FALSE,"Bal_Graphs";"Print Summary",#N/A,FALSE,"DCF";"Print Summary",#N/A,FALSE,"Graphs";"Print Summary",#N/A,FALSE,"Summary"}</definedName>
    <definedName name="wrn.Summary._1" localSheetId="0" hidden="1">{"Print Summary",#N/A,FALSE,"Bal_Graphs";"Print Summary",#N/A,FALSE,"DCF";"Print Summary",#N/A,FALSE,"Graphs";"Print Summary",#N/A,FALSE,"Summary"}</definedName>
    <definedName name="wrn.Summary._1" localSheetId="1" hidden="1">{"Print Summary",#N/A,FALSE,"Bal_Graphs";"Print Summary",#N/A,FALSE,"DCF";"Print Summary",#N/A,FALSE,"Graphs";"Print Summary",#N/A,FALSE,"Summary"}</definedName>
    <definedName name="wrn.Summary._1" hidden="1">{"Print Summary",#N/A,FALSE,"Bal_Graphs";"Print Summary",#N/A,FALSE,"DCF";"Print Summary",#N/A,FALSE,"Graphs";"Print Summary",#N/A,FALSE,"Summary"}</definedName>
    <definedName name="wrn.Summary._2" localSheetId="2" hidden="1">{"Print Summary",#N/A,FALSE,"Bal_Graphs";"Print Summary",#N/A,FALSE,"DCF";"Print Summary",#N/A,FALSE,"Graphs";"Print Summary",#N/A,FALSE,"Summary"}</definedName>
    <definedName name="wrn.Summary._2" localSheetId="0" hidden="1">{"Print Summary",#N/A,FALSE,"Bal_Graphs";"Print Summary",#N/A,FALSE,"DCF";"Print Summary",#N/A,FALSE,"Graphs";"Print Summary",#N/A,FALSE,"Summary"}</definedName>
    <definedName name="wrn.Summary._2" localSheetId="1" hidden="1">{"Print Summary",#N/A,FALSE,"Bal_Graphs";"Print Summary",#N/A,FALSE,"DCF";"Print Summary",#N/A,FALSE,"Graphs";"Print Summary",#N/A,FALSE,"Summary"}</definedName>
    <definedName name="wrn.Summary._2" hidden="1">{"Print Summary",#N/A,FALSE,"Bal_Graphs";"Print Summary",#N/A,FALSE,"DCF";"Print Summary",#N/A,FALSE,"Graphs";"Print Summary",#N/A,FALSE,"Summary"}</definedName>
    <definedName name="wrn.summary_CWN" localSheetId="2" hidden="1">{"Print Summary",#N/A,FALSE,"Bal_Graphs";"Print Summary",#N/A,FALSE,"DCF";"Print Summary",#N/A,FALSE,"Graphs";"Print Summary",#N/A,FALSE,"Summary"}</definedName>
    <definedName name="wrn.summary_CWN" localSheetId="0" hidden="1">{"Print Summary",#N/A,FALSE,"Bal_Graphs";"Print Summary",#N/A,FALSE,"DCF";"Print Summary",#N/A,FALSE,"Graphs";"Print Summary",#N/A,FALSE,"Summary"}</definedName>
    <definedName name="wrn.summary_CWN" localSheetId="1" hidden="1">{"Print Summary",#N/A,FALSE,"Bal_Graphs";"Print Summary",#N/A,FALSE,"DCF";"Print Summary",#N/A,FALSE,"Graphs";"Print Summary",#N/A,FALSE,"Summary"}</definedName>
    <definedName name="wrn.summary_CWN" hidden="1">{"Print Summary",#N/A,FALSE,"Bal_Graphs";"Print Summary",#N/A,FALSE,"DCF";"Print Summary",#N/A,FALSE,"Graphs";"Print Summary",#N/A,FALSE,"Summary"}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Test." hidden="1">{"Detail",#N/A,FALSE,"FULLESTI";#N/A,#N/A,FALSE,"USMEDCOY"}</definedName>
    <definedName name="wrn.Variance._.Q4" localSheetId="2" hidden="1">{"Variance Q4",#N/A,FALSE,"Var"}</definedName>
    <definedName name="wrn.Variance._.Q4" localSheetId="0" hidden="1">{"Variance Q4",#N/A,FALSE,"Var"}</definedName>
    <definedName name="wrn.Variance._.Q4" localSheetId="1" hidden="1">{"Variance Q4",#N/A,FALSE,"Var"}</definedName>
    <definedName name="wrn.Variance._.Q4" hidden="1">{"Variance Q4",#N/A,FALSE,"Var"}</definedName>
    <definedName name="wrn.weekly." hidden="1">{#N/A,#N/A,FALSE,"Large Operators";#N/A,#N/A,FALSE,"Smaller Operators";#N/A,#N/A,FALSE,"Equip. Supply";#N/A,#N/A,FALSE,"EBITDA";#N/A,#N/A,FALSE,"perform"}</definedName>
    <definedName name="wrn.year._.end." localSheetId="2" hidden="1">{#N/A,#N/A,FALSE,"Allstate Inc Stmt 4Qtr";#N/A,#N/A,FALSE,"Allstate Inc Stmt YTD";#N/A,#N/A,FALSE,"Segment Inc Stmt 4Qtr";#N/A,#N/A,FALSE,"Segment Inc Stmt YTD";#N/A,#N/A,FALSE,"Current &amp; Prior Bal Sht";#N/A,#N/A,FALSE,"CASH FLOW QTR";#N/A,#N/A,FALSE,"CASH FLOW YTD";#N/A,#N/A,FALSE,"Resegmented Underwriting";#N/A,#N/A,FALSE,"Segment Underwriting";#N/A,#N/A,FALSE,"RESEG WRITTEN";#N/A,#N/A,FALSE,"Life Premium";#N/A,#N/A,FALSE,"Investments";#N/A,#N/A,FALSE,"Dec Investments";#N/A,#N/A,FALSE,"4Qtr PL Inv. Income";#N/A,#N/A,FALSE,"YTD PL Inv. Inc.";#N/A,#N/A,FALSE,"4Qtr Life Inv. Inc.";#N/A,#N/A,FALSE,"YTD Life Investment Income";#N/A,#N/A,FALSE,"GAAP to STAT";#N/A,#N/A,FALSE,"5 YR Fin &amp; Oper";#N/A,#N/A,FALSE,"5 Yr Prop_Liab Summary";#N/A,#N/A,FALSE,"5 Yr P_L Seg UW I";#N/A,#N/A,FALSE,"5 Yr P_L Seg UW II";#N/A,#N/A,FALSE,"Historical Life";#N/A,#N/A,FALSE,"Fixed Income by Quality";#N/A,#N/A,FALSE,"P_L Loss Reserves";#N/A,#N/A,FALSE,"Environmental"}</definedName>
    <definedName name="wrn.year._.end." localSheetId="0" hidden="1">{#N/A,#N/A,FALSE,"Allstate Inc Stmt 4Qtr";#N/A,#N/A,FALSE,"Allstate Inc Stmt YTD";#N/A,#N/A,FALSE,"Segment Inc Stmt 4Qtr";#N/A,#N/A,FALSE,"Segment Inc Stmt YTD";#N/A,#N/A,FALSE,"Current &amp; Prior Bal Sht";#N/A,#N/A,FALSE,"CASH FLOW QTR";#N/A,#N/A,FALSE,"CASH FLOW YTD";#N/A,#N/A,FALSE,"Resegmented Underwriting";#N/A,#N/A,FALSE,"Segment Underwriting";#N/A,#N/A,FALSE,"RESEG WRITTEN";#N/A,#N/A,FALSE,"Life Premium";#N/A,#N/A,FALSE,"Investments";#N/A,#N/A,FALSE,"Dec Investments";#N/A,#N/A,FALSE,"4Qtr PL Inv. Income";#N/A,#N/A,FALSE,"YTD PL Inv. Inc.";#N/A,#N/A,FALSE,"4Qtr Life Inv. Inc.";#N/A,#N/A,FALSE,"YTD Life Investment Income";#N/A,#N/A,FALSE,"GAAP to STAT";#N/A,#N/A,FALSE,"5 YR Fin &amp; Oper";#N/A,#N/A,FALSE,"5 Yr Prop_Liab Summary";#N/A,#N/A,FALSE,"5 Yr P_L Seg UW I";#N/A,#N/A,FALSE,"5 Yr P_L Seg UW II";#N/A,#N/A,FALSE,"Historical Life";#N/A,#N/A,FALSE,"Fixed Income by Quality";#N/A,#N/A,FALSE,"P_L Loss Reserves";#N/A,#N/A,FALSE,"Environmental"}</definedName>
    <definedName name="wrn.year._.end." localSheetId="1" hidden="1">{#N/A,#N/A,FALSE,"Allstate Inc Stmt 4Qtr";#N/A,#N/A,FALSE,"Allstate Inc Stmt YTD";#N/A,#N/A,FALSE,"Segment Inc Stmt 4Qtr";#N/A,#N/A,FALSE,"Segment Inc Stmt YTD";#N/A,#N/A,FALSE,"Current &amp; Prior Bal Sht";#N/A,#N/A,FALSE,"CASH FLOW QTR";#N/A,#N/A,FALSE,"CASH FLOW YTD";#N/A,#N/A,FALSE,"Resegmented Underwriting";#N/A,#N/A,FALSE,"Segment Underwriting";#N/A,#N/A,FALSE,"RESEG WRITTEN";#N/A,#N/A,FALSE,"Life Premium";#N/A,#N/A,FALSE,"Investments";#N/A,#N/A,FALSE,"Dec Investments";#N/A,#N/A,FALSE,"4Qtr PL Inv. Income";#N/A,#N/A,FALSE,"YTD PL Inv. Inc.";#N/A,#N/A,FALSE,"4Qtr Life Inv. Inc.";#N/A,#N/A,FALSE,"YTD Life Investment Income";#N/A,#N/A,FALSE,"GAAP to STAT";#N/A,#N/A,FALSE,"5 YR Fin &amp; Oper";#N/A,#N/A,FALSE,"5 Yr Prop_Liab Summary";#N/A,#N/A,FALSE,"5 Yr P_L Seg UW I";#N/A,#N/A,FALSE,"5 Yr P_L Seg UW II";#N/A,#N/A,FALSE,"Historical Life";#N/A,#N/A,FALSE,"Fixed Income by Quality";#N/A,#N/A,FALSE,"P_L Loss Reserves";#N/A,#N/A,FALSE,"Environmental"}</definedName>
    <definedName name="wrn.year._.end." hidden="1">{#N/A,#N/A,FALSE,"Allstate Inc Stmt 4Qtr";#N/A,#N/A,FALSE,"Allstate Inc Stmt YTD";#N/A,#N/A,FALSE,"Segment Inc Stmt 4Qtr";#N/A,#N/A,FALSE,"Segment Inc Stmt YTD";#N/A,#N/A,FALSE,"Current &amp; Prior Bal Sht";#N/A,#N/A,FALSE,"CASH FLOW QTR";#N/A,#N/A,FALSE,"CASH FLOW YTD";#N/A,#N/A,FALSE,"Resegmented Underwriting";#N/A,#N/A,FALSE,"Segment Underwriting";#N/A,#N/A,FALSE,"RESEG WRITTEN";#N/A,#N/A,FALSE,"Life Premium";#N/A,#N/A,FALSE,"Investments";#N/A,#N/A,FALSE,"Dec Investments";#N/A,#N/A,FALSE,"4Qtr PL Inv. Income";#N/A,#N/A,FALSE,"YTD PL Inv. Inc.";#N/A,#N/A,FALSE,"4Qtr Life Inv. Inc.";#N/A,#N/A,FALSE,"YTD Life Investment Income";#N/A,#N/A,FALSE,"GAAP to STAT";#N/A,#N/A,FALSE,"5 YR Fin &amp; Oper";#N/A,#N/A,FALSE,"5 Yr Prop_Liab Summary";#N/A,#N/A,FALSE,"5 Yr P_L Seg UW I";#N/A,#N/A,FALSE,"5 Yr P_L Seg UW II";#N/A,#N/A,FALSE,"Historical Life";#N/A,#N/A,FALSE,"Fixed Income by Quality";#N/A,#N/A,FALSE,"P_L Loss Reserves";#N/A,#N/A,FALSE,"Environmental"}</definedName>
    <definedName name="wrnmain_report_all_sections" localSheetId="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main_report_all_sections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main_report_all_sections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main_report_all_sections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vu.B_Sheet." localSheetId="2" hidden="1">{TRUE,TRUE,-1.25,-15.5,604.5,366.75,FALSE,TRUE,TRUE,TRUE,0,1,#N/A,1,65,17.1333333333333,4,3,FALSE,TRUE,3,TRUE,1,FALSE,75,"Swvu.B_Sheet.","ACwvu.B_Sheet.",#N/A,FALSE,FALSE,0.748031496062992,0.748031496062992,0.984251968503937,0.984251968503937,1,"","&amp;C&amp;""Helvetica,Regular""&amp;10J B Were &amp;&amp; Son Industrial Research - Analyst: Matt Cook - (03) 9679-1445",FALSE,FALSE,FALSE,FALSE,1,75,#N/A,#N/A,"=R5C7:R69C15","=C1:C3,R1:R4","Rwvu.B_Sheet.",#N/A,FALSE,FALSE,TRUE,9,#N/A,#N/A,FALSE,FALSE,TRUE,TRUE,TRUE}</definedName>
    <definedName name="wvu.B_Sheet." localSheetId="0" hidden="1">{TRUE,TRUE,-1.25,-15.5,604.5,366.75,FALSE,TRUE,TRUE,TRUE,0,1,#N/A,1,65,17.1333333333333,4,3,FALSE,TRUE,3,TRUE,1,FALSE,75,"Swvu.B_Sheet.","ACwvu.B_Sheet.",#N/A,FALSE,FALSE,0.748031496062992,0.748031496062992,0.984251968503937,0.984251968503937,1,"","&amp;C&amp;""Helvetica,Regular""&amp;10J B Were &amp;&amp; Son Industrial Research - Analyst: Matt Cook - (03) 9679-1445",FALSE,FALSE,FALSE,FALSE,1,75,#N/A,#N/A,"=R5C7:R69C15","=C1:C3,R1:R4","Rwvu.B_Sheet.",#N/A,FALSE,FALSE,TRUE,9,#N/A,#N/A,FALSE,FALSE,TRUE,TRUE,TRUE}</definedName>
    <definedName name="wvu.B_Sheet." localSheetId="1" hidden="1">{TRUE,TRUE,-1.25,-15.5,604.5,366.75,FALSE,TRUE,TRUE,TRUE,0,1,#N/A,1,65,17.1333333333333,4,3,FALSE,TRUE,3,TRUE,1,FALSE,75,"Swvu.B_Sheet.","ACwvu.B_Sheet.",#N/A,FALSE,FALSE,0.748031496062992,0.748031496062992,0.984251968503937,0.984251968503937,1,"","&amp;C&amp;""Helvetica,Regular""&amp;10J B Were &amp;&amp; Son Industrial Research - Analyst: Matt Cook - (03) 9679-1445",FALSE,FALSE,FALSE,FALSE,1,75,#N/A,#N/A,"=R5C7:R69C15","=C1:C3,R1:R4","Rwvu.B_Sheet.",#N/A,FALSE,FALSE,TRUE,9,#N/A,#N/A,FALSE,FALSE,TRUE,TRUE,TRUE}</definedName>
    <definedName name="wvu.B_Sheet." hidden="1">{TRUE,TRUE,-1.25,-15.5,604.5,366.75,FALSE,TRUE,TRUE,TRUE,0,1,#N/A,1,65,17.1333333333333,4,3,FALSE,TRUE,3,TRUE,1,FALSE,75,"Swvu.B_Sheet.","ACwvu.B_Sheet.",#N/A,FALSE,FALSE,0.748031496062992,0.748031496062992,0.984251968503937,0.984251968503937,1,"","&amp;C&amp;""Helvetica,Regular""&amp;10J B Were &amp;&amp; Son Industrial Research - Analyst: Matt Cook - (03) 9679-1445",FALSE,FALSE,FALSE,FALSE,1,75,#N/A,#N/A,"=R5C7:R69C15","=C1:C3,R1:R4","Rwvu.B_Sheet.",#N/A,FALSE,FALSE,TRUE,9,#N/A,#N/A,FALSE,FALSE,TRUE,TRUE,TRUE}</definedName>
    <definedName name="wvu.bal_98." localSheetId="2" hidden="1">{TRUE,TRUE,-1.25,-15.5,484.5,276.75,FALSE,TRUE,TRUE,TRUE,0,1,#N/A,1,36,13.234375,17,1,FALSE,TRUE,3,TRUE,1,FALSE,100,"Swvu.bal_98.","ACwvu.bal_98.",#N/A,FALSE,FALSE,0.748031496062992,0.748031496062992,0.984251968503937,0.984251968503937,1,"&amp;F","Page &amp;P",FALSE,FALSE,FALSE,FALSE,1,100,#N/A,#N/A,FALSE,FALSE,"Rwvu.bal_98.",#N/A,FALSE,FALSE,TRUE,9,#N/A,#N/A,FALSE,FALSE,TRUE,TRUE,TRUE}</definedName>
    <definedName name="wvu.bal_98." localSheetId="0" hidden="1">{TRUE,TRUE,-1.25,-15.5,484.5,276.75,FALSE,TRUE,TRUE,TRUE,0,1,#N/A,1,36,13.234375,17,1,FALSE,TRUE,3,TRUE,1,FALSE,100,"Swvu.bal_98.","ACwvu.bal_98.",#N/A,FALSE,FALSE,0.748031496062992,0.748031496062992,0.984251968503937,0.984251968503937,1,"&amp;F","Page &amp;P",FALSE,FALSE,FALSE,FALSE,1,100,#N/A,#N/A,FALSE,FALSE,"Rwvu.bal_98.",#N/A,FALSE,FALSE,TRUE,9,#N/A,#N/A,FALSE,FALSE,TRUE,TRUE,TRUE}</definedName>
    <definedName name="wvu.bal_98." localSheetId="1" hidden="1">{TRUE,TRUE,-1.25,-15.5,484.5,276.75,FALSE,TRUE,TRUE,TRUE,0,1,#N/A,1,36,13.234375,17,1,FALSE,TRUE,3,TRUE,1,FALSE,100,"Swvu.bal_98.","ACwvu.bal_98.",#N/A,FALSE,FALSE,0.748031496062992,0.748031496062992,0.984251968503937,0.984251968503937,1,"&amp;F","Page &amp;P",FALSE,FALSE,FALSE,FALSE,1,100,#N/A,#N/A,FALSE,FALSE,"Rwvu.bal_98.",#N/A,FALSE,FALSE,TRUE,9,#N/A,#N/A,FALSE,FALSE,TRUE,TRUE,TRUE}</definedName>
    <definedName name="wvu.bal_98." hidden="1">{TRUE,TRUE,-1.25,-15.5,484.5,276.75,FALSE,TRUE,TRUE,TRUE,0,1,#N/A,1,36,13.234375,17,1,FALSE,TRUE,3,TRUE,1,FALSE,100,"Swvu.bal_98.","ACwvu.bal_98.",#N/A,FALSE,FALSE,0.748031496062992,0.748031496062992,0.984251968503937,0.984251968503937,1,"&amp;F","Page &amp;P",FALSE,FALSE,FALSE,FALSE,1,100,#N/A,#N/A,FALSE,FALSE,"Rwvu.bal_98.",#N/A,FALSE,FALSE,TRUE,9,#N/A,#N/A,FALSE,FALSE,TRUE,TRUE,TRUE}</definedName>
    <definedName name="wvu.Detail." localSheetId="2" hidden="1">{TRUE,TRUE,-1.25,-15.5,604.5,366.75,FALSE,TRUE,TRUE,TRUE,0,1,#N/A,1,#N/A,11.4,33.0769230769231,1,FALSE,FALSE,3,TRUE,1,FALSE,75,"Swvu.Detail.","ACwvu.Detail.",#N/A,FALSE,FALSE,0.393700787401575,0.393700787401575,0.393700787401575,0.393700787401575,1,"","&amp;C&amp;""Helvetica,Regular""&amp;10J B Were &amp;&amp; Son Industrial Research:  Analyst Matt Cook:  Ph: 03-9679 1445",TRUE,FALSE,FALSE,FALSE,1,80,#N/A,#N/A,"=R5C4:R105C11","=C1,R1:R4",#N/A,#N/A,FALSE,FALSE,TRUE,9,#N/A,#N/A,FALSE,FALSE,TRUE,TRUE,TRUE}</definedName>
    <definedName name="wvu.Detail." localSheetId="0" hidden="1">{TRUE,TRUE,-1.25,-15.5,604.5,366.75,FALSE,TRUE,TRUE,TRUE,0,1,#N/A,1,#N/A,11.4,33.0769230769231,1,FALSE,FALSE,3,TRUE,1,FALSE,75,"Swvu.Detail.","ACwvu.Detail.",#N/A,FALSE,FALSE,0.393700787401575,0.393700787401575,0.393700787401575,0.393700787401575,1,"","&amp;C&amp;""Helvetica,Regular""&amp;10J B Were &amp;&amp; Son Industrial Research:  Analyst Matt Cook:  Ph: 03-9679 1445",TRUE,FALSE,FALSE,FALSE,1,80,#N/A,#N/A,"=R5C4:R105C11","=C1,R1:R4",#N/A,#N/A,FALSE,FALSE,TRUE,9,#N/A,#N/A,FALSE,FALSE,TRUE,TRUE,TRUE}</definedName>
    <definedName name="wvu.Detail." localSheetId="1" hidden="1">{TRUE,TRUE,-1.25,-15.5,604.5,366.75,FALSE,TRUE,TRUE,TRUE,0,1,#N/A,1,#N/A,11.4,33.0769230769231,1,FALSE,FALSE,3,TRUE,1,FALSE,75,"Swvu.Detail.","ACwvu.Detail.",#N/A,FALSE,FALSE,0.393700787401575,0.393700787401575,0.393700787401575,0.393700787401575,1,"","&amp;C&amp;""Helvetica,Regular""&amp;10J B Were &amp;&amp; Son Industrial Research:  Analyst Matt Cook:  Ph: 03-9679 1445",TRUE,FALSE,FALSE,FALSE,1,80,#N/A,#N/A,"=R5C4:R105C11","=C1,R1:R4",#N/A,#N/A,FALSE,FALSE,TRUE,9,#N/A,#N/A,FALSE,FALSE,TRUE,TRUE,TRUE}</definedName>
    <definedName name="wvu.Detail." hidden="1">{TRUE,TRUE,-1.25,-15.5,604.5,366.75,FALSE,TRUE,TRUE,TRUE,0,1,#N/A,1,#N/A,11.4,33.0769230769231,1,FALSE,FALSE,3,TRUE,1,FALSE,75,"Swvu.Detail.","ACwvu.Detail.",#N/A,FALSE,FALSE,0.393700787401575,0.393700787401575,0.393700787401575,0.393700787401575,1,"","&amp;C&amp;""Helvetica,Regular""&amp;10J B Were &amp;&amp; Son Industrial Research:  Analyst Matt Cook:  Ph: 03-9679 1445",TRUE,FALSE,FALSE,FALSE,1,80,#N/A,#N/A,"=R5C4:R105C11","=C1,R1:R4",#N/A,#N/A,FALSE,FALSE,TRUE,9,#N/A,#N/A,FALSE,FALSE,TRUE,TRUE,TRUE}</definedName>
    <definedName name="wvu.Full_Year." localSheetId="2" hidden="1">{TRUE,TRUE,-1.25,-15.5,604.5,366.75,FALSE,TRUE,TRUE,TRUE,0,1,#N/A,1,18,25.85,20,1,FALSE,TRUE,3,TRUE,1,FALSE,75,"Swvu.Full_Year.","ACwvu.Full_Year.",#N/A,FALSE,FALSE,0.393700787401575,0.393700787401575,0.393700787401575,0.393700787401575,1," ","&amp;C&amp;""Helvetica,Regular""J B Were &amp; Son - Research. Analyst: Matt Cook- Tel: (03) 9679 1445",TRUE,FALSE,FALSE,FALSE,1,85,#N/A,#N/A,"=C1:C22","=C1:C3,R1:R4","Rwvu.Full_Year.","Cwvu.Full_Year.",FALSE,FALSE,FALSE,9,#N/A,#N/A,FALSE,FALSE,TRUE,TRUE,TRUE}</definedName>
    <definedName name="wvu.Full_Year." localSheetId="0" hidden="1">{TRUE,TRUE,-1.25,-15.5,604.5,366.75,FALSE,TRUE,TRUE,TRUE,0,1,#N/A,1,18,25.85,20,1,FALSE,TRUE,3,TRUE,1,FALSE,75,"Swvu.Full_Year.","ACwvu.Full_Year.",#N/A,FALSE,FALSE,0.393700787401575,0.393700787401575,0.393700787401575,0.393700787401575,1," ","&amp;C&amp;""Helvetica,Regular""J B Were &amp; Son - Research. Analyst: Matt Cook- Tel: (03) 9679 1445",TRUE,FALSE,FALSE,FALSE,1,85,#N/A,#N/A,"=C1:C22","=C1:C3,R1:R4","Rwvu.Full_Year.","Cwvu.Full_Year.",FALSE,FALSE,FALSE,9,#N/A,#N/A,FALSE,FALSE,TRUE,TRUE,TRUE}</definedName>
    <definedName name="wvu.Full_Year." localSheetId="1" hidden="1">{TRUE,TRUE,-1.25,-15.5,604.5,366.75,FALSE,TRUE,TRUE,TRUE,0,1,#N/A,1,18,25.85,20,1,FALSE,TRUE,3,TRUE,1,FALSE,75,"Swvu.Full_Year.","ACwvu.Full_Year.",#N/A,FALSE,FALSE,0.393700787401575,0.393700787401575,0.393700787401575,0.393700787401575,1," ","&amp;C&amp;""Helvetica,Regular""J B Were &amp; Son - Research. Analyst: Matt Cook- Tel: (03) 9679 1445",TRUE,FALSE,FALSE,FALSE,1,85,#N/A,#N/A,"=C1:C22","=C1:C3,R1:R4","Rwvu.Full_Year.","Cwvu.Full_Year.",FALSE,FALSE,FALSE,9,#N/A,#N/A,FALSE,FALSE,TRUE,TRUE,TRUE}</definedName>
    <definedName name="wvu.Full_Year." hidden="1">{TRUE,TRUE,-1.25,-15.5,604.5,366.75,FALSE,TRUE,TRUE,TRUE,0,1,#N/A,1,18,25.85,20,1,FALSE,TRUE,3,TRUE,1,FALSE,75,"Swvu.Full_Year.","ACwvu.Full_Year.",#N/A,FALSE,FALSE,0.393700787401575,0.393700787401575,0.393700787401575,0.393700787401575,1," ","&amp;C&amp;""Helvetica,Regular""J B Were &amp; Son - Research. Analyst: Matt Cook- Tel: (03) 9679 1445",TRUE,FALSE,FALSE,FALSE,1,85,#N/A,#N/A,"=C1:C22","=C1:C3,R1:R4","Rwvu.Full_Year.","Cwvu.Full_Year.",FALSE,FALSE,FALSE,9,#N/A,#N/A,FALSE,FALSE,TRUE,TRUE,TRUE}</definedName>
    <definedName name="wvu.Warehouse." localSheetId="2" hidden="1">{TRUE,TRUE,-1.25,-15.5,604.5,366.75,FALSE,TRUE,TRUE,TRUE,0,1,6,1,74,3.7,5.15384615384615,4,TRUE,TRUE,3,TRUE,1,FALSE,75,"Swvu.Warehouse.","ACwvu.Warehouse.",#N/A,FALSE,FALSE,0.393700787401575,0.393700787401575,0.393700787401575,0.393700787401575,1,"","&amp;C&amp;10J B Were &amp;&amp; Son Industrial Research - Analyst:  Matt Cook Ph: 03 9679 1445",TRUE,FALSE,FALSE,FALSE,1,75,#N/A,#N/A,"=R74C7:R192C13","=C1:C4,R1:R4",#N/A,#N/A,FALSE,FALSE,TRUE,9,#N/A,#N/A,FALSE,FALSE,TRUE,TRUE,TRUE}</definedName>
    <definedName name="wvu.Warehouse." localSheetId="0" hidden="1">{TRUE,TRUE,-1.25,-15.5,604.5,366.75,FALSE,TRUE,TRUE,TRUE,0,1,6,1,74,3.7,5.15384615384615,4,TRUE,TRUE,3,TRUE,1,FALSE,75,"Swvu.Warehouse.","ACwvu.Warehouse.",#N/A,FALSE,FALSE,0.393700787401575,0.393700787401575,0.393700787401575,0.393700787401575,1,"","&amp;C&amp;10J B Were &amp;&amp; Son Industrial Research - Analyst:  Matt Cook Ph: 03 9679 1445",TRUE,FALSE,FALSE,FALSE,1,75,#N/A,#N/A,"=R74C7:R192C13","=C1:C4,R1:R4",#N/A,#N/A,FALSE,FALSE,TRUE,9,#N/A,#N/A,FALSE,FALSE,TRUE,TRUE,TRUE}</definedName>
    <definedName name="wvu.Warehouse." localSheetId="1" hidden="1">{TRUE,TRUE,-1.25,-15.5,604.5,366.75,FALSE,TRUE,TRUE,TRUE,0,1,6,1,74,3.7,5.15384615384615,4,TRUE,TRUE,3,TRUE,1,FALSE,75,"Swvu.Warehouse.","ACwvu.Warehouse.",#N/A,FALSE,FALSE,0.393700787401575,0.393700787401575,0.393700787401575,0.393700787401575,1,"","&amp;C&amp;10J B Were &amp;&amp; Son Industrial Research - Analyst:  Matt Cook Ph: 03 9679 1445",TRUE,FALSE,FALSE,FALSE,1,75,#N/A,#N/A,"=R74C7:R192C13","=C1:C4,R1:R4",#N/A,#N/A,FALSE,FALSE,TRUE,9,#N/A,#N/A,FALSE,FALSE,TRUE,TRUE,TRUE}</definedName>
    <definedName name="wvu.Warehouse." hidden="1">{TRUE,TRUE,-1.25,-15.5,604.5,366.75,FALSE,TRUE,TRUE,TRUE,0,1,6,1,74,3.7,5.15384615384615,4,TRUE,TRUE,3,TRUE,1,FALSE,75,"Swvu.Warehouse.","ACwvu.Warehouse.",#N/A,FALSE,FALSE,0.393700787401575,0.393700787401575,0.393700787401575,0.393700787401575,1,"","&amp;C&amp;10J B Were &amp;&amp; Son Industrial Research - Analyst:  Matt Cook Ph: 03 9679 1445",TRUE,FALSE,FALSE,FALSE,1,75,#N/A,#N/A,"=R74C7:R192C13","=C1:C4,R1:R4",#N/A,#N/A,FALSE,FALSE,TRUE,9,#N/A,#N/A,FALSE,FALSE,TRUE,TRUE,TRUE}</definedName>
    <definedName name="ww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1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1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1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2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2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2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CWN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CWN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CWN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www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1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1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2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2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2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x" localSheetId="2" hidden="1">{"Revenue by Industry Chart",#N/A,FALSE,"Mix";"Annual Revenue Detail",#N/A,FALSE,"Mix";"Quarterly Revenue Detail",#N/A,FALSE,"Mix"}</definedName>
    <definedName name="x" localSheetId="0" hidden="1">{"Revenue by Industry Chart",#N/A,FALSE,"Mix";"Annual Revenue Detail",#N/A,FALSE,"Mix";"Quarterly Revenue Detail",#N/A,FALSE,"Mix"}</definedName>
    <definedName name="x" localSheetId="1" hidden="1">{"Revenue by Industry Chart",#N/A,FALSE,"Mix";"Annual Revenue Detail",#N/A,FALSE,"Mix";"Quarterly Revenue Detail",#N/A,FALSE,"Mix"}</definedName>
    <definedName name="x" hidden="1">{"Revenue by Industry Chart",#N/A,FALSE,"Mix";"Annual Revenue Detail",#N/A,FALSE,"Mix";"Quarterly Revenue Detail",#N/A,FALSE,"Mix"}</definedName>
    <definedName name="xxx" localSheetId="2" hidden="1">{"'Outline (2)'!$A$1:$Q$7"}</definedName>
    <definedName name="xxx" localSheetId="0" hidden="1">{"'Outline (2)'!$A$1:$Q$7"}</definedName>
    <definedName name="xxx" localSheetId="1" hidden="1">{"'Outline (2)'!$A$1:$Q$7"}</definedName>
    <definedName name="xxx" hidden="1">{"'Outline (2)'!$A$1:$Q$7"}</definedName>
    <definedName name="Z_03DAD996_7A4F_11D1_AB8C_00805F1D08F8_.wvu.Cols" localSheetId="2" hidden="1">#REF!</definedName>
    <definedName name="Z_03DAD996_7A4F_11D1_AB8C_00805F1D08F8_.wvu.Cols" localSheetId="0" hidden="1">#REF!</definedName>
    <definedName name="Z_03DAD996_7A4F_11D1_AB8C_00805F1D08F8_.wvu.Cols" localSheetId="1" hidden="1">#REF!</definedName>
    <definedName name="Z_03DAD996_7A4F_11D1_AB8C_00805F1D08F8_.wvu.Cols" hidden="1">#REF!</definedName>
    <definedName name="Z_03DAD997_7A4F_11D1_AB8C_00805F1D08F8_.wvu.Cols" localSheetId="2" hidden="1">#REF!,#REF!,#REF!,#REF!</definedName>
    <definedName name="Z_03DAD997_7A4F_11D1_AB8C_00805F1D08F8_.wvu.Cols" localSheetId="0" hidden="1">#REF!,#REF!,#REF!,#REF!</definedName>
    <definedName name="Z_03DAD997_7A4F_11D1_AB8C_00805F1D08F8_.wvu.Cols" localSheetId="1" hidden="1">#REF!,#REF!,#REF!,#REF!</definedName>
    <definedName name="Z_03DAD997_7A4F_11D1_AB8C_00805F1D08F8_.wvu.Cols" hidden="1">#REF!,#REF!,#REF!,#REF!</definedName>
    <definedName name="Z_03DAD997_7A4F_11D1_AB8C_00805F1D08F8_.wvu.Rows" localSheetId="2" hidden="1">#REF!</definedName>
    <definedName name="Z_03DAD997_7A4F_11D1_AB8C_00805F1D08F8_.wvu.Rows" localSheetId="0" hidden="1">#REF!</definedName>
    <definedName name="Z_03DAD997_7A4F_11D1_AB8C_00805F1D08F8_.wvu.Rows" localSheetId="1" hidden="1">#REF!</definedName>
    <definedName name="Z_03DAD997_7A4F_11D1_AB8C_00805F1D08F8_.wvu.Rows" hidden="1">#REF!</definedName>
    <definedName name="Z_0C942D73_7104_11D1_AB6C_00805F1D2048_.wvu.Cols" localSheetId="2" hidden="1">#REF!</definedName>
    <definedName name="Z_0C942D73_7104_11D1_AB6C_00805F1D2048_.wvu.Cols" localSheetId="0" hidden="1">#REF!</definedName>
    <definedName name="Z_0C942D73_7104_11D1_AB6C_00805F1D2048_.wvu.Cols" localSheetId="1" hidden="1">#REF!</definedName>
    <definedName name="Z_0C942D73_7104_11D1_AB6C_00805F1D2048_.wvu.Cols" hidden="1">#REF!</definedName>
    <definedName name="Z_0C942D74_7104_11D1_AB6C_00805F1D2048_.wvu.Cols" localSheetId="2" hidden="1">#REF!,#REF!,#REF!,#REF!</definedName>
    <definedName name="Z_0C942D74_7104_11D1_AB6C_00805F1D2048_.wvu.Cols" localSheetId="0" hidden="1">#REF!,#REF!,#REF!,#REF!</definedName>
    <definedName name="Z_0C942D74_7104_11D1_AB6C_00805F1D2048_.wvu.Cols" localSheetId="1" hidden="1">#REF!,#REF!,#REF!,#REF!</definedName>
    <definedName name="Z_0C942D74_7104_11D1_AB6C_00805F1D2048_.wvu.Cols" hidden="1">#REF!,#REF!,#REF!,#REF!</definedName>
    <definedName name="Z_0C942D74_7104_11D1_AB6C_00805F1D2048_.wvu.Rows" localSheetId="2" hidden="1">#REF!</definedName>
    <definedName name="Z_0C942D74_7104_11D1_AB6C_00805F1D2048_.wvu.Rows" localSheetId="0" hidden="1">#REF!</definedName>
    <definedName name="Z_0C942D74_7104_11D1_AB6C_00805F1D2048_.wvu.Rows" localSheetId="1" hidden="1">#REF!</definedName>
    <definedName name="Z_0C942D74_7104_11D1_AB6C_00805F1D2048_.wvu.Rows" hidden="1">#REF!</definedName>
    <definedName name="Z_115772F5_74E0_11D1_AB6E_00805F1D2048_.wvu.Cols" localSheetId="2" hidden="1">#REF!</definedName>
    <definedName name="Z_115772F5_74E0_11D1_AB6E_00805F1D2048_.wvu.Cols" localSheetId="0" hidden="1">#REF!</definedName>
    <definedName name="Z_115772F5_74E0_11D1_AB6E_00805F1D2048_.wvu.Cols" localSheetId="1" hidden="1">#REF!</definedName>
    <definedName name="Z_115772F5_74E0_11D1_AB6E_00805F1D2048_.wvu.Cols" hidden="1">#REF!</definedName>
    <definedName name="Z_115772F6_74E0_11D1_AB6E_00805F1D2048_.wvu.Cols" localSheetId="2" hidden="1">#REF!,#REF!,#REF!,#REF!</definedName>
    <definedName name="Z_115772F6_74E0_11D1_AB6E_00805F1D2048_.wvu.Cols" localSheetId="0" hidden="1">#REF!,#REF!,#REF!,#REF!</definedName>
    <definedName name="Z_115772F6_74E0_11D1_AB6E_00805F1D2048_.wvu.Cols" localSheetId="1" hidden="1">#REF!,#REF!,#REF!,#REF!</definedName>
    <definedName name="Z_115772F6_74E0_11D1_AB6E_00805F1D2048_.wvu.Cols" hidden="1">#REF!,#REF!,#REF!,#REF!</definedName>
    <definedName name="Z_115772F6_74E0_11D1_AB6E_00805F1D2048_.wvu.Rows" localSheetId="2" hidden="1">#REF!</definedName>
    <definedName name="Z_115772F6_74E0_11D1_AB6E_00805F1D2048_.wvu.Rows" localSheetId="0" hidden="1">#REF!</definedName>
    <definedName name="Z_115772F6_74E0_11D1_AB6E_00805F1D2048_.wvu.Rows" localSheetId="1" hidden="1">#REF!</definedName>
    <definedName name="Z_115772F6_74E0_11D1_AB6E_00805F1D2048_.wvu.Rows" hidden="1">#REF!</definedName>
    <definedName name="Z_2087720D_7599_11D1_AB6F_00805F1D2048_.wvu.Cols" localSheetId="2" hidden="1">#REF!</definedName>
    <definedName name="Z_2087720D_7599_11D1_AB6F_00805F1D2048_.wvu.Cols" localSheetId="0" hidden="1">#REF!</definedName>
    <definedName name="Z_2087720D_7599_11D1_AB6F_00805F1D2048_.wvu.Cols" localSheetId="1" hidden="1">#REF!</definedName>
    <definedName name="Z_2087720D_7599_11D1_AB6F_00805F1D2048_.wvu.Cols" hidden="1">#REF!</definedName>
    <definedName name="Z_2087720E_7599_11D1_AB6F_00805F1D2048_.wvu.Cols" localSheetId="2" hidden="1">#REF!,#REF!,#REF!,#REF!</definedName>
    <definedName name="Z_2087720E_7599_11D1_AB6F_00805F1D2048_.wvu.Cols" localSheetId="0" hidden="1">#REF!,#REF!,#REF!,#REF!</definedName>
    <definedName name="Z_2087720E_7599_11D1_AB6F_00805F1D2048_.wvu.Cols" localSheetId="1" hidden="1">#REF!,#REF!,#REF!,#REF!</definedName>
    <definedName name="Z_2087720E_7599_11D1_AB6F_00805F1D2048_.wvu.Cols" hidden="1">#REF!,#REF!,#REF!,#REF!</definedName>
    <definedName name="Z_2087720E_7599_11D1_AB6F_00805F1D2048_.wvu.Rows" localSheetId="2" hidden="1">#REF!</definedName>
    <definedName name="Z_2087720E_7599_11D1_AB6F_00805F1D2048_.wvu.Rows" localSheetId="0" hidden="1">#REF!</definedName>
    <definedName name="Z_2087720E_7599_11D1_AB6F_00805F1D2048_.wvu.Rows" localSheetId="1" hidden="1">#REF!</definedName>
    <definedName name="Z_2087720E_7599_11D1_AB6F_00805F1D2048_.wvu.Rows" hidden="1">#REF!</definedName>
    <definedName name="Z_2087722D_7599_11D1_AB6F_00805F1D2048_.wvu.Cols" localSheetId="2" hidden="1">#REF!</definedName>
    <definedName name="Z_2087722D_7599_11D1_AB6F_00805F1D2048_.wvu.Cols" localSheetId="0" hidden="1">#REF!</definedName>
    <definedName name="Z_2087722D_7599_11D1_AB6F_00805F1D2048_.wvu.Cols" localSheetId="1" hidden="1">#REF!</definedName>
    <definedName name="Z_2087722D_7599_11D1_AB6F_00805F1D2048_.wvu.Cols" hidden="1">#REF!</definedName>
    <definedName name="Z_2087722E_7599_11D1_AB6F_00805F1D2048_.wvu.Cols" localSheetId="2" hidden="1">#REF!,#REF!,#REF!,#REF!</definedName>
    <definedName name="Z_2087722E_7599_11D1_AB6F_00805F1D2048_.wvu.Cols" localSheetId="0" hidden="1">#REF!,#REF!,#REF!,#REF!</definedName>
    <definedName name="Z_2087722E_7599_11D1_AB6F_00805F1D2048_.wvu.Cols" localSheetId="1" hidden="1">#REF!,#REF!,#REF!,#REF!</definedName>
    <definedName name="Z_2087722E_7599_11D1_AB6F_00805F1D2048_.wvu.Cols" hidden="1">#REF!,#REF!,#REF!,#REF!</definedName>
    <definedName name="Z_2087722E_7599_11D1_AB6F_00805F1D2048_.wvu.Rows" localSheetId="2" hidden="1">#REF!</definedName>
    <definedName name="Z_2087722E_7599_11D1_AB6F_00805F1D2048_.wvu.Rows" localSheetId="0" hidden="1">#REF!</definedName>
    <definedName name="Z_2087722E_7599_11D1_AB6F_00805F1D2048_.wvu.Rows" localSheetId="1" hidden="1">#REF!</definedName>
    <definedName name="Z_2087722E_7599_11D1_AB6F_00805F1D2048_.wvu.Rows" hidden="1">#REF!</definedName>
    <definedName name="Z_2087724D_7599_11D1_AB6F_00805F1D2048_.wvu.Cols" localSheetId="2" hidden="1">#REF!</definedName>
    <definedName name="Z_2087724D_7599_11D1_AB6F_00805F1D2048_.wvu.Cols" localSheetId="0" hidden="1">#REF!</definedName>
    <definedName name="Z_2087724D_7599_11D1_AB6F_00805F1D2048_.wvu.Cols" localSheetId="1" hidden="1">#REF!</definedName>
    <definedName name="Z_2087724D_7599_11D1_AB6F_00805F1D2048_.wvu.Cols" hidden="1">#REF!</definedName>
    <definedName name="Z_2087724E_7599_11D1_AB6F_00805F1D2048_.wvu.Cols" localSheetId="2" hidden="1">#REF!,#REF!,#REF!,#REF!</definedName>
    <definedName name="Z_2087724E_7599_11D1_AB6F_00805F1D2048_.wvu.Cols" localSheetId="0" hidden="1">#REF!,#REF!,#REF!,#REF!</definedName>
    <definedName name="Z_2087724E_7599_11D1_AB6F_00805F1D2048_.wvu.Cols" localSheetId="1" hidden="1">#REF!,#REF!,#REF!,#REF!</definedName>
    <definedName name="Z_2087724E_7599_11D1_AB6F_00805F1D2048_.wvu.Cols" hidden="1">#REF!,#REF!,#REF!,#REF!</definedName>
    <definedName name="Z_2087724E_7599_11D1_AB6F_00805F1D2048_.wvu.Rows" localSheetId="2" hidden="1">#REF!</definedName>
    <definedName name="Z_2087724E_7599_11D1_AB6F_00805F1D2048_.wvu.Rows" localSheetId="0" hidden="1">#REF!</definedName>
    <definedName name="Z_2087724E_7599_11D1_AB6F_00805F1D2048_.wvu.Rows" localSheetId="1" hidden="1">#REF!</definedName>
    <definedName name="Z_2087724E_7599_11D1_AB6F_00805F1D2048_.wvu.Rows" hidden="1">#REF!</definedName>
    <definedName name="Z_390AA9A0_4F12_11D1_AB62_00805F1D08F8_.wvu.Cols" localSheetId="2" hidden="1">#REF!</definedName>
    <definedName name="Z_390AA9A0_4F12_11D1_AB62_00805F1D08F8_.wvu.Cols" localSheetId="0" hidden="1">#REF!</definedName>
    <definedName name="Z_390AA9A0_4F12_11D1_AB62_00805F1D08F8_.wvu.Cols" localSheetId="1" hidden="1">#REF!</definedName>
    <definedName name="Z_390AA9A0_4F12_11D1_AB62_00805F1D08F8_.wvu.Cols" hidden="1">#REF!</definedName>
    <definedName name="Z_390AA9A1_4F12_11D1_AB62_00805F1D08F8_.wvu.Cols" localSheetId="2" hidden="1">#REF!,#REF!,#REF!,#REF!</definedName>
    <definedName name="Z_390AA9A1_4F12_11D1_AB62_00805F1D08F8_.wvu.Cols" localSheetId="0" hidden="1">#REF!,#REF!,#REF!,#REF!</definedName>
    <definedName name="Z_390AA9A1_4F12_11D1_AB62_00805F1D08F8_.wvu.Cols" localSheetId="1" hidden="1">#REF!,#REF!,#REF!,#REF!</definedName>
    <definedName name="Z_390AA9A1_4F12_11D1_AB62_00805F1D08F8_.wvu.Cols" hidden="1">#REF!,#REF!,#REF!,#REF!</definedName>
    <definedName name="Z_390AA9A1_4F12_11D1_AB62_00805F1D08F8_.wvu.Rows" localSheetId="2" hidden="1">#REF!</definedName>
    <definedName name="Z_390AA9A1_4F12_11D1_AB62_00805F1D08F8_.wvu.Rows" localSheetId="0" hidden="1">#REF!</definedName>
    <definedName name="Z_390AA9A1_4F12_11D1_AB62_00805F1D08F8_.wvu.Rows" localSheetId="1" hidden="1">#REF!</definedName>
    <definedName name="Z_390AA9A1_4F12_11D1_AB62_00805F1D08F8_.wvu.Rows" hidden="1">#REF!</definedName>
    <definedName name="Z_3A0CF412_61F2_11D1_AB75_00805F1D08F8_.wvu.Cols" localSheetId="2" hidden="1">#REF!</definedName>
    <definedName name="Z_3A0CF412_61F2_11D1_AB75_00805F1D08F8_.wvu.Cols" localSheetId="0" hidden="1">#REF!</definedName>
    <definedName name="Z_3A0CF412_61F2_11D1_AB75_00805F1D08F8_.wvu.Cols" localSheetId="1" hidden="1">#REF!</definedName>
    <definedName name="Z_3A0CF412_61F2_11D1_AB75_00805F1D08F8_.wvu.Cols" hidden="1">#REF!</definedName>
    <definedName name="Z_3A0CF413_61F2_11D1_AB75_00805F1D08F8_.wvu.Cols" localSheetId="2" hidden="1">#REF!,#REF!,#REF!,#REF!</definedName>
    <definedName name="Z_3A0CF413_61F2_11D1_AB75_00805F1D08F8_.wvu.Cols" localSheetId="0" hidden="1">#REF!,#REF!,#REF!,#REF!</definedName>
    <definedName name="Z_3A0CF413_61F2_11D1_AB75_00805F1D08F8_.wvu.Cols" localSheetId="1" hidden="1">#REF!,#REF!,#REF!,#REF!</definedName>
    <definedName name="Z_3A0CF413_61F2_11D1_AB75_00805F1D08F8_.wvu.Cols" hidden="1">#REF!,#REF!,#REF!,#REF!</definedName>
    <definedName name="Z_3A0CF413_61F2_11D1_AB75_00805F1D08F8_.wvu.Rows" localSheetId="2" hidden="1">#REF!</definedName>
    <definedName name="Z_3A0CF413_61F2_11D1_AB75_00805F1D08F8_.wvu.Rows" localSheetId="0" hidden="1">#REF!</definedName>
    <definedName name="Z_3A0CF413_61F2_11D1_AB75_00805F1D08F8_.wvu.Rows" localSheetId="1" hidden="1">#REF!</definedName>
    <definedName name="Z_3A0CF413_61F2_11D1_AB75_00805F1D08F8_.wvu.Rows" hidden="1">#REF!</definedName>
    <definedName name="Z_40C39523_4116_11D1_AB55_00805F1D08F8_.wvu.Cols" localSheetId="2" hidden="1">#REF!</definedName>
    <definedName name="Z_40C39523_4116_11D1_AB55_00805F1D08F8_.wvu.Cols" localSheetId="0" hidden="1">#REF!</definedName>
    <definedName name="Z_40C39523_4116_11D1_AB55_00805F1D08F8_.wvu.Cols" localSheetId="1" hidden="1">#REF!</definedName>
    <definedName name="Z_40C39523_4116_11D1_AB55_00805F1D08F8_.wvu.Cols" hidden="1">#REF!</definedName>
    <definedName name="Z_40C39524_4116_11D1_AB55_00805F1D08F8_.wvu.Cols" localSheetId="2" hidden="1">#REF!,#REF!,#REF!,#REF!</definedName>
    <definedName name="Z_40C39524_4116_11D1_AB55_00805F1D08F8_.wvu.Cols" localSheetId="0" hidden="1">#REF!,#REF!,#REF!,#REF!</definedName>
    <definedName name="Z_40C39524_4116_11D1_AB55_00805F1D08F8_.wvu.Cols" localSheetId="1" hidden="1">#REF!,#REF!,#REF!,#REF!</definedName>
    <definedName name="Z_40C39524_4116_11D1_AB55_00805F1D08F8_.wvu.Cols" hidden="1">#REF!,#REF!,#REF!,#REF!</definedName>
    <definedName name="Z_40C39524_4116_11D1_AB55_00805F1D08F8_.wvu.Rows" localSheetId="2" hidden="1">#REF!</definedName>
    <definedName name="Z_40C39524_4116_11D1_AB55_00805F1D08F8_.wvu.Rows" localSheetId="0" hidden="1">#REF!</definedName>
    <definedName name="Z_40C39524_4116_11D1_AB55_00805F1D08F8_.wvu.Rows" localSheetId="1" hidden="1">#REF!</definedName>
    <definedName name="Z_40C39524_4116_11D1_AB55_00805F1D08F8_.wvu.Rows" hidden="1">#REF!</definedName>
    <definedName name="Z_40C39573_4116_11D1_AB55_00805F1D08F8_.wvu.Cols" localSheetId="2" hidden="1">#REF!</definedName>
    <definedName name="Z_40C39573_4116_11D1_AB55_00805F1D08F8_.wvu.Cols" localSheetId="0" hidden="1">#REF!</definedName>
    <definedName name="Z_40C39573_4116_11D1_AB55_00805F1D08F8_.wvu.Cols" localSheetId="1" hidden="1">#REF!</definedName>
    <definedName name="Z_40C39573_4116_11D1_AB55_00805F1D08F8_.wvu.Cols" hidden="1">#REF!</definedName>
    <definedName name="Z_40C39574_4116_11D1_AB55_00805F1D08F8_.wvu.Cols" localSheetId="2" hidden="1">#REF!,#REF!,#REF!,#REF!</definedName>
    <definedName name="Z_40C39574_4116_11D1_AB55_00805F1D08F8_.wvu.Cols" localSheetId="0" hidden="1">#REF!,#REF!,#REF!,#REF!</definedName>
    <definedName name="Z_40C39574_4116_11D1_AB55_00805F1D08F8_.wvu.Cols" localSheetId="1" hidden="1">#REF!,#REF!,#REF!,#REF!</definedName>
    <definedName name="Z_40C39574_4116_11D1_AB55_00805F1D08F8_.wvu.Cols" hidden="1">#REF!,#REF!,#REF!,#REF!</definedName>
    <definedName name="Z_40C39574_4116_11D1_AB55_00805F1D08F8_.wvu.Rows" localSheetId="2" hidden="1">#REF!</definedName>
    <definedName name="Z_40C39574_4116_11D1_AB55_00805F1D08F8_.wvu.Rows" localSheetId="0" hidden="1">#REF!</definedName>
    <definedName name="Z_40C39574_4116_11D1_AB55_00805F1D08F8_.wvu.Rows" localSheetId="1" hidden="1">#REF!</definedName>
    <definedName name="Z_40C39574_4116_11D1_AB55_00805F1D08F8_.wvu.Rows" hidden="1">#REF!</definedName>
    <definedName name="Z_4B689A83_6515_11D1_AB79_00805F1D08F8_.wvu.Cols" localSheetId="2" hidden="1">#REF!</definedName>
    <definedName name="Z_4B689A83_6515_11D1_AB79_00805F1D08F8_.wvu.Cols" localSheetId="0" hidden="1">#REF!</definedName>
    <definedName name="Z_4B689A83_6515_11D1_AB79_00805F1D08F8_.wvu.Cols" localSheetId="1" hidden="1">#REF!</definedName>
    <definedName name="Z_4B689A83_6515_11D1_AB79_00805F1D08F8_.wvu.Cols" hidden="1">#REF!</definedName>
    <definedName name="Z_4B689A84_6515_11D1_AB79_00805F1D08F8_.wvu.Cols" localSheetId="2" hidden="1">#REF!,#REF!,#REF!,#REF!</definedName>
    <definedName name="Z_4B689A84_6515_11D1_AB79_00805F1D08F8_.wvu.Cols" localSheetId="0" hidden="1">#REF!,#REF!,#REF!,#REF!</definedName>
    <definedName name="Z_4B689A84_6515_11D1_AB79_00805F1D08F8_.wvu.Cols" localSheetId="1" hidden="1">#REF!,#REF!,#REF!,#REF!</definedName>
    <definedName name="Z_4B689A84_6515_11D1_AB79_00805F1D08F8_.wvu.Cols" hidden="1">#REF!,#REF!,#REF!,#REF!</definedName>
    <definedName name="Z_4B689A84_6515_11D1_AB79_00805F1D08F8_.wvu.Rows" localSheetId="2" hidden="1">#REF!</definedName>
    <definedName name="Z_4B689A84_6515_11D1_AB79_00805F1D08F8_.wvu.Rows" localSheetId="0" hidden="1">#REF!</definedName>
    <definedName name="Z_4B689A84_6515_11D1_AB79_00805F1D08F8_.wvu.Rows" localSheetId="1" hidden="1">#REF!</definedName>
    <definedName name="Z_4B689A84_6515_11D1_AB79_00805F1D08F8_.wvu.Rows" hidden="1">#REF!</definedName>
    <definedName name="Z_4D4EF4DC_6A0A_11D1_AB7D_00805F1D08F8_.wvu.Cols" localSheetId="2" hidden="1">#REF!</definedName>
    <definedName name="Z_4D4EF4DC_6A0A_11D1_AB7D_00805F1D08F8_.wvu.Cols" localSheetId="0" hidden="1">#REF!</definedName>
    <definedName name="Z_4D4EF4DC_6A0A_11D1_AB7D_00805F1D08F8_.wvu.Cols" localSheetId="1" hidden="1">#REF!</definedName>
    <definedName name="Z_4D4EF4DC_6A0A_11D1_AB7D_00805F1D08F8_.wvu.Cols" hidden="1">#REF!</definedName>
    <definedName name="Z_4D4EF4DD_6A0A_11D1_AB7D_00805F1D08F8_.wvu.Cols" localSheetId="2" hidden="1">#REF!,#REF!,#REF!,#REF!</definedName>
    <definedName name="Z_4D4EF4DD_6A0A_11D1_AB7D_00805F1D08F8_.wvu.Cols" localSheetId="0" hidden="1">#REF!,#REF!,#REF!,#REF!</definedName>
    <definedName name="Z_4D4EF4DD_6A0A_11D1_AB7D_00805F1D08F8_.wvu.Cols" localSheetId="1" hidden="1">#REF!,#REF!,#REF!,#REF!</definedName>
    <definedName name="Z_4D4EF4DD_6A0A_11D1_AB7D_00805F1D08F8_.wvu.Cols" hidden="1">#REF!,#REF!,#REF!,#REF!</definedName>
    <definedName name="Z_4D4EF4DD_6A0A_11D1_AB7D_00805F1D08F8_.wvu.Rows" localSheetId="2" hidden="1">#REF!</definedName>
    <definedName name="Z_4D4EF4DD_6A0A_11D1_AB7D_00805F1D08F8_.wvu.Rows" localSheetId="0" hidden="1">#REF!</definedName>
    <definedName name="Z_4D4EF4DD_6A0A_11D1_AB7D_00805F1D08F8_.wvu.Rows" localSheetId="1" hidden="1">#REF!</definedName>
    <definedName name="Z_4D4EF4DD_6A0A_11D1_AB7D_00805F1D08F8_.wvu.Rows" hidden="1">#REF!</definedName>
    <definedName name="Z_5BD438D4_7596_11D1_AB88_00805F1D08F8_.wvu.Cols" localSheetId="2" hidden="1">#REF!</definedName>
    <definedName name="Z_5BD438D4_7596_11D1_AB88_00805F1D08F8_.wvu.Cols" localSheetId="0" hidden="1">#REF!</definedName>
    <definedName name="Z_5BD438D4_7596_11D1_AB88_00805F1D08F8_.wvu.Cols" localSheetId="1" hidden="1">#REF!</definedName>
    <definedName name="Z_5BD438D4_7596_11D1_AB88_00805F1D08F8_.wvu.Cols" hidden="1">#REF!</definedName>
    <definedName name="Z_5BD438D5_7596_11D1_AB88_00805F1D08F8_.wvu.Cols" localSheetId="2" hidden="1">#REF!,#REF!,#REF!,#REF!</definedName>
    <definedName name="Z_5BD438D5_7596_11D1_AB88_00805F1D08F8_.wvu.Cols" localSheetId="0" hidden="1">#REF!,#REF!,#REF!,#REF!</definedName>
    <definedName name="Z_5BD438D5_7596_11D1_AB88_00805F1D08F8_.wvu.Cols" localSheetId="1" hidden="1">#REF!,#REF!,#REF!,#REF!</definedName>
    <definedName name="Z_5BD438D5_7596_11D1_AB88_00805F1D08F8_.wvu.Cols" hidden="1">#REF!,#REF!,#REF!,#REF!</definedName>
    <definedName name="Z_5BD438D5_7596_11D1_AB88_00805F1D08F8_.wvu.Rows" localSheetId="2" hidden="1">#REF!</definedName>
    <definedName name="Z_5BD438D5_7596_11D1_AB88_00805F1D08F8_.wvu.Rows" localSheetId="0" hidden="1">#REF!</definedName>
    <definedName name="Z_5BD438D5_7596_11D1_AB88_00805F1D08F8_.wvu.Rows" localSheetId="1" hidden="1">#REF!</definedName>
    <definedName name="Z_5BD438D5_7596_11D1_AB88_00805F1D08F8_.wvu.Rows" hidden="1">#REF!</definedName>
    <definedName name="Z_5BD43914_7596_11D1_AB88_00805F1D08F8_.wvu.Cols" localSheetId="2" hidden="1">#REF!</definedName>
    <definedName name="Z_5BD43914_7596_11D1_AB88_00805F1D08F8_.wvu.Cols" localSheetId="0" hidden="1">#REF!</definedName>
    <definedName name="Z_5BD43914_7596_11D1_AB88_00805F1D08F8_.wvu.Cols" localSheetId="1" hidden="1">#REF!</definedName>
    <definedName name="Z_5BD43914_7596_11D1_AB88_00805F1D08F8_.wvu.Cols" hidden="1">#REF!</definedName>
    <definedName name="Z_5BD43915_7596_11D1_AB88_00805F1D08F8_.wvu.Cols" localSheetId="2" hidden="1">#REF!,#REF!,#REF!,#REF!</definedName>
    <definedName name="Z_5BD43915_7596_11D1_AB88_00805F1D08F8_.wvu.Cols" localSheetId="0" hidden="1">#REF!,#REF!,#REF!,#REF!</definedName>
    <definedName name="Z_5BD43915_7596_11D1_AB88_00805F1D08F8_.wvu.Cols" localSheetId="1" hidden="1">#REF!,#REF!,#REF!,#REF!</definedName>
    <definedName name="Z_5BD43915_7596_11D1_AB88_00805F1D08F8_.wvu.Cols" hidden="1">#REF!,#REF!,#REF!,#REF!</definedName>
    <definedName name="Z_5BD43915_7596_11D1_AB88_00805F1D08F8_.wvu.Rows" localSheetId="2" hidden="1">#REF!</definedName>
    <definedName name="Z_5BD43915_7596_11D1_AB88_00805F1D08F8_.wvu.Rows" localSheetId="0" hidden="1">#REF!</definedName>
    <definedName name="Z_5BD43915_7596_11D1_AB88_00805F1D08F8_.wvu.Rows" localSheetId="1" hidden="1">#REF!</definedName>
    <definedName name="Z_5BD43915_7596_11D1_AB88_00805F1D08F8_.wvu.Rows" hidden="1">#REF!</definedName>
    <definedName name="Z_5D8928C3_27D9_11D1_AB33_00805F1D2048_.wvu.Cols" localSheetId="2" hidden="1">#REF!</definedName>
    <definedName name="Z_5D8928C3_27D9_11D1_AB33_00805F1D2048_.wvu.Cols" localSheetId="0" hidden="1">#REF!</definedName>
    <definedName name="Z_5D8928C3_27D9_11D1_AB33_00805F1D2048_.wvu.Cols" localSheetId="1" hidden="1">#REF!</definedName>
    <definedName name="Z_5D8928C3_27D9_11D1_AB33_00805F1D2048_.wvu.Cols" hidden="1">#REF!</definedName>
    <definedName name="Z_5D8928C4_27D9_11D1_AB33_00805F1D2048_.wvu.Cols" localSheetId="2" hidden="1">#REF!,#REF!,#REF!,#REF!</definedName>
    <definedName name="Z_5D8928C4_27D9_11D1_AB33_00805F1D2048_.wvu.Cols" localSheetId="0" hidden="1">#REF!,#REF!,#REF!,#REF!</definedName>
    <definedName name="Z_5D8928C4_27D9_11D1_AB33_00805F1D2048_.wvu.Cols" localSheetId="1" hidden="1">#REF!,#REF!,#REF!,#REF!</definedName>
    <definedName name="Z_5D8928C4_27D9_11D1_AB33_00805F1D2048_.wvu.Cols" hidden="1">#REF!,#REF!,#REF!,#REF!</definedName>
    <definedName name="Z_5D8928C4_27D9_11D1_AB33_00805F1D2048_.wvu.Rows" localSheetId="2" hidden="1">#REF!</definedName>
    <definedName name="Z_5D8928C4_27D9_11D1_AB33_00805F1D2048_.wvu.Rows" localSheetId="0" hidden="1">#REF!</definedName>
    <definedName name="Z_5D8928C4_27D9_11D1_AB33_00805F1D2048_.wvu.Rows" localSheetId="1" hidden="1">#REF!</definedName>
    <definedName name="Z_5D8928C4_27D9_11D1_AB33_00805F1D2048_.wvu.Rows" hidden="1">#REF!</definedName>
    <definedName name="Z_63193F35_1A71_11D1_AB28_00805F1D2048_.wvu.Cols" localSheetId="2" hidden="1">#REF!</definedName>
    <definedName name="Z_63193F35_1A71_11D1_AB28_00805F1D2048_.wvu.Cols" localSheetId="0" hidden="1">#REF!</definedName>
    <definedName name="Z_63193F35_1A71_11D1_AB28_00805F1D2048_.wvu.Cols" localSheetId="1" hidden="1">#REF!</definedName>
    <definedName name="Z_63193F35_1A71_11D1_AB28_00805F1D2048_.wvu.Cols" hidden="1">#REF!</definedName>
    <definedName name="Z_63193F36_1A71_11D1_AB28_00805F1D2048_.wvu.Cols" localSheetId="2" hidden="1">#REF!,#REF!,#REF!,#REF!</definedName>
    <definedName name="Z_63193F36_1A71_11D1_AB28_00805F1D2048_.wvu.Cols" localSheetId="0" hidden="1">#REF!,#REF!,#REF!,#REF!</definedName>
    <definedName name="Z_63193F36_1A71_11D1_AB28_00805F1D2048_.wvu.Cols" localSheetId="1" hidden="1">#REF!,#REF!,#REF!,#REF!</definedName>
    <definedName name="Z_63193F36_1A71_11D1_AB28_00805F1D2048_.wvu.Cols" hidden="1">#REF!,#REF!,#REF!,#REF!</definedName>
    <definedName name="Z_63193F36_1A71_11D1_AB28_00805F1D2048_.wvu.Rows" localSheetId="2" hidden="1">#REF!</definedName>
    <definedName name="Z_63193F36_1A71_11D1_AB28_00805F1D2048_.wvu.Rows" localSheetId="0" hidden="1">#REF!</definedName>
    <definedName name="Z_63193F36_1A71_11D1_AB28_00805F1D2048_.wvu.Rows" localSheetId="1" hidden="1">#REF!</definedName>
    <definedName name="Z_63193F36_1A71_11D1_AB28_00805F1D2048_.wvu.Rows" hidden="1">#REF!</definedName>
    <definedName name="Z_67539AE7_7018_11D1_AB83_00805F1D08F8_.wvu.Cols" localSheetId="2" hidden="1">#REF!</definedName>
    <definedName name="Z_67539AE7_7018_11D1_AB83_00805F1D08F8_.wvu.Cols" localSheetId="0" hidden="1">#REF!</definedName>
    <definedName name="Z_67539AE7_7018_11D1_AB83_00805F1D08F8_.wvu.Cols" localSheetId="1" hidden="1">#REF!</definedName>
    <definedName name="Z_67539AE7_7018_11D1_AB83_00805F1D08F8_.wvu.Cols" hidden="1">#REF!</definedName>
    <definedName name="Z_67539AE8_7018_11D1_AB83_00805F1D08F8_.wvu.Cols" localSheetId="2" hidden="1">#REF!,#REF!,#REF!,#REF!</definedName>
    <definedName name="Z_67539AE8_7018_11D1_AB83_00805F1D08F8_.wvu.Cols" localSheetId="0" hidden="1">#REF!,#REF!,#REF!,#REF!</definedName>
    <definedName name="Z_67539AE8_7018_11D1_AB83_00805F1D08F8_.wvu.Cols" localSheetId="1" hidden="1">#REF!,#REF!,#REF!,#REF!</definedName>
    <definedName name="Z_67539AE8_7018_11D1_AB83_00805F1D08F8_.wvu.Cols" hidden="1">#REF!,#REF!,#REF!,#REF!</definedName>
    <definedName name="Z_67539AE8_7018_11D1_AB83_00805F1D08F8_.wvu.Rows" localSheetId="2" hidden="1">#REF!</definedName>
    <definedName name="Z_67539AE8_7018_11D1_AB83_00805F1D08F8_.wvu.Rows" localSheetId="0" hidden="1">#REF!</definedName>
    <definedName name="Z_67539AE8_7018_11D1_AB83_00805F1D08F8_.wvu.Rows" localSheetId="1" hidden="1">#REF!</definedName>
    <definedName name="Z_67539AE8_7018_11D1_AB83_00805F1D08F8_.wvu.Rows" hidden="1">#REF!</definedName>
    <definedName name="Z_78668872_6450_11D1_AB62_00805F1D2048_.wvu.Cols" localSheetId="2" hidden="1">#REF!</definedName>
    <definedName name="Z_78668872_6450_11D1_AB62_00805F1D2048_.wvu.Cols" localSheetId="0" hidden="1">#REF!</definedName>
    <definedName name="Z_78668872_6450_11D1_AB62_00805F1D2048_.wvu.Cols" localSheetId="1" hidden="1">#REF!</definedName>
    <definedName name="Z_78668872_6450_11D1_AB62_00805F1D2048_.wvu.Cols" hidden="1">#REF!</definedName>
    <definedName name="Z_78668873_6450_11D1_AB62_00805F1D2048_.wvu.Cols" localSheetId="2" hidden="1">#REF!,#REF!,#REF!,#REF!</definedName>
    <definedName name="Z_78668873_6450_11D1_AB62_00805F1D2048_.wvu.Cols" localSheetId="0" hidden="1">#REF!,#REF!,#REF!,#REF!</definedName>
    <definedName name="Z_78668873_6450_11D1_AB62_00805F1D2048_.wvu.Cols" localSheetId="1" hidden="1">#REF!,#REF!,#REF!,#REF!</definedName>
    <definedName name="Z_78668873_6450_11D1_AB62_00805F1D2048_.wvu.Cols" hidden="1">#REF!,#REF!,#REF!,#REF!</definedName>
    <definedName name="Z_78668873_6450_11D1_AB62_00805F1D2048_.wvu.Rows" localSheetId="2" hidden="1">#REF!</definedName>
    <definedName name="Z_78668873_6450_11D1_AB62_00805F1D2048_.wvu.Rows" localSheetId="0" hidden="1">#REF!</definedName>
    <definedName name="Z_78668873_6450_11D1_AB62_00805F1D2048_.wvu.Rows" localSheetId="1" hidden="1">#REF!</definedName>
    <definedName name="Z_78668873_6450_11D1_AB62_00805F1D2048_.wvu.Rows" hidden="1">#REF!</definedName>
    <definedName name="Z_78668A26_6450_11D1_AB62_00805F1D2048_.wvu.Cols" localSheetId="2" hidden="1">#REF!</definedName>
    <definedName name="Z_78668A26_6450_11D1_AB62_00805F1D2048_.wvu.Cols" localSheetId="0" hidden="1">#REF!</definedName>
    <definedName name="Z_78668A26_6450_11D1_AB62_00805F1D2048_.wvu.Cols" localSheetId="1" hidden="1">#REF!</definedName>
    <definedName name="Z_78668A26_6450_11D1_AB62_00805F1D2048_.wvu.Cols" hidden="1">#REF!</definedName>
    <definedName name="Z_78668A27_6450_11D1_AB62_00805F1D2048_.wvu.Cols" localSheetId="2" hidden="1">#REF!,#REF!,#REF!,#REF!</definedName>
    <definedName name="Z_78668A27_6450_11D1_AB62_00805F1D2048_.wvu.Cols" localSheetId="0" hidden="1">#REF!,#REF!,#REF!,#REF!</definedName>
    <definedName name="Z_78668A27_6450_11D1_AB62_00805F1D2048_.wvu.Cols" localSheetId="1" hidden="1">#REF!,#REF!,#REF!,#REF!</definedName>
    <definedName name="Z_78668A27_6450_11D1_AB62_00805F1D2048_.wvu.Cols" hidden="1">#REF!,#REF!,#REF!,#REF!</definedName>
    <definedName name="Z_78668A27_6450_11D1_AB62_00805F1D2048_.wvu.Rows" localSheetId="2" hidden="1">#REF!</definedName>
    <definedName name="Z_78668A27_6450_11D1_AB62_00805F1D2048_.wvu.Rows" localSheetId="0" hidden="1">#REF!</definedName>
    <definedName name="Z_78668A27_6450_11D1_AB62_00805F1D2048_.wvu.Rows" localSheetId="1" hidden="1">#REF!</definedName>
    <definedName name="Z_78668A27_6450_11D1_AB62_00805F1D2048_.wvu.Rows" hidden="1">#REF!</definedName>
    <definedName name="Z_81AF337E_7A53_11D1_AB73_00805F1D2048_.wvu.Cols" localSheetId="2" hidden="1">#REF!</definedName>
    <definedName name="Z_81AF337E_7A53_11D1_AB73_00805F1D2048_.wvu.Cols" localSheetId="0" hidden="1">#REF!</definedName>
    <definedName name="Z_81AF337E_7A53_11D1_AB73_00805F1D2048_.wvu.Cols" localSheetId="1" hidden="1">#REF!</definedName>
    <definedName name="Z_81AF337E_7A53_11D1_AB73_00805F1D2048_.wvu.Cols" hidden="1">#REF!</definedName>
    <definedName name="Z_81AF337F_7A53_11D1_AB73_00805F1D2048_.wvu.Cols" localSheetId="2" hidden="1">#REF!,#REF!,#REF!,#REF!</definedName>
    <definedName name="Z_81AF337F_7A53_11D1_AB73_00805F1D2048_.wvu.Cols" localSheetId="0" hidden="1">#REF!,#REF!,#REF!,#REF!</definedName>
    <definedName name="Z_81AF337F_7A53_11D1_AB73_00805F1D2048_.wvu.Cols" localSheetId="1" hidden="1">#REF!,#REF!,#REF!,#REF!</definedName>
    <definedName name="Z_81AF337F_7A53_11D1_AB73_00805F1D2048_.wvu.Cols" hidden="1">#REF!,#REF!,#REF!,#REF!</definedName>
    <definedName name="Z_81AF337F_7A53_11D1_AB73_00805F1D2048_.wvu.Rows" localSheetId="2" hidden="1">#REF!</definedName>
    <definedName name="Z_81AF337F_7A53_11D1_AB73_00805F1D2048_.wvu.Rows" localSheetId="0" hidden="1">#REF!</definedName>
    <definedName name="Z_81AF337F_7A53_11D1_AB73_00805F1D2048_.wvu.Rows" localSheetId="1" hidden="1">#REF!</definedName>
    <definedName name="Z_81AF337F_7A53_11D1_AB73_00805F1D2048_.wvu.Rows" hidden="1">#REF!</definedName>
    <definedName name="Z_9431393B_8BB4_11D1_AB82_00805F1D2048_.wvu.Cols" localSheetId="2" hidden="1">#REF!</definedName>
    <definedName name="Z_9431393B_8BB4_11D1_AB82_00805F1D2048_.wvu.Cols" localSheetId="0" hidden="1">#REF!</definedName>
    <definedName name="Z_9431393B_8BB4_11D1_AB82_00805F1D2048_.wvu.Cols" localSheetId="1" hidden="1">#REF!</definedName>
    <definedName name="Z_9431393B_8BB4_11D1_AB82_00805F1D2048_.wvu.Cols" hidden="1">#REF!</definedName>
    <definedName name="Z_9431393C_8BB4_11D1_AB82_00805F1D2048_.wvu.Cols" localSheetId="2" hidden="1">#REF!,#REF!,#REF!,#REF!</definedName>
    <definedName name="Z_9431393C_8BB4_11D1_AB82_00805F1D2048_.wvu.Cols" localSheetId="0" hidden="1">#REF!,#REF!,#REF!,#REF!</definedName>
    <definedName name="Z_9431393C_8BB4_11D1_AB82_00805F1D2048_.wvu.Cols" localSheetId="1" hidden="1">#REF!,#REF!,#REF!,#REF!</definedName>
    <definedName name="Z_9431393C_8BB4_11D1_AB82_00805F1D2048_.wvu.Cols" hidden="1">#REF!,#REF!,#REF!,#REF!</definedName>
    <definedName name="Z_9431393C_8BB4_11D1_AB82_00805F1D2048_.wvu.Rows" localSheetId="2" hidden="1">#REF!</definedName>
    <definedName name="Z_9431393C_8BB4_11D1_AB82_00805F1D2048_.wvu.Rows" localSheetId="0" hidden="1">#REF!</definedName>
    <definedName name="Z_9431393C_8BB4_11D1_AB82_00805F1D2048_.wvu.Rows" localSheetId="1" hidden="1">#REF!</definedName>
    <definedName name="Z_9431393C_8BB4_11D1_AB82_00805F1D2048_.wvu.Rows" hidden="1">#REF!</definedName>
    <definedName name="Z_A399A71D_4368_11D1_AB57_00805F1D08F8_.wvu.Cols" localSheetId="2" hidden="1">#REF!</definedName>
    <definedName name="Z_A399A71D_4368_11D1_AB57_00805F1D08F8_.wvu.Cols" localSheetId="0" hidden="1">#REF!</definedName>
    <definedName name="Z_A399A71D_4368_11D1_AB57_00805F1D08F8_.wvu.Cols" localSheetId="1" hidden="1">#REF!</definedName>
    <definedName name="Z_A399A71D_4368_11D1_AB57_00805F1D08F8_.wvu.Cols" hidden="1">#REF!</definedName>
    <definedName name="Z_A399A71E_4368_11D1_AB57_00805F1D08F8_.wvu.Cols" localSheetId="2" hidden="1">#REF!,#REF!,#REF!,#REF!</definedName>
    <definedName name="Z_A399A71E_4368_11D1_AB57_00805F1D08F8_.wvu.Cols" localSheetId="0" hidden="1">#REF!,#REF!,#REF!,#REF!</definedName>
    <definedName name="Z_A399A71E_4368_11D1_AB57_00805F1D08F8_.wvu.Cols" localSheetId="1" hidden="1">#REF!,#REF!,#REF!,#REF!</definedName>
    <definedName name="Z_A399A71E_4368_11D1_AB57_00805F1D08F8_.wvu.Cols" hidden="1">#REF!,#REF!,#REF!,#REF!</definedName>
    <definedName name="Z_A399A71E_4368_11D1_AB57_00805F1D08F8_.wvu.Rows" localSheetId="2" hidden="1">#REF!</definedName>
    <definedName name="Z_A399A71E_4368_11D1_AB57_00805F1D08F8_.wvu.Rows" localSheetId="0" hidden="1">#REF!</definedName>
    <definedName name="Z_A399A71E_4368_11D1_AB57_00805F1D08F8_.wvu.Rows" localSheetId="1" hidden="1">#REF!</definedName>
    <definedName name="Z_A399A71E_4368_11D1_AB57_00805F1D08F8_.wvu.Rows" hidden="1">#REF!</definedName>
    <definedName name="Z_BAD6B5D0_6209_11D1_AB61_00805F1D2048_.wvu.Cols" localSheetId="2" hidden="1">#REF!</definedName>
    <definedName name="Z_BAD6B5D0_6209_11D1_AB61_00805F1D2048_.wvu.Cols" localSheetId="0" hidden="1">#REF!</definedName>
    <definedName name="Z_BAD6B5D0_6209_11D1_AB61_00805F1D2048_.wvu.Cols" localSheetId="1" hidden="1">#REF!</definedName>
    <definedName name="Z_BAD6B5D0_6209_11D1_AB61_00805F1D2048_.wvu.Cols" hidden="1">#REF!</definedName>
    <definedName name="Z_BAD6B5D1_6209_11D1_AB61_00805F1D2048_.wvu.Cols" localSheetId="2" hidden="1">#REF!,#REF!,#REF!,#REF!</definedName>
    <definedName name="Z_BAD6B5D1_6209_11D1_AB61_00805F1D2048_.wvu.Cols" localSheetId="0" hidden="1">#REF!,#REF!,#REF!,#REF!</definedName>
    <definedName name="Z_BAD6B5D1_6209_11D1_AB61_00805F1D2048_.wvu.Cols" localSheetId="1" hidden="1">#REF!,#REF!,#REF!,#REF!</definedName>
    <definedName name="Z_BAD6B5D1_6209_11D1_AB61_00805F1D2048_.wvu.Cols" hidden="1">#REF!,#REF!,#REF!,#REF!</definedName>
    <definedName name="Z_BAD6B5D1_6209_11D1_AB61_00805F1D2048_.wvu.Rows" localSheetId="2" hidden="1">#REF!</definedName>
    <definedName name="Z_BAD6B5D1_6209_11D1_AB61_00805F1D2048_.wvu.Rows" localSheetId="0" hidden="1">#REF!</definedName>
    <definedName name="Z_BAD6B5D1_6209_11D1_AB61_00805F1D2048_.wvu.Rows" localSheetId="1" hidden="1">#REF!</definedName>
    <definedName name="Z_BAD6B5D1_6209_11D1_AB61_00805F1D2048_.wvu.Rows" hidden="1">#REF!</definedName>
    <definedName name="Z_C743300D_5626_11D1_AB56_00805F1D2048_.wvu.Cols" localSheetId="2" hidden="1">#REF!</definedName>
    <definedName name="Z_C743300D_5626_11D1_AB56_00805F1D2048_.wvu.Cols" localSheetId="0" hidden="1">#REF!</definedName>
    <definedName name="Z_C743300D_5626_11D1_AB56_00805F1D2048_.wvu.Cols" localSheetId="1" hidden="1">#REF!</definedName>
    <definedName name="Z_C743300D_5626_11D1_AB56_00805F1D2048_.wvu.Cols" hidden="1">#REF!</definedName>
    <definedName name="Z_C743300E_5626_11D1_AB56_00805F1D2048_.wvu.Cols" localSheetId="2" hidden="1">#REF!,#REF!,#REF!,#REF!</definedName>
    <definedName name="Z_C743300E_5626_11D1_AB56_00805F1D2048_.wvu.Cols" localSheetId="0" hidden="1">#REF!,#REF!,#REF!,#REF!</definedName>
    <definedName name="Z_C743300E_5626_11D1_AB56_00805F1D2048_.wvu.Cols" localSheetId="1" hidden="1">#REF!,#REF!,#REF!,#REF!</definedName>
    <definedName name="Z_C743300E_5626_11D1_AB56_00805F1D2048_.wvu.Cols" hidden="1">#REF!,#REF!,#REF!,#REF!</definedName>
    <definedName name="Z_C743300E_5626_11D1_AB56_00805F1D2048_.wvu.Rows" localSheetId="2" hidden="1">#REF!</definedName>
    <definedName name="Z_C743300E_5626_11D1_AB56_00805F1D2048_.wvu.Rows" localSheetId="0" hidden="1">#REF!</definedName>
    <definedName name="Z_C743300E_5626_11D1_AB56_00805F1D2048_.wvu.Rows" localSheetId="1" hidden="1">#REF!</definedName>
    <definedName name="Z_C743300E_5626_11D1_AB56_00805F1D2048_.wvu.Rows" hidden="1">#REF!</definedName>
    <definedName name="Z_C7433013_5626_11D1_AB56_00805F1D2048_.wvu.Cols" localSheetId="2" hidden="1">#REF!</definedName>
    <definedName name="Z_C7433013_5626_11D1_AB56_00805F1D2048_.wvu.Cols" localSheetId="0" hidden="1">#REF!</definedName>
    <definedName name="Z_C7433013_5626_11D1_AB56_00805F1D2048_.wvu.Cols" localSheetId="1" hidden="1">#REF!</definedName>
    <definedName name="Z_C7433013_5626_11D1_AB56_00805F1D2048_.wvu.Cols" hidden="1">#REF!</definedName>
    <definedName name="Z_C7433014_5626_11D1_AB56_00805F1D2048_.wvu.Cols" localSheetId="2" hidden="1">#REF!,#REF!,#REF!,#REF!</definedName>
    <definedName name="Z_C7433014_5626_11D1_AB56_00805F1D2048_.wvu.Cols" localSheetId="0" hidden="1">#REF!,#REF!,#REF!,#REF!</definedName>
    <definedName name="Z_C7433014_5626_11D1_AB56_00805F1D2048_.wvu.Cols" localSheetId="1" hidden="1">#REF!,#REF!,#REF!,#REF!</definedName>
    <definedName name="Z_C7433014_5626_11D1_AB56_00805F1D2048_.wvu.Cols" hidden="1">#REF!,#REF!,#REF!,#REF!</definedName>
    <definedName name="Z_C7433014_5626_11D1_AB56_00805F1D2048_.wvu.Rows" localSheetId="2" hidden="1">#REF!</definedName>
    <definedName name="Z_C7433014_5626_11D1_AB56_00805F1D2048_.wvu.Rows" localSheetId="0" hidden="1">#REF!</definedName>
    <definedName name="Z_C7433014_5626_11D1_AB56_00805F1D2048_.wvu.Rows" localSheetId="1" hidden="1">#REF!</definedName>
    <definedName name="Z_C7433014_5626_11D1_AB56_00805F1D2048_.wvu.Rows" hidden="1">#REF!</definedName>
    <definedName name="Z_D54F9874_4E48_11D1_AB4F_00805F1D2048_.wvu.Cols" localSheetId="2" hidden="1">#REF!</definedName>
    <definedName name="Z_D54F9874_4E48_11D1_AB4F_00805F1D2048_.wvu.Cols" localSheetId="0" hidden="1">#REF!</definedName>
    <definedName name="Z_D54F9874_4E48_11D1_AB4F_00805F1D2048_.wvu.Cols" localSheetId="1" hidden="1">#REF!</definedName>
    <definedName name="Z_D54F9874_4E48_11D1_AB4F_00805F1D2048_.wvu.Cols" hidden="1">#REF!</definedName>
    <definedName name="Z_D54F9875_4E48_11D1_AB4F_00805F1D2048_.wvu.Cols" localSheetId="2" hidden="1">#REF!,#REF!,#REF!,#REF!</definedName>
    <definedName name="Z_D54F9875_4E48_11D1_AB4F_00805F1D2048_.wvu.Cols" localSheetId="0" hidden="1">#REF!,#REF!,#REF!,#REF!</definedName>
    <definedName name="Z_D54F9875_4E48_11D1_AB4F_00805F1D2048_.wvu.Cols" localSheetId="1" hidden="1">#REF!,#REF!,#REF!,#REF!</definedName>
    <definedName name="Z_D54F9875_4E48_11D1_AB4F_00805F1D2048_.wvu.Cols" hidden="1">#REF!,#REF!,#REF!,#REF!</definedName>
    <definedName name="Z_D54F9875_4E48_11D1_AB4F_00805F1D2048_.wvu.Rows" localSheetId="2" hidden="1">#REF!</definedName>
    <definedName name="Z_D54F9875_4E48_11D1_AB4F_00805F1D2048_.wvu.Rows" localSheetId="0" hidden="1">#REF!</definedName>
    <definedName name="Z_D54F9875_4E48_11D1_AB4F_00805F1D2048_.wvu.Rows" localSheetId="1" hidden="1">#REF!</definedName>
    <definedName name="Z_D54F9875_4E48_11D1_AB4F_00805F1D2048_.wvu.Rows" hidden="1">#REF!</definedName>
    <definedName name="Z_D54F996E_4E48_11D1_AB4F_00805F1D2048_.wvu.Cols" localSheetId="2" hidden="1">#REF!</definedName>
    <definedName name="Z_D54F996E_4E48_11D1_AB4F_00805F1D2048_.wvu.Cols" localSheetId="0" hidden="1">#REF!</definedName>
    <definedName name="Z_D54F996E_4E48_11D1_AB4F_00805F1D2048_.wvu.Cols" localSheetId="1" hidden="1">#REF!</definedName>
    <definedName name="Z_D54F996E_4E48_11D1_AB4F_00805F1D2048_.wvu.Cols" hidden="1">#REF!</definedName>
    <definedName name="Z_D54F996F_4E48_11D1_AB4F_00805F1D2048_.wvu.Cols" localSheetId="2" hidden="1">#REF!,#REF!,#REF!,#REF!</definedName>
    <definedName name="Z_D54F996F_4E48_11D1_AB4F_00805F1D2048_.wvu.Cols" localSheetId="0" hidden="1">#REF!,#REF!,#REF!,#REF!</definedName>
    <definedName name="Z_D54F996F_4E48_11D1_AB4F_00805F1D2048_.wvu.Cols" localSheetId="1" hidden="1">#REF!,#REF!,#REF!,#REF!</definedName>
    <definedName name="Z_D54F996F_4E48_11D1_AB4F_00805F1D2048_.wvu.Cols" hidden="1">#REF!,#REF!,#REF!,#REF!</definedName>
    <definedName name="Z_D54F996F_4E48_11D1_AB4F_00805F1D2048_.wvu.Rows" localSheetId="2" hidden="1">#REF!</definedName>
    <definedName name="Z_D54F996F_4E48_11D1_AB4F_00805F1D2048_.wvu.Rows" localSheetId="0" hidden="1">#REF!</definedName>
    <definedName name="Z_D54F996F_4E48_11D1_AB4F_00805F1D2048_.wvu.Rows" localSheetId="1" hidden="1">#REF!</definedName>
    <definedName name="Z_D54F996F_4E48_11D1_AB4F_00805F1D2048_.wvu.Rows" hidden="1">#REF!</definedName>
    <definedName name="Z_D62B3FE5_56F6_11D1_AB57_00805F1D2048_.wvu.Cols" localSheetId="2" hidden="1">#REF!</definedName>
    <definedName name="Z_D62B3FE5_56F6_11D1_AB57_00805F1D2048_.wvu.Cols" localSheetId="0" hidden="1">#REF!</definedName>
    <definedName name="Z_D62B3FE5_56F6_11D1_AB57_00805F1D2048_.wvu.Cols" localSheetId="1" hidden="1">#REF!</definedName>
    <definedName name="Z_D62B3FE5_56F6_11D1_AB57_00805F1D2048_.wvu.Cols" hidden="1">#REF!</definedName>
    <definedName name="Z_D62B3FE6_56F6_11D1_AB57_00805F1D2048_.wvu.Cols" localSheetId="2" hidden="1">#REF!,#REF!,#REF!,#REF!</definedName>
    <definedName name="Z_D62B3FE6_56F6_11D1_AB57_00805F1D2048_.wvu.Cols" localSheetId="0" hidden="1">#REF!,#REF!,#REF!,#REF!</definedName>
    <definedName name="Z_D62B3FE6_56F6_11D1_AB57_00805F1D2048_.wvu.Cols" localSheetId="1" hidden="1">#REF!,#REF!,#REF!,#REF!</definedName>
    <definedName name="Z_D62B3FE6_56F6_11D1_AB57_00805F1D2048_.wvu.Cols" hidden="1">#REF!,#REF!,#REF!,#REF!</definedName>
    <definedName name="Z_D62B3FE6_56F6_11D1_AB57_00805F1D2048_.wvu.Rows" localSheetId="2" hidden="1">#REF!</definedName>
    <definedName name="Z_D62B3FE6_56F6_11D1_AB57_00805F1D2048_.wvu.Rows" localSheetId="0" hidden="1">#REF!</definedName>
    <definedName name="Z_D62B3FE6_56F6_11D1_AB57_00805F1D2048_.wvu.Rows" localSheetId="1" hidden="1">#REF!</definedName>
    <definedName name="Z_D62B3FE6_56F6_11D1_AB57_00805F1D2048_.wvu.Rows" hidden="1">#REF!</definedName>
    <definedName name="Z_DCBAD063_2D80_11D1_AB5C_00805F466D8F_.wvu.Cols" localSheetId="2" hidden="1">#REF!</definedName>
    <definedName name="Z_DCBAD063_2D80_11D1_AB5C_00805F466D8F_.wvu.Cols" localSheetId="0" hidden="1">#REF!</definedName>
    <definedName name="Z_DCBAD063_2D80_11D1_AB5C_00805F466D8F_.wvu.Cols" localSheetId="1" hidden="1">#REF!</definedName>
    <definedName name="Z_DCBAD063_2D80_11D1_AB5C_00805F466D8F_.wvu.Cols" hidden="1">#REF!</definedName>
    <definedName name="Z_DCBAD064_2D80_11D1_AB5C_00805F466D8F_.wvu.Cols" localSheetId="2" hidden="1">#REF!,#REF!,#REF!,#REF!</definedName>
    <definedName name="Z_DCBAD064_2D80_11D1_AB5C_00805F466D8F_.wvu.Cols" localSheetId="0" hidden="1">#REF!,#REF!,#REF!,#REF!</definedName>
    <definedName name="Z_DCBAD064_2D80_11D1_AB5C_00805F466D8F_.wvu.Cols" localSheetId="1" hidden="1">#REF!,#REF!,#REF!,#REF!</definedName>
    <definedName name="Z_DCBAD064_2D80_11D1_AB5C_00805F466D8F_.wvu.Cols" hidden="1">#REF!,#REF!,#REF!,#REF!</definedName>
    <definedName name="Z_DCBAD064_2D80_11D1_AB5C_00805F466D8F_.wvu.Rows" localSheetId="2" hidden="1">#REF!</definedName>
    <definedName name="Z_DCBAD064_2D80_11D1_AB5C_00805F466D8F_.wvu.Rows" localSheetId="0" hidden="1">#REF!</definedName>
    <definedName name="Z_DCBAD064_2D80_11D1_AB5C_00805F466D8F_.wvu.Rows" localSheetId="1" hidden="1">#REF!</definedName>
    <definedName name="Z_DCBAD064_2D80_11D1_AB5C_00805F466D8F_.wvu.Rows" hidden="1">#REF!</definedName>
    <definedName name="Z_EC399ADF_4413_11D1_AB58_00805F1D08F8_.wvu.Cols" localSheetId="2" hidden="1">#REF!</definedName>
    <definedName name="Z_EC399ADF_4413_11D1_AB58_00805F1D08F8_.wvu.Cols" localSheetId="0" hidden="1">#REF!</definedName>
    <definedName name="Z_EC399ADF_4413_11D1_AB58_00805F1D08F8_.wvu.Cols" localSheetId="1" hidden="1">#REF!</definedName>
    <definedName name="Z_EC399ADF_4413_11D1_AB58_00805F1D08F8_.wvu.Cols" hidden="1">#REF!</definedName>
    <definedName name="Z_EC399AE0_4413_11D1_AB58_00805F1D08F8_.wvu.Cols" localSheetId="2" hidden="1">#REF!,#REF!,#REF!,#REF!</definedName>
    <definedName name="Z_EC399AE0_4413_11D1_AB58_00805F1D08F8_.wvu.Cols" localSheetId="0" hidden="1">#REF!,#REF!,#REF!,#REF!</definedName>
    <definedName name="Z_EC399AE0_4413_11D1_AB58_00805F1D08F8_.wvu.Cols" localSheetId="1" hidden="1">#REF!,#REF!,#REF!,#REF!</definedName>
    <definedName name="Z_EC399AE0_4413_11D1_AB58_00805F1D08F8_.wvu.Cols" hidden="1">#REF!,#REF!,#REF!,#REF!</definedName>
    <definedName name="Z_EC399AE0_4413_11D1_AB58_00805F1D08F8_.wvu.Rows" localSheetId="2" hidden="1">#REF!</definedName>
    <definedName name="Z_EC399AE0_4413_11D1_AB58_00805F1D08F8_.wvu.Rows" localSheetId="0" hidden="1">#REF!</definedName>
    <definedName name="Z_EC399AE0_4413_11D1_AB58_00805F1D08F8_.wvu.Rows" localSheetId="1" hidden="1">#REF!</definedName>
    <definedName name="Z_EC399AE0_4413_11D1_AB58_00805F1D08F8_.wvu.Rows" hidden="1">#REF!</definedName>
    <definedName name="Z_F8F432B7_2D4F_11D1_AB36_00805F1DF014_.wvu.Cols" localSheetId="2" hidden="1">#REF!</definedName>
    <definedName name="Z_F8F432B7_2D4F_11D1_AB36_00805F1DF014_.wvu.Cols" localSheetId="0" hidden="1">#REF!</definedName>
    <definedName name="Z_F8F432B7_2D4F_11D1_AB36_00805F1DF014_.wvu.Cols" localSheetId="1" hidden="1">#REF!</definedName>
    <definedName name="Z_F8F432B7_2D4F_11D1_AB36_00805F1DF014_.wvu.Cols" hidden="1">#REF!</definedName>
    <definedName name="Z_F8F432B8_2D4F_11D1_AB36_00805F1DF014_.wvu.Cols" localSheetId="2" hidden="1">#REF!,#REF!,#REF!,#REF!</definedName>
    <definedName name="Z_F8F432B8_2D4F_11D1_AB36_00805F1DF014_.wvu.Cols" localSheetId="0" hidden="1">#REF!,#REF!,#REF!,#REF!</definedName>
    <definedName name="Z_F8F432B8_2D4F_11D1_AB36_00805F1DF014_.wvu.Cols" localSheetId="1" hidden="1">#REF!,#REF!,#REF!,#REF!</definedName>
    <definedName name="Z_F8F432B8_2D4F_11D1_AB36_00805F1DF014_.wvu.Cols" hidden="1">#REF!,#REF!,#REF!,#REF!</definedName>
    <definedName name="Z_F8F432B8_2D4F_11D1_AB36_00805F1DF014_.wvu.Rows" localSheetId="2" hidden="1">#REF!</definedName>
    <definedName name="Z_F8F432B8_2D4F_11D1_AB36_00805F1DF014_.wvu.Rows" localSheetId="0" hidden="1">#REF!</definedName>
    <definedName name="Z_F8F432B8_2D4F_11D1_AB36_00805F1DF014_.wvu.Rows" localSheetId="1" hidden="1">#REF!</definedName>
    <definedName name="Z_F8F432B8_2D4F_11D1_AB36_00805F1DF014_.wvu.Rows" hidden="1">#REF!</definedName>
    <definedName name="Z_F97BFBDE_2894_11D1_AB3A_00805F1D08F8_.wvu.Cols" localSheetId="2" hidden="1">#REF!</definedName>
    <definedName name="Z_F97BFBDE_2894_11D1_AB3A_00805F1D08F8_.wvu.Cols" localSheetId="0" hidden="1">#REF!</definedName>
    <definedName name="Z_F97BFBDE_2894_11D1_AB3A_00805F1D08F8_.wvu.Cols" localSheetId="1" hidden="1">#REF!</definedName>
    <definedName name="Z_F97BFBDE_2894_11D1_AB3A_00805F1D08F8_.wvu.Cols" hidden="1">#REF!</definedName>
    <definedName name="Z_F97BFBDF_2894_11D1_AB3A_00805F1D08F8_.wvu.Cols" localSheetId="2" hidden="1">#REF!,#REF!,#REF!,#REF!</definedName>
    <definedName name="Z_F97BFBDF_2894_11D1_AB3A_00805F1D08F8_.wvu.Cols" localSheetId="0" hidden="1">#REF!,#REF!,#REF!,#REF!</definedName>
    <definedName name="Z_F97BFBDF_2894_11D1_AB3A_00805F1D08F8_.wvu.Cols" localSheetId="1" hidden="1">#REF!,#REF!,#REF!,#REF!</definedName>
    <definedName name="Z_F97BFBDF_2894_11D1_AB3A_00805F1D08F8_.wvu.Cols" hidden="1">#REF!,#REF!,#REF!,#REF!</definedName>
    <definedName name="Z_F97BFBDF_2894_11D1_AB3A_00805F1D08F8_.wvu.Rows" localSheetId="2" hidden="1">#REF!</definedName>
    <definedName name="Z_F97BFBDF_2894_11D1_AB3A_00805F1D08F8_.wvu.Rows" localSheetId="0" hidden="1">#REF!</definedName>
    <definedName name="Z_F97BFBDF_2894_11D1_AB3A_00805F1D08F8_.wvu.Rows" localSheetId="1" hidden="1">#REF!</definedName>
    <definedName name="Z_F97BFBDF_2894_11D1_AB3A_00805F1D08F8_.wvu.Rows" hidden="1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4" l="1"/>
  <c r="D34" i="4" l="1"/>
  <c r="C34" i="4"/>
  <c r="E33" i="4"/>
  <c r="D33" i="4"/>
  <c r="C33" i="4"/>
  <c r="D28" i="3"/>
  <c r="E32" i="3"/>
  <c r="F32" i="3"/>
  <c r="G32" i="3"/>
  <c r="H32" i="3"/>
  <c r="D33" i="3"/>
  <c r="E33" i="3"/>
  <c r="F33" i="3"/>
  <c r="G33" i="3"/>
  <c r="H33" i="3"/>
  <c r="C33" i="3"/>
  <c r="C58" i="3"/>
  <c r="C61" i="3" s="1"/>
  <c r="J61" i="3"/>
  <c r="I61" i="3"/>
  <c r="H59" i="3"/>
  <c r="H61" i="3" s="1"/>
  <c r="G59" i="3"/>
  <c r="G61" i="3" s="1"/>
  <c r="F59" i="3"/>
  <c r="F61" i="3" s="1"/>
  <c r="E58" i="3"/>
  <c r="E61" i="3" s="1"/>
  <c r="D58" i="3"/>
  <c r="D61" i="3" s="1"/>
  <c r="K33" i="4" l="1"/>
  <c r="K34" i="4"/>
  <c r="K33" i="3"/>
  <c r="K61" i="3"/>
  <c r="C28" i="3" l="1"/>
  <c r="C32" i="3" s="1"/>
  <c r="D32" i="3"/>
  <c r="D151" i="3"/>
  <c r="D154" i="3" s="1"/>
  <c r="J141" i="3"/>
  <c r="I141" i="3"/>
  <c r="H141" i="3"/>
  <c r="G141" i="3"/>
  <c r="F141" i="3"/>
  <c r="E141" i="3"/>
  <c r="D141" i="3"/>
  <c r="C141" i="3"/>
  <c r="J140" i="3"/>
  <c r="I140" i="3"/>
  <c r="H140" i="3"/>
  <c r="G140" i="3"/>
  <c r="F140" i="3"/>
  <c r="E140" i="3"/>
  <c r="D140" i="3"/>
  <c r="C140" i="3"/>
  <c r="J139" i="3"/>
  <c r="I139" i="3"/>
  <c r="H139" i="3"/>
  <c r="G139" i="3"/>
  <c r="F139" i="3"/>
  <c r="E139" i="3"/>
  <c r="D139" i="3"/>
  <c r="C139" i="3"/>
  <c r="J136" i="3"/>
  <c r="I136" i="3"/>
  <c r="H136" i="3"/>
  <c r="G136" i="3"/>
  <c r="F136" i="3"/>
  <c r="E136" i="3"/>
  <c r="D136" i="3"/>
  <c r="C136" i="3"/>
  <c r="J135" i="3"/>
  <c r="I135" i="3"/>
  <c r="H135" i="3"/>
  <c r="G135" i="3"/>
  <c r="F135" i="3"/>
  <c r="E135" i="3"/>
  <c r="D135" i="3"/>
  <c r="C135" i="3"/>
  <c r="J134" i="3"/>
  <c r="I134" i="3"/>
  <c r="H134" i="3"/>
  <c r="G134" i="3"/>
  <c r="F134" i="3"/>
  <c r="E134" i="3"/>
  <c r="D134" i="3"/>
  <c r="C134" i="3"/>
  <c r="J131" i="3"/>
  <c r="I131" i="3"/>
  <c r="H131" i="3"/>
  <c r="G131" i="3"/>
  <c r="F131" i="3"/>
  <c r="E131" i="3"/>
  <c r="D131" i="3"/>
  <c r="C131" i="3"/>
  <c r="J130" i="3"/>
  <c r="I130" i="3"/>
  <c r="H130" i="3"/>
  <c r="G130" i="3"/>
  <c r="F130" i="3"/>
  <c r="E130" i="3"/>
  <c r="D130" i="3"/>
  <c r="C130" i="3"/>
  <c r="K127" i="3"/>
  <c r="K136" i="3" s="1"/>
  <c r="H154" i="3" s="1"/>
  <c r="K126" i="3"/>
  <c r="K125" i="3"/>
  <c r="K134" i="3" s="1"/>
  <c r="F154" i="3" s="1"/>
  <c r="K122" i="3"/>
  <c r="D146" i="3" s="1"/>
  <c r="D98" i="3"/>
  <c r="D101" i="3" s="1"/>
  <c r="J89" i="3"/>
  <c r="I89" i="3"/>
  <c r="J88" i="3"/>
  <c r="I88" i="3"/>
  <c r="J87" i="3"/>
  <c r="I87" i="3"/>
  <c r="J84" i="3"/>
  <c r="I84" i="3"/>
  <c r="J83" i="3"/>
  <c r="I83" i="3"/>
  <c r="J82" i="3"/>
  <c r="I82" i="3"/>
  <c r="J79" i="3"/>
  <c r="I79" i="3"/>
  <c r="J78" i="3"/>
  <c r="I78" i="3"/>
  <c r="H75" i="3"/>
  <c r="H84" i="3" s="1"/>
  <c r="G75" i="3"/>
  <c r="G89" i="3" s="1"/>
  <c r="F75" i="3"/>
  <c r="F84" i="3" s="1"/>
  <c r="E75" i="3"/>
  <c r="E84" i="3" s="1"/>
  <c r="D75" i="3"/>
  <c r="D84" i="3" s="1"/>
  <c r="C75" i="3"/>
  <c r="C89" i="3" s="1"/>
  <c r="H74" i="3"/>
  <c r="H83" i="3" s="1"/>
  <c r="G74" i="3"/>
  <c r="G83" i="3" s="1"/>
  <c r="F74" i="3"/>
  <c r="F83" i="3" s="1"/>
  <c r="E74" i="3"/>
  <c r="E88" i="3" s="1"/>
  <c r="D74" i="3"/>
  <c r="C74" i="3"/>
  <c r="H73" i="3"/>
  <c r="G73" i="3"/>
  <c r="F73" i="3"/>
  <c r="E73" i="3"/>
  <c r="E87" i="3" s="1"/>
  <c r="D73" i="3"/>
  <c r="D87" i="3" s="1"/>
  <c r="C73" i="3"/>
  <c r="C87" i="3" s="1"/>
  <c r="K32" i="3" l="1"/>
  <c r="C82" i="3"/>
  <c r="F89" i="3"/>
  <c r="D82" i="3"/>
  <c r="K140" i="3"/>
  <c r="G155" i="3" s="1"/>
  <c r="F78" i="3"/>
  <c r="G78" i="3"/>
  <c r="K139" i="3"/>
  <c r="F155" i="3" s="1"/>
  <c r="C84" i="3"/>
  <c r="H78" i="3"/>
  <c r="C78" i="3"/>
  <c r="D78" i="3"/>
  <c r="K75" i="3"/>
  <c r="K89" i="3" s="1"/>
  <c r="H102" i="3" s="1"/>
  <c r="G84" i="3"/>
  <c r="F87" i="3"/>
  <c r="F82" i="3"/>
  <c r="G82" i="3"/>
  <c r="D79" i="3"/>
  <c r="E82" i="3"/>
  <c r="C79" i="3"/>
  <c r="E79" i="3"/>
  <c r="F79" i="3"/>
  <c r="D89" i="3"/>
  <c r="G79" i="3"/>
  <c r="E89" i="3"/>
  <c r="H79" i="3"/>
  <c r="D155" i="3"/>
  <c r="G87" i="3"/>
  <c r="H89" i="3"/>
  <c r="H82" i="3"/>
  <c r="K73" i="3"/>
  <c r="K131" i="3"/>
  <c r="H87" i="3"/>
  <c r="K135" i="3"/>
  <c r="G154" i="3" s="1"/>
  <c r="K74" i="3"/>
  <c r="F88" i="3"/>
  <c r="E78" i="3"/>
  <c r="C83" i="3"/>
  <c r="G88" i="3"/>
  <c r="K141" i="3"/>
  <c r="H155" i="3" s="1"/>
  <c r="C88" i="3"/>
  <c r="D83" i="3"/>
  <c r="H88" i="3"/>
  <c r="D102" i="3"/>
  <c r="K130" i="3"/>
  <c r="D88" i="3"/>
  <c r="E83" i="3"/>
  <c r="K84" i="3" l="1"/>
  <c r="H101" i="3" s="1"/>
  <c r="K79" i="3"/>
  <c r="K78" i="3"/>
  <c r="K87" i="3"/>
  <c r="F102" i="3" s="1"/>
  <c r="K82" i="3"/>
  <c r="F101" i="3" s="1"/>
  <c r="K83" i="3"/>
  <c r="G101" i="3" s="1"/>
  <c r="K88" i="3"/>
  <c r="G102" i="3" s="1"/>
  <c r="AM33" i="1" l="1"/>
  <c r="AK26" i="1"/>
  <c r="AK27" i="1" s="1"/>
  <c r="AK28" i="1" s="1"/>
  <c r="AK29" i="1" s="1"/>
  <c r="AK30" i="1" s="1"/>
  <c r="AK31" i="1" s="1"/>
  <c r="AK32" i="1" s="1"/>
  <c r="D101" i="1" l="1"/>
  <c r="J91" i="1"/>
  <c r="I91" i="1"/>
  <c r="H91" i="1"/>
  <c r="G91" i="1"/>
  <c r="F91" i="1"/>
  <c r="E91" i="1"/>
  <c r="D91" i="1"/>
  <c r="C91" i="1"/>
  <c r="J90" i="1"/>
  <c r="I90" i="1"/>
  <c r="H90" i="1"/>
  <c r="G90" i="1"/>
  <c r="F90" i="1"/>
  <c r="E90" i="1"/>
  <c r="D90" i="1"/>
  <c r="C90" i="1"/>
  <c r="J89" i="1"/>
  <c r="I89" i="1"/>
  <c r="H89" i="1"/>
  <c r="G89" i="1"/>
  <c r="F89" i="1"/>
  <c r="E89" i="1"/>
  <c r="D89" i="1"/>
  <c r="C89" i="1"/>
  <c r="J86" i="1"/>
  <c r="I86" i="1"/>
  <c r="H86" i="1"/>
  <c r="G86" i="1"/>
  <c r="F86" i="1"/>
  <c r="E86" i="1"/>
  <c r="D86" i="1"/>
  <c r="C86" i="1"/>
  <c r="J85" i="1"/>
  <c r="I85" i="1"/>
  <c r="H85" i="1"/>
  <c r="G85" i="1"/>
  <c r="F85" i="1"/>
  <c r="E85" i="1"/>
  <c r="D85" i="1"/>
  <c r="C85" i="1"/>
  <c r="J84" i="1"/>
  <c r="I84" i="1"/>
  <c r="H84" i="1"/>
  <c r="G84" i="1"/>
  <c r="F84" i="1"/>
  <c r="E84" i="1"/>
  <c r="D84" i="1"/>
  <c r="C84" i="1"/>
  <c r="J81" i="1"/>
  <c r="I81" i="1"/>
  <c r="H81" i="1"/>
  <c r="G81" i="1"/>
  <c r="F81" i="1"/>
  <c r="E81" i="1"/>
  <c r="D81" i="1"/>
  <c r="C81" i="1"/>
  <c r="J80" i="1"/>
  <c r="I80" i="1"/>
  <c r="H80" i="1"/>
  <c r="G80" i="1"/>
  <c r="F80" i="1"/>
  <c r="E80" i="1"/>
  <c r="D80" i="1"/>
  <c r="C80" i="1"/>
  <c r="K77" i="1"/>
  <c r="K76" i="1"/>
  <c r="K75" i="1"/>
  <c r="K84" i="1" s="1"/>
  <c r="F104" i="1" s="1"/>
  <c r="K72" i="1"/>
  <c r="D96" i="1" s="1"/>
  <c r="Z56" i="1"/>
  <c r="Z60" i="1" s="1"/>
  <c r="D48" i="1"/>
  <c r="D52" i="1" s="1"/>
  <c r="AG47" i="1"/>
  <c r="AD60" i="1" s="1"/>
  <c r="AF47" i="1"/>
  <c r="AE47" i="1"/>
  <c r="AG46" i="1"/>
  <c r="AC60" i="1" s="1"/>
  <c r="AF46" i="1"/>
  <c r="AE46" i="1"/>
  <c r="AG45" i="1"/>
  <c r="AB60" i="1" s="1"/>
  <c r="AF45" i="1"/>
  <c r="AE45" i="1"/>
  <c r="Q44" i="1"/>
  <c r="Q45" i="1" s="1"/>
  <c r="P44" i="1"/>
  <c r="P45" i="1" s="1"/>
  <c r="O44" i="1"/>
  <c r="O45" i="1" s="1"/>
  <c r="N44" i="1"/>
  <c r="N45" i="1" s="1"/>
  <c r="AG42" i="1"/>
  <c r="AD59" i="1" s="1"/>
  <c r="AF42" i="1"/>
  <c r="AE42" i="1"/>
  <c r="AG41" i="1"/>
  <c r="AC59" i="1" s="1"/>
  <c r="AF41" i="1"/>
  <c r="AE41" i="1"/>
  <c r="AG40" i="1"/>
  <c r="AB59" i="1" s="1"/>
  <c r="AF40" i="1"/>
  <c r="AE40" i="1"/>
  <c r="S40" i="1"/>
  <c r="U39" i="1"/>
  <c r="U40" i="1" s="1"/>
  <c r="J39" i="1"/>
  <c r="I39" i="1"/>
  <c r="M38" i="1"/>
  <c r="M39" i="1" s="1"/>
  <c r="J38" i="1"/>
  <c r="I38" i="1"/>
  <c r="AG37" i="1"/>
  <c r="AF37" i="1"/>
  <c r="AE37" i="1"/>
  <c r="J37" i="1"/>
  <c r="I37" i="1"/>
  <c r="AG36" i="1"/>
  <c r="AF36" i="1"/>
  <c r="AE36" i="1"/>
  <c r="J34" i="1"/>
  <c r="I34" i="1"/>
  <c r="AF33" i="1"/>
  <c r="AE33" i="1"/>
  <c r="AD33" i="1"/>
  <c r="AC33" i="1"/>
  <c r="AB33" i="1"/>
  <c r="AA33" i="1"/>
  <c r="Z33" i="1"/>
  <c r="Y33" i="1"/>
  <c r="J33" i="1"/>
  <c r="I33" i="1"/>
  <c r="AF32" i="1"/>
  <c r="AE32" i="1"/>
  <c r="AD32" i="1"/>
  <c r="AC32" i="1"/>
  <c r="AB32" i="1"/>
  <c r="AA32" i="1"/>
  <c r="Z32" i="1"/>
  <c r="Y32" i="1"/>
  <c r="J32" i="1"/>
  <c r="I32" i="1"/>
  <c r="N31" i="1"/>
  <c r="N32" i="1" s="1"/>
  <c r="AG29" i="1"/>
  <c r="AG33" i="1" s="1"/>
  <c r="AE60" i="1" s="1"/>
  <c r="J29" i="1"/>
  <c r="I29" i="1"/>
  <c r="J28" i="1"/>
  <c r="I28" i="1"/>
  <c r="U27" i="1"/>
  <c r="S27" i="1"/>
  <c r="AD26" i="1"/>
  <c r="AD42" i="1" s="1"/>
  <c r="AC26" i="1"/>
  <c r="AC42" i="1" s="1"/>
  <c r="AB26" i="1"/>
  <c r="AB42" i="1" s="1"/>
  <c r="AA26" i="1"/>
  <c r="AA47" i="1" s="1"/>
  <c r="Z26" i="1"/>
  <c r="Z47" i="1" s="1"/>
  <c r="Y26" i="1"/>
  <c r="Y47" i="1" s="1"/>
  <c r="AD25" i="1"/>
  <c r="AD46" i="1" s="1"/>
  <c r="AC25" i="1"/>
  <c r="AC46" i="1" s="1"/>
  <c r="AB25" i="1"/>
  <c r="AB46" i="1" s="1"/>
  <c r="AA25" i="1"/>
  <c r="AA46" i="1" s="1"/>
  <c r="Z25" i="1"/>
  <c r="Y25" i="1"/>
  <c r="Y41" i="1" s="1"/>
  <c r="H25" i="1"/>
  <c r="H39" i="1" s="1"/>
  <c r="G25" i="1"/>
  <c r="G39" i="1" s="1"/>
  <c r="F25" i="1"/>
  <c r="F34" i="1" s="1"/>
  <c r="E25" i="1"/>
  <c r="E34" i="1" s="1"/>
  <c r="D25" i="1"/>
  <c r="D34" i="1" s="1"/>
  <c r="C25" i="1"/>
  <c r="C34" i="1" s="1"/>
  <c r="AD24" i="1"/>
  <c r="AD45" i="1" s="1"/>
  <c r="AC24" i="1"/>
  <c r="AC45" i="1" s="1"/>
  <c r="AB24" i="1"/>
  <c r="AB40" i="1" s="1"/>
  <c r="AA24" i="1"/>
  <c r="AA45" i="1" s="1"/>
  <c r="Z24" i="1"/>
  <c r="Z45" i="1" s="1"/>
  <c r="Y24" i="1"/>
  <c r="Y45" i="1" s="1"/>
  <c r="M24" i="1"/>
  <c r="M25" i="1" s="1"/>
  <c r="M26" i="1" s="1"/>
  <c r="H24" i="1"/>
  <c r="H33" i="1" s="1"/>
  <c r="G24" i="1"/>
  <c r="G33" i="1" s="1"/>
  <c r="F24" i="1"/>
  <c r="F33" i="1" s="1"/>
  <c r="E24" i="1"/>
  <c r="D24" i="1"/>
  <c r="D38" i="1" s="1"/>
  <c r="C24" i="1"/>
  <c r="C33" i="1" s="1"/>
  <c r="H23" i="1"/>
  <c r="H32" i="1" s="1"/>
  <c r="G23" i="1"/>
  <c r="G32" i="1" s="1"/>
  <c r="F23" i="1"/>
  <c r="F32" i="1" s="1"/>
  <c r="E23" i="1"/>
  <c r="E32" i="1" s="1"/>
  <c r="D23" i="1"/>
  <c r="D37" i="1" s="1"/>
  <c r="C23" i="1"/>
  <c r="C37" i="1" s="1"/>
  <c r="U14" i="1"/>
  <c r="T14" i="1"/>
  <c r="S14" i="1"/>
  <c r="M10" i="1"/>
  <c r="M11" i="1" s="1"/>
  <c r="M12" i="1" s="1"/>
  <c r="K90" i="1" l="1"/>
  <c r="G105" i="1" s="1"/>
  <c r="E37" i="1"/>
  <c r="AC40" i="1"/>
  <c r="F37" i="1"/>
  <c r="AB47" i="1"/>
  <c r="Z36" i="1"/>
  <c r="G37" i="1"/>
  <c r="K89" i="1"/>
  <c r="F105" i="1" s="1"/>
  <c r="AC47" i="1"/>
  <c r="H37" i="1"/>
  <c r="P46" i="1"/>
  <c r="K85" i="1"/>
  <c r="G104" i="1" s="1"/>
  <c r="K81" i="1"/>
  <c r="D33" i="1"/>
  <c r="D105" i="1"/>
  <c r="Z59" i="1"/>
  <c r="K80" i="1"/>
  <c r="K23" i="1"/>
  <c r="K32" i="1" s="1"/>
  <c r="F51" i="1" s="1"/>
  <c r="C38" i="1"/>
  <c r="Z41" i="1"/>
  <c r="AB45" i="1"/>
  <c r="AA41" i="1"/>
  <c r="AB41" i="1"/>
  <c r="AC37" i="1"/>
  <c r="E28" i="1"/>
  <c r="C28" i="1"/>
  <c r="AC41" i="1"/>
  <c r="D28" i="1"/>
  <c r="AD41" i="1"/>
  <c r="Y36" i="1"/>
  <c r="F39" i="1"/>
  <c r="G34" i="1"/>
  <c r="G38" i="1"/>
  <c r="Y46" i="1"/>
  <c r="Z46" i="1"/>
  <c r="K91" i="1"/>
  <c r="H105" i="1" s="1"/>
  <c r="G29" i="1"/>
  <c r="F38" i="1"/>
  <c r="F28" i="1"/>
  <c r="G28" i="1"/>
  <c r="C32" i="1"/>
  <c r="AA36" i="1"/>
  <c r="Y37" i="1"/>
  <c r="Y40" i="1"/>
  <c r="D51" i="1"/>
  <c r="H28" i="1"/>
  <c r="D32" i="1"/>
  <c r="AB36" i="1"/>
  <c r="Z37" i="1"/>
  <c r="Z40" i="1"/>
  <c r="D104" i="1"/>
  <c r="K37" i="1"/>
  <c r="F52" i="1" s="1"/>
  <c r="AG32" i="1"/>
  <c r="AE59" i="1" s="1"/>
  <c r="AC36" i="1"/>
  <c r="AA37" i="1"/>
  <c r="AA40" i="1"/>
  <c r="Y42" i="1"/>
  <c r="K25" i="1"/>
  <c r="E38" i="1"/>
  <c r="H38" i="1"/>
  <c r="AD36" i="1"/>
  <c r="AB37" i="1"/>
  <c r="C39" i="1"/>
  <c r="Z42" i="1"/>
  <c r="K86" i="1"/>
  <c r="H104" i="1" s="1"/>
  <c r="H34" i="1"/>
  <c r="AA42" i="1"/>
  <c r="H29" i="1"/>
  <c r="D39" i="1"/>
  <c r="C29" i="1"/>
  <c r="E33" i="1"/>
  <c r="AD37" i="1"/>
  <c r="E39" i="1"/>
  <c r="AD40" i="1"/>
  <c r="K24" i="1"/>
  <c r="AD47" i="1"/>
  <c r="D29" i="1"/>
  <c r="E29" i="1"/>
  <c r="F29" i="1"/>
  <c r="K39" i="1" l="1"/>
  <c r="H52" i="1" s="1"/>
  <c r="K34" i="1"/>
  <c r="H51" i="1" s="1"/>
  <c r="K29" i="1"/>
  <c r="K38" i="1"/>
  <c r="G52" i="1" s="1"/>
  <c r="K33" i="1"/>
  <c r="G51" i="1" s="1"/>
  <c r="K28" i="1"/>
</calcChain>
</file>

<file path=xl/sharedStrings.xml><?xml version="1.0" encoding="utf-8"?>
<sst xmlns="http://schemas.openxmlformats.org/spreadsheetml/2006/main" count="403" uniqueCount="103">
  <si>
    <t>1H24</t>
  </si>
  <si>
    <t>1H24 in JANUARY</t>
  </si>
  <si>
    <t>Date</t>
  </si>
  <si>
    <t>EON</t>
  </si>
  <si>
    <t>PBL</t>
  </si>
  <si>
    <t>OZL</t>
  </si>
  <si>
    <t>SL</t>
  </si>
  <si>
    <t>M&amp;W</t>
  </si>
  <si>
    <t>S4L</t>
  </si>
  <si>
    <t>LL</t>
  </si>
  <si>
    <t>Inst.</t>
  </si>
  <si>
    <t>Other</t>
  </si>
  <si>
    <t>Total</t>
  </si>
  <si>
    <t>Saturday Lotto</t>
  </si>
  <si>
    <t>Actuals</t>
  </si>
  <si>
    <t>Locks</t>
  </si>
  <si>
    <t>Bear</t>
  </si>
  <si>
    <t>Base</t>
  </si>
  <si>
    <t>Bull</t>
  </si>
  <si>
    <t>1H23</t>
  </si>
  <si>
    <t>2H23</t>
  </si>
  <si>
    <t>1H24 (YTD)</t>
  </si>
  <si>
    <t>na</t>
  </si>
  <si>
    <t>ex OZL which is Dec-6</t>
  </si>
  <si>
    <t>NYE</t>
  </si>
  <si>
    <t>Powerball</t>
  </si>
  <si>
    <t>1H24 (YTD + Dec-23)</t>
  </si>
  <si>
    <t>MC 50th percentiel</t>
  </si>
  <si>
    <t>&lt;&lt; comps NYE</t>
  </si>
  <si>
    <t>vs. 1H24 Base</t>
  </si>
  <si>
    <t>1H24 EOP</t>
  </si>
  <si>
    <t>50th</t>
  </si>
  <si>
    <t>Market Data</t>
  </si>
  <si>
    <t>Growth yoy</t>
  </si>
  <si>
    <t>Market Data vs.</t>
  </si>
  <si>
    <t>YOY</t>
  </si>
  <si>
    <t>HOH</t>
  </si>
  <si>
    <t>Oz Lotto</t>
  </si>
  <si>
    <t>Growth hoh</t>
  </si>
  <si>
    <t>Actuals Revenue</t>
  </si>
  <si>
    <t>1H23A</t>
  </si>
  <si>
    <t>Min</t>
  </si>
  <si>
    <t>Max</t>
  </si>
  <si>
    <t>2H23A</t>
  </si>
  <si>
    <t>Sales</t>
  </si>
  <si>
    <t>Subs</t>
  </si>
  <si>
    <t>Consensus</t>
  </si>
  <si>
    <t>ex WA</t>
  </si>
  <si>
    <t>1H24 Cons.</t>
  </si>
  <si>
    <t>incremental comm.</t>
  </si>
  <si>
    <t>Adjusted Cons.</t>
  </si>
  <si>
    <t>Scenarios</t>
  </si>
  <si>
    <t>Cons. Growth Rates</t>
  </si>
  <si>
    <t>YoY</t>
  </si>
  <si>
    <t>vs.</t>
  </si>
  <si>
    <t>HoH</t>
  </si>
  <si>
    <t>&lt;&lt; VA 15-Jan-24</t>
  </si>
  <si>
    <t>2H24</t>
  </si>
  <si>
    <t>Dec-Scenarios</t>
  </si>
  <si>
    <t>Jan-Scenario</t>
  </si>
  <si>
    <t>MD</t>
  </si>
  <si>
    <t>1H19</t>
  </si>
  <si>
    <t>2H19</t>
  </si>
  <si>
    <t>1H20</t>
  </si>
  <si>
    <t>2H20</t>
  </si>
  <si>
    <t>1H21</t>
  </si>
  <si>
    <t>2H21</t>
  </si>
  <si>
    <t>1H22</t>
  </si>
  <si>
    <t>2H22</t>
  </si>
  <si>
    <t>1H24 - Base</t>
  </si>
  <si>
    <t>2H24 Cons.</t>
  </si>
  <si>
    <t>WW</t>
  </si>
  <si>
    <t>1H25</t>
  </si>
  <si>
    <t>2H25</t>
  </si>
  <si>
    <t>1H26 YTD</t>
  </si>
  <si>
    <t>Time Period</t>
  </si>
  <si>
    <t>Turnover</t>
  </si>
  <si>
    <t>NA</t>
  </si>
  <si>
    <t>Draws Left</t>
  </si>
  <si>
    <t>Current Sequence</t>
  </si>
  <si>
    <t>Current Sequence Turnover</t>
  </si>
  <si>
    <t>*adjusted for game change</t>
  </si>
  <si>
    <t xml:space="preserve">Bull Case </t>
  </si>
  <si>
    <t>Base Case</t>
  </si>
  <si>
    <t>1H26</t>
  </si>
  <si>
    <t>1H26 - Total</t>
  </si>
  <si>
    <t>*depends on timing of the NYE Draw</t>
  </si>
  <si>
    <t>Current Jackpot</t>
  </si>
  <si>
    <t>2H26</t>
  </si>
  <si>
    <t>E&amp;P (Oct-25)</t>
  </si>
  <si>
    <t>1H26 REMAINDER</t>
  </si>
  <si>
    <t>1H26 TOTAL</t>
  </si>
  <si>
    <t>ACTUALS</t>
  </si>
  <si>
    <t>E&amp;P / CONSENUS</t>
  </si>
  <si>
    <t>2H26 YTD</t>
  </si>
  <si>
    <t>NMF</t>
  </si>
  <si>
    <t>2H26 REMAINDER</t>
  </si>
  <si>
    <t>2H26 TOTAL</t>
  </si>
  <si>
    <t>Current Sequence Turnover (ex WA &amp; Commissions)</t>
  </si>
  <si>
    <t>Current Jackpots</t>
  </si>
  <si>
    <t>Normal</t>
  </si>
  <si>
    <t>&lt; 3x</t>
  </si>
  <si>
    <t>&lt; 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</si>
</sst>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_);\(#,##0.0\)_);&quot;-  &quot;;&quot; &quot;@&quot; &quot;"/>
    <numFmt numFmtId="165" formatCode="#,##0_);\(#,##0\)_);&quot;-  &quot;;&quot; &quot;@&quot; &quot;"/>
    <numFmt numFmtId="166" formatCode="#,##0.0"/>
    <numFmt numFmtId="167" formatCode="[Color10]\+0%;[Red]\-0%;\-"/>
    <numFmt numFmtId="168" formatCode="[Color10]\+0.0%;[Red]\-0.0%;\-"/>
    <numFmt numFmtId="169" formatCode="0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rgb="FF0000FF"/>
      <name val="Calibri"/>
      <family val="2"/>
    </font>
    <font>
      <b/>
      <sz val="10"/>
      <color theme="0"/>
      <name val="Calibri"/>
      <family val="2"/>
    </font>
    <font>
      <b/>
      <sz val="11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sz val="10"/>
      <color rgb="FF0000FF"/>
      <name val="Calibri"/>
      <family val="2"/>
    </font>
    <font>
      <i/>
      <sz val="8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rgb="FF7030A0"/>
      <name val="Calibri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</font>
    <font>
      <i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color rgb="FF0000FF"/>
      <name val="Calibri"/>
      <family val="2"/>
    </font>
    <font>
      <b/>
      <sz val="11"/>
      <color theme="8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/>
      <top style="slantDashDot">
        <color rgb="FFFF0000"/>
      </top>
      <bottom/>
      <diagonal/>
    </border>
  </borders>
  <cellStyleXfs count="4">
    <xf numFmtId="0" fontId="0" fillId="0" borderId="0"/>
    <xf numFmtId="164" fontId="1" fillId="0" borderId="0" applyFont="0" applyFill="0" applyBorder="0" applyProtection="0">
      <alignment vertical="top"/>
    </xf>
    <xf numFmtId="0" fontId="1" fillId="0" borderId="0"/>
    <xf numFmtId="0" fontId="1" fillId="0" borderId="0"/>
  </cellStyleXfs>
  <cellXfs count="140">
    <xf numFmtId="0" fontId="0" fillId="0" borderId="0" xfId="0"/>
    <xf numFmtId="164" fontId="3" fillId="0" borderId="0" xfId="1" applyFont="1">
      <alignment vertical="top"/>
    </xf>
    <xf numFmtId="164" fontId="2" fillId="0" borderId="0" xfId="1" applyFont="1">
      <alignment vertical="top"/>
    </xf>
    <xf numFmtId="164" fontId="4" fillId="0" borderId="0" xfId="1" applyFont="1" applyAlignment="1">
      <alignment horizontal="center" vertical="top"/>
    </xf>
    <xf numFmtId="15" fontId="4" fillId="0" borderId="0" xfId="1" applyNumberFormat="1" applyFont="1">
      <alignment vertical="top"/>
    </xf>
    <xf numFmtId="164" fontId="2" fillId="0" borderId="0" xfId="1" applyFont="1" applyAlignment="1">
      <alignment vertical="center"/>
    </xf>
    <xf numFmtId="0" fontId="5" fillId="2" borderId="0" xfId="2" applyFont="1" applyFill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164" fontId="2" fillId="0" borderId="0" xfId="1" applyFont="1" applyAlignment="1">
      <alignment horizontal="center" vertical="top"/>
    </xf>
    <xf numFmtId="164" fontId="6" fillId="0" borderId="2" xfId="1" applyFont="1" applyBorder="1" applyAlignment="1">
      <alignment horizontal="center" vertical="top"/>
    </xf>
    <xf numFmtId="164" fontId="2" fillId="3" borderId="0" xfId="1" applyFont="1" applyFill="1" applyAlignment="1">
      <alignment horizontal="centerContinuous" vertical="top"/>
    </xf>
    <xf numFmtId="14" fontId="2" fillId="0" borderId="0" xfId="1" applyNumberFormat="1" applyFont="1">
      <alignment vertical="top"/>
    </xf>
    <xf numFmtId="164" fontId="3" fillId="0" borderId="0" xfId="1" applyFont="1" applyAlignment="1">
      <alignment vertical="center"/>
    </xf>
    <xf numFmtId="164" fontId="2" fillId="0" borderId="0" xfId="1" applyFont="1" applyAlignment="1">
      <alignment horizontal="left" vertical="top" indent="1"/>
    </xf>
    <xf numFmtId="3" fontId="7" fillId="0" borderId="0" xfId="2" applyNumberFormat="1" applyFont="1" applyAlignment="1">
      <alignment horizontal="center" vertical="center"/>
    </xf>
    <xf numFmtId="3" fontId="8" fillId="0" borderId="2" xfId="2" applyNumberFormat="1" applyFont="1" applyBorder="1" applyAlignment="1">
      <alignment horizontal="center" vertical="center"/>
    </xf>
    <xf numFmtId="164" fontId="6" fillId="0" borderId="0" xfId="1" applyFont="1">
      <alignment vertical="top"/>
    </xf>
    <xf numFmtId="164" fontId="9" fillId="0" borderId="0" xfId="1" applyFont="1" applyAlignment="1">
      <alignment horizontal="left" vertical="center"/>
    </xf>
    <xf numFmtId="15" fontId="2" fillId="0" borderId="0" xfId="1" applyNumberFormat="1" applyFont="1">
      <alignment vertical="top"/>
    </xf>
    <xf numFmtId="165" fontId="10" fillId="0" borderId="0" xfId="1" applyNumberFormat="1" applyFont="1">
      <alignment vertical="top"/>
    </xf>
    <xf numFmtId="166" fontId="10" fillId="0" borderId="0" xfId="2" applyNumberFormat="1" applyFont="1" applyAlignment="1">
      <alignment horizontal="right" vertical="center"/>
    </xf>
    <xf numFmtId="3" fontId="10" fillId="0" borderId="0" xfId="2" applyNumberFormat="1" applyFont="1" applyAlignment="1">
      <alignment horizontal="center" vertical="center"/>
    </xf>
    <xf numFmtId="164" fontId="6" fillId="0" borderId="0" xfId="1" applyFont="1" applyAlignment="1">
      <alignment vertical="center"/>
    </xf>
    <xf numFmtId="10" fontId="2" fillId="0" borderId="0" xfId="1" applyNumberFormat="1" applyFont="1" applyAlignment="1">
      <alignment horizontal="center" vertical="top"/>
    </xf>
    <xf numFmtId="17" fontId="3" fillId="0" borderId="0" xfId="1" applyNumberFormat="1" applyFont="1" applyAlignment="1">
      <alignment horizontal="left" vertical="top"/>
    </xf>
    <xf numFmtId="164" fontId="11" fillId="0" borderId="0" xfId="1" applyFont="1" applyAlignment="1">
      <alignment horizontal="center" vertical="center"/>
    </xf>
    <xf numFmtId="17" fontId="3" fillId="0" borderId="0" xfId="1" applyNumberFormat="1" applyFont="1" applyAlignment="1">
      <alignment horizontal="left" vertical="center"/>
    </xf>
    <xf numFmtId="165" fontId="9" fillId="0" borderId="0" xfId="1" applyNumberFormat="1" applyFont="1">
      <alignment vertical="top"/>
    </xf>
    <xf numFmtId="164" fontId="2" fillId="4" borderId="0" xfId="1" applyFont="1" applyFill="1" applyAlignment="1">
      <alignment horizontal="centerContinuous" vertical="top"/>
    </xf>
    <xf numFmtId="3" fontId="12" fillId="0" borderId="0" xfId="2" applyNumberFormat="1" applyFont="1" applyAlignment="1">
      <alignment horizontal="center" vertical="center"/>
    </xf>
    <xf numFmtId="3" fontId="13" fillId="0" borderId="2" xfId="2" applyNumberFormat="1" applyFont="1" applyBorder="1" applyAlignment="1">
      <alignment horizontal="center" vertical="center"/>
    </xf>
    <xf numFmtId="164" fontId="10" fillId="0" borderId="0" xfId="1" applyFont="1">
      <alignment vertical="top"/>
    </xf>
    <xf numFmtId="167" fontId="9" fillId="0" borderId="0" xfId="3" applyNumberFormat="1" applyFont="1" applyAlignment="1">
      <alignment horizontal="center" vertical="top" wrapText="1"/>
    </xf>
    <xf numFmtId="168" fontId="14" fillId="0" borderId="2" xfId="3" applyNumberFormat="1" applyFont="1" applyBorder="1" applyAlignment="1">
      <alignment horizontal="center" vertical="top" wrapText="1"/>
    </xf>
    <xf numFmtId="164" fontId="9" fillId="3" borderId="3" xfId="1" applyFont="1" applyFill="1" applyBorder="1" applyAlignment="1">
      <alignment horizontal="left" vertical="center"/>
    </xf>
    <xf numFmtId="3" fontId="12" fillId="3" borderId="3" xfId="2" applyNumberFormat="1" applyFont="1" applyFill="1" applyBorder="1" applyAlignment="1">
      <alignment horizontal="center" vertical="center"/>
    </xf>
    <xf numFmtId="3" fontId="10" fillId="3" borderId="3" xfId="2" applyNumberFormat="1" applyFont="1" applyFill="1" applyBorder="1" applyAlignment="1">
      <alignment horizontal="center" vertical="center"/>
    </xf>
    <xf numFmtId="3" fontId="13" fillId="3" borderId="4" xfId="2" applyNumberFormat="1" applyFont="1" applyFill="1" applyBorder="1" applyAlignment="1">
      <alignment horizontal="center" vertical="center"/>
    </xf>
    <xf numFmtId="168" fontId="6" fillId="0" borderId="2" xfId="1" applyNumberFormat="1" applyFont="1" applyBorder="1" applyAlignment="1">
      <alignment horizontal="center" vertical="top"/>
    </xf>
    <xf numFmtId="164" fontId="9" fillId="0" borderId="0" xfId="1" applyFont="1">
      <alignment vertical="top"/>
    </xf>
    <xf numFmtId="164" fontId="2" fillId="0" borderId="1" xfId="1" applyFont="1" applyBorder="1">
      <alignment vertical="top"/>
    </xf>
    <xf numFmtId="164" fontId="3" fillId="0" borderId="0" xfId="1" applyFont="1" applyAlignment="1">
      <alignment horizontal="left" vertical="top"/>
    </xf>
    <xf numFmtId="10" fontId="10" fillId="0" borderId="0" xfId="1" applyNumberFormat="1" applyFont="1">
      <alignment vertical="top"/>
    </xf>
    <xf numFmtId="164" fontId="2" fillId="0" borderId="2" xfId="1" applyFont="1" applyBorder="1">
      <alignment vertical="top"/>
    </xf>
    <xf numFmtId="168" fontId="14" fillId="5" borderId="5" xfId="3" applyNumberFormat="1" applyFont="1" applyFill="1" applyBorder="1" applyAlignment="1">
      <alignment horizontal="center" vertical="top" wrapText="1"/>
    </xf>
    <xf numFmtId="168" fontId="14" fillId="0" borderId="6" xfId="3" applyNumberFormat="1" applyFont="1" applyBorder="1" applyAlignment="1">
      <alignment horizontal="center" vertical="top" wrapText="1"/>
    </xf>
    <xf numFmtId="164" fontId="2" fillId="6" borderId="0" xfId="1" applyFont="1" applyFill="1" applyAlignment="1">
      <alignment horizontal="centerContinuous" vertical="top"/>
    </xf>
    <xf numFmtId="164" fontId="10" fillId="0" borderId="0" xfId="1" applyFont="1" applyFill="1">
      <alignment vertical="top"/>
    </xf>
    <xf numFmtId="164" fontId="3" fillId="0" borderId="0" xfId="1" applyFont="1" applyAlignment="1">
      <alignment horizontal="left" vertical="center"/>
    </xf>
    <xf numFmtId="166" fontId="7" fillId="0" borderId="0" xfId="1" applyNumberFormat="1" applyFont="1" applyAlignment="1">
      <alignment horizontal="center" vertical="center"/>
    </xf>
    <xf numFmtId="166" fontId="9" fillId="0" borderId="0" xfId="1" applyNumberFormat="1" applyFont="1" applyAlignment="1">
      <alignment horizontal="center" vertical="center"/>
    </xf>
    <xf numFmtId="166" fontId="10" fillId="0" borderId="0" xfId="1" applyNumberFormat="1" applyFont="1" applyAlignment="1">
      <alignment horizontal="center" vertical="center"/>
    </xf>
    <xf numFmtId="164" fontId="2" fillId="0" borderId="0" xfId="1" applyFont="1" applyAlignment="1">
      <alignment horizontal="left" vertical="top" indent="2"/>
    </xf>
    <xf numFmtId="169" fontId="2" fillId="0" borderId="0" xfId="1" applyNumberFormat="1" applyFont="1">
      <alignment vertical="top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1" applyFont="1" applyAlignment="1">
      <alignment horizontal="center" vertical="center"/>
    </xf>
    <xf numFmtId="164" fontId="2" fillId="0" borderId="0" xfId="1" applyFont="1" applyAlignment="1">
      <alignment horizontal="left" vertical="center"/>
    </xf>
    <xf numFmtId="0" fontId="2" fillId="0" borderId="0" xfId="0" applyFont="1" applyAlignment="1">
      <alignment horizontal="left" indent="1"/>
    </xf>
    <xf numFmtId="168" fontId="14" fillId="0" borderId="0" xfId="3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3" fillId="0" borderId="0" xfId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8" fontId="14" fillId="5" borderId="7" xfId="3" applyNumberFormat="1" applyFont="1" applyFill="1" applyBorder="1" applyAlignment="1">
      <alignment horizontal="center" vertical="center" wrapText="1"/>
    </xf>
    <xf numFmtId="168" fontId="14" fillId="5" borderId="8" xfId="3" applyNumberFormat="1" applyFont="1" applyFill="1" applyBorder="1" applyAlignment="1">
      <alignment horizontal="center" vertical="center" wrapText="1"/>
    </xf>
    <xf numFmtId="3" fontId="15" fillId="0" borderId="0" xfId="2" applyNumberFormat="1" applyFont="1" applyAlignment="1">
      <alignment horizontal="center" vertical="center"/>
    </xf>
    <xf numFmtId="164" fontId="2" fillId="0" borderId="0" xfId="1" applyFont="1" applyFill="1" applyAlignment="1">
      <alignment horizontal="center" vertical="top"/>
    </xf>
    <xf numFmtId="10" fontId="4" fillId="0" borderId="0" xfId="1" applyNumberFormat="1" applyFont="1">
      <alignment vertical="top"/>
    </xf>
    <xf numFmtId="166" fontId="10" fillId="0" borderId="0" xfId="1" applyNumberFormat="1" applyFont="1" applyFill="1" applyAlignment="1">
      <alignment horizontal="center" vertical="center"/>
    </xf>
    <xf numFmtId="165" fontId="4" fillId="0" borderId="0" xfId="1" applyNumberFormat="1" applyFont="1" applyAlignment="1">
      <alignment horizontal="center" vertical="top"/>
    </xf>
    <xf numFmtId="3" fontId="2" fillId="0" borderId="0" xfId="1" applyNumberFormat="1" applyFont="1">
      <alignment vertical="top"/>
    </xf>
    <xf numFmtId="1" fontId="16" fillId="0" borderId="0" xfId="0" applyNumberFormat="1" applyFont="1" applyAlignment="1">
      <alignment horizontal="left" vertical="center" indent="2"/>
    </xf>
    <xf numFmtId="1" fontId="17" fillId="0" borderId="0" xfId="0" applyNumberFormat="1" applyFont="1" applyAlignment="1">
      <alignment horizontal="left" vertical="center" indent="1"/>
    </xf>
    <xf numFmtId="3" fontId="18" fillId="0" borderId="0" xfId="0" applyNumberFormat="1" applyFont="1"/>
    <xf numFmtId="3" fontId="19" fillId="0" borderId="0" xfId="0" applyNumberFormat="1" applyFont="1"/>
    <xf numFmtId="15" fontId="7" fillId="0" borderId="0" xfId="1" applyNumberFormat="1" applyFont="1" applyFill="1">
      <alignment vertical="top"/>
    </xf>
    <xf numFmtId="15" fontId="7" fillId="0" borderId="0" xfId="1" applyNumberFormat="1" applyFont="1" applyFill="1" applyAlignment="1">
      <alignment horizontal="center" vertical="top"/>
    </xf>
    <xf numFmtId="164" fontId="7" fillId="0" borderId="0" xfId="1" applyFont="1" applyAlignment="1">
      <alignment horizontal="center" vertical="top"/>
    </xf>
    <xf numFmtId="165" fontId="7" fillId="0" borderId="0" xfId="1" applyNumberFormat="1" applyFont="1" applyAlignment="1">
      <alignment horizontal="center" vertical="top"/>
    </xf>
    <xf numFmtId="164" fontId="9" fillId="0" borderId="0" xfId="1" applyFont="1" applyAlignment="1">
      <alignment horizontal="center" vertical="top"/>
    </xf>
    <xf numFmtId="164" fontId="14" fillId="0" borderId="2" xfId="1" applyFont="1" applyBorder="1" applyAlignment="1">
      <alignment horizontal="center" vertical="top"/>
    </xf>
    <xf numFmtId="164" fontId="9" fillId="0" borderId="0" xfId="1" applyFont="1" applyAlignment="1">
      <alignment horizontal="center" vertical="top" wrapText="1"/>
    </xf>
    <xf numFmtId="10" fontId="9" fillId="0" borderId="0" xfId="1" applyNumberFormat="1" applyFont="1" applyAlignment="1">
      <alignment horizontal="center" vertical="top"/>
    </xf>
    <xf numFmtId="164" fontId="22" fillId="0" borderId="0" xfId="1" applyFont="1" applyAlignment="1">
      <alignment horizontal="center" vertical="center"/>
    </xf>
    <xf numFmtId="168" fontId="14" fillId="0" borderId="2" xfId="1" applyNumberFormat="1" applyFont="1" applyBorder="1" applyAlignment="1">
      <alignment horizontal="center" vertical="top"/>
    </xf>
    <xf numFmtId="164" fontId="9" fillId="0" borderId="0" xfId="1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164" fontId="23" fillId="0" borderId="0" xfId="1" applyFont="1" applyAlignment="1">
      <alignment vertical="center"/>
    </xf>
    <xf numFmtId="164" fontId="9" fillId="0" borderId="0" xfId="1" applyFont="1" applyAlignment="1">
      <alignment horizontal="center" vertical="center"/>
    </xf>
    <xf numFmtId="165" fontId="9" fillId="0" borderId="0" xfId="1" applyNumberFormat="1" applyFont="1" applyAlignment="1">
      <alignment horizontal="center" vertical="top"/>
    </xf>
    <xf numFmtId="165" fontId="9" fillId="0" borderId="9" xfId="1" applyNumberFormat="1" applyFont="1" applyBorder="1" applyAlignment="1">
      <alignment horizontal="center" vertical="top"/>
    </xf>
    <xf numFmtId="165" fontId="9" fillId="0" borderId="10" xfId="1" applyNumberFormat="1" applyFont="1" applyBorder="1" applyAlignment="1">
      <alignment horizontal="center" vertical="top"/>
    </xf>
    <xf numFmtId="165" fontId="14" fillId="0" borderId="9" xfId="1" applyNumberFormat="1" applyFont="1" applyBorder="1" applyAlignment="1">
      <alignment horizontal="center" vertical="top"/>
    </xf>
    <xf numFmtId="165" fontId="24" fillId="0" borderId="9" xfId="1" applyNumberFormat="1" applyFont="1" applyFill="1" applyBorder="1" applyAlignment="1">
      <alignment horizontal="center" vertical="top"/>
    </xf>
    <xf numFmtId="165" fontId="10" fillId="0" borderId="0" xfId="1" applyNumberFormat="1" applyFont="1" applyAlignment="1">
      <alignment horizontal="center" vertical="top"/>
    </xf>
    <xf numFmtId="165" fontId="7" fillId="0" borderId="0" xfId="1" applyNumberFormat="1" applyFont="1" applyFill="1" applyAlignment="1">
      <alignment horizontal="center" vertical="top"/>
    </xf>
    <xf numFmtId="164" fontId="9" fillId="0" borderId="0" xfId="1" applyFont="1" applyFill="1" applyAlignment="1">
      <alignment horizontal="center" vertical="top"/>
    </xf>
    <xf numFmtId="165" fontId="8" fillId="0" borderId="2" xfId="1" applyNumberFormat="1" applyFont="1" applyBorder="1" applyAlignment="1">
      <alignment horizontal="center" vertical="top"/>
    </xf>
    <xf numFmtId="165" fontId="21" fillId="0" borderId="0" xfId="1" applyNumberFormat="1" applyFont="1">
      <alignment vertical="top"/>
    </xf>
    <xf numFmtId="164" fontId="6" fillId="0" borderId="3" xfId="1" applyFont="1" applyBorder="1">
      <alignment vertical="top"/>
    </xf>
    <xf numFmtId="165" fontId="14" fillId="0" borderId="3" xfId="1" applyNumberFormat="1" applyFont="1" applyBorder="1" applyAlignment="1">
      <alignment horizontal="center" vertical="top"/>
    </xf>
    <xf numFmtId="165" fontId="14" fillId="0" borderId="4" xfId="1" applyNumberFormat="1" applyFont="1" applyBorder="1" applyAlignment="1">
      <alignment horizontal="center" vertical="top"/>
    </xf>
    <xf numFmtId="165" fontId="10" fillId="0" borderId="9" xfId="1" applyNumberFormat="1" applyFont="1" applyBorder="1" applyAlignment="1">
      <alignment horizontal="center" vertical="top"/>
    </xf>
    <xf numFmtId="165" fontId="10" fillId="0" borderId="10" xfId="1" applyNumberFormat="1" applyFont="1" applyBorder="1" applyAlignment="1">
      <alignment horizontal="center" vertical="top"/>
    </xf>
    <xf numFmtId="165" fontId="14" fillId="0" borderId="0" xfId="1" applyNumberFormat="1" applyFont="1" applyBorder="1" applyAlignment="1">
      <alignment horizontal="center" vertical="top"/>
    </xf>
    <xf numFmtId="165" fontId="24" fillId="0" borderId="10" xfId="1" applyNumberFormat="1" applyFont="1" applyBorder="1" applyAlignment="1">
      <alignment horizontal="center" vertical="top"/>
    </xf>
    <xf numFmtId="165" fontId="24" fillId="0" borderId="10" xfId="1" applyNumberFormat="1" applyFont="1" applyFill="1" applyBorder="1" applyAlignment="1">
      <alignment horizontal="center" vertical="top"/>
    </xf>
    <xf numFmtId="164" fontId="2" fillId="0" borderId="0" xfId="1" applyFont="1" applyBorder="1">
      <alignment vertical="top"/>
    </xf>
    <xf numFmtId="165" fontId="9" fillId="0" borderId="0" xfId="1" applyNumberFormat="1" applyFont="1" applyBorder="1" applyAlignment="1">
      <alignment horizontal="center" vertical="top"/>
    </xf>
    <xf numFmtId="164" fontId="14" fillId="0" borderId="0" xfId="1" applyFont="1" applyBorder="1" applyAlignment="1">
      <alignment horizontal="center" vertical="top"/>
    </xf>
    <xf numFmtId="165" fontId="10" fillId="0" borderId="0" xfId="1" applyNumberFormat="1" applyFont="1" applyBorder="1" applyAlignment="1">
      <alignment horizontal="center" vertical="top"/>
    </xf>
    <xf numFmtId="165" fontId="8" fillId="0" borderId="0" xfId="1" applyNumberFormat="1" applyFont="1" applyBorder="1" applyAlignment="1">
      <alignment horizontal="center" vertical="top"/>
    </xf>
    <xf numFmtId="0" fontId="5" fillId="2" borderId="11" xfId="2" applyFont="1" applyFill="1" applyBorder="1" applyAlignment="1">
      <alignment horizontal="center" vertical="center"/>
    </xf>
    <xf numFmtId="164" fontId="6" fillId="0" borderId="12" xfId="1" applyFont="1" applyBorder="1" applyAlignment="1">
      <alignment horizontal="center" vertical="top"/>
    </xf>
    <xf numFmtId="164" fontId="14" fillId="0" borderId="12" xfId="1" applyFont="1" applyBorder="1" applyAlignment="1">
      <alignment horizontal="center" vertical="top"/>
    </xf>
    <xf numFmtId="164" fontId="14" fillId="0" borderId="11" xfId="1" applyFont="1" applyBorder="1" applyAlignment="1">
      <alignment horizontal="center" vertical="top"/>
    </xf>
    <xf numFmtId="164" fontId="14" fillId="0" borderId="13" xfId="1" applyFont="1" applyBorder="1" applyAlignment="1">
      <alignment horizontal="center" vertical="top"/>
    </xf>
    <xf numFmtId="165" fontId="14" fillId="0" borderId="11" xfId="1" applyNumberFormat="1" applyFont="1" applyBorder="1" applyAlignment="1">
      <alignment horizontal="center" vertical="top"/>
    </xf>
    <xf numFmtId="165" fontId="14" fillId="0" borderId="13" xfId="1" applyNumberFormat="1" applyFont="1" applyBorder="1" applyAlignment="1">
      <alignment horizontal="center" vertical="top"/>
    </xf>
    <xf numFmtId="165" fontId="10" fillId="0" borderId="0" xfId="1" applyNumberFormat="1" applyFont="1" applyBorder="1" applyAlignment="1">
      <alignment horizontal="left" vertical="top"/>
    </xf>
    <xf numFmtId="164" fontId="25" fillId="0" borderId="0" xfId="1" applyFont="1" applyBorder="1">
      <alignment vertical="top"/>
    </xf>
    <xf numFmtId="164" fontId="25" fillId="0" borderId="0" xfId="1" applyFont="1">
      <alignment vertical="top"/>
    </xf>
    <xf numFmtId="164" fontId="2" fillId="0" borderId="0" xfId="1" applyFont="1" applyAlignment="1">
      <alignment horizontal="left" vertical="center" indent="1"/>
    </xf>
    <xf numFmtId="164" fontId="2" fillId="0" borderId="9" xfId="1" applyFont="1" applyBorder="1" applyAlignment="1">
      <alignment horizontal="left" vertical="top" indent="1"/>
    </xf>
    <xf numFmtId="164" fontId="2" fillId="0" borderId="10" xfId="1" applyFont="1" applyBorder="1" applyAlignment="1">
      <alignment horizontal="left" vertical="top" indent="1"/>
    </xf>
    <xf numFmtId="164" fontId="2" fillId="0" borderId="0" xfId="1" applyFont="1" applyBorder="1" applyAlignment="1">
      <alignment horizontal="left" vertical="top" indent="1"/>
    </xf>
    <xf numFmtId="164" fontId="14" fillId="0" borderId="14" xfId="1" applyFont="1" applyBorder="1" applyAlignment="1">
      <alignment horizontal="center" vertical="top"/>
    </xf>
    <xf numFmtId="164" fontId="6" fillId="0" borderId="15" xfId="1" applyFont="1" applyBorder="1" applyAlignment="1">
      <alignment horizontal="center" vertical="top"/>
    </xf>
    <xf numFmtId="3" fontId="8" fillId="0" borderId="15" xfId="2" applyNumberFormat="1" applyFont="1" applyBorder="1" applyAlignment="1">
      <alignment horizontal="center" vertical="center"/>
    </xf>
    <xf numFmtId="164" fontId="14" fillId="0" borderId="15" xfId="1" applyFont="1" applyBorder="1" applyAlignment="1">
      <alignment horizontal="center" vertical="top"/>
    </xf>
    <xf numFmtId="165" fontId="24" fillId="0" borderId="15" xfId="1" applyNumberFormat="1" applyFont="1" applyBorder="1" applyAlignment="1">
      <alignment horizontal="center" vertical="top"/>
    </xf>
    <xf numFmtId="165" fontId="8" fillId="0" borderId="15" xfId="1" applyNumberFormat="1" applyFont="1" applyBorder="1" applyAlignment="1">
      <alignment horizontal="center" vertical="top"/>
    </xf>
    <xf numFmtId="3" fontId="10" fillId="7" borderId="0" xfId="2" applyNumberFormat="1" applyFont="1" applyFill="1" applyAlignment="1">
      <alignment horizontal="center" vertical="center"/>
    </xf>
    <xf numFmtId="165" fontId="10" fillId="7" borderId="0" xfId="1" applyNumberFormat="1" applyFont="1" applyFill="1" applyAlignment="1">
      <alignment horizontal="center" vertical="top"/>
    </xf>
    <xf numFmtId="165" fontId="10" fillId="0" borderId="0" xfId="1" applyNumberFormat="1" applyFont="1" applyFill="1" applyAlignment="1">
      <alignment horizontal="center" vertical="top"/>
    </xf>
    <xf numFmtId="165" fontId="24" fillId="0" borderId="9" xfId="1" applyNumberFormat="1" applyFont="1" applyBorder="1" applyAlignment="1">
      <alignment horizontal="center" vertical="top"/>
    </xf>
    <xf numFmtId="164" fontId="26" fillId="7" borderId="0" xfId="1" applyFont="1" applyFill="1" applyAlignment="1">
      <alignment horizontal="left" vertical="top" indent="1"/>
    </xf>
    <xf numFmtId="3" fontId="10" fillId="0" borderId="16" xfId="2" applyNumberFormat="1" applyFont="1" applyBorder="1" applyAlignment="1">
      <alignment horizontal="center" vertical="center"/>
    </xf>
    <xf numFmtId="3" fontId="10" fillId="0" borderId="0" xfId="2" applyNumberFormat="1" applyFont="1" applyFill="1" applyAlignment="1">
      <alignment horizontal="center" vertical="center"/>
    </xf>
  </cellXfs>
  <cellStyles count="4">
    <cellStyle name="Normal" xfId="0" builtinId="0"/>
    <cellStyle name="Normal 10" xfId="1" xr:uid="{865FBE58-FBAA-4F5B-A3D1-9CBF1FDFCE21}"/>
    <cellStyle name="Normal 1351" xfId="3" xr:uid="{CD9E25BC-1EE9-4611-8A3F-58F204BFBB4A}"/>
    <cellStyle name="Normal 2" xfId="2" xr:uid="{709943E6-39CF-4306-B7DD-62F200D37B2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66675</xdr:colOff>
      <xdr:row>3</xdr:row>
      <xdr:rowOff>9525</xdr:rowOff>
    </xdr:from>
    <xdr:to>
      <xdr:col>20</xdr:col>
      <xdr:colOff>210251</xdr:colOff>
      <xdr:row>13</xdr:row>
      <xdr:rowOff>47896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BA744A-7FDB-D0FB-6EBA-6B72EB95D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7175" y="581025"/>
          <a:ext cx="5020376" cy="1943371"/>
        </a:xfrm>
        <a:prstGeom prst="rect">
          <a:avLst/>
        </a:prstGeom>
      </xdr:spPr>
    </xdr:pic>
    <xdr:clientData/>
  </xdr:twoCellAnchor>
  <xdr:twoCellAnchor>
    <xdr:from>
      <xdr:col>12</xdr:col>
      <xdr:colOff>76200</xdr:colOff>
      <xdr:row>14</xdr:row>
      <xdr:rowOff>114300</xdr:rowOff>
    </xdr:from>
    <xdr:to>
      <xdr:col>27</xdr:col>
      <xdr:colOff>287056</xdr:colOff>
      <xdr:row>30</xdr:row>
      <xdr:rowOff>9897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23F7BD71-A50B-6E42-27E3-473D54AB6EAE}"/>
            </a:ext>
          </a:extLst>
        </xdr:cNvPr>
        <xdr:cNvGrpSpPr/>
      </xdr:nvGrpSpPr>
      <xdr:grpSpPr>
        <a:xfrm>
          <a:off x="7886700" y="2781300"/>
          <a:ext cx="9354856" cy="2962647"/>
          <a:chOff x="8077200" y="4495800"/>
          <a:chExt cx="9354856" cy="2962647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50FC88D9-34EC-D2BC-FD03-3D71A5ECBB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077200" y="4791075"/>
            <a:ext cx="9354856" cy="2667372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BC6D5DCA-225F-FF6F-9721-44D016C0DD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143875" y="4495800"/>
            <a:ext cx="9231013" cy="552527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Default - Old">
  <a:themeElements>
    <a:clrScheme name="EAP boie">
      <a:dk1>
        <a:sysClr val="windowText" lastClr="000000"/>
      </a:dk1>
      <a:lt1>
        <a:sysClr val="window" lastClr="FFFFFF"/>
      </a:lt1>
      <a:dk2>
        <a:srgbClr val="950427"/>
      </a:dk2>
      <a:lt2>
        <a:srgbClr val="6D6E70"/>
      </a:lt2>
      <a:accent1>
        <a:srgbClr val="27446E"/>
      </a:accent1>
      <a:accent2>
        <a:srgbClr val="B78754"/>
      </a:accent2>
      <a:accent3>
        <a:srgbClr val="583B1C"/>
      </a:accent3>
      <a:accent4>
        <a:srgbClr val="828246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3098-505C-4DD7-BF2C-D6B384CE4E47}">
  <sheetPr>
    <tabColor theme="4"/>
  </sheetPr>
  <dimension ref="A3:N59"/>
  <sheetViews>
    <sheetView showGridLines="0" tabSelected="1" zoomScaleNormal="100" workbookViewId="0">
      <selection activeCell="N20" sqref="N20"/>
    </sheetView>
  </sheetViews>
  <sheetFormatPr defaultRowHeight="15" x14ac:dyDescent="0.25"/>
  <cols>
    <col min="1" max="1" width="2.7109375" style="2" customWidth="1"/>
    <col min="2" max="2" width="26.7109375" style="2" customWidth="1"/>
    <col min="3" max="5" width="9.5703125" style="2" customWidth="1"/>
    <col min="6" max="6" width="9.28515625" style="2" customWidth="1"/>
    <col min="7" max="7" width="9.85546875" style="2" customWidth="1"/>
    <col min="8" max="11" width="9.28515625" style="2" customWidth="1"/>
    <col min="12" max="12" width="2.7109375" style="2" customWidth="1"/>
    <col min="13" max="16384" width="9.140625" style="2"/>
  </cols>
  <sheetData>
    <row r="3" spans="2:11" x14ac:dyDescent="0.25">
      <c r="B3" s="6"/>
      <c r="C3" s="6" t="s">
        <v>4</v>
      </c>
      <c r="D3" s="6" t="s">
        <v>5</v>
      </c>
      <c r="E3" s="6" t="s">
        <v>6</v>
      </c>
      <c r="F3" s="6" t="s">
        <v>71</v>
      </c>
      <c r="G3" s="6" t="s">
        <v>8</v>
      </c>
      <c r="H3" s="6" t="s">
        <v>9</v>
      </c>
      <c r="I3" s="6" t="s">
        <v>10</v>
      </c>
      <c r="J3" s="6" t="s">
        <v>11</v>
      </c>
      <c r="K3" s="113" t="s">
        <v>12</v>
      </c>
    </row>
    <row r="4" spans="2:11" x14ac:dyDescent="0.25">
      <c r="C4" s="8"/>
      <c r="D4" s="8"/>
      <c r="E4" s="8"/>
      <c r="F4" s="8"/>
      <c r="G4" s="8"/>
      <c r="H4" s="8"/>
      <c r="I4" s="8"/>
      <c r="J4" s="8"/>
      <c r="K4" s="114"/>
    </row>
    <row r="5" spans="2:11" x14ac:dyDescent="0.25">
      <c r="B5" s="122" t="s">
        <v>94</v>
      </c>
      <c r="C5" s="79"/>
      <c r="D5" s="79"/>
      <c r="E5" s="79"/>
      <c r="F5" s="79"/>
      <c r="G5" s="79"/>
      <c r="H5" s="79"/>
      <c r="I5" s="79"/>
      <c r="J5" s="79"/>
      <c r="K5" s="115"/>
    </row>
    <row r="6" spans="2:11" x14ac:dyDescent="0.25">
      <c r="B6" s="13" t="s">
        <v>75</v>
      </c>
      <c r="C6" s="75">
        <v>46170</v>
      </c>
      <c r="D6" s="75">
        <v>46168</v>
      </c>
      <c r="E6" s="75">
        <v>46172</v>
      </c>
      <c r="F6" s="76" t="s">
        <v>95</v>
      </c>
      <c r="G6" s="76" t="s">
        <v>95</v>
      </c>
      <c r="H6" s="76" t="s">
        <v>95</v>
      </c>
      <c r="I6" s="76" t="s">
        <v>77</v>
      </c>
      <c r="J6" s="76" t="s">
        <v>77</v>
      </c>
      <c r="K6" s="115"/>
    </row>
    <row r="7" spans="2:11" x14ac:dyDescent="0.25">
      <c r="B7" s="13" t="s">
        <v>76</v>
      </c>
      <c r="C7" s="78">
        <v>1074.54281361924</v>
      </c>
      <c r="D7" s="96">
        <v>336.82726385417601</v>
      </c>
      <c r="E7" s="96">
        <v>769.35345128451195</v>
      </c>
      <c r="F7" s="76" t="s">
        <v>95</v>
      </c>
      <c r="G7" s="76" t="s">
        <v>95</v>
      </c>
      <c r="H7" s="76" t="s">
        <v>95</v>
      </c>
      <c r="I7" s="76" t="s">
        <v>77</v>
      </c>
      <c r="J7" s="76" t="s">
        <v>77</v>
      </c>
      <c r="K7" s="115"/>
    </row>
    <row r="8" spans="2:11" x14ac:dyDescent="0.25">
      <c r="C8" s="77"/>
      <c r="D8" s="79"/>
      <c r="E8" s="79"/>
      <c r="F8" s="97"/>
      <c r="G8" s="97"/>
      <c r="H8" s="97"/>
      <c r="I8" s="97"/>
      <c r="J8" s="97"/>
      <c r="K8" s="115"/>
    </row>
    <row r="9" spans="2:11" x14ac:dyDescent="0.25">
      <c r="B9" s="122" t="s">
        <v>96</v>
      </c>
      <c r="C9" s="77"/>
      <c r="D9" s="79"/>
      <c r="E9" s="79"/>
      <c r="F9" s="97"/>
      <c r="G9" s="97"/>
      <c r="H9" s="97"/>
      <c r="I9" s="97"/>
      <c r="J9" s="97"/>
      <c r="K9" s="115"/>
    </row>
    <row r="10" spans="2:11" x14ac:dyDescent="0.25">
      <c r="B10" s="13" t="s">
        <v>78</v>
      </c>
      <c r="C10" s="14">
        <v>4</v>
      </c>
      <c r="D10" s="14">
        <v>5</v>
      </c>
      <c r="E10" s="14">
        <v>4</v>
      </c>
      <c r="F10" s="76" t="s">
        <v>95</v>
      </c>
      <c r="G10" s="76" t="s">
        <v>95</v>
      </c>
      <c r="H10" s="76" t="s">
        <v>95</v>
      </c>
      <c r="I10" s="14" t="s">
        <v>77</v>
      </c>
      <c r="J10" s="14" t="s">
        <v>77</v>
      </c>
      <c r="K10" s="115"/>
    </row>
    <row r="11" spans="2:11" x14ac:dyDescent="0.25">
      <c r="B11" s="13"/>
      <c r="C11" s="79"/>
      <c r="D11" s="79"/>
      <c r="E11" s="79"/>
      <c r="F11" s="79"/>
      <c r="G11" s="79"/>
      <c r="H11" s="79"/>
      <c r="I11" s="79"/>
      <c r="J11" s="79"/>
      <c r="K11" s="115"/>
    </row>
    <row r="12" spans="2:11" x14ac:dyDescent="0.25">
      <c r="B12" s="137" t="s">
        <v>99</v>
      </c>
      <c r="C12" s="133">
        <v>5</v>
      </c>
      <c r="D12" s="133">
        <v>4</v>
      </c>
      <c r="E12" s="133" t="s">
        <v>100</v>
      </c>
      <c r="F12" s="79" t="s">
        <v>101</v>
      </c>
      <c r="G12" s="79"/>
      <c r="H12" s="79"/>
      <c r="I12" s="79"/>
      <c r="J12" s="79"/>
      <c r="K12" s="115"/>
    </row>
    <row r="13" spans="2:11" x14ac:dyDescent="0.25">
      <c r="C13" s="21">
        <v>12</v>
      </c>
      <c r="D13" s="21">
        <v>8</v>
      </c>
      <c r="E13" s="21">
        <v>20</v>
      </c>
      <c r="F13" s="79" t="s">
        <v>102</v>
      </c>
      <c r="G13" s="79"/>
      <c r="H13" s="79"/>
      <c r="I13" s="79"/>
      <c r="J13" s="79"/>
      <c r="K13" s="115"/>
    </row>
    <row r="14" spans="2:11" x14ac:dyDescent="0.25">
      <c r="B14" s="13"/>
      <c r="C14" s="21">
        <v>20</v>
      </c>
      <c r="D14" s="21">
        <v>15</v>
      </c>
      <c r="E14" s="21"/>
      <c r="F14" s="79"/>
      <c r="G14" s="79"/>
      <c r="H14" s="79"/>
      <c r="I14" s="79"/>
      <c r="J14" s="79"/>
      <c r="K14" s="115"/>
    </row>
    <row r="15" spans="2:11" x14ac:dyDescent="0.25">
      <c r="C15" s="21">
        <v>40</v>
      </c>
      <c r="D15" s="21">
        <v>20</v>
      </c>
      <c r="E15" s="14"/>
      <c r="F15" s="79"/>
      <c r="G15" s="79"/>
      <c r="H15" s="79"/>
      <c r="I15" s="79"/>
      <c r="J15" s="79"/>
      <c r="K15" s="115"/>
    </row>
    <row r="16" spans="2:11" ht="15.75" thickBot="1" x14ac:dyDescent="0.3">
      <c r="B16" s="13"/>
      <c r="C16" s="21">
        <v>60</v>
      </c>
      <c r="D16" s="21">
        <v>30</v>
      </c>
      <c r="E16" s="14"/>
      <c r="F16" s="79"/>
      <c r="G16" s="79"/>
      <c r="H16" s="79"/>
      <c r="I16" s="79"/>
      <c r="J16" s="79"/>
      <c r="K16" s="115"/>
    </row>
    <row r="17" spans="1:14" x14ac:dyDescent="0.25">
      <c r="B17" s="13"/>
      <c r="C17" s="138">
        <v>100</v>
      </c>
      <c r="D17" s="138">
        <v>40</v>
      </c>
      <c r="E17" s="14"/>
      <c r="F17" s="79"/>
      <c r="G17" s="79"/>
      <c r="H17" s="79"/>
      <c r="I17" s="79"/>
      <c r="J17" s="79"/>
      <c r="K17" s="115"/>
    </row>
    <row r="18" spans="1:14" x14ac:dyDescent="0.25">
      <c r="B18" s="13"/>
      <c r="C18" s="21">
        <v>150</v>
      </c>
      <c r="D18" s="21">
        <v>50</v>
      </c>
      <c r="E18" s="14"/>
      <c r="F18" s="79"/>
      <c r="G18" s="79"/>
      <c r="H18" s="79"/>
      <c r="I18" s="14"/>
      <c r="J18" s="79"/>
      <c r="K18" s="115"/>
    </row>
    <row r="19" spans="1:14" x14ac:dyDescent="0.25">
      <c r="B19" s="13"/>
      <c r="C19" s="21">
        <v>200</v>
      </c>
      <c r="D19" s="21">
        <v>70</v>
      </c>
      <c r="E19" s="79"/>
      <c r="F19" s="79"/>
      <c r="G19" s="79"/>
      <c r="H19" s="79"/>
      <c r="I19" s="79"/>
      <c r="J19" s="79"/>
      <c r="K19" s="115"/>
    </row>
    <row r="20" spans="1:14" x14ac:dyDescent="0.25">
      <c r="B20" s="13"/>
      <c r="C20" s="21">
        <v>250</v>
      </c>
      <c r="D20" s="21">
        <v>90</v>
      </c>
      <c r="E20" s="79"/>
      <c r="F20" s="79"/>
      <c r="G20" s="79"/>
      <c r="H20" s="79"/>
      <c r="I20" s="79"/>
      <c r="J20" s="79"/>
      <c r="K20" s="115"/>
    </row>
    <row r="21" spans="1:14" x14ac:dyDescent="0.25">
      <c r="B21" s="13"/>
      <c r="C21" s="79"/>
      <c r="D21" s="79"/>
      <c r="E21" s="79"/>
      <c r="F21" s="79"/>
      <c r="G21" s="79"/>
      <c r="H21" s="79"/>
      <c r="I21" s="79"/>
      <c r="J21" s="79"/>
      <c r="K21" s="115"/>
    </row>
    <row r="22" spans="1:14" x14ac:dyDescent="0.25">
      <c r="B22" s="123" t="s">
        <v>98</v>
      </c>
      <c r="C22" s="81"/>
      <c r="D22" s="79"/>
      <c r="E22" s="81"/>
      <c r="F22" s="79"/>
      <c r="G22" s="79"/>
      <c r="I22" s="79"/>
      <c r="J22" s="79"/>
      <c r="K22" s="115"/>
      <c r="N22" s="81"/>
    </row>
    <row r="23" spans="1:14" x14ac:dyDescent="0.25">
      <c r="B23" s="13"/>
      <c r="C23" s="134">
        <v>25.338213793923682</v>
      </c>
      <c r="D23" s="133">
        <v>10.617840906015163</v>
      </c>
      <c r="E23" s="133">
        <v>28</v>
      </c>
      <c r="F23" s="79"/>
      <c r="G23" s="79"/>
      <c r="H23" s="79"/>
      <c r="I23" s="79"/>
      <c r="J23" s="79"/>
      <c r="K23" s="115"/>
    </row>
    <row r="24" spans="1:14" x14ac:dyDescent="0.25">
      <c r="B24" s="13"/>
      <c r="C24" s="135">
        <v>34.094939570188792</v>
      </c>
      <c r="D24" s="21">
        <v>13.448738187356119</v>
      </c>
      <c r="E24" s="139">
        <v>53</v>
      </c>
      <c r="F24" s="79"/>
      <c r="G24" s="79"/>
      <c r="H24" s="79"/>
      <c r="I24" s="79"/>
      <c r="J24" s="79"/>
      <c r="K24" s="115"/>
    </row>
    <row r="25" spans="1:14" x14ac:dyDescent="0.25">
      <c r="B25" s="13"/>
      <c r="C25" s="135">
        <v>44.361147549985404</v>
      </c>
      <c r="D25" s="21">
        <v>17.007564094049435</v>
      </c>
      <c r="E25" s="79"/>
      <c r="F25" s="79"/>
      <c r="G25" s="79"/>
      <c r="H25" s="79"/>
      <c r="I25" s="79"/>
      <c r="J25" s="79"/>
      <c r="K25" s="115"/>
    </row>
    <row r="26" spans="1:14" x14ac:dyDescent="0.25">
      <c r="A26" s="108"/>
      <c r="B26" s="13"/>
      <c r="C26" s="135">
        <v>60.176609605877772</v>
      </c>
      <c r="D26" s="21">
        <v>19.671472366900911</v>
      </c>
      <c r="E26" s="79"/>
      <c r="F26" s="79"/>
      <c r="G26" s="79"/>
      <c r="H26" s="79"/>
      <c r="I26" s="79"/>
      <c r="J26" s="79"/>
      <c r="K26" s="115"/>
    </row>
    <row r="27" spans="1:14" ht="15.75" thickBot="1" x14ac:dyDescent="0.3">
      <c r="A27" s="108"/>
      <c r="B27" s="13"/>
      <c r="C27" s="135">
        <v>81.844712231771851</v>
      </c>
      <c r="D27" s="21">
        <v>29.741931462622464</v>
      </c>
      <c r="E27" s="79"/>
      <c r="F27" s="79"/>
      <c r="G27" s="79"/>
      <c r="H27" s="79"/>
      <c r="I27" s="79"/>
      <c r="J27" s="79"/>
      <c r="K27" s="115"/>
    </row>
    <row r="28" spans="1:14" x14ac:dyDescent="0.25">
      <c r="A28" s="108"/>
      <c r="B28" s="13"/>
      <c r="C28" s="138"/>
      <c r="D28" s="138"/>
      <c r="E28" s="79"/>
      <c r="F28" s="79"/>
      <c r="G28" s="79"/>
      <c r="H28" s="79"/>
      <c r="I28" s="79"/>
      <c r="J28" s="79"/>
      <c r="K28" s="115"/>
    </row>
    <row r="29" spans="1:14" x14ac:dyDescent="0.25">
      <c r="A29" s="108"/>
      <c r="B29" s="124" t="s">
        <v>82</v>
      </c>
      <c r="C29" s="136">
        <v>165</v>
      </c>
      <c r="D29" s="136">
        <v>95</v>
      </c>
      <c r="E29" s="94">
        <v>145</v>
      </c>
      <c r="F29" s="94"/>
      <c r="G29" s="94"/>
      <c r="H29" s="94"/>
      <c r="I29" s="93"/>
      <c r="J29" s="93"/>
      <c r="K29" s="116"/>
    </row>
    <row r="30" spans="1:14" x14ac:dyDescent="0.25">
      <c r="A30" s="108"/>
      <c r="B30" s="125" t="s">
        <v>83</v>
      </c>
      <c r="C30" s="106">
        <v>135</v>
      </c>
      <c r="D30" s="106">
        <v>70</v>
      </c>
      <c r="E30" s="106">
        <v>137</v>
      </c>
      <c r="F30" s="107"/>
      <c r="G30" s="107"/>
      <c r="H30" s="107"/>
      <c r="I30" s="92"/>
      <c r="J30" s="92"/>
      <c r="K30" s="117"/>
    </row>
    <row r="31" spans="1:14" x14ac:dyDescent="0.25">
      <c r="A31" s="108"/>
      <c r="B31" s="126"/>
      <c r="C31" s="109"/>
      <c r="D31" s="109"/>
      <c r="E31" s="109"/>
      <c r="F31" s="109"/>
      <c r="G31" s="109"/>
      <c r="H31" s="109"/>
      <c r="I31" s="109"/>
      <c r="J31" s="109"/>
      <c r="K31" s="115"/>
    </row>
    <row r="32" spans="1:14" x14ac:dyDescent="0.25">
      <c r="A32" s="108"/>
      <c r="B32" s="121" t="s">
        <v>97</v>
      </c>
      <c r="C32" s="109"/>
      <c r="D32" s="109"/>
      <c r="E32" s="109"/>
      <c r="F32" s="109"/>
      <c r="G32" s="109"/>
      <c r="H32" s="109"/>
      <c r="I32" s="109"/>
      <c r="J32" s="109"/>
      <c r="K32" s="115"/>
    </row>
    <row r="33" spans="1:14" x14ac:dyDescent="0.25">
      <c r="A33" s="108"/>
      <c r="B33" s="124" t="s">
        <v>82</v>
      </c>
      <c r="C33" s="91">
        <f>C$7+C29</f>
        <v>1239.54281361924</v>
      </c>
      <c r="D33" s="91">
        <f t="shared" ref="D33:E34" si="0">D$7+D29</f>
        <v>431.82726385417601</v>
      </c>
      <c r="E33" s="91">
        <f t="shared" si="0"/>
        <v>914.35345128451195</v>
      </c>
      <c r="F33" s="103">
        <v>245</v>
      </c>
      <c r="G33" s="103">
        <v>160</v>
      </c>
      <c r="H33" s="103">
        <v>55</v>
      </c>
      <c r="I33" s="103">
        <v>220</v>
      </c>
      <c r="J33" s="103">
        <v>105</v>
      </c>
      <c r="K33" s="118">
        <f>SUM(C33:J33)</f>
        <v>3370.7235287579279</v>
      </c>
    </row>
    <row r="34" spans="1:14" x14ac:dyDescent="0.25">
      <c r="A34" s="108"/>
      <c r="B34" s="125" t="s">
        <v>83</v>
      </c>
      <c r="C34" s="92">
        <f>C$7+C30</f>
        <v>1209.54281361924</v>
      </c>
      <c r="D34" s="92">
        <f t="shared" si="0"/>
        <v>406.82726385417601</v>
      </c>
      <c r="E34" s="92">
        <f t="shared" si="0"/>
        <v>906.35345128451195</v>
      </c>
      <c r="F34" s="104">
        <v>240</v>
      </c>
      <c r="G34" s="104">
        <v>155</v>
      </c>
      <c r="H34" s="104">
        <v>40</v>
      </c>
      <c r="I34" s="104">
        <v>205</v>
      </c>
      <c r="J34" s="104">
        <v>100</v>
      </c>
      <c r="K34" s="119">
        <f>SUM(C34:J34)</f>
        <v>3262.7235287579279</v>
      </c>
    </row>
    <row r="35" spans="1:14" x14ac:dyDescent="0.25">
      <c r="B35" s="108"/>
      <c r="C35" s="109"/>
      <c r="D35" s="109"/>
      <c r="E35" s="109"/>
      <c r="F35" s="109"/>
      <c r="G35" s="109"/>
      <c r="H35" s="109"/>
      <c r="I35" s="109"/>
      <c r="J35" s="109"/>
      <c r="K35" s="127"/>
    </row>
    <row r="36" spans="1:14" x14ac:dyDescent="0.25">
      <c r="B36" s="122" t="s">
        <v>92</v>
      </c>
      <c r="C36" s="8"/>
      <c r="D36" s="8"/>
      <c r="E36" s="8"/>
      <c r="F36" s="8"/>
      <c r="G36" s="8"/>
      <c r="H36" s="8"/>
      <c r="I36" s="8"/>
      <c r="J36" s="8"/>
      <c r="K36" s="128"/>
    </row>
    <row r="37" spans="1:14" x14ac:dyDescent="0.25">
      <c r="B37" s="13" t="s">
        <v>19</v>
      </c>
      <c r="C37" s="14">
        <v>1441</v>
      </c>
      <c r="D37" s="14">
        <v>466</v>
      </c>
      <c r="E37" s="14">
        <v>955</v>
      </c>
      <c r="F37" s="14">
        <v>206</v>
      </c>
      <c r="G37" s="14">
        <v>167</v>
      </c>
      <c r="H37" s="14">
        <v>98</v>
      </c>
      <c r="I37" s="14">
        <v>234</v>
      </c>
      <c r="J37" s="14">
        <v>82</v>
      </c>
      <c r="K37" s="129">
        <v>3649</v>
      </c>
      <c r="N37" s="79"/>
    </row>
    <row r="38" spans="1:14" x14ac:dyDescent="0.25">
      <c r="B38" s="13" t="s">
        <v>20</v>
      </c>
      <c r="C38" s="14">
        <v>1042</v>
      </c>
      <c r="D38" s="14">
        <v>416</v>
      </c>
      <c r="E38" s="14">
        <v>823</v>
      </c>
      <c r="F38" s="14">
        <v>211</v>
      </c>
      <c r="G38" s="14">
        <v>163</v>
      </c>
      <c r="H38" s="14">
        <v>35</v>
      </c>
      <c r="I38" s="14">
        <v>195</v>
      </c>
      <c r="J38" s="14">
        <v>80</v>
      </c>
      <c r="K38" s="129">
        <v>2965</v>
      </c>
      <c r="N38" s="79"/>
    </row>
    <row r="39" spans="1:14" x14ac:dyDescent="0.25">
      <c r="B39" s="13" t="s">
        <v>0</v>
      </c>
      <c r="C39" s="14">
        <v>1211</v>
      </c>
      <c r="D39" s="14">
        <v>658</v>
      </c>
      <c r="E39" s="14">
        <v>863</v>
      </c>
      <c r="F39" s="14">
        <v>201</v>
      </c>
      <c r="G39" s="14">
        <v>161</v>
      </c>
      <c r="H39" s="14">
        <v>45</v>
      </c>
      <c r="I39" s="14">
        <v>227</v>
      </c>
      <c r="J39" s="14">
        <v>83</v>
      </c>
      <c r="K39" s="129">
        <v>3449</v>
      </c>
      <c r="N39" s="79"/>
    </row>
    <row r="40" spans="1:14" x14ac:dyDescent="0.25">
      <c r="B40" s="13" t="s">
        <v>57</v>
      </c>
      <c r="C40" s="14">
        <v>1887</v>
      </c>
      <c r="D40" s="14">
        <v>507</v>
      </c>
      <c r="E40" s="14">
        <v>789</v>
      </c>
      <c r="F40" s="14">
        <v>214</v>
      </c>
      <c r="G40" s="14">
        <v>157</v>
      </c>
      <c r="H40" s="14">
        <v>64</v>
      </c>
      <c r="I40" s="14">
        <v>194</v>
      </c>
      <c r="J40" s="14">
        <v>86</v>
      </c>
      <c r="K40" s="129">
        <v>3898</v>
      </c>
      <c r="N40" s="79"/>
    </row>
    <row r="41" spans="1:14" x14ac:dyDescent="0.25">
      <c r="B41" s="13" t="s">
        <v>72</v>
      </c>
      <c r="C41" s="14">
        <v>1209</v>
      </c>
      <c r="D41" s="14">
        <v>521</v>
      </c>
      <c r="E41" s="14">
        <v>755</v>
      </c>
      <c r="F41" s="14">
        <v>256</v>
      </c>
      <c r="G41" s="14">
        <v>157</v>
      </c>
      <c r="H41" s="14">
        <v>39</v>
      </c>
      <c r="I41" s="14">
        <v>230</v>
      </c>
      <c r="J41" s="14">
        <v>95</v>
      </c>
      <c r="K41" s="129">
        <v>3262</v>
      </c>
      <c r="N41" s="79"/>
    </row>
    <row r="42" spans="1:14" x14ac:dyDescent="0.25">
      <c r="B42" s="13" t="s">
        <v>73</v>
      </c>
      <c r="C42" s="14">
        <v>1087</v>
      </c>
      <c r="D42" s="14">
        <v>823</v>
      </c>
      <c r="E42" s="14">
        <v>837</v>
      </c>
      <c r="F42" s="14">
        <v>233</v>
      </c>
      <c r="G42" s="14">
        <v>155</v>
      </c>
      <c r="H42" s="14">
        <v>70</v>
      </c>
      <c r="I42" s="14">
        <v>195</v>
      </c>
      <c r="J42" s="14">
        <v>97</v>
      </c>
      <c r="K42" s="129">
        <v>3497</v>
      </c>
      <c r="N42" s="79"/>
    </row>
    <row r="43" spans="1:14" x14ac:dyDescent="0.25">
      <c r="B43" s="13" t="s">
        <v>84</v>
      </c>
      <c r="C43" s="14">
        <v>1101</v>
      </c>
      <c r="D43" s="14">
        <v>486</v>
      </c>
      <c r="E43" s="14">
        <v>839</v>
      </c>
      <c r="F43" s="14">
        <v>238</v>
      </c>
      <c r="G43" s="14">
        <v>156</v>
      </c>
      <c r="H43" s="14">
        <v>64</v>
      </c>
      <c r="I43" s="14">
        <v>246</v>
      </c>
      <c r="J43" s="14">
        <v>101</v>
      </c>
      <c r="K43" s="129">
        <v>3231</v>
      </c>
    </row>
    <row r="44" spans="1:14" x14ac:dyDescent="0.25">
      <c r="C44" s="79"/>
      <c r="D44" s="79"/>
      <c r="E44" s="79"/>
      <c r="F44" s="79"/>
      <c r="G44" s="79"/>
      <c r="H44" s="79"/>
      <c r="I44" s="79"/>
      <c r="J44" s="79"/>
      <c r="K44" s="130"/>
    </row>
    <row r="45" spans="1:14" x14ac:dyDescent="0.25">
      <c r="C45" s="79"/>
      <c r="D45" s="79"/>
      <c r="E45" s="79"/>
      <c r="F45" s="79"/>
      <c r="G45" s="79"/>
      <c r="H45" s="79"/>
      <c r="I45" s="79"/>
      <c r="J45" s="79"/>
      <c r="K45" s="130"/>
    </row>
    <row r="46" spans="1:14" x14ac:dyDescent="0.25">
      <c r="C46" s="79"/>
      <c r="D46" s="79"/>
      <c r="E46" s="79"/>
      <c r="F46" s="79"/>
      <c r="G46" s="79"/>
      <c r="H46" s="79"/>
      <c r="I46" s="79"/>
      <c r="J46" s="79"/>
      <c r="K46" s="130"/>
    </row>
    <row r="47" spans="1:14" x14ac:dyDescent="0.25">
      <c r="C47" s="79"/>
      <c r="D47" s="79"/>
      <c r="E47" s="79"/>
      <c r="F47" s="79"/>
      <c r="G47" s="79"/>
      <c r="H47" s="79"/>
      <c r="I47" s="79"/>
      <c r="J47" s="79"/>
      <c r="K47" s="130"/>
    </row>
    <row r="48" spans="1:14" x14ac:dyDescent="0.25">
      <c r="C48" s="79"/>
      <c r="D48" s="79"/>
      <c r="E48" s="79"/>
      <c r="F48" s="79"/>
      <c r="G48" s="79"/>
      <c r="H48" s="79"/>
      <c r="I48" s="79"/>
      <c r="J48" s="79"/>
      <c r="K48" s="130"/>
    </row>
    <row r="49" spans="3:11" x14ac:dyDescent="0.25">
      <c r="C49" s="79"/>
      <c r="D49" s="79"/>
      <c r="E49" s="79"/>
      <c r="F49" s="79"/>
      <c r="G49" s="79"/>
      <c r="H49" s="79"/>
      <c r="I49" s="79"/>
      <c r="J49" s="79"/>
      <c r="K49" s="130"/>
    </row>
    <row r="50" spans="3:11" x14ac:dyDescent="0.25">
      <c r="C50" s="79"/>
      <c r="D50" s="79"/>
      <c r="E50" s="79"/>
      <c r="F50" s="79"/>
      <c r="G50" s="79"/>
      <c r="H50" s="79"/>
      <c r="I50" s="79"/>
      <c r="J50" s="79"/>
      <c r="K50" s="130"/>
    </row>
    <row r="51" spans="3:11" x14ac:dyDescent="0.25">
      <c r="C51" s="79"/>
      <c r="D51" s="79"/>
      <c r="E51" s="79"/>
      <c r="F51" s="79"/>
      <c r="G51" s="79"/>
      <c r="H51" s="79"/>
      <c r="I51" s="79"/>
      <c r="J51" s="79"/>
      <c r="K51" s="130"/>
    </row>
    <row r="52" spans="3:11" x14ac:dyDescent="0.25">
      <c r="C52" s="79"/>
      <c r="D52" s="79"/>
      <c r="E52" s="79"/>
      <c r="F52" s="79"/>
      <c r="G52" s="79"/>
      <c r="H52" s="79"/>
      <c r="I52" s="79"/>
      <c r="J52" s="79"/>
      <c r="K52" s="130"/>
    </row>
    <row r="53" spans="3:11" x14ac:dyDescent="0.25">
      <c r="C53" s="79"/>
      <c r="D53" s="79"/>
      <c r="E53" s="79"/>
      <c r="F53" s="79"/>
      <c r="G53" s="79"/>
      <c r="H53" s="79"/>
      <c r="I53" s="79"/>
      <c r="J53" s="79"/>
      <c r="K53" s="130"/>
    </row>
    <row r="54" spans="3:11" x14ac:dyDescent="0.25">
      <c r="C54" s="79"/>
      <c r="D54" s="79"/>
      <c r="E54" s="79"/>
      <c r="F54" s="79"/>
      <c r="G54" s="79"/>
      <c r="H54" s="79"/>
      <c r="I54" s="79"/>
      <c r="J54" s="79"/>
      <c r="K54" s="130"/>
    </row>
    <row r="55" spans="3:11" x14ac:dyDescent="0.25">
      <c r="C55" s="79"/>
      <c r="D55" s="79"/>
      <c r="E55" s="79"/>
      <c r="F55" s="79"/>
      <c r="G55" s="79"/>
      <c r="H55" s="79"/>
      <c r="I55" s="79"/>
      <c r="J55" s="79"/>
      <c r="K55" s="130"/>
    </row>
    <row r="56" spans="3:11" x14ac:dyDescent="0.25">
      <c r="C56" s="79"/>
      <c r="D56" s="79"/>
      <c r="E56" s="79"/>
      <c r="F56" s="79"/>
      <c r="G56" s="79"/>
      <c r="H56" s="79"/>
      <c r="I56" s="79"/>
      <c r="J56" s="79"/>
      <c r="K56" s="130"/>
    </row>
    <row r="57" spans="3:11" x14ac:dyDescent="0.25">
      <c r="C57" s="79"/>
      <c r="D57" s="79"/>
      <c r="E57" s="79"/>
      <c r="F57" s="79"/>
      <c r="G57" s="79"/>
      <c r="H57" s="79"/>
      <c r="I57" s="79"/>
      <c r="J57" s="79"/>
      <c r="K57" s="130"/>
    </row>
    <row r="58" spans="3:11" x14ac:dyDescent="0.25">
      <c r="C58" s="79"/>
      <c r="D58" s="79"/>
      <c r="E58" s="79"/>
      <c r="F58" s="79"/>
      <c r="G58" s="79"/>
      <c r="H58" s="79"/>
      <c r="I58" s="79"/>
      <c r="J58" s="79"/>
      <c r="K58" s="130"/>
    </row>
    <row r="59" spans="3:11" x14ac:dyDescent="0.25">
      <c r="C59" s="79"/>
      <c r="D59" s="79"/>
      <c r="E59" s="79"/>
      <c r="F59" s="79"/>
      <c r="G59" s="79"/>
      <c r="H59" s="79"/>
      <c r="I59" s="79"/>
      <c r="J59" s="79"/>
      <c r="K59" s="130"/>
    </row>
  </sheetData>
  <sortState xmlns:xlrd2="http://schemas.microsoft.com/office/spreadsheetml/2017/richdata2" ref="H23:H27">
    <sortCondition ref="H23:H27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9B704-67C2-43F0-BD4B-40682934F79B}">
  <sheetPr>
    <tabColor theme="4"/>
  </sheetPr>
  <dimension ref="A3:L155"/>
  <sheetViews>
    <sheetView showGridLines="0" zoomScaleNormal="100" workbookViewId="0">
      <selection activeCell="V38" sqref="V38"/>
    </sheetView>
  </sheetViews>
  <sheetFormatPr defaultRowHeight="15" outlineLevelRow="1" x14ac:dyDescent="0.25"/>
  <cols>
    <col min="1" max="1" width="2.7109375" style="2" customWidth="1"/>
    <col min="2" max="2" width="26.7109375" style="2" customWidth="1"/>
    <col min="3" max="6" width="9.28515625" style="2" customWidth="1"/>
    <col min="7" max="7" width="9.85546875" style="2" customWidth="1"/>
    <col min="8" max="11" width="9.28515625" style="2" customWidth="1"/>
    <col min="12" max="12" width="2.7109375" style="2" customWidth="1"/>
    <col min="13" max="16384" width="9.140625" style="2"/>
  </cols>
  <sheetData>
    <row r="3" spans="2:11" x14ac:dyDescent="0.25">
      <c r="B3" s="6"/>
      <c r="C3" s="6" t="s">
        <v>4</v>
      </c>
      <c r="D3" s="6" t="s">
        <v>5</v>
      </c>
      <c r="E3" s="6" t="s">
        <v>6</v>
      </c>
      <c r="F3" s="6" t="s">
        <v>71</v>
      </c>
      <c r="G3" s="6" t="s">
        <v>8</v>
      </c>
      <c r="H3" s="6" t="s">
        <v>9</v>
      </c>
      <c r="I3" s="6" t="s">
        <v>10</v>
      </c>
      <c r="J3" s="6" t="s">
        <v>11</v>
      </c>
      <c r="K3" s="113" t="s">
        <v>12</v>
      </c>
    </row>
    <row r="4" spans="2:11" x14ac:dyDescent="0.25">
      <c r="C4" s="8"/>
      <c r="D4" s="8"/>
      <c r="E4" s="8"/>
      <c r="F4" s="8"/>
      <c r="G4" s="8"/>
      <c r="H4" s="8"/>
      <c r="I4" s="8"/>
      <c r="J4" s="8"/>
      <c r="K4" s="114"/>
    </row>
    <row r="5" spans="2:11" x14ac:dyDescent="0.25">
      <c r="B5" s="122" t="s">
        <v>74</v>
      </c>
      <c r="C5" s="79"/>
      <c r="D5" s="79"/>
      <c r="E5" s="79"/>
      <c r="F5" s="79"/>
      <c r="G5" s="79"/>
      <c r="H5" s="79"/>
      <c r="I5" s="79"/>
      <c r="J5" s="79"/>
      <c r="K5" s="115"/>
    </row>
    <row r="6" spans="2:11" x14ac:dyDescent="0.25">
      <c r="B6" s="13" t="s">
        <v>75</v>
      </c>
      <c r="C6" s="75">
        <v>45988</v>
      </c>
      <c r="D6" s="75">
        <v>45993</v>
      </c>
      <c r="E6" s="75">
        <v>45990</v>
      </c>
      <c r="F6" s="75">
        <v>45992</v>
      </c>
      <c r="G6" s="75">
        <v>45993</v>
      </c>
      <c r="H6" s="75">
        <v>45991</v>
      </c>
      <c r="I6" s="76" t="s">
        <v>77</v>
      </c>
      <c r="J6" s="76" t="s">
        <v>77</v>
      </c>
      <c r="K6" s="115"/>
    </row>
    <row r="7" spans="2:11" x14ac:dyDescent="0.25">
      <c r="B7" s="13" t="s">
        <v>76</v>
      </c>
      <c r="C7" s="78">
        <v>961.16714031667595</v>
      </c>
      <c r="D7" s="96">
        <v>408.51225459559498</v>
      </c>
      <c r="E7" s="96">
        <v>726.84935073335498</v>
      </c>
      <c r="F7" s="96">
        <v>213.455952</v>
      </c>
      <c r="G7" s="96">
        <v>132.11180346220601</v>
      </c>
      <c r="H7" s="96">
        <v>50.28</v>
      </c>
      <c r="I7" s="76" t="s">
        <v>77</v>
      </c>
      <c r="J7" s="76" t="s">
        <v>77</v>
      </c>
      <c r="K7" s="115"/>
    </row>
    <row r="8" spans="2:11" x14ac:dyDescent="0.25">
      <c r="C8" s="77"/>
      <c r="D8" s="79"/>
      <c r="E8" s="79"/>
      <c r="F8" s="97"/>
      <c r="G8" s="79"/>
      <c r="H8" s="97"/>
      <c r="I8" s="97"/>
      <c r="J8" s="97"/>
      <c r="K8" s="115"/>
    </row>
    <row r="9" spans="2:11" x14ac:dyDescent="0.25">
      <c r="B9" s="122" t="s">
        <v>90</v>
      </c>
      <c r="C9" s="77"/>
      <c r="D9" s="79"/>
      <c r="E9" s="79"/>
      <c r="F9" s="97"/>
      <c r="G9" s="79"/>
      <c r="H9" s="97"/>
      <c r="I9" s="97"/>
      <c r="J9" s="97"/>
      <c r="K9" s="115"/>
    </row>
    <row r="10" spans="2:11" x14ac:dyDescent="0.25">
      <c r="B10" s="13" t="s">
        <v>78</v>
      </c>
      <c r="C10" s="14">
        <v>4</v>
      </c>
      <c r="D10" s="14">
        <v>4</v>
      </c>
      <c r="E10" s="14">
        <v>4</v>
      </c>
      <c r="F10" s="14">
        <v>13</v>
      </c>
      <c r="G10" s="14">
        <v>29</v>
      </c>
      <c r="H10" s="14" t="s">
        <v>77</v>
      </c>
      <c r="I10" s="14" t="s">
        <v>77</v>
      </c>
      <c r="J10" s="14" t="s">
        <v>77</v>
      </c>
      <c r="K10" s="115"/>
    </row>
    <row r="11" spans="2:11" x14ac:dyDescent="0.25">
      <c r="B11" s="13"/>
      <c r="C11" s="79"/>
      <c r="D11" s="79"/>
      <c r="E11" s="79"/>
      <c r="F11" s="79"/>
      <c r="G11" s="79"/>
      <c r="H11" s="79"/>
      <c r="I11" s="79"/>
      <c r="J11" s="79"/>
      <c r="K11" s="115"/>
    </row>
    <row r="12" spans="2:11" x14ac:dyDescent="0.25">
      <c r="B12" s="13" t="s">
        <v>79</v>
      </c>
      <c r="D12" s="21">
        <v>8</v>
      </c>
      <c r="E12" s="14"/>
      <c r="F12" s="79"/>
      <c r="G12" s="79"/>
      <c r="H12" s="79"/>
      <c r="I12" s="79"/>
      <c r="J12" s="79"/>
      <c r="K12" s="115"/>
    </row>
    <row r="13" spans="2:11" x14ac:dyDescent="0.25">
      <c r="B13" s="13"/>
      <c r="D13" s="21">
        <v>15</v>
      </c>
      <c r="E13" s="14"/>
      <c r="F13" s="79"/>
      <c r="G13" s="79"/>
      <c r="H13" s="79"/>
      <c r="I13" s="79"/>
      <c r="J13" s="79"/>
      <c r="K13" s="115"/>
    </row>
    <row r="14" spans="2:11" x14ac:dyDescent="0.25">
      <c r="B14" s="13"/>
      <c r="D14" s="21">
        <v>20</v>
      </c>
      <c r="E14" s="14"/>
      <c r="F14" s="79"/>
      <c r="G14" s="79"/>
      <c r="H14" s="79"/>
      <c r="I14" s="79"/>
      <c r="J14" s="79"/>
      <c r="K14" s="115"/>
    </row>
    <row r="15" spans="2:11" x14ac:dyDescent="0.25">
      <c r="B15" s="13" t="s">
        <v>87</v>
      </c>
      <c r="C15" s="133">
        <v>5</v>
      </c>
      <c r="D15" s="133">
        <v>30</v>
      </c>
      <c r="E15" s="14"/>
      <c r="F15" s="79"/>
      <c r="G15" s="79"/>
      <c r="H15" s="79"/>
      <c r="I15" s="79"/>
      <c r="J15" s="79"/>
      <c r="K15" s="115"/>
    </row>
    <row r="16" spans="2:11" x14ac:dyDescent="0.25">
      <c r="B16" s="13"/>
      <c r="C16" s="21">
        <v>12</v>
      </c>
      <c r="D16" s="21">
        <v>50</v>
      </c>
      <c r="E16" s="14"/>
      <c r="F16" s="79"/>
      <c r="G16" s="79"/>
      <c r="H16" s="79"/>
      <c r="I16" s="79"/>
      <c r="J16" s="79"/>
      <c r="K16" s="115"/>
    </row>
    <row r="17" spans="1:11" x14ac:dyDescent="0.25">
      <c r="B17" s="13"/>
      <c r="C17" s="21">
        <v>20</v>
      </c>
      <c r="D17" s="21">
        <v>70</v>
      </c>
      <c r="E17" s="14"/>
      <c r="F17" s="79"/>
      <c r="G17" s="79"/>
      <c r="H17" s="79"/>
      <c r="I17" s="79"/>
      <c r="J17" s="79"/>
      <c r="K17" s="115"/>
    </row>
    <row r="18" spans="1:11" x14ac:dyDescent="0.25">
      <c r="B18" s="13"/>
      <c r="C18" s="21">
        <v>30</v>
      </c>
      <c r="D18" s="21">
        <v>100</v>
      </c>
      <c r="E18" s="14"/>
      <c r="F18" s="79"/>
      <c r="G18" s="79"/>
      <c r="H18" s="79"/>
      <c r="I18" s="14"/>
      <c r="J18" s="79"/>
      <c r="K18" s="115"/>
    </row>
    <row r="19" spans="1:11" x14ac:dyDescent="0.25">
      <c r="B19" s="13"/>
      <c r="C19" s="79"/>
      <c r="D19" s="79"/>
      <c r="E19" s="79"/>
      <c r="F19" s="79"/>
      <c r="G19" s="79"/>
      <c r="H19" s="79"/>
      <c r="I19" s="79"/>
      <c r="J19" s="79"/>
      <c r="K19" s="115"/>
    </row>
    <row r="20" spans="1:11" ht="51" x14ac:dyDescent="0.25">
      <c r="B20" s="123" t="s">
        <v>80</v>
      </c>
      <c r="C20" s="81" t="s">
        <v>81</v>
      </c>
      <c r="D20" s="79"/>
      <c r="E20" s="81" t="s">
        <v>86</v>
      </c>
      <c r="F20" s="79"/>
      <c r="G20" s="79"/>
      <c r="H20" s="79"/>
      <c r="I20" s="79"/>
      <c r="J20" s="79"/>
      <c r="K20" s="115"/>
    </row>
    <row r="21" spans="1:11" x14ac:dyDescent="0.25">
      <c r="B21" s="13"/>
      <c r="D21" s="21">
        <v>15.098951460644853</v>
      </c>
      <c r="E21" s="79"/>
      <c r="F21" s="77"/>
      <c r="G21" s="79"/>
      <c r="H21" s="79"/>
      <c r="I21" s="79"/>
      <c r="J21" s="79"/>
      <c r="K21" s="115"/>
    </row>
    <row r="22" spans="1:11" x14ac:dyDescent="0.25">
      <c r="B22" s="13"/>
      <c r="D22" s="21">
        <v>19.859420491558552</v>
      </c>
      <c r="E22" s="79"/>
      <c r="F22" s="79"/>
      <c r="G22" s="79"/>
      <c r="H22" s="79"/>
      <c r="I22" s="79"/>
      <c r="J22" s="79"/>
      <c r="K22" s="115"/>
    </row>
    <row r="23" spans="1:11" x14ac:dyDescent="0.25">
      <c r="B23" s="13"/>
      <c r="D23" s="21">
        <v>24.460720526903401</v>
      </c>
      <c r="E23" s="79"/>
      <c r="F23" s="79"/>
      <c r="G23" s="79"/>
      <c r="H23" s="79"/>
      <c r="I23" s="79"/>
      <c r="J23" s="79"/>
      <c r="K23" s="115"/>
    </row>
    <row r="24" spans="1:11" x14ac:dyDescent="0.25">
      <c r="A24" s="108"/>
      <c r="B24" s="13"/>
      <c r="C24" s="134">
        <v>25.846631372561404</v>
      </c>
      <c r="D24" s="133">
        <v>30.311544090315863</v>
      </c>
      <c r="E24" s="79"/>
      <c r="F24" s="79"/>
      <c r="G24" s="79"/>
      <c r="H24" s="79"/>
      <c r="I24" s="79"/>
      <c r="J24" s="79"/>
      <c r="K24" s="115"/>
    </row>
    <row r="25" spans="1:11" x14ac:dyDescent="0.25">
      <c r="A25" s="108"/>
      <c r="B25" s="13"/>
      <c r="C25" s="135">
        <v>35.179878996098516</v>
      </c>
      <c r="D25" s="21">
        <v>46.490906096176104</v>
      </c>
      <c r="E25" s="79"/>
      <c r="F25" s="79"/>
      <c r="G25" s="79"/>
      <c r="H25" s="79"/>
      <c r="I25" s="79"/>
      <c r="J25" s="79"/>
      <c r="K25" s="115"/>
    </row>
    <row r="26" spans="1:11" x14ac:dyDescent="0.25">
      <c r="A26" s="108"/>
      <c r="B26" s="13"/>
      <c r="C26" s="135">
        <v>44.534684469128869</v>
      </c>
      <c r="D26" s="21">
        <v>70.55914475007296</v>
      </c>
      <c r="E26" s="79"/>
      <c r="F26" s="79"/>
      <c r="G26" s="79"/>
      <c r="H26" s="79"/>
      <c r="I26" s="79"/>
      <c r="J26" s="79"/>
      <c r="K26" s="115"/>
    </row>
    <row r="27" spans="1:11" x14ac:dyDescent="0.25">
      <c r="A27" s="108"/>
      <c r="B27" s="13"/>
      <c r="C27" s="135">
        <v>53.314286944803669</v>
      </c>
      <c r="D27" s="21">
        <v>111.4907120170421</v>
      </c>
      <c r="E27" s="79"/>
      <c r="F27" s="79"/>
      <c r="G27" s="79"/>
      <c r="H27" s="79"/>
      <c r="I27" s="79"/>
      <c r="J27" s="79"/>
      <c r="K27" s="115"/>
    </row>
    <row r="28" spans="1:11" x14ac:dyDescent="0.25">
      <c r="A28" s="108"/>
      <c r="B28" s="124" t="s">
        <v>82</v>
      </c>
      <c r="C28" s="136">
        <f>SUM(C24:C27)</f>
        <v>158.87548178259246</v>
      </c>
      <c r="D28" s="136">
        <f>SUM(D24:D27)</f>
        <v>258.85230695360701</v>
      </c>
      <c r="E28" s="94">
        <v>170</v>
      </c>
      <c r="F28" s="94">
        <v>44</v>
      </c>
      <c r="G28" s="94">
        <v>28</v>
      </c>
      <c r="H28" s="94">
        <v>14</v>
      </c>
      <c r="I28" s="93"/>
      <c r="J28" s="93"/>
      <c r="K28" s="116"/>
    </row>
    <row r="29" spans="1:11" x14ac:dyDescent="0.25">
      <c r="A29" s="108"/>
      <c r="B29" s="125" t="s">
        <v>83</v>
      </c>
      <c r="C29" s="106">
        <v>145</v>
      </c>
      <c r="D29" s="106">
        <v>180</v>
      </c>
      <c r="E29" s="106">
        <v>115</v>
      </c>
      <c r="F29" s="107">
        <v>39.641819657142896</v>
      </c>
      <c r="G29" s="107">
        <v>24.717692260670901</v>
      </c>
      <c r="H29" s="107">
        <v>11</v>
      </c>
      <c r="I29" s="92"/>
      <c r="J29" s="92"/>
      <c r="K29" s="117"/>
    </row>
    <row r="30" spans="1:11" x14ac:dyDescent="0.25">
      <c r="A30" s="108"/>
      <c r="B30" s="126"/>
      <c r="C30" s="109"/>
      <c r="D30" s="109"/>
      <c r="E30" s="109"/>
      <c r="F30" s="109"/>
      <c r="G30" s="109"/>
      <c r="H30" s="109"/>
      <c r="I30" s="109"/>
      <c r="J30" s="109"/>
      <c r="K30" s="115"/>
    </row>
    <row r="31" spans="1:11" x14ac:dyDescent="0.25">
      <c r="A31" s="108"/>
      <c r="B31" s="121" t="s">
        <v>91</v>
      </c>
      <c r="C31" s="109"/>
      <c r="D31" s="109"/>
      <c r="E31" s="109"/>
      <c r="F31" s="109"/>
      <c r="G31" s="109"/>
      <c r="H31" s="109"/>
      <c r="I31" s="109"/>
      <c r="J31" s="109"/>
      <c r="K31" s="115"/>
    </row>
    <row r="32" spans="1:11" x14ac:dyDescent="0.25">
      <c r="A32" s="108"/>
      <c r="B32" s="124" t="s">
        <v>82</v>
      </c>
      <c r="C32" s="91">
        <f>C$7+C28</f>
        <v>1120.0426220992683</v>
      </c>
      <c r="D32" s="91">
        <f t="shared" ref="D32:H32" si="0">D$7+D28</f>
        <v>667.36456154920199</v>
      </c>
      <c r="E32" s="91">
        <f t="shared" si="0"/>
        <v>896.84935073335498</v>
      </c>
      <c r="F32" s="91">
        <f t="shared" si="0"/>
        <v>257.45595200000002</v>
      </c>
      <c r="G32" s="91">
        <f t="shared" si="0"/>
        <v>160.11180346220601</v>
      </c>
      <c r="H32" s="91">
        <f t="shared" si="0"/>
        <v>64.28</v>
      </c>
      <c r="I32" s="103">
        <v>240</v>
      </c>
      <c r="J32" s="103">
        <v>105</v>
      </c>
      <c r="K32" s="118">
        <f>SUM(C32:J32)</f>
        <v>3511.1042898440314</v>
      </c>
    </row>
    <row r="33" spans="1:12" x14ac:dyDescent="0.25">
      <c r="A33" s="108"/>
      <c r="B33" s="125" t="s">
        <v>83</v>
      </c>
      <c r="C33" s="92">
        <f>C$7+C29</f>
        <v>1106.1671403166761</v>
      </c>
      <c r="D33" s="92">
        <f t="shared" ref="D33:H33" si="1">D$7+D29</f>
        <v>588.51225459559498</v>
      </c>
      <c r="E33" s="92">
        <f t="shared" si="1"/>
        <v>841.84935073335498</v>
      </c>
      <c r="F33" s="92">
        <f t="shared" si="1"/>
        <v>253.09777165714289</v>
      </c>
      <c r="G33" s="92">
        <f t="shared" si="1"/>
        <v>156.82949572287691</v>
      </c>
      <c r="H33" s="92">
        <f t="shared" si="1"/>
        <v>61.28</v>
      </c>
      <c r="I33" s="104">
        <v>230</v>
      </c>
      <c r="J33" s="104">
        <v>100</v>
      </c>
      <c r="K33" s="119">
        <f>SUM(C33:J33)</f>
        <v>3337.7360130256461</v>
      </c>
    </row>
    <row r="34" spans="1:12" x14ac:dyDescent="0.25">
      <c r="B34" s="108"/>
      <c r="C34" s="109"/>
      <c r="D34" s="109"/>
      <c r="E34" s="109"/>
      <c r="F34" s="109"/>
      <c r="G34" s="109"/>
      <c r="H34" s="109"/>
      <c r="I34" s="109"/>
      <c r="J34" s="109"/>
      <c r="K34" s="127"/>
    </row>
    <row r="35" spans="1:12" x14ac:dyDescent="0.25">
      <c r="B35" s="122" t="s">
        <v>92</v>
      </c>
      <c r="C35" s="8"/>
      <c r="D35" s="8"/>
      <c r="E35" s="8"/>
      <c r="F35" s="8"/>
      <c r="G35" s="8"/>
      <c r="H35" s="8"/>
      <c r="I35" s="8"/>
      <c r="J35" s="8"/>
      <c r="K35" s="128"/>
    </row>
    <row r="36" spans="1:12" x14ac:dyDescent="0.25">
      <c r="B36" s="13" t="s">
        <v>19</v>
      </c>
      <c r="C36" s="14">
        <v>1441</v>
      </c>
      <c r="D36" s="14">
        <v>466</v>
      </c>
      <c r="E36" s="14">
        <v>955</v>
      </c>
      <c r="F36" s="14">
        <v>206</v>
      </c>
      <c r="G36" s="14">
        <v>167</v>
      </c>
      <c r="H36" s="14">
        <v>98</v>
      </c>
      <c r="I36" s="14">
        <v>234</v>
      </c>
      <c r="J36" s="14">
        <v>82</v>
      </c>
      <c r="K36" s="129">
        <v>3649</v>
      </c>
    </row>
    <row r="37" spans="1:12" x14ac:dyDescent="0.25">
      <c r="B37" s="13" t="s">
        <v>20</v>
      </c>
      <c r="C37" s="14">
        <v>1042</v>
      </c>
      <c r="D37" s="14">
        <v>416</v>
      </c>
      <c r="E37" s="14">
        <v>823</v>
      </c>
      <c r="F37" s="14">
        <v>211</v>
      </c>
      <c r="G37" s="14">
        <v>163</v>
      </c>
      <c r="H37" s="14">
        <v>35</v>
      </c>
      <c r="I37" s="14">
        <v>195</v>
      </c>
      <c r="J37" s="14">
        <v>80</v>
      </c>
      <c r="K37" s="129">
        <v>2965</v>
      </c>
    </row>
    <row r="38" spans="1:12" x14ac:dyDescent="0.25">
      <c r="B38" s="13" t="s">
        <v>0</v>
      </c>
      <c r="C38" s="14">
        <v>1211</v>
      </c>
      <c r="D38" s="14">
        <v>658</v>
      </c>
      <c r="E38" s="14">
        <v>863</v>
      </c>
      <c r="F38" s="14">
        <v>201</v>
      </c>
      <c r="G38" s="14">
        <v>161</v>
      </c>
      <c r="H38" s="14">
        <v>45</v>
      </c>
      <c r="I38" s="14">
        <v>227</v>
      </c>
      <c r="J38" s="14">
        <v>83</v>
      </c>
      <c r="K38" s="129">
        <v>3449</v>
      </c>
    </row>
    <row r="39" spans="1:12" x14ac:dyDescent="0.25">
      <c r="B39" s="13" t="s">
        <v>57</v>
      </c>
      <c r="C39" s="14">
        <v>1887</v>
      </c>
      <c r="D39" s="14">
        <v>507</v>
      </c>
      <c r="E39" s="14">
        <v>789</v>
      </c>
      <c r="F39" s="14">
        <v>214</v>
      </c>
      <c r="G39" s="14">
        <v>157</v>
      </c>
      <c r="H39" s="14">
        <v>64</v>
      </c>
      <c r="I39" s="14">
        <v>194</v>
      </c>
      <c r="J39" s="14">
        <v>86</v>
      </c>
      <c r="K39" s="129">
        <v>3898</v>
      </c>
    </row>
    <row r="40" spans="1:12" x14ac:dyDescent="0.25">
      <c r="B40" s="13" t="s">
        <v>72</v>
      </c>
      <c r="C40" s="14">
        <v>1209</v>
      </c>
      <c r="D40" s="14">
        <v>521</v>
      </c>
      <c r="E40" s="14">
        <v>755</v>
      </c>
      <c r="F40" s="14">
        <v>256</v>
      </c>
      <c r="G40" s="14">
        <v>157</v>
      </c>
      <c r="H40" s="14">
        <v>39</v>
      </c>
      <c r="I40" s="14">
        <v>230</v>
      </c>
      <c r="J40" s="14">
        <v>95</v>
      </c>
      <c r="K40" s="129">
        <v>3262</v>
      </c>
    </row>
    <row r="41" spans="1:12" x14ac:dyDescent="0.25">
      <c r="B41" s="13" t="s">
        <v>73</v>
      </c>
      <c r="C41" s="14">
        <v>1087</v>
      </c>
      <c r="D41" s="14">
        <v>823</v>
      </c>
      <c r="E41" s="14">
        <v>837</v>
      </c>
      <c r="F41" s="14">
        <v>233</v>
      </c>
      <c r="G41" s="14">
        <v>155</v>
      </c>
      <c r="H41" s="14">
        <v>70</v>
      </c>
      <c r="I41" s="14">
        <v>195</v>
      </c>
      <c r="J41" s="14">
        <v>97</v>
      </c>
      <c r="K41" s="129">
        <v>3497</v>
      </c>
    </row>
    <row r="42" spans="1:12" x14ac:dyDescent="0.25">
      <c r="C42" s="79"/>
      <c r="D42" s="79"/>
      <c r="E42" s="79"/>
      <c r="F42" s="79"/>
      <c r="G42" s="79"/>
      <c r="H42" s="79"/>
      <c r="I42" s="79"/>
      <c r="J42" s="79"/>
      <c r="K42" s="130"/>
    </row>
    <row r="43" spans="1:12" x14ac:dyDescent="0.25">
      <c r="B43" s="122" t="s">
        <v>93</v>
      </c>
      <c r="C43" s="79"/>
      <c r="D43" s="79"/>
      <c r="E43" s="79"/>
      <c r="F43" s="79"/>
      <c r="G43" s="79"/>
      <c r="H43" s="79"/>
      <c r="I43" s="79"/>
      <c r="J43" s="79"/>
      <c r="K43" s="130"/>
    </row>
    <row r="44" spans="1:12" x14ac:dyDescent="0.25">
      <c r="C44" s="79"/>
      <c r="D44" s="79"/>
      <c r="E44" s="79"/>
      <c r="F44" s="79"/>
      <c r="G44" s="79"/>
      <c r="H44" s="79"/>
      <c r="I44" s="79"/>
      <c r="J44" s="79"/>
      <c r="K44" s="130"/>
    </row>
    <row r="45" spans="1:12" x14ac:dyDescent="0.25">
      <c r="B45" s="108"/>
      <c r="C45" s="109"/>
      <c r="D45" s="109"/>
      <c r="E45" s="109"/>
      <c r="F45" s="109"/>
      <c r="G45" s="109"/>
      <c r="H45" s="109"/>
      <c r="I45" s="105" t="s">
        <v>84</v>
      </c>
      <c r="J45" s="109"/>
      <c r="K45" s="130"/>
    </row>
    <row r="46" spans="1:12" x14ac:dyDescent="0.25">
      <c r="B46" s="108"/>
      <c r="C46" s="109"/>
      <c r="D46" s="109"/>
      <c r="E46" s="109"/>
      <c r="F46" s="109"/>
      <c r="G46" s="109"/>
      <c r="H46" s="109"/>
      <c r="I46" s="120" t="s">
        <v>46</v>
      </c>
      <c r="K46" s="131">
        <v>3411.3</v>
      </c>
      <c r="L46" s="99"/>
    </row>
    <row r="47" spans="1:12" x14ac:dyDescent="0.25">
      <c r="B47" s="108"/>
      <c r="C47" s="109"/>
      <c r="D47" s="109"/>
      <c r="E47" s="109"/>
      <c r="F47" s="109"/>
      <c r="G47" s="109"/>
      <c r="H47" s="109"/>
      <c r="I47" s="120" t="s">
        <v>89</v>
      </c>
      <c r="J47" s="111"/>
      <c r="K47" s="131">
        <v>3304</v>
      </c>
      <c r="L47" s="99"/>
    </row>
    <row r="48" spans="1:12" x14ac:dyDescent="0.25">
      <c r="B48" s="108"/>
      <c r="C48" s="109"/>
      <c r="D48" s="109"/>
      <c r="E48" s="109"/>
      <c r="F48" s="109"/>
      <c r="G48" s="109"/>
      <c r="H48" s="109"/>
      <c r="I48" s="109"/>
      <c r="J48" s="111"/>
      <c r="K48" s="132"/>
      <c r="L48" s="99"/>
    </row>
    <row r="49" spans="2:12" x14ac:dyDescent="0.25">
      <c r="B49" s="108"/>
      <c r="C49" s="109"/>
      <c r="D49" s="109"/>
      <c r="E49" s="109"/>
      <c r="F49" s="109"/>
      <c r="G49" s="109"/>
      <c r="H49" s="109"/>
      <c r="I49" s="105" t="s">
        <v>88</v>
      </c>
      <c r="J49" s="111"/>
      <c r="K49" s="132"/>
      <c r="L49" s="99"/>
    </row>
    <row r="50" spans="2:12" x14ac:dyDescent="0.25">
      <c r="B50" s="108"/>
      <c r="C50" s="109"/>
      <c r="D50" s="109"/>
      <c r="E50" s="109"/>
      <c r="F50" s="109"/>
      <c r="G50" s="109"/>
      <c r="H50" s="109"/>
      <c r="I50" s="120" t="s">
        <v>46</v>
      </c>
      <c r="J50" s="111"/>
      <c r="K50" s="131">
        <v>3752</v>
      </c>
      <c r="L50" s="99"/>
    </row>
    <row r="51" spans="2:12" x14ac:dyDescent="0.25">
      <c r="B51" s="108"/>
      <c r="C51" s="109"/>
      <c r="D51" s="109"/>
      <c r="E51" s="109"/>
      <c r="F51" s="109"/>
      <c r="G51" s="109"/>
      <c r="H51" s="109"/>
      <c r="I51" s="120" t="s">
        <v>89</v>
      </c>
      <c r="J51" s="111"/>
      <c r="K51" s="131">
        <v>3425.1105357406659</v>
      </c>
      <c r="L51" s="99"/>
    </row>
    <row r="52" spans="2:12" x14ac:dyDescent="0.25">
      <c r="B52" s="108"/>
      <c r="C52" s="109"/>
      <c r="D52" s="109"/>
      <c r="E52" s="109"/>
      <c r="F52" s="109"/>
      <c r="G52" s="109"/>
      <c r="H52" s="109"/>
      <c r="I52" s="109"/>
      <c r="J52" s="111"/>
      <c r="K52" s="112"/>
      <c r="L52" s="99"/>
    </row>
    <row r="53" spans="2:12" x14ac:dyDescent="0.25">
      <c r="B53" s="108"/>
      <c r="C53" s="109"/>
      <c r="D53" s="109"/>
      <c r="E53" s="109"/>
      <c r="F53" s="109"/>
      <c r="G53" s="109"/>
      <c r="H53" s="109"/>
      <c r="I53" s="109"/>
      <c r="J53" s="111"/>
      <c r="K53" s="112"/>
      <c r="L53" s="99"/>
    </row>
    <row r="54" spans="2:12" x14ac:dyDescent="0.25">
      <c r="B54" s="108"/>
      <c r="C54" s="109"/>
      <c r="D54" s="109"/>
      <c r="E54" s="109"/>
      <c r="F54" s="109"/>
      <c r="G54" s="109"/>
      <c r="H54" s="109"/>
      <c r="I54" s="109"/>
      <c r="J54" s="111"/>
      <c r="K54" s="112"/>
      <c r="L54" s="99"/>
    </row>
    <row r="55" spans="2:12" x14ac:dyDescent="0.25">
      <c r="B55" s="108"/>
      <c r="C55" s="109"/>
      <c r="D55" s="109"/>
      <c r="E55" s="109"/>
      <c r="F55" s="109"/>
      <c r="G55" s="109"/>
      <c r="H55" s="109"/>
      <c r="I55" s="109"/>
      <c r="J55" s="109"/>
      <c r="K55" s="110"/>
    </row>
    <row r="56" spans="2:12" x14ac:dyDescent="0.25">
      <c r="B56" s="108"/>
      <c r="C56" s="109"/>
      <c r="D56" s="109"/>
      <c r="E56" s="109"/>
      <c r="F56" s="109"/>
      <c r="G56" s="109"/>
      <c r="H56" s="109"/>
      <c r="I56" s="109"/>
      <c r="J56" s="109"/>
      <c r="K56" s="110"/>
    </row>
    <row r="57" spans="2:12" x14ac:dyDescent="0.25">
      <c r="B57" s="1" t="s">
        <v>85</v>
      </c>
      <c r="C57" s="90"/>
      <c r="D57" s="90"/>
      <c r="E57" s="90"/>
      <c r="F57" s="90"/>
      <c r="G57" s="90"/>
      <c r="H57" s="90"/>
      <c r="I57" s="90"/>
      <c r="J57" s="90"/>
      <c r="K57" s="80"/>
    </row>
    <row r="58" spans="2:12" x14ac:dyDescent="0.25">
      <c r="B58" s="2" t="s">
        <v>82</v>
      </c>
      <c r="C58" s="90">
        <f>C7+C29</f>
        <v>1106.1671403166761</v>
      </c>
      <c r="D58" s="90">
        <f>D15+D46</f>
        <v>30</v>
      </c>
      <c r="E58" s="90">
        <f>E46+E15</f>
        <v>0</v>
      </c>
      <c r="F58" s="90"/>
      <c r="G58" s="90"/>
      <c r="H58" s="90"/>
      <c r="I58" s="90"/>
      <c r="J58" s="90"/>
      <c r="K58" s="80"/>
    </row>
    <row r="59" spans="2:12" x14ac:dyDescent="0.25">
      <c r="B59" s="2" t="s">
        <v>83</v>
      </c>
      <c r="C59" s="90"/>
      <c r="D59" s="90"/>
      <c r="F59" s="90">
        <f>F55+F15</f>
        <v>0</v>
      </c>
      <c r="G59" s="90">
        <f>G55+G15</f>
        <v>0</v>
      </c>
      <c r="H59" s="90">
        <f>H55+H15</f>
        <v>0</v>
      </c>
      <c r="I59" s="95">
        <v>230</v>
      </c>
      <c r="J59" s="95">
        <v>100</v>
      </c>
      <c r="K59" s="80"/>
    </row>
    <row r="60" spans="2:12" x14ac:dyDescent="0.25">
      <c r="C60" s="90"/>
      <c r="D60" s="90"/>
      <c r="E60" s="90"/>
      <c r="F60" s="90"/>
      <c r="G60" s="90"/>
      <c r="H60" s="90"/>
      <c r="I60" s="90"/>
      <c r="J60" s="90"/>
      <c r="K60" s="80"/>
    </row>
    <row r="61" spans="2:12" x14ac:dyDescent="0.25">
      <c r="B61" s="100" t="s">
        <v>84</v>
      </c>
      <c r="C61" s="101">
        <f>C58+C59</f>
        <v>1106.1671403166761</v>
      </c>
      <c r="D61" s="101">
        <f t="shared" ref="D61" si="2">D58+D59</f>
        <v>30</v>
      </c>
      <c r="E61" s="101">
        <f>E58+E59</f>
        <v>0</v>
      </c>
      <c r="F61" s="101">
        <f t="shared" ref="F61:J61" si="3">F58+F59</f>
        <v>0</v>
      </c>
      <c r="G61" s="101">
        <f t="shared" si="3"/>
        <v>0</v>
      </c>
      <c r="H61" s="101">
        <f t="shared" si="3"/>
        <v>0</v>
      </c>
      <c r="I61" s="101">
        <f t="shared" si="3"/>
        <v>230</v>
      </c>
      <c r="J61" s="101">
        <f t="shared" si="3"/>
        <v>100</v>
      </c>
      <c r="K61" s="102">
        <f>SUM(C61:J61)</f>
        <v>1466.1671403166761</v>
      </c>
    </row>
    <row r="62" spans="2:12" x14ac:dyDescent="0.25">
      <c r="C62" s="90"/>
      <c r="D62" s="90"/>
      <c r="E62" s="90"/>
      <c r="F62" s="90"/>
      <c r="G62" s="90"/>
      <c r="H62" s="90"/>
      <c r="I62" s="90"/>
      <c r="J62" s="95" t="s">
        <v>46</v>
      </c>
      <c r="K62" s="98">
        <v>3445.2</v>
      </c>
    </row>
    <row r="63" spans="2:12" x14ac:dyDescent="0.25">
      <c r="C63" s="90"/>
      <c r="D63" s="90"/>
      <c r="E63" s="90"/>
      <c r="F63" s="90"/>
      <c r="G63" s="90"/>
      <c r="H63" s="90"/>
      <c r="I63" s="90"/>
      <c r="J63" s="90"/>
      <c r="K63" s="80"/>
    </row>
    <row r="64" spans="2:12" x14ac:dyDescent="0.25">
      <c r="C64" s="90"/>
      <c r="D64" s="90"/>
      <c r="E64" s="90"/>
      <c r="F64" s="90"/>
      <c r="G64" s="90"/>
      <c r="H64" s="90"/>
      <c r="I64" s="90"/>
      <c r="J64" s="90"/>
      <c r="K64" s="80"/>
    </row>
    <row r="65" spans="2:11" x14ac:dyDescent="0.25">
      <c r="B65" s="16" t="s">
        <v>21</v>
      </c>
      <c r="C65" s="21">
        <v>1071.1489328535054</v>
      </c>
      <c r="D65" s="21">
        <v>418.50857476164401</v>
      </c>
      <c r="E65" s="21">
        <v>680.07768930533587</v>
      </c>
      <c r="F65" s="21">
        <v>175.27007520000001</v>
      </c>
      <c r="G65" s="21">
        <v>135.16254034452155</v>
      </c>
      <c r="H65" s="21">
        <v>36.28</v>
      </c>
      <c r="I65" s="21" t="s">
        <v>22</v>
      </c>
      <c r="J65" s="21" t="s">
        <v>22</v>
      </c>
      <c r="K65" s="15"/>
    </row>
    <row r="66" spans="2:11" x14ac:dyDescent="0.25">
      <c r="C66" s="79"/>
      <c r="D66" s="21"/>
      <c r="E66" s="79"/>
      <c r="F66" s="82"/>
      <c r="G66" s="82"/>
      <c r="H66" s="79"/>
      <c r="I66" s="79"/>
      <c r="J66" s="79"/>
      <c r="K66" s="80"/>
    </row>
    <row r="67" spans="2:11" x14ac:dyDescent="0.25">
      <c r="B67" s="24">
        <v>45261</v>
      </c>
      <c r="C67" s="39"/>
      <c r="D67" s="83" t="s">
        <v>23</v>
      </c>
      <c r="E67" s="79"/>
      <c r="F67" s="82"/>
      <c r="G67" s="82"/>
      <c r="H67" s="79"/>
      <c r="I67" s="79"/>
      <c r="J67" s="79"/>
      <c r="K67" s="80"/>
    </row>
    <row r="68" spans="2:11" x14ac:dyDescent="0.25">
      <c r="B68" s="13" t="s">
        <v>16</v>
      </c>
      <c r="C68" s="21">
        <v>125</v>
      </c>
      <c r="D68" s="21">
        <v>64</v>
      </c>
      <c r="E68" s="21">
        <v>192.4</v>
      </c>
      <c r="F68" s="21">
        <v>28</v>
      </c>
      <c r="G68" s="21">
        <v>25.42</v>
      </c>
      <c r="H68" s="21">
        <v>5.1014999999999997</v>
      </c>
      <c r="I68" s="79"/>
      <c r="J68" s="79"/>
      <c r="K68" s="80"/>
    </row>
    <row r="69" spans="2:11" x14ac:dyDescent="0.25">
      <c r="B69" s="13" t="s">
        <v>17</v>
      </c>
      <c r="C69" s="21">
        <v>194.55243962514299</v>
      </c>
      <c r="D69" s="21">
        <v>104.49304245266538</v>
      </c>
      <c r="E69" s="21">
        <v>213.39999999999998</v>
      </c>
      <c r="F69" s="21">
        <v>32</v>
      </c>
      <c r="G69" s="21">
        <v>26.35</v>
      </c>
      <c r="H69" s="21">
        <v>7.4463999999999997</v>
      </c>
      <c r="I69" s="79"/>
      <c r="J69" s="79"/>
      <c r="K69" s="80"/>
    </row>
    <row r="70" spans="2:11" x14ac:dyDescent="0.25">
      <c r="B70" s="13" t="s">
        <v>18</v>
      </c>
      <c r="C70" s="21">
        <v>321.5</v>
      </c>
      <c r="D70" s="21">
        <v>246.5</v>
      </c>
      <c r="E70" s="21">
        <v>243.5</v>
      </c>
      <c r="F70" s="21">
        <v>36</v>
      </c>
      <c r="G70" s="21">
        <v>27.434999999999999</v>
      </c>
      <c r="H70" s="21">
        <v>9.3079999999999998</v>
      </c>
      <c r="I70" s="79"/>
      <c r="J70" s="79"/>
      <c r="K70" s="80"/>
    </row>
    <row r="71" spans="2:11" x14ac:dyDescent="0.25">
      <c r="C71" s="79"/>
      <c r="D71" s="79"/>
      <c r="E71" s="79"/>
      <c r="F71" s="79"/>
      <c r="G71" s="79"/>
      <c r="H71" s="79"/>
      <c r="I71" s="79"/>
      <c r="J71" s="79"/>
      <c r="K71" s="80"/>
    </row>
    <row r="72" spans="2:11" x14ac:dyDescent="0.25">
      <c r="B72" s="24" t="s">
        <v>26</v>
      </c>
      <c r="C72" s="79"/>
      <c r="D72" s="79"/>
      <c r="E72" s="79"/>
      <c r="F72" s="79"/>
      <c r="G72" s="79"/>
      <c r="H72" s="79"/>
      <c r="I72" s="79"/>
      <c r="J72" s="79"/>
      <c r="K72" s="80"/>
    </row>
    <row r="73" spans="2:11" x14ac:dyDescent="0.25">
      <c r="B73" s="13" t="s">
        <v>16</v>
      </c>
      <c r="C73" s="29">
        <f t="shared" ref="C73:H75" si="4">C$65+C68</f>
        <v>1196.1489328535054</v>
      </c>
      <c r="D73" s="29">
        <f t="shared" si="4"/>
        <v>482.50857476164401</v>
      </c>
      <c r="E73" s="29">
        <f t="shared" si="4"/>
        <v>872.47768930533584</v>
      </c>
      <c r="F73" s="29">
        <f t="shared" si="4"/>
        <v>203.27007520000001</v>
      </c>
      <c r="G73" s="29">
        <f t="shared" si="4"/>
        <v>160.58254034452153</v>
      </c>
      <c r="H73" s="29">
        <f t="shared" si="4"/>
        <v>41.381500000000003</v>
      </c>
      <c r="I73" s="21">
        <v>190</v>
      </c>
      <c r="J73" s="21">
        <v>75</v>
      </c>
      <c r="K73" s="30">
        <f>SUM(C73:J73)</f>
        <v>3221.3693124650067</v>
      </c>
    </row>
    <row r="74" spans="2:11" x14ac:dyDescent="0.25">
      <c r="B74" s="13" t="s">
        <v>17</v>
      </c>
      <c r="C74" s="29">
        <f t="shared" si="4"/>
        <v>1265.7013724786484</v>
      </c>
      <c r="D74" s="29">
        <f t="shared" si="4"/>
        <v>523.00161721430936</v>
      </c>
      <c r="E74" s="29">
        <f t="shared" si="4"/>
        <v>893.47768930533584</v>
      </c>
      <c r="F74" s="29">
        <f t="shared" si="4"/>
        <v>207.27007520000001</v>
      </c>
      <c r="G74" s="29">
        <f t="shared" si="4"/>
        <v>161.51254034452154</v>
      </c>
      <c r="H74" s="29">
        <f t="shared" si="4"/>
        <v>43.726399999999998</v>
      </c>
      <c r="I74" s="21">
        <v>220</v>
      </c>
      <c r="J74" s="21">
        <v>82</v>
      </c>
      <c r="K74" s="30">
        <f>SUM(C74:J74)</f>
        <v>3396.6896945428157</v>
      </c>
    </row>
    <row r="75" spans="2:11" x14ac:dyDescent="0.25">
      <c r="B75" s="13" t="s">
        <v>18</v>
      </c>
      <c r="C75" s="29">
        <f t="shared" si="4"/>
        <v>1392.6489328535054</v>
      </c>
      <c r="D75" s="29">
        <f t="shared" si="4"/>
        <v>665.00857476164401</v>
      </c>
      <c r="E75" s="29">
        <f t="shared" si="4"/>
        <v>923.57768930533587</v>
      </c>
      <c r="F75" s="29">
        <f t="shared" si="4"/>
        <v>211.27007520000001</v>
      </c>
      <c r="G75" s="29">
        <f t="shared" si="4"/>
        <v>162.59754034452155</v>
      </c>
      <c r="H75" s="29">
        <f t="shared" si="4"/>
        <v>45.588000000000001</v>
      </c>
      <c r="I75" s="21">
        <v>245</v>
      </c>
      <c r="J75" s="21">
        <v>90</v>
      </c>
      <c r="K75" s="30">
        <f>SUM(C75:J75)</f>
        <v>3735.6908124650067</v>
      </c>
    </row>
    <row r="76" spans="2:11" x14ac:dyDescent="0.25">
      <c r="C76" s="79"/>
      <c r="D76" s="79"/>
      <c r="E76" s="79"/>
      <c r="F76" s="79"/>
      <c r="G76" s="79"/>
      <c r="H76" s="79"/>
      <c r="I76" s="79"/>
      <c r="J76" s="79"/>
      <c r="K76" s="80"/>
    </row>
    <row r="77" spans="2:11" x14ac:dyDescent="0.25">
      <c r="B77" s="24" t="s">
        <v>29</v>
      </c>
      <c r="C77" s="79"/>
      <c r="D77" s="79"/>
      <c r="E77" s="79"/>
      <c r="F77" s="79"/>
      <c r="G77" s="79"/>
      <c r="H77" s="79"/>
      <c r="I77" s="79"/>
      <c r="J77" s="79"/>
      <c r="K77" s="80"/>
    </row>
    <row r="78" spans="2:11" x14ac:dyDescent="0.25">
      <c r="B78" s="13" t="s">
        <v>16</v>
      </c>
      <c r="C78" s="32">
        <f t="shared" ref="C78:K78" si="5">C73/C$74-1</f>
        <v>-5.4951698036747043E-2</v>
      </c>
      <c r="D78" s="32">
        <f t="shared" si="5"/>
        <v>-7.7424315948286249E-2</v>
      </c>
      <c r="E78" s="32">
        <f t="shared" si="5"/>
        <v>-2.3503664670493474E-2</v>
      </c>
      <c r="F78" s="32">
        <f t="shared" si="5"/>
        <v>-1.9298492539939982E-2</v>
      </c>
      <c r="G78" s="32">
        <f t="shared" si="5"/>
        <v>-5.7580668226518972E-3</v>
      </c>
      <c r="H78" s="32">
        <f t="shared" si="5"/>
        <v>-5.3626642028614224E-2</v>
      </c>
      <c r="I78" s="32">
        <f t="shared" si="5"/>
        <v>-0.13636363636363635</v>
      </c>
      <c r="J78" s="32">
        <f t="shared" si="5"/>
        <v>-8.536585365853655E-2</v>
      </c>
      <c r="K78" s="33">
        <f t="shared" si="5"/>
        <v>-5.1615071685671476E-2</v>
      </c>
    </row>
    <row r="79" spans="2:11" x14ac:dyDescent="0.25">
      <c r="B79" s="13" t="s">
        <v>18</v>
      </c>
      <c r="C79" s="32">
        <f t="shared" ref="C79:J79" si="6">C75/C$74-1</f>
        <v>0.10029819287171438</v>
      </c>
      <c r="D79" s="32">
        <f t="shared" si="6"/>
        <v>0.27152297980207729</v>
      </c>
      <c r="E79" s="32">
        <f t="shared" si="6"/>
        <v>3.3688586027707412E-2</v>
      </c>
      <c r="F79" s="32">
        <f t="shared" si="6"/>
        <v>1.9298492539939982E-2</v>
      </c>
      <c r="G79" s="32">
        <f t="shared" si="6"/>
        <v>6.7177446264270468E-3</v>
      </c>
      <c r="H79" s="32">
        <f t="shared" si="6"/>
        <v>4.2573822679205398E-2</v>
      </c>
      <c r="I79" s="32">
        <f t="shared" si="6"/>
        <v>0.11363636363636354</v>
      </c>
      <c r="J79" s="32">
        <f t="shared" si="6"/>
        <v>9.7560975609756184E-2</v>
      </c>
      <c r="K79" s="33">
        <f>K75/K$74-1</f>
        <v>9.980338164738356E-2</v>
      </c>
    </row>
    <row r="80" spans="2:11" x14ac:dyDescent="0.25">
      <c r="C80" s="79"/>
      <c r="D80" s="79"/>
      <c r="E80" s="79"/>
      <c r="F80" s="79"/>
      <c r="G80" s="79"/>
      <c r="H80" s="79"/>
      <c r="I80" s="79"/>
      <c r="J80" s="79"/>
      <c r="K80" s="84"/>
    </row>
    <row r="81" spans="2:11" x14ac:dyDescent="0.25">
      <c r="B81" s="41" t="s">
        <v>33</v>
      </c>
      <c r="C81" s="79"/>
      <c r="D81" s="79"/>
      <c r="E81" s="79"/>
      <c r="F81" s="79"/>
      <c r="G81" s="79"/>
      <c r="H81" s="79"/>
      <c r="I81" s="79"/>
      <c r="J81" s="79"/>
      <c r="K81" s="84"/>
    </row>
    <row r="82" spans="2:11" ht="15.75" thickBot="1" x14ac:dyDescent="0.3">
      <c r="B82" s="13" t="s">
        <v>16</v>
      </c>
      <c r="C82" s="32">
        <f t="shared" ref="C82:K82" si="7">C73/C$36-1</f>
        <v>-0.16991746505655425</v>
      </c>
      <c r="D82" s="32">
        <f t="shared" si="7"/>
        <v>3.5426126097948485E-2</v>
      </c>
      <c r="E82" s="32">
        <f t="shared" si="7"/>
        <v>-8.6410796538915369E-2</v>
      </c>
      <c r="F82" s="32">
        <f t="shared" si="7"/>
        <v>-1.3252062135922338E-2</v>
      </c>
      <c r="G82" s="32">
        <f t="shared" si="7"/>
        <v>-3.8427902128613578E-2</v>
      </c>
      <c r="H82" s="32">
        <f t="shared" si="7"/>
        <v>-0.57773979591836733</v>
      </c>
      <c r="I82" s="32">
        <f t="shared" si="7"/>
        <v>-0.18803418803418803</v>
      </c>
      <c r="J82" s="32">
        <f t="shared" si="7"/>
        <v>-8.536585365853655E-2</v>
      </c>
      <c r="K82" s="33">
        <f t="shared" si="7"/>
        <v>-0.1171911996533278</v>
      </c>
    </row>
    <row r="83" spans="2:11" ht="15.75" thickBot="1" x14ac:dyDescent="0.3">
      <c r="B83" s="13" t="s">
        <v>17</v>
      </c>
      <c r="C83" s="32">
        <f t="shared" ref="C83:K83" si="8">C74/C$36-1</f>
        <v>-0.12165067836318644</v>
      </c>
      <c r="D83" s="32">
        <f t="shared" si="8"/>
        <v>0.12232106698349643</v>
      </c>
      <c r="E83" s="32">
        <f t="shared" si="8"/>
        <v>-6.4421267743103861E-2</v>
      </c>
      <c r="F83" s="32">
        <f t="shared" si="8"/>
        <v>6.1654135922331044E-3</v>
      </c>
      <c r="G83" s="32">
        <f t="shared" si="8"/>
        <v>-3.2859039853164407E-2</v>
      </c>
      <c r="H83" s="32">
        <f t="shared" si="8"/>
        <v>-0.55381224489795922</v>
      </c>
      <c r="I83" s="32">
        <f t="shared" si="8"/>
        <v>-5.9829059829059839E-2</v>
      </c>
      <c r="J83" s="32">
        <f t="shared" si="8"/>
        <v>0</v>
      </c>
      <c r="K83" s="44">
        <f t="shared" si="8"/>
        <v>-6.9145054934827144E-2</v>
      </c>
    </row>
    <row r="84" spans="2:11" x14ac:dyDescent="0.25">
      <c r="B84" s="13" t="s">
        <v>18</v>
      </c>
      <c r="C84" s="32">
        <f t="shared" ref="C84:K84" si="9">C75/C$36-1</f>
        <v>-3.3553828692917897E-2</v>
      </c>
      <c r="D84" s="32">
        <f t="shared" si="9"/>
        <v>0.42705702738550211</v>
      </c>
      <c r="E84" s="32">
        <f t="shared" si="9"/>
        <v>-3.290294313577391E-2</v>
      </c>
      <c r="F84" s="32">
        <f t="shared" si="9"/>
        <v>2.5582889320388436E-2</v>
      </c>
      <c r="G84" s="32">
        <f t="shared" si="9"/>
        <v>-2.6362033865140466E-2</v>
      </c>
      <c r="H84" s="32">
        <f t="shared" si="9"/>
        <v>-0.53481632653061228</v>
      </c>
      <c r="I84" s="32">
        <f t="shared" si="9"/>
        <v>4.7008547008547064E-2</v>
      </c>
      <c r="J84" s="32">
        <f t="shared" si="9"/>
        <v>9.7560975609756184E-2</v>
      </c>
      <c r="K84" s="33">
        <f t="shared" si="9"/>
        <v>2.3757416405866483E-2</v>
      </c>
    </row>
    <row r="85" spans="2:11" x14ac:dyDescent="0.25">
      <c r="C85" s="79"/>
      <c r="D85" s="79"/>
      <c r="E85" s="79"/>
      <c r="F85" s="79"/>
      <c r="G85" s="79"/>
      <c r="H85" s="79"/>
      <c r="I85" s="79"/>
      <c r="J85" s="79"/>
      <c r="K85" s="84"/>
    </row>
    <row r="86" spans="2:11" x14ac:dyDescent="0.25">
      <c r="B86" s="41" t="s">
        <v>38</v>
      </c>
      <c r="C86" s="79"/>
      <c r="D86" s="79"/>
      <c r="E86" s="79"/>
      <c r="F86" s="79"/>
      <c r="G86" s="79"/>
      <c r="H86" s="79"/>
      <c r="I86" s="79"/>
      <c r="J86" s="79"/>
      <c r="K86" s="84"/>
    </row>
    <row r="87" spans="2:11" x14ac:dyDescent="0.25">
      <c r="B87" s="13" t="s">
        <v>16</v>
      </c>
      <c r="C87" s="32">
        <f t="shared" ref="C87:K87" si="10">C73/C$37-1</f>
        <v>0.14793563613580174</v>
      </c>
      <c r="D87" s="32">
        <f t="shared" si="10"/>
        <v>0.15987638163856732</v>
      </c>
      <c r="E87" s="32">
        <f t="shared" si="10"/>
        <v>6.0118699034430012E-2</v>
      </c>
      <c r="F87" s="32">
        <f t="shared" si="10"/>
        <v>-3.6634714691943127E-2</v>
      </c>
      <c r="G87" s="32">
        <f t="shared" si="10"/>
        <v>-1.4831040831156272E-2</v>
      </c>
      <c r="H87" s="32">
        <f t="shared" si="10"/>
        <v>0.1823285714285714</v>
      </c>
      <c r="I87" s="32">
        <f t="shared" si="10"/>
        <v>-2.5641025641025661E-2</v>
      </c>
      <c r="J87" s="32">
        <f t="shared" si="10"/>
        <v>-6.25E-2</v>
      </c>
      <c r="K87" s="33">
        <f t="shared" si="10"/>
        <v>8.6465198133223176E-2</v>
      </c>
    </row>
    <row r="88" spans="2:11" x14ac:dyDescent="0.25">
      <c r="B88" s="13" t="s">
        <v>17</v>
      </c>
      <c r="C88" s="32">
        <f t="shared" ref="C88:K88" si="11">C74/C$37-1</f>
        <v>0.21468461850158205</v>
      </c>
      <c r="D88" s="32">
        <f t="shared" si="11"/>
        <v>0.25721542599593605</v>
      </c>
      <c r="E88" s="32">
        <f t="shared" si="11"/>
        <v>8.5635102436617094E-2</v>
      </c>
      <c r="F88" s="32">
        <f t="shared" si="11"/>
        <v>-1.7677368720379061E-2</v>
      </c>
      <c r="G88" s="32">
        <f t="shared" si="11"/>
        <v>-9.1255193587636008E-3</v>
      </c>
      <c r="H88" s="32">
        <f t="shared" si="11"/>
        <v>0.24932571428571415</v>
      </c>
      <c r="I88" s="32">
        <f t="shared" si="11"/>
        <v>0.12820512820512819</v>
      </c>
      <c r="J88" s="32">
        <f t="shared" si="11"/>
        <v>2.4999999999999911E-2</v>
      </c>
      <c r="K88" s="33">
        <f t="shared" si="11"/>
        <v>0.14559517522523291</v>
      </c>
    </row>
    <row r="89" spans="2:11" x14ac:dyDescent="0.25">
      <c r="B89" s="13" t="s">
        <v>18</v>
      </c>
      <c r="C89" s="32">
        <f t="shared" ref="C89:K89" si="12">C75/C$37-1</f>
        <v>0.33651529064635821</v>
      </c>
      <c r="D89" s="32">
        <f t="shared" si="12"/>
        <v>0.59857830471549045</v>
      </c>
      <c r="E89" s="32">
        <f t="shared" si="12"/>
        <v>0.12220861397975202</v>
      </c>
      <c r="F89" s="32">
        <f t="shared" si="12"/>
        <v>1.2799772511848939E-3</v>
      </c>
      <c r="G89" s="32">
        <f t="shared" si="12"/>
        <v>-2.4690776409721504E-3</v>
      </c>
      <c r="H89" s="32">
        <f t="shared" si="12"/>
        <v>0.30251428571428574</v>
      </c>
      <c r="I89" s="32">
        <f t="shared" si="12"/>
        <v>0.25641025641025639</v>
      </c>
      <c r="J89" s="32">
        <f t="shared" si="12"/>
        <v>0.125</v>
      </c>
      <c r="K89" s="45">
        <f t="shared" si="12"/>
        <v>0.25992944771163806</v>
      </c>
    </row>
    <row r="90" spans="2:11" x14ac:dyDescent="0.25">
      <c r="C90" s="39"/>
      <c r="D90" s="39"/>
      <c r="E90" s="39"/>
      <c r="F90" s="39"/>
      <c r="G90" s="39"/>
      <c r="H90" s="39"/>
      <c r="I90" s="39"/>
      <c r="J90" s="39"/>
      <c r="K90" s="39"/>
    </row>
    <row r="91" spans="2:11" x14ac:dyDescent="0.25">
      <c r="B91" s="1" t="s">
        <v>39</v>
      </c>
      <c r="C91" s="39"/>
      <c r="D91" s="39"/>
      <c r="E91" s="39"/>
      <c r="F91" s="39"/>
      <c r="G91" s="39"/>
      <c r="H91" s="39"/>
      <c r="I91" s="39"/>
      <c r="J91" s="39"/>
      <c r="K91" s="39"/>
    </row>
    <row r="92" spans="2:11" x14ac:dyDescent="0.25">
      <c r="B92" s="13" t="s">
        <v>40</v>
      </c>
      <c r="C92" s="39"/>
      <c r="D92" s="49">
        <v>1772.8</v>
      </c>
      <c r="E92" s="85"/>
      <c r="F92" s="85"/>
      <c r="G92" s="85"/>
      <c r="H92" s="85"/>
      <c r="I92" s="39"/>
      <c r="J92" s="39"/>
      <c r="K92" s="39"/>
    </row>
    <row r="93" spans="2:11" x14ac:dyDescent="0.25">
      <c r="B93" s="13" t="s">
        <v>43</v>
      </c>
      <c r="C93" s="39"/>
      <c r="D93" s="49">
        <v>1459.8</v>
      </c>
      <c r="E93" s="85"/>
      <c r="F93" s="85"/>
      <c r="G93" s="85"/>
      <c r="H93" s="85"/>
      <c r="I93" s="39"/>
      <c r="J93" s="39"/>
      <c r="K93" s="39"/>
    </row>
    <row r="94" spans="2:11" x14ac:dyDescent="0.25">
      <c r="C94" s="39"/>
      <c r="D94" s="50"/>
      <c r="E94" s="85"/>
      <c r="F94" s="85"/>
      <c r="G94" s="85"/>
      <c r="H94" s="85"/>
      <c r="I94" s="39"/>
      <c r="J94" s="39"/>
      <c r="K94" s="39"/>
    </row>
    <row r="95" spans="2:11" x14ac:dyDescent="0.25">
      <c r="B95" s="1" t="s">
        <v>46</v>
      </c>
      <c r="C95" s="39"/>
      <c r="D95" s="50"/>
      <c r="E95" s="85"/>
      <c r="F95" s="85"/>
      <c r="G95" s="85"/>
      <c r="H95" s="85"/>
      <c r="I95" s="39"/>
      <c r="J95" s="39"/>
      <c r="K95" s="39"/>
    </row>
    <row r="96" spans="2:11" x14ac:dyDescent="0.25">
      <c r="B96" s="13" t="s">
        <v>48</v>
      </c>
      <c r="C96" s="39"/>
      <c r="D96" s="51">
        <v>1780.6</v>
      </c>
      <c r="E96" s="85"/>
      <c r="F96" s="85"/>
      <c r="G96" s="85"/>
      <c r="H96" s="85"/>
      <c r="I96" s="39"/>
      <c r="J96" s="39"/>
      <c r="K96" s="39"/>
    </row>
    <row r="97" spans="2:11" x14ac:dyDescent="0.25">
      <c r="B97" s="52" t="s">
        <v>49</v>
      </c>
      <c r="C97" s="39"/>
      <c r="D97" s="51">
        <v>-20</v>
      </c>
      <c r="E97" s="85"/>
      <c r="F97" s="85"/>
      <c r="G97" s="85"/>
      <c r="H97" s="85"/>
      <c r="I97" s="39"/>
      <c r="J97" s="39"/>
      <c r="K97" s="39"/>
    </row>
    <row r="98" spans="2:11" x14ac:dyDescent="0.25">
      <c r="B98" s="13" t="s">
        <v>50</v>
      </c>
      <c r="C98" s="39"/>
      <c r="D98" s="50">
        <f>SUM(D96:D97)</f>
        <v>1760.6</v>
      </c>
      <c r="E98" s="85"/>
      <c r="F98" s="85"/>
      <c r="G98" s="85"/>
      <c r="H98" s="85"/>
      <c r="I98" s="39"/>
      <c r="J98" s="39"/>
      <c r="K98" s="39"/>
    </row>
    <row r="99" spans="2:11" x14ac:dyDescent="0.25">
      <c r="B99" s="54"/>
      <c r="C99" s="86"/>
      <c r="D99" s="87"/>
      <c r="E99" s="85"/>
      <c r="F99" s="85"/>
      <c r="G99" s="88" t="s">
        <v>51</v>
      </c>
      <c r="H99" s="85"/>
      <c r="I99" s="39"/>
      <c r="J99" s="39"/>
      <c r="K99" s="39"/>
    </row>
    <row r="100" spans="2:11" x14ac:dyDescent="0.2">
      <c r="B100" s="1" t="s">
        <v>52</v>
      </c>
      <c r="C100" s="86"/>
      <c r="D100" s="87"/>
      <c r="E100" s="85"/>
      <c r="F100" s="89" t="s">
        <v>16</v>
      </c>
      <c r="G100" s="89" t="s">
        <v>17</v>
      </c>
      <c r="H100" s="89" t="s">
        <v>18</v>
      </c>
      <c r="I100" s="39"/>
      <c r="J100" s="39"/>
      <c r="K100" s="39"/>
    </row>
    <row r="101" spans="2:11" x14ac:dyDescent="0.25">
      <c r="B101" s="58" t="s">
        <v>53</v>
      </c>
      <c r="C101" s="86"/>
      <c r="D101" s="59">
        <f>D98/D92-1</f>
        <v>-6.8817689530685788E-3</v>
      </c>
      <c r="E101" s="89" t="s">
        <v>54</v>
      </c>
      <c r="F101" s="59">
        <f>K82</f>
        <v>-0.1171911996533278</v>
      </c>
      <c r="G101" s="59">
        <f>K83</f>
        <v>-6.9145054934827144E-2</v>
      </c>
      <c r="H101" s="59">
        <f>K84</f>
        <v>2.3757416405866483E-2</v>
      </c>
      <c r="I101" s="39"/>
      <c r="J101" s="39"/>
      <c r="K101" s="39"/>
    </row>
    <row r="102" spans="2:11" x14ac:dyDescent="0.25">
      <c r="B102" s="58" t="s">
        <v>55</v>
      </c>
      <c r="C102" s="39"/>
      <c r="D102" s="59">
        <f>D98/D93-1</f>
        <v>0.20605562405809019</v>
      </c>
      <c r="E102" s="89" t="s">
        <v>54</v>
      </c>
      <c r="F102" s="59">
        <f>K87</f>
        <v>8.6465198133223176E-2</v>
      </c>
      <c r="G102" s="59">
        <f>K88</f>
        <v>0.14559517522523291</v>
      </c>
      <c r="H102" s="59">
        <f>K89</f>
        <v>0.25992944771163806</v>
      </c>
      <c r="I102" s="39"/>
      <c r="J102" s="39"/>
      <c r="K102" s="39"/>
    </row>
    <row r="107" spans="2:11" x14ac:dyDescent="0.25">
      <c r="B107" s="1" t="s">
        <v>57</v>
      </c>
      <c r="C107" s="3"/>
      <c r="D107" s="4"/>
      <c r="E107" s="3"/>
      <c r="G107" s="3"/>
      <c r="H107" s="3"/>
    </row>
    <row r="109" spans="2:11" outlineLevel="1" x14ac:dyDescent="0.25">
      <c r="B109" s="6"/>
      <c r="C109" s="6" t="s">
        <v>4</v>
      </c>
      <c r="D109" s="6" t="s">
        <v>5</v>
      </c>
      <c r="E109" s="6" t="s">
        <v>6</v>
      </c>
      <c r="F109" s="6" t="s">
        <v>7</v>
      </c>
      <c r="G109" s="6" t="s">
        <v>8</v>
      </c>
      <c r="H109" s="6" t="s">
        <v>9</v>
      </c>
      <c r="I109" s="6" t="s">
        <v>10</v>
      </c>
      <c r="J109" s="6" t="s">
        <v>11</v>
      </c>
      <c r="K109" s="7" t="s">
        <v>12</v>
      </c>
    </row>
    <row r="110" spans="2:11" outlineLevel="1" x14ac:dyDescent="0.25">
      <c r="C110" s="8"/>
      <c r="D110" s="8"/>
      <c r="E110" s="8"/>
      <c r="F110" s="8"/>
      <c r="G110" s="8"/>
      <c r="H110" s="8"/>
      <c r="I110" s="8"/>
      <c r="J110" s="8"/>
      <c r="K110" s="9"/>
    </row>
    <row r="111" spans="2:11" outlineLevel="1" x14ac:dyDescent="0.25">
      <c r="B111" s="1" t="s">
        <v>14</v>
      </c>
      <c r="C111" s="8"/>
      <c r="D111" s="8"/>
      <c r="E111" s="8"/>
      <c r="F111" s="8"/>
      <c r="G111" s="8"/>
      <c r="H111" s="8"/>
      <c r="I111" s="8"/>
      <c r="J111" s="8"/>
      <c r="K111" s="9"/>
    </row>
    <row r="112" spans="2:11" outlineLevel="1" x14ac:dyDescent="0.25">
      <c r="B112" s="13" t="s">
        <v>61</v>
      </c>
      <c r="C112" s="65">
        <v>900.53979537774433</v>
      </c>
      <c r="D112" s="65">
        <v>451.27166200241044</v>
      </c>
      <c r="E112" s="65">
        <v>714.80363489057095</v>
      </c>
      <c r="F112" s="65">
        <v>189.89340479999998</v>
      </c>
      <c r="G112" s="65">
        <v>102.21671262948324</v>
      </c>
      <c r="H112" s="65">
        <v>99.2</v>
      </c>
      <c r="I112" s="8"/>
      <c r="J112" s="8"/>
      <c r="K112" s="9"/>
    </row>
    <row r="113" spans="2:11" outlineLevel="1" x14ac:dyDescent="0.25">
      <c r="B113" s="13" t="s">
        <v>62</v>
      </c>
      <c r="C113" s="65">
        <v>835.86061233909732</v>
      </c>
      <c r="D113" s="65">
        <v>650.00888867601338</v>
      </c>
      <c r="E113" s="65">
        <v>642.87235798914344</v>
      </c>
      <c r="F113" s="65">
        <v>180.20312640000003</v>
      </c>
      <c r="G113" s="65">
        <v>102.49911570298879</v>
      </c>
      <c r="H113" s="65">
        <v>197.82</v>
      </c>
      <c r="I113" s="8"/>
      <c r="J113" s="8"/>
      <c r="K113" s="9"/>
    </row>
    <row r="114" spans="2:11" outlineLevel="1" x14ac:dyDescent="0.25">
      <c r="B114" s="13" t="s">
        <v>63</v>
      </c>
      <c r="C114" s="65">
        <v>1167.8738361231369</v>
      </c>
      <c r="D114" s="65">
        <v>470.22527875201899</v>
      </c>
      <c r="E114" s="65">
        <v>721.13989548667416</v>
      </c>
      <c r="F114" s="65">
        <v>195.77479679999999</v>
      </c>
      <c r="G114" s="65">
        <v>110.23987518878909</v>
      </c>
      <c r="H114" s="65">
        <v>123.3</v>
      </c>
      <c r="I114" s="8"/>
      <c r="J114" s="8"/>
      <c r="K114" s="9"/>
    </row>
    <row r="115" spans="2:11" x14ac:dyDescent="0.25">
      <c r="B115" s="13" t="s">
        <v>64</v>
      </c>
      <c r="C115" s="65">
        <v>829.79284811983075</v>
      </c>
      <c r="D115" s="65">
        <v>373.35121361236821</v>
      </c>
      <c r="E115" s="65">
        <v>721.67181429438028</v>
      </c>
      <c r="F115" s="65">
        <v>211.9563072</v>
      </c>
      <c r="G115" s="65">
        <v>138.98760609881589</v>
      </c>
      <c r="H115" s="65">
        <v>48.46</v>
      </c>
      <c r="I115" s="8"/>
      <c r="J115" s="8"/>
      <c r="K115" s="9"/>
    </row>
    <row r="116" spans="2:11" x14ac:dyDescent="0.25">
      <c r="B116" s="13" t="s">
        <v>65</v>
      </c>
      <c r="C116" s="65">
        <v>965.18936580378124</v>
      </c>
      <c r="D116" s="65">
        <v>445.01652962697642</v>
      </c>
      <c r="E116" s="65">
        <v>829.75038288598955</v>
      </c>
      <c r="F116" s="65">
        <v>252.40002479999998</v>
      </c>
      <c r="G116" s="65">
        <v>175.73153948463602</v>
      </c>
      <c r="H116" s="65">
        <v>45.22</v>
      </c>
      <c r="I116" s="8"/>
      <c r="J116" s="8"/>
      <c r="K116" s="9"/>
    </row>
    <row r="117" spans="2:11" x14ac:dyDescent="0.25">
      <c r="B117" s="13" t="s">
        <v>66</v>
      </c>
      <c r="C117" s="65">
        <v>986.31885122338917</v>
      </c>
      <c r="D117" s="65">
        <v>440.39538446016502</v>
      </c>
      <c r="E117" s="65">
        <v>931.53345407657866</v>
      </c>
      <c r="F117" s="65">
        <v>224.40551759999997</v>
      </c>
      <c r="G117" s="65">
        <v>156.96479561366715</v>
      </c>
      <c r="H117" s="65">
        <v>46.68</v>
      </c>
      <c r="I117" s="8"/>
      <c r="J117" s="8"/>
      <c r="K117" s="9"/>
    </row>
    <row r="118" spans="2:11" x14ac:dyDescent="0.25">
      <c r="B118" s="13" t="s">
        <v>67</v>
      </c>
      <c r="C118" s="14">
        <v>1223</v>
      </c>
      <c r="D118" s="14">
        <v>493</v>
      </c>
      <c r="E118" s="14">
        <v>960</v>
      </c>
      <c r="F118" s="14">
        <v>223</v>
      </c>
      <c r="G118" s="14">
        <v>174</v>
      </c>
      <c r="H118" s="14">
        <v>41</v>
      </c>
      <c r="I118" s="14">
        <v>245</v>
      </c>
      <c r="J118" s="14">
        <v>79</v>
      </c>
      <c r="K118" s="15">
        <v>3438</v>
      </c>
    </row>
    <row r="119" spans="2:11" x14ac:dyDescent="0.25">
      <c r="B119" s="13" t="s">
        <v>68</v>
      </c>
      <c r="C119" s="14">
        <v>1364</v>
      </c>
      <c r="D119" s="14">
        <v>404</v>
      </c>
      <c r="E119" s="14">
        <v>792</v>
      </c>
      <c r="F119" s="14">
        <v>211</v>
      </c>
      <c r="G119" s="14">
        <v>167</v>
      </c>
      <c r="H119" s="14">
        <v>70</v>
      </c>
      <c r="I119" s="14">
        <v>196</v>
      </c>
      <c r="J119" s="14">
        <v>74</v>
      </c>
      <c r="K119" s="15">
        <v>3278</v>
      </c>
    </row>
    <row r="120" spans="2:11" x14ac:dyDescent="0.25">
      <c r="B120" s="13" t="s">
        <v>19</v>
      </c>
      <c r="C120" s="14">
        <v>1441</v>
      </c>
      <c r="D120" s="14">
        <v>466</v>
      </c>
      <c r="E120" s="14">
        <v>955</v>
      </c>
      <c r="F120" s="14">
        <v>206</v>
      </c>
      <c r="G120" s="14">
        <v>167</v>
      </c>
      <c r="H120" s="14">
        <v>98</v>
      </c>
      <c r="I120" s="14">
        <v>234</v>
      </c>
      <c r="J120" s="14">
        <v>82</v>
      </c>
      <c r="K120" s="15">
        <v>3649</v>
      </c>
    </row>
    <row r="121" spans="2:11" x14ac:dyDescent="0.25">
      <c r="B121" s="13" t="s">
        <v>20</v>
      </c>
      <c r="C121" s="14">
        <v>1042</v>
      </c>
      <c r="D121" s="14">
        <v>416</v>
      </c>
      <c r="E121" s="14">
        <v>823</v>
      </c>
      <c r="F121" s="14">
        <v>211</v>
      </c>
      <c r="G121" s="14">
        <v>163</v>
      </c>
      <c r="H121" s="14">
        <v>35</v>
      </c>
      <c r="I121" s="14">
        <v>195</v>
      </c>
      <c r="J121" s="14">
        <v>80</v>
      </c>
      <c r="K121" s="15">
        <v>2965</v>
      </c>
    </row>
    <row r="122" spans="2:11" x14ac:dyDescent="0.25">
      <c r="B122" s="13" t="s">
        <v>69</v>
      </c>
      <c r="C122" s="21">
        <v>1265.7013724786484</v>
      </c>
      <c r="D122" s="21">
        <v>523.00161721430936</v>
      </c>
      <c r="E122" s="21">
        <v>893.47768930533584</v>
      </c>
      <c r="F122" s="21">
        <v>207.27007520000001</v>
      </c>
      <c r="G122" s="21">
        <v>161.51254034452154</v>
      </c>
      <c r="H122" s="21">
        <v>43.726399999999998</v>
      </c>
      <c r="I122" s="21">
        <v>220</v>
      </c>
      <c r="J122" s="21">
        <v>82</v>
      </c>
      <c r="K122" s="30">
        <f>SUM(C122:J122)</f>
        <v>3396.6896945428157</v>
      </c>
    </row>
    <row r="123" spans="2:11" x14ac:dyDescent="0.25">
      <c r="C123" s="8"/>
      <c r="D123" s="21"/>
      <c r="E123" s="8"/>
      <c r="F123" s="23"/>
      <c r="G123" s="23"/>
      <c r="H123" s="8"/>
      <c r="I123" s="8"/>
      <c r="J123" s="8"/>
      <c r="K123" s="9"/>
    </row>
    <row r="124" spans="2:11" x14ac:dyDescent="0.25">
      <c r="B124" s="24" t="s">
        <v>57</v>
      </c>
      <c r="C124" s="66"/>
      <c r="D124" s="21"/>
      <c r="E124" s="66"/>
      <c r="F124" s="66"/>
      <c r="G124" s="66"/>
      <c r="H124" s="66"/>
      <c r="I124" s="66"/>
      <c r="J124" s="66"/>
      <c r="K124" s="9"/>
    </row>
    <row r="125" spans="2:11" x14ac:dyDescent="0.25">
      <c r="B125" s="13" t="s">
        <v>16</v>
      </c>
      <c r="C125" s="21">
        <v>940.09252977313201</v>
      </c>
      <c r="D125" s="21">
        <v>358.95586718174178</v>
      </c>
      <c r="E125" s="21">
        <v>775</v>
      </c>
      <c r="F125" s="21">
        <v>195</v>
      </c>
      <c r="G125" s="21">
        <v>155</v>
      </c>
      <c r="H125" s="21">
        <v>35</v>
      </c>
      <c r="I125" s="21">
        <v>165</v>
      </c>
      <c r="J125" s="21">
        <v>73</v>
      </c>
      <c r="K125" s="30">
        <f>SUM(C125:J125)</f>
        <v>2697.0483969548741</v>
      </c>
    </row>
    <row r="126" spans="2:11" x14ac:dyDescent="0.25">
      <c r="B126" s="13" t="s">
        <v>17</v>
      </c>
      <c r="C126" s="21">
        <v>1270.0311299672826</v>
      </c>
      <c r="D126" s="21">
        <v>458.47640006698288</v>
      </c>
      <c r="E126" s="21">
        <v>825</v>
      </c>
      <c r="F126" s="21">
        <v>210</v>
      </c>
      <c r="G126" s="21">
        <v>161.51254034452154</v>
      </c>
      <c r="H126" s="21">
        <v>60</v>
      </c>
      <c r="I126" s="21">
        <v>190</v>
      </c>
      <c r="J126" s="21">
        <v>80</v>
      </c>
      <c r="K126" s="30">
        <f>SUM(C126:J126)</f>
        <v>3255.0200703787868</v>
      </c>
    </row>
    <row r="127" spans="2:11" x14ac:dyDescent="0.25">
      <c r="B127" s="13" t="s">
        <v>18</v>
      </c>
      <c r="C127" s="21">
        <v>1801.7404325869697</v>
      </c>
      <c r="D127" s="21">
        <v>650.92935083308487</v>
      </c>
      <c r="E127" s="21">
        <v>875</v>
      </c>
      <c r="F127" s="21">
        <v>245</v>
      </c>
      <c r="G127" s="21">
        <v>170</v>
      </c>
      <c r="H127" s="21">
        <v>85</v>
      </c>
      <c r="I127" s="21">
        <v>215</v>
      </c>
      <c r="J127" s="21">
        <v>88</v>
      </c>
      <c r="K127" s="30">
        <f>SUM(C127:J127)</f>
        <v>4130.669783420055</v>
      </c>
    </row>
    <row r="128" spans="2:11" x14ac:dyDescent="0.25">
      <c r="C128" s="8"/>
      <c r="D128" s="8"/>
      <c r="E128" s="8"/>
      <c r="F128" s="8"/>
      <c r="G128" s="8"/>
      <c r="H128" s="8"/>
      <c r="I128" s="8"/>
      <c r="J128" s="8"/>
      <c r="K128" s="9"/>
    </row>
    <row r="129" spans="2:11" x14ac:dyDescent="0.25">
      <c r="B129" s="24" t="s">
        <v>29</v>
      </c>
      <c r="C129" s="8"/>
      <c r="D129" s="8"/>
      <c r="E129" s="8"/>
      <c r="F129" s="8"/>
      <c r="G129" s="8"/>
      <c r="H129" s="8"/>
      <c r="I129" s="8"/>
      <c r="J129" s="8"/>
      <c r="K129" s="9"/>
    </row>
    <row r="130" spans="2:11" x14ac:dyDescent="0.25">
      <c r="B130" s="13" t="s">
        <v>16</v>
      </c>
      <c r="C130" s="32">
        <f>C125/C$126-1</f>
        <v>-0.25978780551831837</v>
      </c>
      <c r="D130" s="32">
        <f t="shared" ref="D130:J130" si="13">D125/D$126-1</f>
        <v>-0.21706795130720202</v>
      </c>
      <c r="E130" s="32">
        <f t="shared" si="13"/>
        <v>-6.0606060606060552E-2</v>
      </c>
      <c r="F130" s="32">
        <f t="shared" si="13"/>
        <v>-7.1428571428571397E-2</v>
      </c>
      <c r="G130" s="32">
        <f t="shared" si="13"/>
        <v>-4.0322196224699791E-2</v>
      </c>
      <c r="H130" s="32">
        <f t="shared" si="13"/>
        <v>-0.41666666666666663</v>
      </c>
      <c r="I130" s="32">
        <f t="shared" si="13"/>
        <v>-0.13157894736842102</v>
      </c>
      <c r="J130" s="32">
        <f t="shared" si="13"/>
        <v>-8.7500000000000022E-2</v>
      </c>
      <c r="K130" s="33">
        <f>K125/K$126-1</f>
        <v>-0.17141881197647468</v>
      </c>
    </row>
    <row r="131" spans="2:11" x14ac:dyDescent="0.25">
      <c r="B131" s="13" t="s">
        <v>18</v>
      </c>
      <c r="C131" s="32">
        <f>C127/C$126-1</f>
        <v>0.41865848015346252</v>
      </c>
      <c r="D131" s="32">
        <f t="shared" ref="D131:J131" si="14">D127/D$126-1</f>
        <v>0.41976631891627325</v>
      </c>
      <c r="E131" s="32">
        <f t="shared" si="14"/>
        <v>6.0606060606060552E-2</v>
      </c>
      <c r="F131" s="32">
        <f t="shared" si="14"/>
        <v>0.16666666666666674</v>
      </c>
      <c r="G131" s="32">
        <f t="shared" si="14"/>
        <v>5.2549849301942064E-2</v>
      </c>
      <c r="H131" s="32">
        <f t="shared" si="14"/>
        <v>0.41666666666666674</v>
      </c>
      <c r="I131" s="32">
        <f t="shared" si="14"/>
        <v>0.13157894736842102</v>
      </c>
      <c r="J131" s="32">
        <f t="shared" si="14"/>
        <v>0.10000000000000009</v>
      </c>
      <c r="K131" s="33">
        <f>K127/K$126-1</f>
        <v>0.26901515017060063</v>
      </c>
    </row>
    <row r="132" spans="2:11" x14ac:dyDescent="0.25">
      <c r="C132" s="8"/>
      <c r="D132" s="8"/>
      <c r="E132" s="8"/>
      <c r="F132" s="8"/>
      <c r="G132" s="8"/>
      <c r="H132" s="8"/>
      <c r="I132" s="8"/>
      <c r="J132" s="8"/>
      <c r="K132" s="38"/>
    </row>
    <row r="133" spans="2:11" x14ac:dyDescent="0.25">
      <c r="B133" s="41" t="s">
        <v>33</v>
      </c>
      <c r="C133" s="8"/>
      <c r="D133" s="8"/>
      <c r="E133" s="8"/>
      <c r="F133" s="8"/>
      <c r="G133" s="8"/>
      <c r="H133" s="8"/>
      <c r="I133" s="8"/>
      <c r="J133" s="8"/>
      <c r="K133" s="38"/>
    </row>
    <row r="134" spans="2:11" ht="15.75" thickBot="1" x14ac:dyDescent="0.3">
      <c r="B134" s="13" t="s">
        <v>16</v>
      </c>
      <c r="C134" s="32">
        <f>C125/C$121-1</f>
        <v>-9.779987545764679E-2</v>
      </c>
      <c r="D134" s="32">
        <f t="shared" ref="D134:K134" si="15">D125/D$121-1</f>
        <v>-0.13712531927465921</v>
      </c>
      <c r="E134" s="32">
        <f t="shared" si="15"/>
        <v>-5.8323207776427743E-2</v>
      </c>
      <c r="F134" s="32">
        <f t="shared" si="15"/>
        <v>-7.582938388625593E-2</v>
      </c>
      <c r="G134" s="32">
        <f t="shared" si="15"/>
        <v>-4.9079754601227044E-2</v>
      </c>
      <c r="H134" s="32">
        <f t="shared" si="15"/>
        <v>0</v>
      </c>
      <c r="I134" s="32">
        <f t="shared" si="15"/>
        <v>-0.15384615384615385</v>
      </c>
      <c r="J134" s="32">
        <f t="shared" si="15"/>
        <v>-8.7500000000000022E-2</v>
      </c>
      <c r="K134" s="33">
        <f t="shared" si="15"/>
        <v>-9.0371535597007058E-2</v>
      </c>
    </row>
    <row r="135" spans="2:11" ht="15.75" thickBot="1" x14ac:dyDescent="0.3">
      <c r="B135" s="13" t="s">
        <v>17</v>
      </c>
      <c r="C135" s="32">
        <f t="shared" ref="C135:K136" si="16">C126/C$121-1</f>
        <v>0.21883985601466649</v>
      </c>
      <c r="D135" s="32">
        <f t="shared" si="16"/>
        <v>0.10210673093024725</v>
      </c>
      <c r="E135" s="32">
        <f t="shared" si="16"/>
        <v>2.430133657351119E-3</v>
      </c>
      <c r="F135" s="32">
        <f t="shared" si="16"/>
        <v>-4.7393364928910442E-3</v>
      </c>
      <c r="G135" s="32">
        <f t="shared" si="16"/>
        <v>-9.1255193587636008E-3</v>
      </c>
      <c r="H135" s="32">
        <f t="shared" si="16"/>
        <v>0.71428571428571419</v>
      </c>
      <c r="I135" s="32">
        <f t="shared" si="16"/>
        <v>-2.5641025641025661E-2</v>
      </c>
      <c r="J135" s="32">
        <f t="shared" si="16"/>
        <v>0</v>
      </c>
      <c r="K135" s="44">
        <f t="shared" si="16"/>
        <v>9.7814526266032598E-2</v>
      </c>
    </row>
    <row r="136" spans="2:11" x14ac:dyDescent="0.25">
      <c r="B136" s="13" t="s">
        <v>18</v>
      </c>
      <c r="C136" s="32">
        <f t="shared" si="16"/>
        <v>0.72911749768423206</v>
      </c>
      <c r="D136" s="32">
        <f t="shared" si="16"/>
        <v>0.56473401642568488</v>
      </c>
      <c r="E136" s="32">
        <f t="shared" si="16"/>
        <v>6.3183475091129981E-2</v>
      </c>
      <c r="F136" s="32">
        <f t="shared" si="16"/>
        <v>0.16113744075829395</v>
      </c>
      <c r="G136" s="32">
        <f t="shared" si="16"/>
        <v>4.2944785276073594E-2</v>
      </c>
      <c r="H136" s="32">
        <f t="shared" si="16"/>
        <v>1.4285714285714284</v>
      </c>
      <c r="I136" s="32">
        <f t="shared" si="16"/>
        <v>0.10256410256410264</v>
      </c>
      <c r="J136" s="32">
        <f t="shared" si="16"/>
        <v>0.10000000000000009</v>
      </c>
      <c r="K136" s="33">
        <f t="shared" si="16"/>
        <v>0.39314326590895621</v>
      </c>
    </row>
    <row r="137" spans="2:11" x14ac:dyDescent="0.25">
      <c r="C137" s="8"/>
      <c r="D137" s="8"/>
      <c r="E137" s="8"/>
      <c r="F137" s="8"/>
      <c r="G137" s="8"/>
      <c r="H137" s="8"/>
      <c r="I137" s="8"/>
      <c r="J137" s="8"/>
      <c r="K137" s="38"/>
    </row>
    <row r="138" spans="2:11" x14ac:dyDescent="0.25">
      <c r="B138" s="41" t="s">
        <v>38</v>
      </c>
      <c r="C138" s="8"/>
      <c r="D138" s="8"/>
      <c r="E138" s="8"/>
      <c r="F138" s="8"/>
      <c r="G138" s="8"/>
      <c r="H138" s="8"/>
      <c r="I138" s="8"/>
      <c r="J138" s="8"/>
      <c r="K138" s="38"/>
    </row>
    <row r="139" spans="2:11" x14ac:dyDescent="0.25">
      <c r="B139" s="13" t="s">
        <v>16</v>
      </c>
      <c r="C139" s="32">
        <f>C125/C$122-1</f>
        <v>-0.25725566060489458</v>
      </c>
      <c r="D139" s="32">
        <f t="shared" ref="D139:K139" si="17">D125/D$122-1</f>
        <v>-0.31366203207235377</v>
      </c>
      <c r="E139" s="32">
        <f t="shared" si="17"/>
        <v>-0.13260285144607276</v>
      </c>
      <c r="F139" s="32">
        <f t="shared" si="17"/>
        <v>-5.9198488677925654E-2</v>
      </c>
      <c r="G139" s="32">
        <f t="shared" si="17"/>
        <v>-4.0322196224699791E-2</v>
      </c>
      <c r="H139" s="32">
        <f t="shared" si="17"/>
        <v>-0.19956822423067067</v>
      </c>
      <c r="I139" s="32">
        <f t="shared" si="17"/>
        <v>-0.25</v>
      </c>
      <c r="J139" s="32">
        <f t="shared" si="17"/>
        <v>-0.1097560975609756</v>
      </c>
      <c r="K139" s="33">
        <f t="shared" si="17"/>
        <v>-0.20597739578978858</v>
      </c>
    </row>
    <row r="140" spans="2:11" x14ac:dyDescent="0.25">
      <c r="B140" s="13" t="s">
        <v>17</v>
      </c>
      <c r="C140" s="32">
        <f t="shared" ref="C140:K141" si="18">C126/C$122-1</f>
        <v>3.4208365280943287E-3</v>
      </c>
      <c r="D140" s="32">
        <f t="shared" si="18"/>
        <v>-0.12337479469186063</v>
      </c>
      <c r="E140" s="32">
        <f t="shared" si="18"/>
        <v>-7.6641745087754898E-2</v>
      </c>
      <c r="F140" s="32">
        <f t="shared" si="18"/>
        <v>1.3170858346849279E-2</v>
      </c>
      <c r="G140" s="32">
        <f t="shared" si="18"/>
        <v>0</v>
      </c>
      <c r="H140" s="32">
        <f t="shared" si="18"/>
        <v>0.37216875846170749</v>
      </c>
      <c r="I140" s="32">
        <f t="shared" si="18"/>
        <v>-0.13636363636363635</v>
      </c>
      <c r="J140" s="32">
        <f t="shared" si="18"/>
        <v>-2.4390243902439046E-2</v>
      </c>
      <c r="K140" s="33">
        <f t="shared" si="18"/>
        <v>-4.170814437116166E-2</v>
      </c>
    </row>
    <row r="141" spans="2:11" x14ac:dyDescent="0.25">
      <c r="B141" s="13" t="s">
        <v>18</v>
      </c>
      <c r="C141" s="32">
        <f t="shared" si="18"/>
        <v>0.42351147890326235</v>
      </c>
      <c r="D141" s="32">
        <f t="shared" si="18"/>
        <v>0.24460294080955935</v>
      </c>
      <c r="E141" s="32">
        <f t="shared" si="18"/>
        <v>-2.068063872943704E-2</v>
      </c>
      <c r="F141" s="32">
        <f t="shared" si="18"/>
        <v>0.18203266807132423</v>
      </c>
      <c r="G141" s="32">
        <f t="shared" si="18"/>
        <v>5.2549849301942064E-2</v>
      </c>
      <c r="H141" s="32">
        <f t="shared" si="18"/>
        <v>0.94390574115408543</v>
      </c>
      <c r="I141" s="32">
        <f t="shared" si="18"/>
        <v>-2.2727272727272707E-2</v>
      </c>
      <c r="J141" s="32">
        <f t="shared" si="18"/>
        <v>7.3170731707317138E-2</v>
      </c>
      <c r="K141" s="45">
        <f t="shared" si="18"/>
        <v>0.21608688307809376</v>
      </c>
    </row>
    <row r="143" spans="2:11" x14ac:dyDescent="0.25">
      <c r="B143" s="1" t="s">
        <v>39</v>
      </c>
      <c r="D143" s="39"/>
    </row>
    <row r="144" spans="2:11" x14ac:dyDescent="0.25">
      <c r="B144" s="13" t="s">
        <v>40</v>
      </c>
      <c r="D144" s="49">
        <v>1772.8</v>
      </c>
      <c r="E144" s="5"/>
      <c r="F144" s="5"/>
      <c r="G144" s="5"/>
      <c r="H144" s="5"/>
    </row>
    <row r="145" spans="2:8" x14ac:dyDescent="0.25">
      <c r="B145" s="13" t="s">
        <v>43</v>
      </c>
      <c r="D145" s="49">
        <v>1459.8</v>
      </c>
      <c r="E145" s="5"/>
      <c r="F145" s="5"/>
      <c r="G145" s="5"/>
      <c r="H145" s="5"/>
    </row>
    <row r="146" spans="2:8" x14ac:dyDescent="0.25">
      <c r="B146" s="13" t="s">
        <v>69</v>
      </c>
      <c r="D146" s="68" t="e">
        <f>K122*#REF!</f>
        <v>#REF!</v>
      </c>
      <c r="E146" s="5"/>
      <c r="F146" s="5"/>
      <c r="G146" s="5"/>
      <c r="H146" s="5"/>
    </row>
    <row r="147" spans="2:8" x14ac:dyDescent="0.25">
      <c r="D147" s="50"/>
      <c r="E147" s="5"/>
      <c r="F147" s="5"/>
      <c r="G147" s="5"/>
      <c r="H147" s="5"/>
    </row>
    <row r="148" spans="2:8" x14ac:dyDescent="0.25">
      <c r="B148" s="1" t="s">
        <v>46</v>
      </c>
      <c r="D148" s="50"/>
      <c r="E148" s="5"/>
      <c r="F148" s="5"/>
      <c r="G148" s="5"/>
      <c r="H148" s="5"/>
    </row>
    <row r="149" spans="2:8" x14ac:dyDescent="0.25">
      <c r="B149" s="13" t="s">
        <v>70</v>
      </c>
      <c r="D149" s="51">
        <v>1711.4</v>
      </c>
      <c r="E149" s="5"/>
      <c r="F149" s="5"/>
      <c r="G149" s="5"/>
      <c r="H149" s="5"/>
    </row>
    <row r="150" spans="2:8" x14ac:dyDescent="0.25">
      <c r="B150" s="52" t="s">
        <v>49</v>
      </c>
      <c r="D150" s="68">
        <v>-16</v>
      </c>
      <c r="E150" s="5"/>
      <c r="F150" s="5"/>
      <c r="G150" s="5"/>
      <c r="H150" s="5"/>
    </row>
    <row r="151" spans="2:8" x14ac:dyDescent="0.25">
      <c r="B151" s="13" t="s">
        <v>50</v>
      </c>
      <c r="D151" s="50">
        <f>SUM(D149:D150)</f>
        <v>1695.4</v>
      </c>
      <c r="E151" s="5"/>
      <c r="F151" s="5"/>
      <c r="G151" s="5"/>
      <c r="H151" s="5"/>
    </row>
    <row r="152" spans="2:8" x14ac:dyDescent="0.25">
      <c r="B152" s="54"/>
      <c r="C152" s="54"/>
      <c r="D152" s="55"/>
      <c r="E152" s="5"/>
      <c r="F152" s="5"/>
      <c r="G152" s="12" t="s">
        <v>51</v>
      </c>
      <c r="H152" s="5"/>
    </row>
    <row r="153" spans="2:8" x14ac:dyDescent="0.25">
      <c r="B153" s="1" t="s">
        <v>52</v>
      </c>
      <c r="C153" s="54"/>
      <c r="D153" s="55"/>
      <c r="E153" s="5"/>
      <c r="F153" s="56" t="s">
        <v>16</v>
      </c>
      <c r="G153" s="56" t="s">
        <v>17</v>
      </c>
      <c r="H153" s="56" t="s">
        <v>18</v>
      </c>
    </row>
    <row r="154" spans="2:8" x14ac:dyDescent="0.25">
      <c r="B154" s="58" t="s">
        <v>53</v>
      </c>
      <c r="C154" s="54"/>
      <c r="D154" s="59">
        <f>D151/D145-1</f>
        <v>0.16139197150294571</v>
      </c>
      <c r="E154" s="56" t="s">
        <v>54</v>
      </c>
      <c r="F154" s="59">
        <f>K134</f>
        <v>-9.0371535597007058E-2</v>
      </c>
      <c r="G154" s="59">
        <f>K135</f>
        <v>9.7814526266032598E-2</v>
      </c>
      <c r="H154" s="59">
        <f>K136</f>
        <v>0.39314326590895621</v>
      </c>
    </row>
    <row r="155" spans="2:8" x14ac:dyDescent="0.25">
      <c r="B155" s="58" t="s">
        <v>55</v>
      </c>
      <c r="D155" s="59" t="e">
        <f>D151/D146-1</f>
        <v>#REF!</v>
      </c>
      <c r="E155" s="56" t="s">
        <v>54</v>
      </c>
      <c r="F155" s="59">
        <f>K139</f>
        <v>-0.20597739578978858</v>
      </c>
      <c r="G155" s="59">
        <f>K140</f>
        <v>-4.170814437116166E-2</v>
      </c>
      <c r="H155" s="59">
        <f>K141</f>
        <v>0.21608688307809376</v>
      </c>
    </row>
  </sheetData>
  <sortState xmlns:xlrd2="http://schemas.microsoft.com/office/spreadsheetml/2017/richdata2" ref="B21:B26">
    <sortCondition ref="B21:B26"/>
  </sortState>
  <phoneticPr fontId="20" type="noConversion"/>
  <pageMargins left="0.7" right="0.7" top="0.75" bottom="0.75" header="0.3" footer="0.3"/>
  <pageSetup paperSize="9" orientation="portrait" r:id="rId1"/>
  <ignoredErrors>
    <ignoredError sqref="D2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9418A-95DE-41D7-9492-108628F82C6E}">
  <sheetPr codeName="Sheet28">
    <tabColor rgb="FF92D050"/>
  </sheetPr>
  <dimension ref="B2:AR105"/>
  <sheetViews>
    <sheetView showGridLines="0" topLeftCell="Z1" zoomScaleNormal="100" workbookViewId="0">
      <selection activeCell="AJ2" sqref="AJ2:AT10"/>
    </sheetView>
  </sheetViews>
  <sheetFormatPr defaultRowHeight="15" outlineLevelRow="1" x14ac:dyDescent="0.25"/>
  <cols>
    <col min="1" max="1" width="2.7109375" style="2" customWidth="1"/>
    <col min="2" max="2" width="12.7109375" style="2" customWidth="1"/>
    <col min="3" max="6" width="9.28515625" style="2" customWidth="1"/>
    <col min="7" max="7" width="9.85546875" style="2" customWidth="1"/>
    <col min="8" max="11" width="9.28515625" style="2" customWidth="1"/>
    <col min="12" max="12" width="2.7109375" style="2" customWidth="1"/>
    <col min="13" max="13" width="9.7109375" style="2" customWidth="1"/>
    <col min="14" max="21" width="9.28515625" style="2" customWidth="1"/>
    <col min="22" max="22" width="9.140625" style="2"/>
    <col min="23" max="23" width="2.7109375" style="2" customWidth="1"/>
    <col min="24" max="24" width="12.7109375" style="5" customWidth="1"/>
    <col min="25" max="28" width="9.28515625" style="2" customWidth="1"/>
    <col min="29" max="29" width="9.85546875" style="2" customWidth="1"/>
    <col min="30" max="33" width="9.28515625" style="2" customWidth="1"/>
    <col min="34" max="35" width="9.140625" style="2"/>
    <col min="36" max="37" width="10.7109375" style="2" customWidth="1"/>
    <col min="38" max="38" width="12.7109375" style="8" customWidth="1"/>
    <col min="39" max="39" width="12.7109375" style="2" customWidth="1"/>
    <col min="40" max="16384" width="9.140625" style="2"/>
  </cols>
  <sheetData>
    <row r="2" spans="2:44" x14ac:dyDescent="0.25">
      <c r="B2" s="1" t="s">
        <v>0</v>
      </c>
      <c r="X2" s="1" t="s">
        <v>1</v>
      </c>
    </row>
    <row r="3" spans="2:44" x14ac:dyDescent="0.25">
      <c r="B3" s="2" t="s">
        <v>2</v>
      </c>
      <c r="C3" s="3" t="s">
        <v>3</v>
      </c>
      <c r="D3" s="4">
        <v>45265</v>
      </c>
      <c r="E3" s="3" t="s">
        <v>3</v>
      </c>
      <c r="F3" s="3" t="s">
        <v>3</v>
      </c>
      <c r="G3" s="3" t="s">
        <v>3</v>
      </c>
      <c r="H3" s="3" t="s">
        <v>3</v>
      </c>
      <c r="Y3" s="3"/>
      <c r="Z3" s="4"/>
      <c r="AA3" s="3"/>
      <c r="AB3" s="3"/>
      <c r="AC3" s="3"/>
      <c r="AD3" s="3"/>
      <c r="AJ3" s="71"/>
      <c r="AK3" s="71"/>
      <c r="AL3" s="71"/>
      <c r="AM3" s="71"/>
      <c r="AN3" s="71"/>
      <c r="AO3" s="71"/>
      <c r="AP3" s="71"/>
      <c r="AQ3" s="71"/>
      <c r="AR3" s="72"/>
    </row>
    <row r="4" spans="2:44" x14ac:dyDescent="0.2">
      <c r="AJ4" s="73"/>
      <c r="AK4" s="73"/>
      <c r="AL4" s="73"/>
      <c r="AM4" s="73"/>
      <c r="AN4" s="73"/>
      <c r="AO4" s="73"/>
      <c r="AP4" s="73"/>
      <c r="AQ4" s="73"/>
      <c r="AR4" s="74"/>
    </row>
    <row r="5" spans="2:44" x14ac:dyDescent="0.2">
      <c r="B5" s="6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7" t="s">
        <v>12</v>
      </c>
      <c r="X5" s="6"/>
      <c r="Y5" s="6" t="s">
        <v>4</v>
      </c>
      <c r="Z5" s="6" t="s">
        <v>5</v>
      </c>
      <c r="AA5" s="6" t="s">
        <v>6</v>
      </c>
      <c r="AB5" s="6" t="s">
        <v>7</v>
      </c>
      <c r="AC5" s="6" t="s">
        <v>8</v>
      </c>
      <c r="AD5" s="6" t="s">
        <v>9</v>
      </c>
      <c r="AE5" s="6" t="s">
        <v>10</v>
      </c>
      <c r="AF5" s="6" t="s">
        <v>11</v>
      </c>
      <c r="AG5" s="7" t="s">
        <v>12</v>
      </c>
      <c r="AJ5" s="73"/>
      <c r="AK5" s="73"/>
      <c r="AL5" s="73"/>
      <c r="AM5" s="73"/>
      <c r="AN5" s="73"/>
      <c r="AO5" s="73"/>
      <c r="AP5" s="73"/>
      <c r="AQ5" s="73"/>
      <c r="AR5" s="74"/>
    </row>
    <row r="6" spans="2:44" x14ac:dyDescent="0.2">
      <c r="C6" s="8"/>
      <c r="D6" s="8"/>
      <c r="E6" s="8"/>
      <c r="F6" s="8"/>
      <c r="G6" s="8"/>
      <c r="H6" s="8"/>
      <c r="I6" s="8"/>
      <c r="J6" s="8"/>
      <c r="K6" s="9"/>
      <c r="M6" s="10" t="s">
        <v>13</v>
      </c>
      <c r="N6" s="10"/>
      <c r="O6" s="10"/>
      <c r="P6" s="10"/>
      <c r="Q6" s="10"/>
      <c r="R6" s="10"/>
      <c r="S6" s="10"/>
      <c r="T6" s="10"/>
      <c r="U6" s="10"/>
      <c r="V6" s="10"/>
      <c r="Y6" s="8"/>
      <c r="Z6" s="8"/>
      <c r="AA6" s="8"/>
      <c r="AB6" s="8"/>
      <c r="AC6" s="8"/>
      <c r="AD6" s="8"/>
      <c r="AE6" s="8"/>
      <c r="AF6" s="8"/>
      <c r="AG6" s="9"/>
      <c r="AJ6" s="73"/>
      <c r="AK6" s="73"/>
      <c r="AL6" s="73"/>
      <c r="AM6" s="73"/>
      <c r="AN6" s="73"/>
      <c r="AO6" s="73"/>
      <c r="AP6" s="73"/>
      <c r="AQ6" s="73"/>
      <c r="AR6" s="74"/>
    </row>
    <row r="7" spans="2:44" x14ac:dyDescent="0.2">
      <c r="B7" s="1" t="s">
        <v>14</v>
      </c>
      <c r="C7" s="8"/>
      <c r="D7" s="8"/>
      <c r="E7" s="8"/>
      <c r="F7" s="8"/>
      <c r="G7" s="8"/>
      <c r="H7" s="8"/>
      <c r="I7" s="8"/>
      <c r="J7" s="8"/>
      <c r="K7" s="9"/>
      <c r="N7" s="8" t="s">
        <v>15</v>
      </c>
      <c r="O7" s="8" t="s">
        <v>16</v>
      </c>
      <c r="P7" s="8" t="s">
        <v>17</v>
      </c>
      <c r="Q7" s="8" t="s">
        <v>18</v>
      </c>
      <c r="R7" s="8"/>
      <c r="S7" s="8" t="s">
        <v>16</v>
      </c>
      <c r="T7" s="8" t="s">
        <v>17</v>
      </c>
      <c r="U7" s="8" t="s">
        <v>18</v>
      </c>
      <c r="X7" s="12" t="s">
        <v>14</v>
      </c>
      <c r="Y7" s="8"/>
      <c r="Z7" s="8"/>
      <c r="AA7" s="8"/>
      <c r="AB7" s="8"/>
      <c r="AC7" s="8"/>
      <c r="AD7" s="8"/>
      <c r="AE7" s="8"/>
      <c r="AF7" s="8"/>
      <c r="AG7" s="9"/>
      <c r="AJ7" s="73"/>
      <c r="AK7" s="73"/>
      <c r="AL7" s="73"/>
      <c r="AM7" s="73"/>
      <c r="AN7" s="73"/>
      <c r="AO7" s="73"/>
      <c r="AP7" s="73"/>
      <c r="AQ7" s="73"/>
      <c r="AR7" s="74"/>
    </row>
    <row r="8" spans="2:44" x14ac:dyDescent="0.2">
      <c r="B8" s="13" t="s">
        <v>19</v>
      </c>
      <c r="C8" s="14">
        <v>1441</v>
      </c>
      <c r="D8" s="14">
        <v>466</v>
      </c>
      <c r="E8" s="14">
        <v>955</v>
      </c>
      <c r="F8" s="14">
        <v>206</v>
      </c>
      <c r="G8" s="14">
        <v>167</v>
      </c>
      <c r="H8" s="14">
        <v>98</v>
      </c>
      <c r="I8" s="14">
        <v>234</v>
      </c>
      <c r="J8" s="14">
        <v>82</v>
      </c>
      <c r="K8" s="15">
        <v>3649</v>
      </c>
      <c r="M8" s="16"/>
      <c r="X8" s="17" t="s">
        <v>19</v>
      </c>
      <c r="Y8" s="14">
        <v>1441</v>
      </c>
      <c r="Z8" s="14">
        <v>466</v>
      </c>
      <c r="AA8" s="14">
        <v>955</v>
      </c>
      <c r="AB8" s="14">
        <v>206</v>
      </c>
      <c r="AC8" s="14">
        <v>167</v>
      </c>
      <c r="AD8" s="14">
        <v>98</v>
      </c>
      <c r="AE8" s="14">
        <v>234</v>
      </c>
      <c r="AF8" s="14">
        <v>82</v>
      </c>
      <c r="AG8" s="15">
        <v>3649</v>
      </c>
      <c r="AJ8" s="73"/>
      <c r="AK8" s="73"/>
      <c r="AL8" s="73"/>
      <c r="AM8" s="73"/>
      <c r="AN8" s="73"/>
      <c r="AO8" s="73"/>
      <c r="AP8" s="73"/>
      <c r="AQ8" s="73"/>
      <c r="AR8" s="74"/>
    </row>
    <row r="9" spans="2:44" x14ac:dyDescent="0.2">
      <c r="B9" s="13" t="s">
        <v>20</v>
      </c>
      <c r="C9" s="14">
        <v>1042</v>
      </c>
      <c r="D9" s="14">
        <v>416</v>
      </c>
      <c r="E9" s="14">
        <v>823</v>
      </c>
      <c r="F9" s="14">
        <v>211</v>
      </c>
      <c r="G9" s="14">
        <v>163</v>
      </c>
      <c r="H9" s="14">
        <v>35</v>
      </c>
      <c r="I9" s="14">
        <v>195</v>
      </c>
      <c r="J9" s="14">
        <v>80</v>
      </c>
      <c r="K9" s="15">
        <v>2965</v>
      </c>
      <c r="M9" s="18">
        <v>45262</v>
      </c>
      <c r="N9" s="19">
        <v>5</v>
      </c>
      <c r="O9" s="19"/>
      <c r="P9" s="19"/>
      <c r="Q9" s="19"/>
      <c r="S9" s="20">
        <v>25.6</v>
      </c>
      <c r="T9" s="20">
        <v>26.3</v>
      </c>
      <c r="U9" s="20">
        <v>27.5</v>
      </c>
      <c r="X9" s="17" t="s">
        <v>20</v>
      </c>
      <c r="Y9" s="14">
        <v>1042</v>
      </c>
      <c r="Z9" s="14">
        <v>416</v>
      </c>
      <c r="AA9" s="14">
        <v>823</v>
      </c>
      <c r="AB9" s="14">
        <v>211</v>
      </c>
      <c r="AC9" s="14">
        <v>163</v>
      </c>
      <c r="AD9" s="14">
        <v>35</v>
      </c>
      <c r="AE9" s="14">
        <v>195</v>
      </c>
      <c r="AF9" s="14">
        <v>80</v>
      </c>
      <c r="AG9" s="15">
        <v>2965</v>
      </c>
      <c r="AJ9" s="73"/>
      <c r="AK9" s="73"/>
      <c r="AL9" s="73"/>
      <c r="AM9" s="73"/>
      <c r="AN9" s="73"/>
      <c r="AO9" s="73"/>
      <c r="AP9" s="73"/>
      <c r="AQ9" s="73"/>
      <c r="AR9" s="74"/>
    </row>
    <row r="10" spans="2:44" x14ac:dyDescent="0.25">
      <c r="C10" s="8"/>
      <c r="D10" s="8"/>
      <c r="E10" s="8"/>
      <c r="F10" s="8"/>
      <c r="G10" s="8"/>
      <c r="H10" s="8"/>
      <c r="I10" s="8"/>
      <c r="J10" s="8"/>
      <c r="K10" s="9"/>
      <c r="M10" s="18">
        <f>M9+7</f>
        <v>45269</v>
      </c>
      <c r="N10" s="19"/>
      <c r="O10" s="19">
        <v>5</v>
      </c>
      <c r="P10" s="19">
        <v>5</v>
      </c>
      <c r="Q10" s="19">
        <v>5</v>
      </c>
      <c r="S10" s="20">
        <v>25.6</v>
      </c>
      <c r="T10" s="20">
        <v>26.3</v>
      </c>
      <c r="U10" s="20">
        <v>27.5</v>
      </c>
      <c r="Y10" s="8"/>
      <c r="Z10" s="8"/>
      <c r="AA10" s="8"/>
      <c r="AB10" s="8"/>
      <c r="AC10" s="8"/>
      <c r="AD10" s="8"/>
      <c r="AE10" s="8"/>
      <c r="AF10" s="8"/>
      <c r="AG10" s="9"/>
      <c r="AL10" s="2"/>
    </row>
    <row r="11" spans="2:44" x14ac:dyDescent="0.25">
      <c r="C11" s="8"/>
      <c r="D11" s="8"/>
      <c r="E11" s="8"/>
      <c r="F11" s="8"/>
      <c r="G11" s="8"/>
      <c r="H11" s="8"/>
      <c r="I11" s="8"/>
      <c r="J11" s="8"/>
      <c r="K11" s="9"/>
      <c r="M11" s="18">
        <f>M10+7</f>
        <v>45276</v>
      </c>
      <c r="N11" s="19"/>
      <c r="O11" s="19">
        <v>5</v>
      </c>
      <c r="P11" s="19">
        <v>10</v>
      </c>
      <c r="Q11" s="19">
        <v>20</v>
      </c>
      <c r="S11" s="20">
        <v>25.6</v>
      </c>
      <c r="T11" s="20">
        <v>34.5</v>
      </c>
      <c r="U11" s="20">
        <v>51</v>
      </c>
      <c r="Y11" s="8"/>
      <c r="Z11" s="8"/>
      <c r="AA11" s="8"/>
      <c r="AB11" s="8"/>
      <c r="AC11" s="8"/>
      <c r="AD11" s="8"/>
      <c r="AE11" s="8"/>
      <c r="AF11" s="8"/>
      <c r="AG11" s="9"/>
      <c r="AL11" s="2"/>
    </row>
    <row r="12" spans="2:44" x14ac:dyDescent="0.25">
      <c r="C12" s="8"/>
      <c r="D12" s="8"/>
      <c r="E12" s="8"/>
      <c r="F12" s="8"/>
      <c r="G12" s="8"/>
      <c r="H12" s="8"/>
      <c r="I12" s="8"/>
      <c r="J12" s="8"/>
      <c r="K12" s="9"/>
      <c r="M12" s="18">
        <f>M11+7</f>
        <v>45283</v>
      </c>
      <c r="N12" s="19"/>
      <c r="O12" s="19">
        <v>5</v>
      </c>
      <c r="P12" s="19">
        <v>5</v>
      </c>
      <c r="Q12" s="19">
        <v>5</v>
      </c>
      <c r="S12" s="20">
        <v>25.6</v>
      </c>
      <c r="T12" s="20">
        <v>26.3</v>
      </c>
      <c r="U12" s="20">
        <v>27.5</v>
      </c>
      <c r="Y12" s="8"/>
      <c r="Z12" s="8"/>
      <c r="AA12" s="8"/>
      <c r="AB12" s="8"/>
      <c r="AC12" s="8"/>
      <c r="AD12" s="8"/>
      <c r="AE12" s="8"/>
      <c r="AF12" s="8"/>
      <c r="AG12" s="9"/>
    </row>
    <row r="13" spans="2:44" x14ac:dyDescent="0.25">
      <c r="C13" s="8"/>
      <c r="D13" s="8"/>
      <c r="E13" s="8"/>
      <c r="F13" s="8"/>
      <c r="G13" s="8"/>
      <c r="H13" s="8"/>
      <c r="I13" s="8"/>
      <c r="J13" s="8"/>
      <c r="K13" s="9"/>
      <c r="M13" s="18" t="s">
        <v>24</v>
      </c>
      <c r="N13" s="19">
        <v>30</v>
      </c>
      <c r="O13" s="19"/>
      <c r="P13" s="19"/>
      <c r="Q13" s="19"/>
      <c r="S13" s="20">
        <v>90</v>
      </c>
      <c r="T13" s="20">
        <v>100</v>
      </c>
      <c r="U13" s="20">
        <v>110</v>
      </c>
      <c r="Y13" s="8"/>
      <c r="Z13" s="8"/>
      <c r="AA13" s="8"/>
      <c r="AB13" s="8"/>
      <c r="AC13" s="8"/>
      <c r="AD13" s="8"/>
      <c r="AE13" s="8"/>
      <c r="AF13" s="8"/>
      <c r="AG13" s="9"/>
    </row>
    <row r="14" spans="2:44" x14ac:dyDescent="0.25">
      <c r="C14" s="8"/>
      <c r="D14" s="8"/>
      <c r="E14" s="8"/>
      <c r="F14" s="8"/>
      <c r="G14" s="8"/>
      <c r="H14" s="8"/>
      <c r="I14" s="8"/>
      <c r="J14" s="8"/>
      <c r="K14" s="9"/>
      <c r="S14" s="27">
        <f>SUM(S9:S13)</f>
        <v>192.4</v>
      </c>
      <c r="T14" s="27">
        <f>SUM(T9:T13)</f>
        <v>213.39999999999998</v>
      </c>
      <c r="U14" s="27">
        <f>SUM(U9:U13)</f>
        <v>243.5</v>
      </c>
      <c r="Y14" s="8"/>
      <c r="Z14" s="8"/>
      <c r="AA14" s="8"/>
      <c r="AB14" s="8"/>
      <c r="AC14" s="8"/>
      <c r="AD14" s="8"/>
      <c r="AE14" s="8"/>
      <c r="AF14" s="8"/>
      <c r="AG14" s="9"/>
    </row>
    <row r="15" spans="2:44" x14ac:dyDescent="0.25">
      <c r="B15" s="16" t="s">
        <v>21</v>
      </c>
      <c r="C15" s="21">
        <v>1071.1489328535054</v>
      </c>
      <c r="D15" s="21">
        <v>418.50857476164401</v>
      </c>
      <c r="E15" s="21">
        <v>680.07768930533587</v>
      </c>
      <c r="F15" s="21">
        <v>175.27007520000001</v>
      </c>
      <c r="G15" s="21">
        <v>135.16254034452155</v>
      </c>
      <c r="H15" s="21">
        <v>36.28</v>
      </c>
      <c r="I15" s="21" t="s">
        <v>22</v>
      </c>
      <c r="J15" s="21" t="s">
        <v>22</v>
      </c>
      <c r="K15" s="15"/>
      <c r="X15" s="22" t="s">
        <v>21</v>
      </c>
      <c r="Y15" s="21">
        <v>1071.1489328535054</v>
      </c>
      <c r="Z15" s="21">
        <v>381.7</v>
      </c>
      <c r="AA15" s="21">
        <v>680.07768930533587</v>
      </c>
      <c r="AB15" s="21">
        <v>175.27007520000001</v>
      </c>
      <c r="AC15" s="21">
        <v>135.16254034452155</v>
      </c>
      <c r="AD15" s="21">
        <v>36.28</v>
      </c>
      <c r="AE15" s="21" t="s">
        <v>22</v>
      </c>
      <c r="AF15" s="21" t="s">
        <v>22</v>
      </c>
      <c r="AG15" s="15"/>
    </row>
    <row r="16" spans="2:44" x14ac:dyDescent="0.25">
      <c r="C16" s="8"/>
      <c r="D16" s="21"/>
      <c r="E16" s="8"/>
      <c r="F16" s="23"/>
      <c r="G16" s="23"/>
      <c r="H16" s="8"/>
      <c r="I16" s="8"/>
      <c r="J16" s="8"/>
      <c r="K16" s="9"/>
      <c r="Y16" s="8"/>
      <c r="Z16" s="21"/>
      <c r="AA16" s="8"/>
      <c r="AB16" s="23"/>
      <c r="AC16" s="23"/>
      <c r="AD16" s="8"/>
      <c r="AE16" s="8"/>
      <c r="AF16" s="8"/>
      <c r="AG16" s="9"/>
    </row>
    <row r="17" spans="2:39" x14ac:dyDescent="0.25">
      <c r="B17" s="24">
        <v>45261</v>
      </c>
      <c r="D17" s="25" t="s">
        <v>23</v>
      </c>
      <c r="E17" s="8"/>
      <c r="F17" s="23"/>
      <c r="G17" s="23"/>
      <c r="H17" s="8"/>
      <c r="I17" s="8"/>
      <c r="J17" s="8"/>
      <c r="K17" s="9"/>
      <c r="X17" s="26">
        <v>45261</v>
      </c>
      <c r="Z17" s="25" t="s">
        <v>23</v>
      </c>
      <c r="AA17" s="8"/>
      <c r="AB17" s="23"/>
      <c r="AC17" s="23"/>
      <c r="AD17" s="8"/>
      <c r="AE17" s="8"/>
      <c r="AF17" s="8"/>
      <c r="AG17" s="9"/>
    </row>
    <row r="18" spans="2:39" x14ac:dyDescent="0.25">
      <c r="B18" s="13" t="s">
        <v>16</v>
      </c>
      <c r="C18" s="21">
        <v>125</v>
      </c>
      <c r="D18" s="21">
        <v>64</v>
      </c>
      <c r="E18" s="21">
        <v>192.4</v>
      </c>
      <c r="F18" s="21">
        <v>28</v>
      </c>
      <c r="G18" s="21">
        <v>25.42</v>
      </c>
      <c r="H18" s="21">
        <v>5.1014999999999997</v>
      </c>
      <c r="I18" s="8"/>
      <c r="J18" s="8"/>
      <c r="K18" s="9"/>
      <c r="X18" s="17" t="s">
        <v>16</v>
      </c>
      <c r="Y18" s="21">
        <v>125</v>
      </c>
      <c r="Z18" s="21">
        <v>69</v>
      </c>
      <c r="AA18" s="21">
        <v>192.4</v>
      </c>
      <c r="AB18" s="21">
        <v>28</v>
      </c>
      <c r="AC18" s="21">
        <v>25.42</v>
      </c>
      <c r="AD18" s="21">
        <v>5.1014999999999997</v>
      </c>
      <c r="AE18" s="8"/>
      <c r="AF18" s="8"/>
      <c r="AG18" s="9"/>
    </row>
    <row r="19" spans="2:39" x14ac:dyDescent="0.25">
      <c r="B19" s="13" t="s">
        <v>17</v>
      </c>
      <c r="C19" s="21">
        <v>194.55243962514299</v>
      </c>
      <c r="D19" s="21">
        <v>104.49304245266538</v>
      </c>
      <c r="E19" s="21">
        <v>213.39999999999998</v>
      </c>
      <c r="F19" s="21">
        <v>32</v>
      </c>
      <c r="G19" s="21">
        <v>26.35</v>
      </c>
      <c r="H19" s="21">
        <v>7.4463999999999997</v>
      </c>
      <c r="I19" s="8"/>
      <c r="J19" s="8"/>
      <c r="K19" s="9"/>
      <c r="X19" s="17" t="s">
        <v>17</v>
      </c>
      <c r="Y19" s="21">
        <v>194.55243962514299</v>
      </c>
      <c r="Z19" s="21">
        <v>113</v>
      </c>
      <c r="AA19" s="21">
        <v>213.39999999999998</v>
      </c>
      <c r="AB19" s="21">
        <v>32</v>
      </c>
      <c r="AC19" s="21">
        <v>26.35</v>
      </c>
      <c r="AD19" s="21">
        <v>7.4463999999999997</v>
      </c>
      <c r="AE19" s="8"/>
      <c r="AF19" s="8"/>
      <c r="AG19" s="9"/>
    </row>
    <row r="20" spans="2:39" x14ac:dyDescent="0.25">
      <c r="B20" s="13" t="s">
        <v>18</v>
      </c>
      <c r="C20" s="21">
        <v>321.5</v>
      </c>
      <c r="D20" s="21">
        <v>246.5</v>
      </c>
      <c r="E20" s="21">
        <v>243.5</v>
      </c>
      <c r="F20" s="21">
        <v>36</v>
      </c>
      <c r="G20" s="21">
        <v>27.434999999999999</v>
      </c>
      <c r="H20" s="21">
        <v>9.3079999999999998</v>
      </c>
      <c r="I20" s="8"/>
      <c r="J20" s="8"/>
      <c r="K20" s="9"/>
      <c r="M20" s="28" t="s">
        <v>25</v>
      </c>
      <c r="N20" s="28"/>
      <c r="O20" s="28"/>
      <c r="P20" s="28"/>
      <c r="Q20" s="28"/>
      <c r="R20" s="28"/>
      <c r="S20" s="28"/>
      <c r="T20" s="28"/>
      <c r="U20" s="28"/>
      <c r="V20" s="28"/>
      <c r="X20" s="17" t="s">
        <v>18</v>
      </c>
      <c r="Y20" s="21">
        <v>321.5</v>
      </c>
      <c r="Z20" s="21">
        <v>290</v>
      </c>
      <c r="AA20" s="21">
        <v>243.5</v>
      </c>
      <c r="AB20" s="21">
        <v>36</v>
      </c>
      <c r="AC20" s="21">
        <v>27.434999999999999</v>
      </c>
      <c r="AD20" s="21">
        <v>9.3079999999999998</v>
      </c>
      <c r="AE20" s="8"/>
      <c r="AF20" s="8"/>
      <c r="AG20" s="9"/>
    </row>
    <row r="21" spans="2:39" x14ac:dyDescent="0.25">
      <c r="C21" s="8"/>
      <c r="D21" s="8"/>
      <c r="E21" s="8"/>
      <c r="F21" s="8"/>
      <c r="G21" s="8"/>
      <c r="H21" s="8"/>
      <c r="I21" s="8"/>
      <c r="J21" s="8"/>
      <c r="K21" s="9"/>
      <c r="N21" s="8"/>
      <c r="O21" s="8" t="s">
        <v>16</v>
      </c>
      <c r="P21" s="8" t="s">
        <v>17</v>
      </c>
      <c r="Q21" s="8" t="s">
        <v>18</v>
      </c>
      <c r="R21" s="8"/>
      <c r="S21" s="8" t="s">
        <v>16</v>
      </c>
      <c r="T21" s="8" t="s">
        <v>17</v>
      </c>
      <c r="U21" s="8" t="s">
        <v>18</v>
      </c>
      <c r="Y21" s="8"/>
      <c r="Z21" s="8"/>
      <c r="AA21" s="8"/>
      <c r="AB21" s="8"/>
      <c r="AC21" s="8"/>
      <c r="AD21" s="8"/>
      <c r="AE21" s="8"/>
      <c r="AF21" s="8"/>
      <c r="AG21" s="9"/>
    </row>
    <row r="22" spans="2:39" x14ac:dyDescent="0.25">
      <c r="B22" s="24" t="s">
        <v>26</v>
      </c>
      <c r="C22" s="8"/>
      <c r="D22" s="8"/>
      <c r="E22" s="8"/>
      <c r="F22" s="8"/>
      <c r="G22" s="8"/>
      <c r="H22" s="8"/>
      <c r="I22" s="8"/>
      <c r="J22" s="8"/>
      <c r="K22" s="9"/>
      <c r="M22" s="16" t="s">
        <v>4</v>
      </c>
      <c r="N22" s="19"/>
      <c r="O22" s="19"/>
      <c r="P22" s="19"/>
      <c r="X22" s="6"/>
      <c r="Y22" s="6" t="s">
        <v>4</v>
      </c>
      <c r="Z22" s="6" t="s">
        <v>5</v>
      </c>
      <c r="AA22" s="6" t="s">
        <v>6</v>
      </c>
      <c r="AB22" s="6" t="s">
        <v>7</v>
      </c>
      <c r="AC22" s="6" t="s">
        <v>8</v>
      </c>
      <c r="AD22" s="6" t="s">
        <v>9</v>
      </c>
      <c r="AE22" s="6" t="s">
        <v>10</v>
      </c>
      <c r="AF22" s="6" t="s">
        <v>11</v>
      </c>
      <c r="AG22" s="7" t="s">
        <v>12</v>
      </c>
      <c r="AK22" s="8" t="s">
        <v>25</v>
      </c>
      <c r="AL22" s="2"/>
    </row>
    <row r="23" spans="2:39" x14ac:dyDescent="0.25">
      <c r="B23" s="13" t="s">
        <v>16</v>
      </c>
      <c r="C23" s="29">
        <f t="shared" ref="C23:H25" si="0">C$15+C18</f>
        <v>1196.1489328535054</v>
      </c>
      <c r="D23" s="29">
        <f t="shared" si="0"/>
        <v>482.50857476164401</v>
      </c>
      <c r="E23" s="29">
        <f t="shared" si="0"/>
        <v>872.47768930533584</v>
      </c>
      <c r="F23" s="29">
        <f t="shared" si="0"/>
        <v>203.27007520000001</v>
      </c>
      <c r="G23" s="29">
        <f>G$15+G18</f>
        <v>160.58254034452153</v>
      </c>
      <c r="H23" s="29">
        <f t="shared" si="0"/>
        <v>41.381500000000003</v>
      </c>
      <c r="I23" s="21">
        <v>190</v>
      </c>
      <c r="J23" s="21">
        <v>75</v>
      </c>
      <c r="K23" s="30">
        <f>SUM(C23:J23)</f>
        <v>3221.3693124650067</v>
      </c>
      <c r="M23" s="18">
        <v>45267</v>
      </c>
      <c r="N23" s="19"/>
      <c r="O23" s="19">
        <v>20</v>
      </c>
      <c r="P23" s="19">
        <v>20</v>
      </c>
      <c r="Q23" s="19">
        <v>20</v>
      </c>
      <c r="S23" s="31">
        <v>38</v>
      </c>
      <c r="T23" s="31"/>
      <c r="U23" s="31">
        <v>45</v>
      </c>
      <c r="X23" s="26" t="s">
        <v>26</v>
      </c>
      <c r="Y23" s="8"/>
      <c r="Z23" s="8"/>
      <c r="AA23" s="8"/>
      <c r="AB23" s="8"/>
      <c r="AC23" s="8"/>
      <c r="AD23" s="8"/>
      <c r="AE23" s="8"/>
      <c r="AF23" s="8"/>
      <c r="AG23" s="9"/>
    </row>
    <row r="24" spans="2:39" x14ac:dyDescent="0.25">
      <c r="B24" s="13" t="s">
        <v>17</v>
      </c>
      <c r="C24" s="29">
        <f t="shared" si="0"/>
        <v>1265.7013724786484</v>
      </c>
      <c r="D24" s="29">
        <f t="shared" si="0"/>
        <v>523.00161721430936</v>
      </c>
      <c r="E24" s="29">
        <f t="shared" si="0"/>
        <v>893.47768930533584</v>
      </c>
      <c r="F24" s="29">
        <f t="shared" si="0"/>
        <v>207.27007520000001</v>
      </c>
      <c r="G24" s="29">
        <f t="shared" si="0"/>
        <v>161.51254034452154</v>
      </c>
      <c r="H24" s="29">
        <f t="shared" si="0"/>
        <v>43.726399999999998</v>
      </c>
      <c r="I24" s="21">
        <v>220</v>
      </c>
      <c r="J24" s="21">
        <v>82</v>
      </c>
      <c r="K24" s="30">
        <f>SUM(C24:J24)</f>
        <v>3396.6896945428157</v>
      </c>
      <c r="M24" s="18">
        <f>M23+7</f>
        <v>45274</v>
      </c>
      <c r="N24" s="19"/>
      <c r="O24" s="19">
        <v>8</v>
      </c>
      <c r="P24" s="19" t="s">
        <v>27</v>
      </c>
      <c r="Q24" s="19">
        <v>30</v>
      </c>
      <c r="S24" s="31">
        <v>24.5</v>
      </c>
      <c r="T24" s="31"/>
      <c r="U24" s="31">
        <v>50</v>
      </c>
      <c r="X24" s="17" t="s">
        <v>16</v>
      </c>
      <c r="Y24" s="29">
        <f t="shared" ref="Y24:AD26" si="1">Y$15+Y18</f>
        <v>1196.1489328535054</v>
      </c>
      <c r="Z24" s="29">
        <f t="shared" si="1"/>
        <v>450.7</v>
      </c>
      <c r="AA24" s="29">
        <f t="shared" si="1"/>
        <v>872.47768930533584</v>
      </c>
      <c r="AB24" s="29">
        <f t="shared" si="1"/>
        <v>203.27007520000001</v>
      </c>
      <c r="AC24" s="29">
        <f t="shared" si="1"/>
        <v>160.58254034452153</v>
      </c>
      <c r="AD24" s="29">
        <f t="shared" si="1"/>
        <v>41.381500000000003</v>
      </c>
      <c r="AE24" s="21">
        <v>190</v>
      </c>
      <c r="AF24" s="21">
        <v>75</v>
      </c>
      <c r="AG24" s="30">
        <v>3189</v>
      </c>
      <c r="AK24" s="11">
        <v>45603</v>
      </c>
      <c r="AL24" s="2"/>
      <c r="AM24" s="69">
        <v>832823927.59360433</v>
      </c>
    </row>
    <row r="25" spans="2:39" x14ac:dyDescent="0.25">
      <c r="B25" s="13" t="s">
        <v>18</v>
      </c>
      <c r="C25" s="29">
        <f t="shared" si="0"/>
        <v>1392.6489328535054</v>
      </c>
      <c r="D25" s="29">
        <f t="shared" si="0"/>
        <v>665.00857476164401</v>
      </c>
      <c r="E25" s="29">
        <f t="shared" si="0"/>
        <v>923.57768930533587</v>
      </c>
      <c r="F25" s="29">
        <f t="shared" si="0"/>
        <v>211.27007520000001</v>
      </c>
      <c r="G25" s="29">
        <f t="shared" si="0"/>
        <v>162.59754034452155</v>
      </c>
      <c r="H25" s="29">
        <f t="shared" si="0"/>
        <v>45.588000000000001</v>
      </c>
      <c r="I25" s="21">
        <v>245</v>
      </c>
      <c r="J25" s="21">
        <v>90</v>
      </c>
      <c r="K25" s="30">
        <f>SUM(C25:J25)</f>
        <v>3735.6908124650067</v>
      </c>
      <c r="M25" s="18">
        <f>M24+7</f>
        <v>45281</v>
      </c>
      <c r="N25" s="19"/>
      <c r="O25" s="19">
        <v>8</v>
      </c>
      <c r="P25" s="19"/>
      <c r="Q25" s="19">
        <v>50</v>
      </c>
      <c r="S25" s="31">
        <v>24.5</v>
      </c>
      <c r="U25" s="31">
        <v>74</v>
      </c>
      <c r="X25" s="17" t="s">
        <v>17</v>
      </c>
      <c r="Y25" s="29">
        <f t="shared" si="1"/>
        <v>1265.7013724786484</v>
      </c>
      <c r="Z25" s="29">
        <f t="shared" si="1"/>
        <v>494.7</v>
      </c>
      <c r="AA25" s="29">
        <f t="shared" si="1"/>
        <v>893.47768930533584</v>
      </c>
      <c r="AB25" s="29">
        <f t="shared" si="1"/>
        <v>207.27007520000001</v>
      </c>
      <c r="AC25" s="29">
        <f t="shared" si="1"/>
        <v>161.51254034452154</v>
      </c>
      <c r="AD25" s="29">
        <f t="shared" si="1"/>
        <v>43.726399999999998</v>
      </c>
      <c r="AE25" s="21">
        <v>220</v>
      </c>
      <c r="AF25" s="21">
        <v>82</v>
      </c>
      <c r="AG25" s="30">
        <v>3369</v>
      </c>
    </row>
    <row r="26" spans="2:39" x14ac:dyDescent="0.25">
      <c r="C26" s="8"/>
      <c r="D26" s="8"/>
      <c r="E26" s="8"/>
      <c r="F26" s="8"/>
      <c r="G26" s="8"/>
      <c r="H26" s="8"/>
      <c r="I26" s="8"/>
      <c r="J26" s="8"/>
      <c r="K26" s="9"/>
      <c r="M26" s="18">
        <f>M25+7</f>
        <v>45288</v>
      </c>
      <c r="N26" s="19"/>
      <c r="O26" s="19">
        <v>20</v>
      </c>
      <c r="P26" s="19"/>
      <c r="Q26" s="19">
        <v>100</v>
      </c>
      <c r="S26" s="31">
        <v>38</v>
      </c>
      <c r="U26" s="31">
        <v>152.5</v>
      </c>
      <c r="V26" s="2" t="s">
        <v>28</v>
      </c>
      <c r="X26" s="17" t="s">
        <v>18</v>
      </c>
      <c r="Y26" s="29">
        <f t="shared" si="1"/>
        <v>1392.6489328535054</v>
      </c>
      <c r="Z26" s="29">
        <f t="shared" si="1"/>
        <v>671.7</v>
      </c>
      <c r="AA26" s="29">
        <f t="shared" si="1"/>
        <v>923.57768930533587</v>
      </c>
      <c r="AB26" s="29">
        <f t="shared" si="1"/>
        <v>211.27007520000001</v>
      </c>
      <c r="AC26" s="29">
        <f t="shared" si="1"/>
        <v>162.59754034452155</v>
      </c>
      <c r="AD26" s="29">
        <f t="shared" si="1"/>
        <v>45.588000000000001</v>
      </c>
      <c r="AE26" s="21">
        <v>245</v>
      </c>
      <c r="AF26" s="21">
        <v>90</v>
      </c>
      <c r="AG26" s="30">
        <v>3742</v>
      </c>
      <c r="AK26" s="11">
        <f>AK24+7</f>
        <v>45610</v>
      </c>
      <c r="AL26" s="8">
        <v>30</v>
      </c>
      <c r="AM26" s="69">
        <v>52970877.583089091</v>
      </c>
    </row>
    <row r="27" spans="2:39" x14ac:dyDescent="0.25">
      <c r="B27" s="24" t="s">
        <v>29</v>
      </c>
      <c r="C27" s="8"/>
      <c r="D27" s="8"/>
      <c r="E27" s="8"/>
      <c r="F27" s="8"/>
      <c r="G27" s="8"/>
      <c r="H27" s="8"/>
      <c r="I27" s="8"/>
      <c r="J27" s="8"/>
      <c r="K27" s="9"/>
      <c r="S27" s="27">
        <f>SUM(S23:S26)</f>
        <v>125</v>
      </c>
      <c r="T27" s="27"/>
      <c r="U27" s="27">
        <f>SUM(U23:U26)</f>
        <v>321.5</v>
      </c>
      <c r="Y27" s="8"/>
      <c r="Z27" s="8"/>
      <c r="AA27" s="8"/>
      <c r="AB27" s="8"/>
      <c r="AC27" s="8"/>
      <c r="AD27" s="8"/>
      <c r="AE27" s="8"/>
      <c r="AF27" s="8"/>
      <c r="AG27" s="9"/>
      <c r="AK27" s="11">
        <f>AK26+7</f>
        <v>45617</v>
      </c>
      <c r="AL27" s="8">
        <v>50</v>
      </c>
      <c r="AM27" s="69">
        <v>73267669.760472625</v>
      </c>
    </row>
    <row r="28" spans="2:39" x14ac:dyDescent="0.25">
      <c r="B28" s="13" t="s">
        <v>16</v>
      </c>
      <c r="C28" s="32">
        <f t="shared" ref="C28:J28" si="2">C23/C$24-1</f>
        <v>-5.4951698036747043E-2</v>
      </c>
      <c r="D28" s="32">
        <f t="shared" si="2"/>
        <v>-7.7424315948286249E-2</v>
      </c>
      <c r="E28" s="32">
        <f t="shared" si="2"/>
        <v>-2.3503664670493474E-2</v>
      </c>
      <c r="F28" s="32">
        <f t="shared" si="2"/>
        <v>-1.9298492539939982E-2</v>
      </c>
      <c r="G28" s="32">
        <f t="shared" si="2"/>
        <v>-5.7580668226518972E-3</v>
      </c>
      <c r="H28" s="32">
        <f t="shared" si="2"/>
        <v>-5.3626642028614224E-2</v>
      </c>
      <c r="I28" s="32">
        <f t="shared" si="2"/>
        <v>-0.13636363636363635</v>
      </c>
      <c r="J28" s="32">
        <f t="shared" si="2"/>
        <v>-8.536585365853655E-2</v>
      </c>
      <c r="K28" s="33">
        <f>K23/K$24-1</f>
        <v>-5.1615071685671476E-2</v>
      </c>
      <c r="X28" s="22" t="s">
        <v>30</v>
      </c>
      <c r="AG28" s="9"/>
      <c r="AK28" s="11">
        <f t="shared" ref="AK28:AK32" si="3">AK27+7</f>
        <v>45624</v>
      </c>
      <c r="AL28" s="8">
        <v>100</v>
      </c>
      <c r="AM28" s="69">
        <v>156094598.14603126</v>
      </c>
    </row>
    <row r="29" spans="2:39" x14ac:dyDescent="0.25">
      <c r="B29" s="13" t="s">
        <v>18</v>
      </c>
      <c r="C29" s="32">
        <f t="shared" ref="C29:J29" si="4">C25/C$24-1</f>
        <v>0.10029819287171438</v>
      </c>
      <c r="D29" s="32">
        <f t="shared" si="4"/>
        <v>0.27152297980207729</v>
      </c>
      <c r="E29" s="32">
        <f t="shared" si="4"/>
        <v>3.3688586027707412E-2</v>
      </c>
      <c r="F29" s="32">
        <f t="shared" si="4"/>
        <v>1.9298492539939982E-2</v>
      </c>
      <c r="G29" s="32">
        <f t="shared" si="4"/>
        <v>6.7177446264270468E-3</v>
      </c>
      <c r="H29" s="32">
        <f t="shared" si="4"/>
        <v>4.2573822679205398E-2</v>
      </c>
      <c r="I29" s="32">
        <f t="shared" si="4"/>
        <v>0.11363636363636354</v>
      </c>
      <c r="J29" s="32">
        <f t="shared" si="4"/>
        <v>9.7560975609756184E-2</v>
      </c>
      <c r="K29" s="33">
        <f>K25/K$24-1</f>
        <v>9.980338164738356E-2</v>
      </c>
      <c r="N29" s="8" t="s">
        <v>31</v>
      </c>
      <c r="X29" s="34" t="s">
        <v>32</v>
      </c>
      <c r="Y29" s="35">
        <v>1211.5405036753455</v>
      </c>
      <c r="Z29" s="35">
        <v>657.27312959967287</v>
      </c>
      <c r="AA29" s="35">
        <v>862.56035571660379</v>
      </c>
      <c r="AB29" s="35">
        <v>205.00413120000002</v>
      </c>
      <c r="AC29" s="35">
        <v>161.2650027575086</v>
      </c>
      <c r="AD29" s="35">
        <v>44.06</v>
      </c>
      <c r="AE29" s="36">
        <v>220</v>
      </c>
      <c r="AF29" s="36">
        <v>82</v>
      </c>
      <c r="AG29" s="37">
        <f>SUM(Y29:AF29)</f>
        <v>3443.7031229491304</v>
      </c>
      <c r="AK29" s="11">
        <f t="shared" si="3"/>
        <v>45631</v>
      </c>
      <c r="AL29" s="8">
        <v>150</v>
      </c>
      <c r="AM29" s="69">
        <v>204499368.96113458</v>
      </c>
    </row>
    <row r="30" spans="2:39" x14ac:dyDescent="0.25">
      <c r="C30" s="8"/>
      <c r="D30" s="8"/>
      <c r="E30" s="8"/>
      <c r="F30" s="8"/>
      <c r="G30" s="8"/>
      <c r="H30" s="8"/>
      <c r="I30" s="8"/>
      <c r="J30" s="8"/>
      <c r="K30" s="38"/>
      <c r="N30" s="39">
        <v>250.36074916786464</v>
      </c>
      <c r="O30" s="39"/>
      <c r="Q30" s="39"/>
      <c r="R30" s="39"/>
      <c r="AG30" s="40"/>
      <c r="AK30" s="11">
        <f t="shared" si="3"/>
        <v>45638</v>
      </c>
    </row>
    <row r="31" spans="2:39" x14ac:dyDescent="0.25">
      <c r="B31" s="41" t="s">
        <v>33</v>
      </c>
      <c r="C31" s="8"/>
      <c r="D31" s="8"/>
      <c r="E31" s="8"/>
      <c r="F31" s="8"/>
      <c r="G31" s="8"/>
      <c r="H31" s="8"/>
      <c r="I31" s="8"/>
      <c r="J31" s="8"/>
      <c r="K31" s="38"/>
      <c r="N31" s="39">
        <f>N30/(1+$P31)</f>
        <v>222.93922454841018</v>
      </c>
      <c r="O31" s="39"/>
      <c r="P31" s="42">
        <v>0.123</v>
      </c>
      <c r="Q31" s="39"/>
      <c r="R31" s="39"/>
      <c r="X31" s="26" t="s">
        <v>34</v>
      </c>
      <c r="AG31" s="43"/>
      <c r="AK31" s="11">
        <f t="shared" si="3"/>
        <v>45645</v>
      </c>
    </row>
    <row r="32" spans="2:39" ht="15.75" thickBot="1" x14ac:dyDescent="0.3">
      <c r="B32" s="13" t="s">
        <v>16</v>
      </c>
      <c r="C32" s="32">
        <f t="shared" ref="C32:K34" si="5">C23/C$8-1</f>
        <v>-0.16991746505655425</v>
      </c>
      <c r="D32" s="32">
        <f t="shared" si="5"/>
        <v>3.5426126097948485E-2</v>
      </c>
      <c r="E32" s="32">
        <f t="shared" si="5"/>
        <v>-8.6410796538915369E-2</v>
      </c>
      <c r="F32" s="32">
        <f t="shared" si="5"/>
        <v>-1.3252062135922338E-2</v>
      </c>
      <c r="G32" s="32">
        <f t="shared" si="5"/>
        <v>-3.8427902128613578E-2</v>
      </c>
      <c r="H32" s="32">
        <f t="shared" si="5"/>
        <v>-0.57773979591836733</v>
      </c>
      <c r="I32" s="32">
        <f t="shared" si="5"/>
        <v>-0.18803418803418803</v>
      </c>
      <c r="J32" s="32">
        <f t="shared" si="5"/>
        <v>-8.536585365853655E-2</v>
      </c>
      <c r="K32" s="33">
        <f t="shared" si="5"/>
        <v>-0.1171911996533278</v>
      </c>
      <c r="N32" s="39">
        <f>N31*$P32</f>
        <v>194.55243962514299</v>
      </c>
      <c r="O32" s="39"/>
      <c r="P32" s="42">
        <v>0.87267029846018362</v>
      </c>
      <c r="Q32" s="39"/>
      <c r="R32" s="39"/>
      <c r="X32" s="17" t="s">
        <v>35</v>
      </c>
      <c r="Y32" s="32">
        <f t="shared" ref="Y32:AG32" si="6">Y29/Y$8-1</f>
        <v>-0.159236291689559</v>
      </c>
      <c r="Z32" s="32">
        <f t="shared" si="6"/>
        <v>0.41045735965595043</v>
      </c>
      <c r="AA32" s="32">
        <f t="shared" si="6"/>
        <v>-9.6795439040205489E-2</v>
      </c>
      <c r="AB32" s="32">
        <f t="shared" si="6"/>
        <v>-4.8343145631066786E-3</v>
      </c>
      <c r="AC32" s="32">
        <f t="shared" si="6"/>
        <v>-3.4341300853241941E-2</v>
      </c>
      <c r="AD32" s="32">
        <f t="shared" si="6"/>
        <v>-0.55040816326530617</v>
      </c>
      <c r="AE32" s="32">
        <f t="shared" si="6"/>
        <v>-5.9829059829059839E-2</v>
      </c>
      <c r="AF32" s="32">
        <f t="shared" si="6"/>
        <v>0</v>
      </c>
      <c r="AG32" s="33">
        <f t="shared" si="6"/>
        <v>-5.6261133749210601E-2</v>
      </c>
      <c r="AK32" s="11">
        <f t="shared" si="3"/>
        <v>45652</v>
      </c>
    </row>
    <row r="33" spans="2:39" ht="15.75" thickBot="1" x14ac:dyDescent="0.3">
      <c r="B33" s="13" t="s">
        <v>17</v>
      </c>
      <c r="C33" s="32">
        <f t="shared" si="5"/>
        <v>-0.12165067836318644</v>
      </c>
      <c r="D33" s="32">
        <f t="shared" si="5"/>
        <v>0.12232106698349643</v>
      </c>
      <c r="E33" s="32">
        <f t="shared" si="5"/>
        <v>-6.4421267743103861E-2</v>
      </c>
      <c r="F33" s="32">
        <f t="shared" si="5"/>
        <v>6.1654135922331044E-3</v>
      </c>
      <c r="G33" s="32">
        <f t="shared" si="5"/>
        <v>-3.2859039853164407E-2</v>
      </c>
      <c r="H33" s="32">
        <f t="shared" si="5"/>
        <v>-0.55381224489795922</v>
      </c>
      <c r="I33" s="32">
        <f t="shared" si="5"/>
        <v>-5.9829059829059839E-2</v>
      </c>
      <c r="J33" s="32">
        <f t="shared" si="5"/>
        <v>0</v>
      </c>
      <c r="K33" s="44">
        <f t="shared" si="5"/>
        <v>-6.9145054934827144E-2</v>
      </c>
      <c r="X33" s="17" t="s">
        <v>36</v>
      </c>
      <c r="Y33" s="32">
        <f t="shared" ref="Y33:AG33" si="7">Y29/Y$9-1</f>
        <v>0.16270681734678072</v>
      </c>
      <c r="Z33" s="32">
        <f t="shared" si="7"/>
        <v>0.57998348461459814</v>
      </c>
      <c r="AA33" s="32">
        <f t="shared" si="7"/>
        <v>4.8068475961851487E-2</v>
      </c>
      <c r="AB33" s="32">
        <f t="shared" si="7"/>
        <v>-2.8416439810426408E-2</v>
      </c>
      <c r="AC33" s="32">
        <f t="shared" si="7"/>
        <v>-1.0644154861910393E-2</v>
      </c>
      <c r="AD33" s="32">
        <f t="shared" si="7"/>
        <v>0.2588571428571429</v>
      </c>
      <c r="AE33" s="32">
        <f t="shared" si="7"/>
        <v>0.12820512820512819</v>
      </c>
      <c r="AF33" s="32">
        <f t="shared" si="7"/>
        <v>2.4999999999999911E-2</v>
      </c>
      <c r="AG33" s="45">
        <f t="shared" si="7"/>
        <v>0.16145130622230375</v>
      </c>
      <c r="AK33" s="11"/>
      <c r="AM33" s="70">
        <f>SUM(AM24:AM32)</f>
        <v>1319656442.044332</v>
      </c>
    </row>
    <row r="34" spans="2:39" x14ac:dyDescent="0.25">
      <c r="B34" s="13" t="s">
        <v>18</v>
      </c>
      <c r="C34" s="32">
        <f t="shared" si="5"/>
        <v>-3.3553828692917897E-2</v>
      </c>
      <c r="D34" s="32">
        <f t="shared" si="5"/>
        <v>0.42705702738550211</v>
      </c>
      <c r="E34" s="32">
        <f t="shared" si="5"/>
        <v>-3.290294313577391E-2</v>
      </c>
      <c r="F34" s="32">
        <f t="shared" si="5"/>
        <v>2.5582889320388436E-2</v>
      </c>
      <c r="G34" s="32">
        <f t="shared" si="5"/>
        <v>-2.6362033865140466E-2</v>
      </c>
      <c r="H34" s="32">
        <f t="shared" si="5"/>
        <v>-0.53481632653061228</v>
      </c>
      <c r="I34" s="32">
        <f t="shared" si="5"/>
        <v>4.7008547008547064E-2</v>
      </c>
      <c r="J34" s="32">
        <f t="shared" si="5"/>
        <v>9.7560975609756184E-2</v>
      </c>
      <c r="K34" s="33">
        <f t="shared" si="5"/>
        <v>2.3757416405866483E-2</v>
      </c>
      <c r="M34" s="46" t="s">
        <v>37</v>
      </c>
      <c r="N34" s="46"/>
      <c r="O34" s="46"/>
      <c r="P34" s="46"/>
      <c r="Q34" s="46"/>
      <c r="R34" s="46"/>
      <c r="S34" s="46"/>
      <c r="T34" s="46"/>
      <c r="U34" s="46"/>
      <c r="V34" s="46"/>
    </row>
    <row r="35" spans="2:39" x14ac:dyDescent="0.25">
      <c r="C35" s="8"/>
      <c r="D35" s="8"/>
      <c r="E35" s="8"/>
      <c r="F35" s="8"/>
      <c r="G35" s="8"/>
      <c r="H35" s="8"/>
      <c r="I35" s="8"/>
      <c r="J35" s="8"/>
      <c r="K35" s="38"/>
      <c r="O35" s="8" t="s">
        <v>16</v>
      </c>
      <c r="P35" s="8" t="s">
        <v>17</v>
      </c>
      <c r="Q35" s="8" t="s">
        <v>18</v>
      </c>
      <c r="X35" s="26" t="s">
        <v>29</v>
      </c>
      <c r="Y35" s="8"/>
      <c r="Z35" s="8"/>
      <c r="AA35" s="8"/>
      <c r="AB35" s="8"/>
      <c r="AC35" s="8"/>
      <c r="AD35" s="8"/>
      <c r="AE35" s="8"/>
      <c r="AF35" s="8"/>
      <c r="AG35" s="9"/>
    </row>
    <row r="36" spans="2:39" x14ac:dyDescent="0.25">
      <c r="B36" s="41" t="s">
        <v>38</v>
      </c>
      <c r="C36" s="8"/>
      <c r="D36" s="8"/>
      <c r="E36" s="8"/>
      <c r="F36" s="8"/>
      <c r="G36" s="8"/>
      <c r="H36" s="8"/>
      <c r="I36" s="8"/>
      <c r="J36" s="8"/>
      <c r="K36" s="38"/>
      <c r="M36" s="2" t="s">
        <v>5</v>
      </c>
      <c r="N36" s="19"/>
      <c r="O36" s="19"/>
      <c r="P36" s="19"/>
      <c r="X36" s="17" t="s">
        <v>16</v>
      </c>
      <c r="Y36" s="32">
        <f t="shared" ref="Y36:AG36" si="8">Y24/Y$25-1</f>
        <v>-5.4951698036747043E-2</v>
      </c>
      <c r="Z36" s="32">
        <f t="shared" si="8"/>
        <v>-8.8942793612290294E-2</v>
      </c>
      <c r="AA36" s="32">
        <f t="shared" si="8"/>
        <v>-2.3503664670493474E-2</v>
      </c>
      <c r="AB36" s="32">
        <f t="shared" si="8"/>
        <v>-1.9298492539939982E-2</v>
      </c>
      <c r="AC36" s="32">
        <f t="shared" si="8"/>
        <v>-5.7580668226518972E-3</v>
      </c>
      <c r="AD36" s="32">
        <f t="shared" si="8"/>
        <v>-5.3626642028614224E-2</v>
      </c>
      <c r="AE36" s="32">
        <f t="shared" si="8"/>
        <v>-0.13636363636363635</v>
      </c>
      <c r="AF36" s="32">
        <f t="shared" si="8"/>
        <v>-8.536585365853655E-2</v>
      </c>
      <c r="AG36" s="33">
        <f t="shared" si="8"/>
        <v>-5.3428317008014203E-2</v>
      </c>
    </row>
    <row r="37" spans="2:39" x14ac:dyDescent="0.25">
      <c r="B37" s="13" t="s">
        <v>16</v>
      </c>
      <c r="C37" s="32">
        <f t="shared" ref="C37:K39" si="9">C23/C$9-1</f>
        <v>0.14793563613580174</v>
      </c>
      <c r="D37" s="32">
        <f t="shared" si="9"/>
        <v>0.15987638163856732</v>
      </c>
      <c r="E37" s="32">
        <f t="shared" si="9"/>
        <v>6.0118699034430012E-2</v>
      </c>
      <c r="F37" s="32">
        <f t="shared" si="9"/>
        <v>-3.6634714691943127E-2</v>
      </c>
      <c r="G37" s="32">
        <f t="shared" si="9"/>
        <v>-1.4831040831156272E-2</v>
      </c>
      <c r="H37" s="32">
        <f t="shared" si="9"/>
        <v>0.1823285714285714</v>
      </c>
      <c r="I37" s="32">
        <f t="shared" si="9"/>
        <v>-2.5641025641025661E-2</v>
      </c>
      <c r="J37" s="32">
        <f t="shared" si="9"/>
        <v>-6.25E-2</v>
      </c>
      <c r="K37" s="33">
        <f t="shared" si="9"/>
        <v>8.6465198133223176E-2</v>
      </c>
      <c r="M37" s="18">
        <v>45272</v>
      </c>
      <c r="N37" s="19"/>
      <c r="O37" s="19">
        <v>50</v>
      </c>
      <c r="P37" s="19" t="s">
        <v>27</v>
      </c>
      <c r="Q37" s="19">
        <v>50</v>
      </c>
      <c r="S37" s="31">
        <v>44</v>
      </c>
      <c r="T37" s="31">
        <v>48</v>
      </c>
      <c r="U37" s="47">
        <v>54</v>
      </c>
      <c r="X37" s="17" t="s">
        <v>18</v>
      </c>
      <c r="Y37" s="32">
        <f t="shared" ref="Y37:AG37" si="10">Y26/Y$25-1</f>
        <v>0.10029819287171438</v>
      </c>
      <c r="Z37" s="32">
        <f t="shared" si="10"/>
        <v>0.35779260157671322</v>
      </c>
      <c r="AA37" s="32">
        <f t="shared" si="10"/>
        <v>3.3688586027707412E-2</v>
      </c>
      <c r="AB37" s="32">
        <f t="shared" si="10"/>
        <v>1.9298492539939982E-2</v>
      </c>
      <c r="AC37" s="32">
        <f t="shared" si="10"/>
        <v>6.7177446264270468E-3</v>
      </c>
      <c r="AD37" s="32">
        <f t="shared" si="10"/>
        <v>4.2573822679205398E-2</v>
      </c>
      <c r="AE37" s="32">
        <f t="shared" si="10"/>
        <v>0.11363636363636354</v>
      </c>
      <c r="AF37" s="32">
        <f t="shared" si="10"/>
        <v>9.7560975609756184E-2</v>
      </c>
      <c r="AG37" s="33">
        <f t="shared" si="10"/>
        <v>0.11071534579994058</v>
      </c>
    </row>
    <row r="38" spans="2:39" x14ac:dyDescent="0.25">
      <c r="B38" s="13" t="s">
        <v>17</v>
      </c>
      <c r="C38" s="32">
        <f t="shared" si="9"/>
        <v>0.21468461850158205</v>
      </c>
      <c r="D38" s="32">
        <f t="shared" si="9"/>
        <v>0.25721542599593605</v>
      </c>
      <c r="E38" s="32">
        <f t="shared" si="9"/>
        <v>8.5635102436617094E-2</v>
      </c>
      <c r="F38" s="32">
        <f t="shared" si="9"/>
        <v>-1.7677368720379061E-2</v>
      </c>
      <c r="G38" s="32">
        <f t="shared" si="9"/>
        <v>-9.1255193587636008E-3</v>
      </c>
      <c r="H38" s="32">
        <f t="shared" si="9"/>
        <v>0.24932571428571415</v>
      </c>
      <c r="I38" s="32">
        <f t="shared" si="9"/>
        <v>0.12820512820512819</v>
      </c>
      <c r="J38" s="32">
        <f t="shared" si="9"/>
        <v>2.4999999999999911E-2</v>
      </c>
      <c r="K38" s="33">
        <f t="shared" si="9"/>
        <v>0.14559517522523291</v>
      </c>
      <c r="M38" s="18">
        <f>M37+7</f>
        <v>45279</v>
      </c>
      <c r="N38" s="19"/>
      <c r="O38" s="19">
        <v>3</v>
      </c>
      <c r="P38" s="19"/>
      <c r="Q38" s="19">
        <v>70</v>
      </c>
      <c r="S38" s="31">
        <v>9.5</v>
      </c>
      <c r="U38" s="47">
        <v>72.5</v>
      </c>
      <c r="Y38" s="8"/>
      <c r="Z38" s="8"/>
      <c r="AA38" s="8"/>
      <c r="AB38" s="8"/>
      <c r="AC38" s="8"/>
      <c r="AD38" s="8"/>
      <c r="AE38" s="8"/>
      <c r="AF38" s="8"/>
      <c r="AG38" s="38"/>
    </row>
    <row r="39" spans="2:39" x14ac:dyDescent="0.25">
      <c r="B39" s="13" t="s">
        <v>18</v>
      </c>
      <c r="C39" s="32">
        <f t="shared" si="9"/>
        <v>0.33651529064635821</v>
      </c>
      <c r="D39" s="32">
        <f t="shared" si="9"/>
        <v>0.59857830471549045</v>
      </c>
      <c r="E39" s="32">
        <f t="shared" si="9"/>
        <v>0.12220861397975202</v>
      </c>
      <c r="F39" s="32">
        <f t="shared" si="9"/>
        <v>1.2799772511848939E-3</v>
      </c>
      <c r="G39" s="32">
        <f t="shared" si="9"/>
        <v>-2.4690776409721504E-3</v>
      </c>
      <c r="H39" s="32">
        <f t="shared" si="9"/>
        <v>0.30251428571428574</v>
      </c>
      <c r="I39" s="32">
        <f t="shared" si="9"/>
        <v>0.25641025641025639</v>
      </c>
      <c r="J39" s="32">
        <f t="shared" si="9"/>
        <v>0.125</v>
      </c>
      <c r="K39" s="45">
        <f t="shared" si="9"/>
        <v>0.25992944771163806</v>
      </c>
      <c r="M39" s="18">
        <f>M38+7</f>
        <v>45286</v>
      </c>
      <c r="N39" s="19"/>
      <c r="O39" s="19">
        <v>5</v>
      </c>
      <c r="P39" s="19"/>
      <c r="Q39" s="19">
        <v>100</v>
      </c>
      <c r="S39" s="31">
        <v>10.5</v>
      </c>
      <c r="T39" s="31"/>
      <c r="U39" s="47">
        <f>100*1.2</f>
        <v>120</v>
      </c>
      <c r="X39" s="48" t="s">
        <v>33</v>
      </c>
      <c r="Y39" s="8"/>
      <c r="Z39" s="8"/>
      <c r="AA39" s="8"/>
      <c r="AB39" s="8"/>
      <c r="AC39" s="8"/>
      <c r="AD39" s="8"/>
      <c r="AE39" s="8"/>
      <c r="AF39" s="8"/>
      <c r="AG39" s="38"/>
    </row>
    <row r="40" spans="2:39" ht="15.75" thickBot="1" x14ac:dyDescent="0.3">
      <c r="M40" s="18"/>
      <c r="S40" s="27">
        <f>SUM(S37:S39)</f>
        <v>64</v>
      </c>
      <c r="T40" s="19"/>
      <c r="U40" s="27">
        <f>SUM(U37:U39)</f>
        <v>246.5</v>
      </c>
      <c r="V40" s="2" t="s">
        <v>28</v>
      </c>
      <c r="X40" s="17" t="s">
        <v>16</v>
      </c>
      <c r="Y40" s="32">
        <f t="shared" ref="Y40:AG42" si="11">Y24/Y$8-1</f>
        <v>-0.16991746505655425</v>
      </c>
      <c r="Z40" s="32">
        <f t="shared" si="11"/>
        <v>-3.2832618025751104E-2</v>
      </c>
      <c r="AA40" s="32">
        <f t="shared" si="11"/>
        <v>-8.6410796538915369E-2</v>
      </c>
      <c r="AB40" s="32">
        <f t="shared" si="11"/>
        <v>-1.3252062135922338E-2</v>
      </c>
      <c r="AC40" s="32">
        <f t="shared" si="11"/>
        <v>-3.8427902128613578E-2</v>
      </c>
      <c r="AD40" s="32">
        <f t="shared" si="11"/>
        <v>-0.57773979591836733</v>
      </c>
      <c r="AE40" s="32">
        <f t="shared" si="11"/>
        <v>-0.18803418803418803</v>
      </c>
      <c r="AF40" s="32">
        <f t="shared" si="11"/>
        <v>-8.536585365853655E-2</v>
      </c>
      <c r="AG40" s="33">
        <f t="shared" si="11"/>
        <v>-0.12606193477665117</v>
      </c>
    </row>
    <row r="41" spans="2:39" ht="15.75" thickBot="1" x14ac:dyDescent="0.3">
      <c r="B41" s="1" t="s">
        <v>39</v>
      </c>
      <c r="D41" s="39"/>
      <c r="X41" s="17" t="s">
        <v>17</v>
      </c>
      <c r="Y41" s="32">
        <f t="shared" si="11"/>
        <v>-0.12165067836318644</v>
      </c>
      <c r="Z41" s="32">
        <f t="shared" si="11"/>
        <v>6.1587982832618016E-2</v>
      </c>
      <c r="AA41" s="32">
        <f t="shared" si="11"/>
        <v>-6.4421267743103861E-2</v>
      </c>
      <c r="AB41" s="32">
        <f t="shared" si="11"/>
        <v>6.1654135922331044E-3</v>
      </c>
      <c r="AC41" s="32">
        <f t="shared" si="11"/>
        <v>-3.2859039853164407E-2</v>
      </c>
      <c r="AD41" s="32">
        <f t="shared" si="11"/>
        <v>-0.55381224489795922</v>
      </c>
      <c r="AE41" s="32">
        <f t="shared" si="11"/>
        <v>-5.9829059829059839E-2</v>
      </c>
      <c r="AF41" s="32">
        <f t="shared" si="11"/>
        <v>0</v>
      </c>
      <c r="AG41" s="44">
        <f t="shared" si="11"/>
        <v>-7.6733351603178956E-2</v>
      </c>
    </row>
    <row r="42" spans="2:39" x14ac:dyDescent="0.25">
      <c r="B42" s="13" t="s">
        <v>40</v>
      </c>
      <c r="D42" s="49">
        <v>1772.8</v>
      </c>
      <c r="E42" s="5"/>
      <c r="F42" s="5"/>
      <c r="G42" s="5"/>
      <c r="H42" s="5"/>
      <c r="N42" s="8" t="s">
        <v>41</v>
      </c>
      <c r="O42" s="8" t="s">
        <v>31</v>
      </c>
      <c r="P42" s="8" t="s">
        <v>31</v>
      </c>
      <c r="Q42" s="8" t="s">
        <v>42</v>
      </c>
      <c r="X42" s="17" t="s">
        <v>18</v>
      </c>
      <c r="Y42" s="32">
        <f t="shared" si="11"/>
        <v>-3.3553828692917897E-2</v>
      </c>
      <c r="Z42" s="32">
        <f t="shared" si="11"/>
        <v>0.44141630901287554</v>
      </c>
      <c r="AA42" s="32">
        <f t="shared" si="11"/>
        <v>-3.290294313577391E-2</v>
      </c>
      <c r="AB42" s="32">
        <f t="shared" si="11"/>
        <v>2.5582889320388436E-2</v>
      </c>
      <c r="AC42" s="32">
        <f t="shared" si="11"/>
        <v>-2.6362033865140466E-2</v>
      </c>
      <c r="AD42" s="32">
        <f t="shared" si="11"/>
        <v>-0.53481632653061228</v>
      </c>
      <c r="AE42" s="32">
        <f t="shared" si="11"/>
        <v>4.7008547008547064E-2</v>
      </c>
      <c r="AF42" s="32">
        <f t="shared" si="11"/>
        <v>9.7560975609756184E-2</v>
      </c>
      <c r="AG42" s="33">
        <f t="shared" si="11"/>
        <v>2.5486434639627298E-2</v>
      </c>
    </row>
    <row r="43" spans="2:39" x14ac:dyDescent="0.25">
      <c r="B43" s="13" t="s">
        <v>43</v>
      </c>
      <c r="D43" s="49">
        <v>1459.8</v>
      </c>
      <c r="E43" s="5"/>
      <c r="F43" s="5"/>
      <c r="G43" s="5"/>
      <c r="H43" s="5"/>
      <c r="M43" s="2" t="s">
        <v>44</v>
      </c>
      <c r="N43" s="31">
        <v>93.182064819939072</v>
      </c>
      <c r="O43" s="31">
        <v>94.869023260636979</v>
      </c>
      <c r="P43" s="31">
        <v>174.48094037721953</v>
      </c>
      <c r="Q43" s="31">
        <v>350.90539003292497</v>
      </c>
      <c r="X43" s="2"/>
    </row>
    <row r="44" spans="2:39" x14ac:dyDescent="0.25">
      <c r="D44" s="50"/>
      <c r="E44" s="5"/>
      <c r="F44" s="5"/>
      <c r="G44" s="5"/>
      <c r="H44" s="5"/>
      <c r="M44" s="2" t="s">
        <v>45</v>
      </c>
      <c r="N44" s="39">
        <f>N43/(1+$R44)</f>
        <v>82.976014977683946</v>
      </c>
      <c r="O44" s="39">
        <f>O43/(1+$R44)</f>
        <v>84.478204150166505</v>
      </c>
      <c r="P44" s="39">
        <f>P43/(1+$R44)</f>
        <v>155.37038323884195</v>
      </c>
      <c r="Q44" s="39">
        <f>Q43/(1+$R44)</f>
        <v>312.47140697499998</v>
      </c>
      <c r="R44" s="42">
        <v>0.123</v>
      </c>
      <c r="X44" s="48" t="s">
        <v>38</v>
      </c>
      <c r="Y44" s="8"/>
      <c r="Z44" s="8"/>
      <c r="AA44" s="8"/>
      <c r="AB44" s="8"/>
      <c r="AC44" s="8"/>
      <c r="AD44" s="8"/>
      <c r="AE44" s="8"/>
      <c r="AF44" s="8"/>
      <c r="AG44" s="38"/>
    </row>
    <row r="45" spans="2:39" x14ac:dyDescent="0.25">
      <c r="B45" s="1" t="s">
        <v>46</v>
      </c>
      <c r="D45" s="50"/>
      <c r="E45" s="5"/>
      <c r="F45" s="5"/>
      <c r="G45" s="5"/>
      <c r="H45" s="5"/>
      <c r="M45" s="2" t="s">
        <v>47</v>
      </c>
      <c r="N45" s="39">
        <f>N44*$R45</f>
        <v>72.299081266246105</v>
      </c>
      <c r="O45" s="39">
        <f>O44*$R45</f>
        <v>73.60797633776528</v>
      </c>
      <c r="P45" s="39">
        <f>P44*$R45</f>
        <v>135.37810856756548</v>
      </c>
      <c r="Q45" s="39">
        <f>Q44*$R45</f>
        <v>272.26416757107035</v>
      </c>
      <c r="R45" s="42">
        <v>0.87132506044898206</v>
      </c>
      <c r="X45" s="17" t="s">
        <v>16</v>
      </c>
      <c r="Y45" s="32">
        <f t="shared" ref="Y45:AG47" si="12">Y24/Y$9-1</f>
        <v>0.14793563613580174</v>
      </c>
      <c r="Z45" s="32">
        <f t="shared" si="12"/>
        <v>8.3413461538461409E-2</v>
      </c>
      <c r="AA45" s="32">
        <f t="shared" si="12"/>
        <v>6.0118699034430012E-2</v>
      </c>
      <c r="AB45" s="32">
        <f t="shared" si="12"/>
        <v>-3.6634714691943127E-2</v>
      </c>
      <c r="AC45" s="32">
        <f t="shared" si="12"/>
        <v>-1.4831040831156272E-2</v>
      </c>
      <c r="AD45" s="32">
        <f t="shared" si="12"/>
        <v>0.1823285714285714</v>
      </c>
      <c r="AE45" s="32">
        <f t="shared" si="12"/>
        <v>-2.5641025641025661E-2</v>
      </c>
      <c r="AF45" s="32">
        <f t="shared" si="12"/>
        <v>-6.25E-2</v>
      </c>
      <c r="AG45" s="33">
        <f t="shared" si="12"/>
        <v>7.5548060708263032E-2</v>
      </c>
    </row>
    <row r="46" spans="2:39" x14ac:dyDescent="0.25">
      <c r="B46" s="13" t="s">
        <v>48</v>
      </c>
      <c r="D46" s="51">
        <v>1780.6</v>
      </c>
      <c r="E46" s="5"/>
      <c r="F46" s="5"/>
      <c r="G46" s="5"/>
      <c r="H46" s="5"/>
      <c r="P46" s="2">
        <f>AVERAGE(O45:P45)</f>
        <v>104.49304245266538</v>
      </c>
      <c r="X46" s="17" t="s">
        <v>17</v>
      </c>
      <c r="Y46" s="32">
        <f t="shared" si="12"/>
        <v>0.21468461850158205</v>
      </c>
      <c r="Z46" s="32">
        <f t="shared" si="12"/>
        <v>0.18918269230769225</v>
      </c>
      <c r="AA46" s="32">
        <f t="shared" si="12"/>
        <v>8.5635102436617094E-2</v>
      </c>
      <c r="AB46" s="32">
        <f t="shared" si="12"/>
        <v>-1.7677368720379061E-2</v>
      </c>
      <c r="AC46" s="32">
        <f t="shared" si="12"/>
        <v>-9.1255193587636008E-3</v>
      </c>
      <c r="AD46" s="32">
        <f t="shared" si="12"/>
        <v>0.24932571428571415</v>
      </c>
      <c r="AE46" s="32">
        <f t="shared" si="12"/>
        <v>0.12820512820512819</v>
      </c>
      <c r="AF46" s="32">
        <f t="shared" si="12"/>
        <v>2.4999999999999911E-2</v>
      </c>
      <c r="AG46" s="33">
        <f t="shared" si="12"/>
        <v>0.13625632377740304</v>
      </c>
    </row>
    <row r="47" spans="2:39" x14ac:dyDescent="0.25">
      <c r="B47" s="52" t="s">
        <v>49</v>
      </c>
      <c r="D47" s="51">
        <v>-20</v>
      </c>
      <c r="E47" s="5"/>
      <c r="F47" s="5"/>
      <c r="G47" s="5"/>
      <c r="H47" s="5"/>
      <c r="X47" s="17" t="s">
        <v>18</v>
      </c>
      <c r="Y47" s="32">
        <f t="shared" si="12"/>
        <v>0.33651529064635821</v>
      </c>
      <c r="Z47" s="32">
        <f t="shared" si="12"/>
        <v>0.61466346153846163</v>
      </c>
      <c r="AA47" s="32">
        <f t="shared" si="12"/>
        <v>0.12220861397975202</v>
      </c>
      <c r="AB47" s="32">
        <f t="shared" si="12"/>
        <v>1.2799772511848939E-3</v>
      </c>
      <c r="AC47" s="32">
        <f t="shared" si="12"/>
        <v>-2.4690776409721504E-3</v>
      </c>
      <c r="AD47" s="32">
        <f t="shared" si="12"/>
        <v>0.30251428571428574</v>
      </c>
      <c r="AE47" s="32">
        <f t="shared" si="12"/>
        <v>0.25641025641025639</v>
      </c>
      <c r="AF47" s="32">
        <f t="shared" si="12"/>
        <v>0.125</v>
      </c>
      <c r="AG47" s="45">
        <f t="shared" si="12"/>
        <v>0.26205733558178745</v>
      </c>
    </row>
    <row r="48" spans="2:39" x14ac:dyDescent="0.25">
      <c r="B48" s="13" t="s">
        <v>50</v>
      </c>
      <c r="D48" s="50">
        <f>SUM(D46:D47)</f>
        <v>1760.6</v>
      </c>
      <c r="E48" s="5"/>
      <c r="F48" s="5"/>
      <c r="G48" s="5"/>
      <c r="H48" s="5"/>
      <c r="S48" s="53"/>
    </row>
    <row r="49" spans="2:31" x14ac:dyDescent="0.25">
      <c r="B49" s="54"/>
      <c r="C49" s="54"/>
      <c r="D49" s="55"/>
      <c r="E49" s="5"/>
      <c r="F49" s="5"/>
      <c r="G49" s="12" t="s">
        <v>51</v>
      </c>
      <c r="H49" s="5"/>
      <c r="X49" s="12" t="s">
        <v>39</v>
      </c>
      <c r="Z49" s="39"/>
    </row>
    <row r="50" spans="2:31" x14ac:dyDescent="0.25">
      <c r="B50" s="1" t="s">
        <v>52</v>
      </c>
      <c r="C50" s="54"/>
      <c r="D50" s="55"/>
      <c r="E50" s="5"/>
      <c r="F50" s="56" t="s">
        <v>16</v>
      </c>
      <c r="G50" s="56" t="s">
        <v>17</v>
      </c>
      <c r="H50" s="56" t="s">
        <v>18</v>
      </c>
      <c r="X50" s="57" t="s">
        <v>40</v>
      </c>
      <c r="Z50" s="49">
        <v>1772.8</v>
      </c>
      <c r="AA50" s="5"/>
      <c r="AB50" s="5"/>
      <c r="AC50" s="5"/>
      <c r="AD50" s="5"/>
    </row>
    <row r="51" spans="2:31" x14ac:dyDescent="0.25">
      <c r="B51" s="58" t="s">
        <v>53</v>
      </c>
      <c r="C51" s="54"/>
      <c r="D51" s="59">
        <f>D48/D42-1</f>
        <v>-6.8817689530685788E-3</v>
      </c>
      <c r="E51" s="56" t="s">
        <v>54</v>
      </c>
      <c r="F51" s="59">
        <f>K32</f>
        <v>-0.1171911996533278</v>
      </c>
      <c r="G51" s="59">
        <f>K33</f>
        <v>-6.9145054934827144E-2</v>
      </c>
      <c r="H51" s="59">
        <f>K34</f>
        <v>2.3757416405866483E-2</v>
      </c>
      <c r="X51" s="57" t="s">
        <v>43</v>
      </c>
      <c r="Z51" s="49">
        <v>1459.8</v>
      </c>
      <c r="AA51" s="5"/>
      <c r="AB51" s="5"/>
      <c r="AC51" s="5"/>
      <c r="AD51" s="5"/>
    </row>
    <row r="52" spans="2:31" x14ac:dyDescent="0.25">
      <c r="B52" s="58" t="s">
        <v>55</v>
      </c>
      <c r="D52" s="59">
        <f>D48/D43-1</f>
        <v>0.20605562405809019</v>
      </c>
      <c r="E52" s="56" t="s">
        <v>54</v>
      </c>
      <c r="F52" s="59">
        <f>K37</f>
        <v>8.6465198133223176E-2</v>
      </c>
      <c r="G52" s="59">
        <f>K38</f>
        <v>0.14559517522523291</v>
      </c>
      <c r="H52" s="59">
        <f>K39</f>
        <v>0.25992944771163806</v>
      </c>
      <c r="Z52" s="50"/>
      <c r="AA52" s="5"/>
      <c r="AB52" s="5"/>
      <c r="AC52" s="5"/>
      <c r="AD52" s="5"/>
    </row>
    <row r="53" spans="2:31" x14ac:dyDescent="0.25">
      <c r="X53" s="12" t="s">
        <v>46</v>
      </c>
      <c r="Z53" s="50"/>
      <c r="AA53" s="5"/>
      <c r="AB53" s="5"/>
      <c r="AC53" s="5"/>
      <c r="AD53" s="5"/>
    </row>
    <row r="54" spans="2:31" x14ac:dyDescent="0.25">
      <c r="X54" s="57" t="s">
        <v>48</v>
      </c>
      <c r="Z54" s="51">
        <v>1759.8</v>
      </c>
      <c r="AA54" s="5" t="s">
        <v>56</v>
      </c>
      <c r="AB54" s="5"/>
      <c r="AC54" s="5"/>
      <c r="AD54" s="5"/>
    </row>
    <row r="55" spans="2:31" x14ac:dyDescent="0.25">
      <c r="X55" s="57" t="s">
        <v>49</v>
      </c>
      <c r="Z55" s="51">
        <v>-20</v>
      </c>
      <c r="AA55" s="5"/>
      <c r="AB55" s="5"/>
      <c r="AC55" s="5"/>
      <c r="AD55" s="5"/>
    </row>
    <row r="56" spans="2:31" x14ac:dyDescent="0.25">
      <c r="X56" s="57" t="s">
        <v>50</v>
      </c>
      <c r="Z56" s="50">
        <f>SUM(Z54:Z55)</f>
        <v>1739.8</v>
      </c>
      <c r="AA56" s="5"/>
      <c r="AB56" s="5"/>
      <c r="AC56" s="5"/>
      <c r="AD56" s="5"/>
    </row>
    <row r="57" spans="2:31" x14ac:dyDescent="0.25">
      <c r="B57" s="1" t="s">
        <v>57</v>
      </c>
      <c r="C57" s="3"/>
      <c r="D57" s="4"/>
      <c r="E57" s="3"/>
      <c r="G57" s="3"/>
      <c r="H57" s="3"/>
      <c r="X57" s="60"/>
      <c r="Y57" s="54"/>
      <c r="Z57" s="55"/>
      <c r="AA57" s="5"/>
      <c r="AB57" s="5"/>
      <c r="AC57" s="12" t="s">
        <v>58</v>
      </c>
      <c r="AD57" s="5"/>
      <c r="AE57" s="61" t="s">
        <v>59</v>
      </c>
    </row>
    <row r="58" spans="2:31" ht="15.75" thickBot="1" x14ac:dyDescent="0.3">
      <c r="X58" s="12" t="s">
        <v>52</v>
      </c>
      <c r="Y58" s="54"/>
      <c r="Z58" s="55"/>
      <c r="AA58" s="5"/>
      <c r="AB58" s="56" t="s">
        <v>16</v>
      </c>
      <c r="AC58" s="56" t="s">
        <v>17</v>
      </c>
      <c r="AD58" s="56" t="s">
        <v>18</v>
      </c>
      <c r="AE58" s="8" t="s">
        <v>60</v>
      </c>
    </row>
    <row r="59" spans="2:31" x14ac:dyDescent="0.25">
      <c r="B59" s="6"/>
      <c r="C59" s="6" t="s">
        <v>4</v>
      </c>
      <c r="D59" s="6" t="s">
        <v>5</v>
      </c>
      <c r="E59" s="6" t="s">
        <v>6</v>
      </c>
      <c r="F59" s="6" t="s">
        <v>7</v>
      </c>
      <c r="G59" s="6" t="s">
        <v>8</v>
      </c>
      <c r="H59" s="6" t="s">
        <v>9</v>
      </c>
      <c r="I59" s="6" t="s">
        <v>10</v>
      </c>
      <c r="J59" s="6" t="s">
        <v>11</v>
      </c>
      <c r="K59" s="7" t="s">
        <v>12</v>
      </c>
      <c r="X59" s="62" t="s">
        <v>53</v>
      </c>
      <c r="Y59" s="54"/>
      <c r="Z59" s="63">
        <f>Z56/Z50-1</f>
        <v>-1.8614620938628201E-2</v>
      </c>
      <c r="AA59" s="56" t="s">
        <v>54</v>
      </c>
      <c r="AB59" s="59">
        <f>AG40</f>
        <v>-0.12606193477665117</v>
      </c>
      <c r="AC59" s="59">
        <f>AG41</f>
        <v>-7.6733351603178956E-2</v>
      </c>
      <c r="AD59" s="59">
        <f>AG42</f>
        <v>2.5486434639627298E-2</v>
      </c>
      <c r="AE59" s="63">
        <f>AG32</f>
        <v>-5.6261133749210601E-2</v>
      </c>
    </row>
    <row r="60" spans="2:31" ht="15.75" thickBot="1" x14ac:dyDescent="0.3">
      <c r="C60" s="8"/>
      <c r="D60" s="8"/>
      <c r="E60" s="8"/>
      <c r="F60" s="8"/>
      <c r="G60" s="8"/>
      <c r="H60" s="8"/>
      <c r="I60" s="8"/>
      <c r="J60" s="8"/>
      <c r="K60" s="9"/>
      <c r="X60" s="62" t="s">
        <v>55</v>
      </c>
      <c r="Z60" s="64">
        <f>Z56/Z51-1</f>
        <v>0.19180709686258401</v>
      </c>
      <c r="AA60" s="56" t="s">
        <v>54</v>
      </c>
      <c r="AB60" s="59">
        <f>AG45</f>
        <v>7.5548060708263032E-2</v>
      </c>
      <c r="AC60" s="59">
        <f>AG46</f>
        <v>0.13625632377740304</v>
      </c>
      <c r="AD60" s="59">
        <f>AG47</f>
        <v>0.26205733558178745</v>
      </c>
      <c r="AE60" s="64">
        <f>AG33</f>
        <v>0.16145130622230375</v>
      </c>
    </row>
    <row r="61" spans="2:31" x14ac:dyDescent="0.25">
      <c r="B61" s="1" t="s">
        <v>14</v>
      </c>
      <c r="C61" s="8"/>
      <c r="D61" s="8"/>
      <c r="E61" s="8"/>
      <c r="F61" s="8"/>
      <c r="G61" s="8"/>
      <c r="H61" s="8"/>
      <c r="I61" s="8"/>
      <c r="J61" s="8"/>
      <c r="K61" s="9"/>
    </row>
    <row r="62" spans="2:31" x14ac:dyDescent="0.25">
      <c r="B62" s="13" t="s">
        <v>61</v>
      </c>
      <c r="C62" s="65">
        <v>900.53979537774433</v>
      </c>
      <c r="D62" s="65">
        <v>451.27166200241044</v>
      </c>
      <c r="E62" s="65">
        <v>714.80363489057095</v>
      </c>
      <c r="F62" s="65">
        <v>189.89340479999998</v>
      </c>
      <c r="G62" s="65">
        <v>102.21671262948324</v>
      </c>
      <c r="H62" s="65">
        <v>99.2</v>
      </c>
      <c r="I62" s="8"/>
      <c r="J62" s="8"/>
      <c r="K62" s="9"/>
    </row>
    <row r="63" spans="2:31" x14ac:dyDescent="0.25">
      <c r="B63" s="13" t="s">
        <v>62</v>
      </c>
      <c r="C63" s="65">
        <v>835.86061233909732</v>
      </c>
      <c r="D63" s="65">
        <v>650.00888867601338</v>
      </c>
      <c r="E63" s="65">
        <v>642.87235798914344</v>
      </c>
      <c r="F63" s="65">
        <v>180.20312640000003</v>
      </c>
      <c r="G63" s="65">
        <v>102.49911570298879</v>
      </c>
      <c r="H63" s="65">
        <v>197.82</v>
      </c>
      <c r="I63" s="8"/>
      <c r="J63" s="8"/>
      <c r="K63" s="9"/>
    </row>
    <row r="64" spans="2:31" x14ac:dyDescent="0.25">
      <c r="B64" s="13" t="s">
        <v>63</v>
      </c>
      <c r="C64" s="65">
        <v>1167.8738361231369</v>
      </c>
      <c r="D64" s="65">
        <v>470.22527875201899</v>
      </c>
      <c r="E64" s="65">
        <v>721.13989548667416</v>
      </c>
      <c r="F64" s="65">
        <v>195.77479679999999</v>
      </c>
      <c r="G64" s="65">
        <v>110.23987518878909</v>
      </c>
      <c r="H64" s="65">
        <v>123.3</v>
      </c>
      <c r="I64" s="8"/>
      <c r="J64" s="8"/>
      <c r="K64" s="9"/>
    </row>
    <row r="65" spans="2:11" x14ac:dyDescent="0.25">
      <c r="B65" s="13" t="s">
        <v>64</v>
      </c>
      <c r="C65" s="65">
        <v>829.79284811983075</v>
      </c>
      <c r="D65" s="65">
        <v>373.35121361236821</v>
      </c>
      <c r="E65" s="65">
        <v>721.67181429438028</v>
      </c>
      <c r="F65" s="65">
        <v>211.9563072</v>
      </c>
      <c r="G65" s="65">
        <v>138.98760609881589</v>
      </c>
      <c r="H65" s="65">
        <v>48.46</v>
      </c>
      <c r="I65" s="8"/>
      <c r="J65" s="8"/>
      <c r="K65" s="9"/>
    </row>
    <row r="66" spans="2:11" x14ac:dyDescent="0.25">
      <c r="B66" s="13" t="s">
        <v>65</v>
      </c>
      <c r="C66" s="65">
        <v>965.18936580378124</v>
      </c>
      <c r="D66" s="65">
        <v>445.01652962697642</v>
      </c>
      <c r="E66" s="65">
        <v>829.75038288598955</v>
      </c>
      <c r="F66" s="65">
        <v>252.40002479999998</v>
      </c>
      <c r="G66" s="65">
        <v>175.73153948463602</v>
      </c>
      <c r="H66" s="65">
        <v>45.22</v>
      </c>
      <c r="I66" s="8"/>
      <c r="J66" s="8"/>
      <c r="K66" s="9"/>
    </row>
    <row r="67" spans="2:11" x14ac:dyDescent="0.25">
      <c r="B67" s="13" t="s">
        <v>66</v>
      </c>
      <c r="C67" s="65">
        <v>986.31885122338917</v>
      </c>
      <c r="D67" s="65">
        <v>440.39538446016502</v>
      </c>
      <c r="E67" s="65">
        <v>931.53345407657866</v>
      </c>
      <c r="F67" s="65">
        <v>224.40551759999997</v>
      </c>
      <c r="G67" s="65">
        <v>156.96479561366715</v>
      </c>
      <c r="H67" s="65">
        <v>46.68</v>
      </c>
      <c r="I67" s="8"/>
      <c r="J67" s="8"/>
      <c r="K67" s="9"/>
    </row>
    <row r="68" spans="2:11" x14ac:dyDescent="0.25">
      <c r="B68" s="13" t="s">
        <v>67</v>
      </c>
      <c r="C68" s="14">
        <v>1223</v>
      </c>
      <c r="D68" s="14">
        <v>493</v>
      </c>
      <c r="E68" s="14">
        <v>960</v>
      </c>
      <c r="F68" s="14">
        <v>223</v>
      </c>
      <c r="G68" s="14">
        <v>174</v>
      </c>
      <c r="H68" s="14">
        <v>41</v>
      </c>
      <c r="I68" s="14">
        <v>245</v>
      </c>
      <c r="J68" s="14">
        <v>79</v>
      </c>
      <c r="K68" s="15">
        <v>3438</v>
      </c>
    </row>
    <row r="69" spans="2:11" x14ac:dyDescent="0.25">
      <c r="B69" s="13" t="s">
        <v>68</v>
      </c>
      <c r="C69" s="14">
        <v>1364</v>
      </c>
      <c r="D69" s="14">
        <v>404</v>
      </c>
      <c r="E69" s="14">
        <v>792</v>
      </c>
      <c r="F69" s="14">
        <v>211</v>
      </c>
      <c r="G69" s="14">
        <v>167</v>
      </c>
      <c r="H69" s="14">
        <v>70</v>
      </c>
      <c r="I69" s="14">
        <v>196</v>
      </c>
      <c r="J69" s="14">
        <v>74</v>
      </c>
      <c r="K69" s="15">
        <v>3278</v>
      </c>
    </row>
    <row r="70" spans="2:11" x14ac:dyDescent="0.25">
      <c r="B70" s="13" t="s">
        <v>19</v>
      </c>
      <c r="C70" s="14">
        <v>1441</v>
      </c>
      <c r="D70" s="14">
        <v>466</v>
      </c>
      <c r="E70" s="14">
        <v>955</v>
      </c>
      <c r="F70" s="14">
        <v>206</v>
      </c>
      <c r="G70" s="14">
        <v>167</v>
      </c>
      <c r="H70" s="14">
        <v>98</v>
      </c>
      <c r="I70" s="14">
        <v>234</v>
      </c>
      <c r="J70" s="14">
        <v>82</v>
      </c>
      <c r="K70" s="15">
        <v>3649</v>
      </c>
    </row>
    <row r="71" spans="2:11" x14ac:dyDescent="0.25">
      <c r="B71" s="13" t="s">
        <v>20</v>
      </c>
      <c r="C71" s="14">
        <v>1042</v>
      </c>
      <c r="D71" s="14">
        <v>416</v>
      </c>
      <c r="E71" s="14">
        <v>823</v>
      </c>
      <c r="F71" s="14">
        <v>211</v>
      </c>
      <c r="G71" s="14">
        <v>163</v>
      </c>
      <c r="H71" s="14">
        <v>35</v>
      </c>
      <c r="I71" s="14">
        <v>195</v>
      </c>
      <c r="J71" s="14">
        <v>80</v>
      </c>
      <c r="K71" s="15">
        <v>2965</v>
      </c>
    </row>
    <row r="72" spans="2:11" x14ac:dyDescent="0.25">
      <c r="B72" s="13" t="s">
        <v>69</v>
      </c>
      <c r="C72" s="21">
        <v>1265.7013724786484</v>
      </c>
      <c r="D72" s="21">
        <v>523.00161721430936</v>
      </c>
      <c r="E72" s="21">
        <v>893.47768930533584</v>
      </c>
      <c r="F72" s="21">
        <v>207.27007520000001</v>
      </c>
      <c r="G72" s="21">
        <v>161.51254034452154</v>
      </c>
      <c r="H72" s="21">
        <v>43.726399999999998</v>
      </c>
      <c r="I72" s="21">
        <v>220</v>
      </c>
      <c r="J72" s="21">
        <v>82</v>
      </c>
      <c r="K72" s="30">
        <f>SUM(C72:J72)</f>
        <v>3396.6896945428157</v>
      </c>
    </row>
    <row r="73" spans="2:11" x14ac:dyDescent="0.25">
      <c r="C73" s="8"/>
      <c r="D73" s="21"/>
      <c r="E73" s="8"/>
      <c r="F73" s="23"/>
      <c r="G73" s="23"/>
      <c r="H73" s="8"/>
      <c r="I73" s="8"/>
      <c r="J73" s="8"/>
      <c r="K73" s="9"/>
    </row>
    <row r="74" spans="2:11" x14ac:dyDescent="0.25">
      <c r="B74" s="24" t="s">
        <v>57</v>
      </c>
      <c r="C74" s="66"/>
      <c r="D74" s="21"/>
      <c r="E74" s="66"/>
      <c r="F74" s="66"/>
      <c r="G74" s="66"/>
      <c r="H74" s="66"/>
      <c r="I74" s="66"/>
      <c r="J74" s="66"/>
      <c r="K74" s="9"/>
    </row>
    <row r="75" spans="2:11" x14ac:dyDescent="0.25">
      <c r="B75" s="13" t="s">
        <v>16</v>
      </c>
      <c r="C75" s="21">
        <v>940.09252977313201</v>
      </c>
      <c r="D75" s="21">
        <v>358.95586718174178</v>
      </c>
      <c r="E75" s="21">
        <v>775</v>
      </c>
      <c r="F75" s="21">
        <v>195</v>
      </c>
      <c r="G75" s="21">
        <v>155</v>
      </c>
      <c r="H75" s="21">
        <v>35</v>
      </c>
      <c r="I75" s="21">
        <v>165</v>
      </c>
      <c r="J75" s="21">
        <v>73</v>
      </c>
      <c r="K75" s="30">
        <f>SUM(C75:J75)</f>
        <v>2697.0483969548741</v>
      </c>
    </row>
    <row r="76" spans="2:11" x14ac:dyDescent="0.25">
      <c r="B76" s="13" t="s">
        <v>17</v>
      </c>
      <c r="C76" s="21">
        <v>1270.0311299672826</v>
      </c>
      <c r="D76" s="21">
        <v>458.47640006698288</v>
      </c>
      <c r="E76" s="21">
        <v>825</v>
      </c>
      <c r="F76" s="21">
        <v>210</v>
      </c>
      <c r="G76" s="21">
        <v>161.51254034452154</v>
      </c>
      <c r="H76" s="21">
        <v>60</v>
      </c>
      <c r="I76" s="21">
        <v>190</v>
      </c>
      <c r="J76" s="21">
        <v>80</v>
      </c>
      <c r="K76" s="30">
        <f>SUM(C76:J76)</f>
        <v>3255.0200703787868</v>
      </c>
    </row>
    <row r="77" spans="2:11" x14ac:dyDescent="0.25">
      <c r="B77" s="13" t="s">
        <v>18</v>
      </c>
      <c r="C77" s="21">
        <v>1801.7404325869697</v>
      </c>
      <c r="D77" s="21">
        <v>650.92935083308487</v>
      </c>
      <c r="E77" s="21">
        <v>875</v>
      </c>
      <c r="F77" s="21">
        <v>245</v>
      </c>
      <c r="G77" s="21">
        <v>170</v>
      </c>
      <c r="H77" s="21">
        <v>85</v>
      </c>
      <c r="I77" s="21">
        <v>215</v>
      </c>
      <c r="J77" s="21">
        <v>88</v>
      </c>
      <c r="K77" s="30">
        <f>SUM(C77:J77)</f>
        <v>4130.669783420055</v>
      </c>
    </row>
    <row r="78" spans="2:11" x14ac:dyDescent="0.25">
      <c r="C78" s="8"/>
      <c r="D78" s="8"/>
      <c r="E78" s="8"/>
      <c r="F78" s="8"/>
      <c r="G78" s="8"/>
      <c r="H78" s="8"/>
      <c r="I78" s="8"/>
      <c r="J78" s="8"/>
      <c r="K78" s="9"/>
    </row>
    <row r="79" spans="2:11" outlineLevel="1" x14ac:dyDescent="0.25">
      <c r="B79" s="24" t="s">
        <v>29</v>
      </c>
      <c r="C79" s="8"/>
      <c r="D79" s="8"/>
      <c r="E79" s="8"/>
      <c r="F79" s="8"/>
      <c r="G79" s="8"/>
      <c r="H79" s="8"/>
      <c r="I79" s="8"/>
      <c r="J79" s="8"/>
      <c r="K79" s="9"/>
    </row>
    <row r="80" spans="2:11" outlineLevel="1" x14ac:dyDescent="0.25">
      <c r="B80" s="13" t="s">
        <v>16</v>
      </c>
      <c r="C80" s="32">
        <f>C75/C$76-1</f>
        <v>-0.25978780551831837</v>
      </c>
      <c r="D80" s="32">
        <f t="shared" ref="D80:J80" si="13">D75/D$76-1</f>
        <v>-0.21706795130720202</v>
      </c>
      <c r="E80" s="32">
        <f t="shared" si="13"/>
        <v>-6.0606060606060552E-2</v>
      </c>
      <c r="F80" s="32">
        <f t="shared" si="13"/>
        <v>-7.1428571428571397E-2</v>
      </c>
      <c r="G80" s="32">
        <f t="shared" si="13"/>
        <v>-4.0322196224699791E-2</v>
      </c>
      <c r="H80" s="32">
        <f t="shared" si="13"/>
        <v>-0.41666666666666663</v>
      </c>
      <c r="I80" s="32">
        <f t="shared" si="13"/>
        <v>-0.13157894736842102</v>
      </c>
      <c r="J80" s="32">
        <f t="shared" si="13"/>
        <v>-8.7500000000000022E-2</v>
      </c>
      <c r="K80" s="33">
        <f>K75/K$76-1</f>
        <v>-0.17141881197647468</v>
      </c>
    </row>
    <row r="81" spans="2:13" outlineLevel="1" x14ac:dyDescent="0.25">
      <c r="B81" s="13" t="s">
        <v>18</v>
      </c>
      <c r="C81" s="32">
        <f>C77/C$76-1</f>
        <v>0.41865848015346252</v>
      </c>
      <c r="D81" s="32">
        <f t="shared" ref="D81:J81" si="14">D77/D$76-1</f>
        <v>0.41976631891627325</v>
      </c>
      <c r="E81" s="32">
        <f t="shared" si="14"/>
        <v>6.0606060606060552E-2</v>
      </c>
      <c r="F81" s="32">
        <f t="shared" si="14"/>
        <v>0.16666666666666674</v>
      </c>
      <c r="G81" s="32">
        <f t="shared" si="14"/>
        <v>5.2549849301942064E-2</v>
      </c>
      <c r="H81" s="32">
        <f t="shared" si="14"/>
        <v>0.41666666666666674</v>
      </c>
      <c r="I81" s="32">
        <f t="shared" si="14"/>
        <v>0.13157894736842102</v>
      </c>
      <c r="J81" s="32">
        <f t="shared" si="14"/>
        <v>0.10000000000000009</v>
      </c>
      <c r="K81" s="33">
        <f>K77/K$76-1</f>
        <v>0.26901515017060063</v>
      </c>
    </row>
    <row r="82" spans="2:13" outlineLevel="1" x14ac:dyDescent="0.25">
      <c r="C82" s="8"/>
      <c r="D82" s="8"/>
      <c r="E82" s="8"/>
      <c r="F82" s="8"/>
      <c r="G82" s="8"/>
      <c r="H82" s="8"/>
      <c r="I82" s="8"/>
      <c r="J82" s="8"/>
      <c r="K82" s="38"/>
    </row>
    <row r="83" spans="2:13" outlineLevel="1" x14ac:dyDescent="0.25">
      <c r="B83" s="41" t="s">
        <v>33</v>
      </c>
      <c r="C83" s="8"/>
      <c r="D83" s="8"/>
      <c r="E83" s="8"/>
      <c r="F83" s="8"/>
      <c r="G83" s="8"/>
      <c r="H83" s="8"/>
      <c r="I83" s="8"/>
      <c r="J83" s="8"/>
      <c r="K83" s="38"/>
    </row>
    <row r="84" spans="2:13" ht="15.75" outlineLevel="1" thickBot="1" x14ac:dyDescent="0.3">
      <c r="B84" s="13" t="s">
        <v>16</v>
      </c>
      <c r="C84" s="32">
        <f>C75/C$71-1</f>
        <v>-9.779987545764679E-2</v>
      </c>
      <c r="D84" s="32">
        <f t="shared" ref="D84:K84" si="15">D75/D$71-1</f>
        <v>-0.13712531927465921</v>
      </c>
      <c r="E84" s="32">
        <f t="shared" si="15"/>
        <v>-5.8323207776427743E-2</v>
      </c>
      <c r="F84" s="32">
        <f t="shared" si="15"/>
        <v>-7.582938388625593E-2</v>
      </c>
      <c r="G84" s="32">
        <f t="shared" si="15"/>
        <v>-4.9079754601227044E-2</v>
      </c>
      <c r="H84" s="32">
        <f t="shared" si="15"/>
        <v>0</v>
      </c>
      <c r="I84" s="32">
        <f t="shared" si="15"/>
        <v>-0.15384615384615385</v>
      </c>
      <c r="J84" s="32">
        <f t="shared" si="15"/>
        <v>-8.7500000000000022E-2</v>
      </c>
      <c r="K84" s="33">
        <f t="shared" si="15"/>
        <v>-9.0371535597007058E-2</v>
      </c>
    </row>
    <row r="85" spans="2:13" ht="15.75" thickBot="1" x14ac:dyDescent="0.3">
      <c r="B85" s="13" t="s">
        <v>17</v>
      </c>
      <c r="C85" s="32">
        <f t="shared" ref="C85:K86" si="16">C76/C$71-1</f>
        <v>0.21883985601466649</v>
      </c>
      <c r="D85" s="32">
        <f t="shared" si="16"/>
        <v>0.10210673093024725</v>
      </c>
      <c r="E85" s="32">
        <f t="shared" si="16"/>
        <v>2.430133657351119E-3</v>
      </c>
      <c r="F85" s="32">
        <f t="shared" si="16"/>
        <v>-4.7393364928910442E-3</v>
      </c>
      <c r="G85" s="32">
        <f t="shared" si="16"/>
        <v>-9.1255193587636008E-3</v>
      </c>
      <c r="H85" s="32">
        <f t="shared" si="16"/>
        <v>0.71428571428571419</v>
      </c>
      <c r="I85" s="32">
        <f t="shared" si="16"/>
        <v>-2.5641025641025661E-2</v>
      </c>
      <c r="J85" s="32">
        <f t="shared" si="16"/>
        <v>0</v>
      </c>
      <c r="K85" s="44">
        <f t="shared" si="16"/>
        <v>9.7814526266032598E-2</v>
      </c>
    </row>
    <row r="86" spans="2:13" x14ac:dyDescent="0.25">
      <c r="B86" s="13" t="s">
        <v>18</v>
      </c>
      <c r="C86" s="32">
        <f t="shared" si="16"/>
        <v>0.72911749768423206</v>
      </c>
      <c r="D86" s="32">
        <f t="shared" si="16"/>
        <v>0.56473401642568488</v>
      </c>
      <c r="E86" s="32">
        <f t="shared" si="16"/>
        <v>6.3183475091129981E-2</v>
      </c>
      <c r="F86" s="32">
        <f t="shared" si="16"/>
        <v>0.16113744075829395</v>
      </c>
      <c r="G86" s="32">
        <f t="shared" si="16"/>
        <v>4.2944785276073594E-2</v>
      </c>
      <c r="H86" s="32">
        <f t="shared" si="16"/>
        <v>1.4285714285714284</v>
      </c>
      <c r="I86" s="32">
        <f t="shared" si="16"/>
        <v>0.10256410256410264</v>
      </c>
      <c r="J86" s="32">
        <f t="shared" si="16"/>
        <v>0.10000000000000009</v>
      </c>
      <c r="K86" s="33">
        <f t="shared" si="16"/>
        <v>0.39314326590895621</v>
      </c>
    </row>
    <row r="87" spans="2:13" x14ac:dyDescent="0.25">
      <c r="C87" s="8"/>
      <c r="D87" s="8"/>
      <c r="E87" s="8"/>
      <c r="F87" s="8"/>
      <c r="G87" s="8"/>
      <c r="H87" s="8"/>
      <c r="I87" s="8"/>
      <c r="J87" s="8"/>
      <c r="K87" s="38"/>
    </row>
    <row r="88" spans="2:13" x14ac:dyDescent="0.25">
      <c r="B88" s="41" t="s">
        <v>38</v>
      </c>
      <c r="C88" s="8"/>
      <c r="D88" s="8"/>
      <c r="E88" s="8"/>
      <c r="F88" s="8"/>
      <c r="G88" s="8"/>
      <c r="H88" s="8"/>
      <c r="I88" s="8"/>
      <c r="J88" s="8"/>
      <c r="K88" s="38"/>
    </row>
    <row r="89" spans="2:13" x14ac:dyDescent="0.25">
      <c r="B89" s="13" t="s">
        <v>16</v>
      </c>
      <c r="C89" s="32">
        <f>C75/C$72-1</f>
        <v>-0.25725566060489458</v>
      </c>
      <c r="D89" s="32">
        <f t="shared" ref="D89:K89" si="17">D75/D$72-1</f>
        <v>-0.31366203207235377</v>
      </c>
      <c r="E89" s="32">
        <f t="shared" si="17"/>
        <v>-0.13260285144607276</v>
      </c>
      <c r="F89" s="32">
        <f t="shared" si="17"/>
        <v>-5.9198488677925654E-2</v>
      </c>
      <c r="G89" s="32">
        <f t="shared" si="17"/>
        <v>-4.0322196224699791E-2</v>
      </c>
      <c r="H89" s="32">
        <f t="shared" si="17"/>
        <v>-0.19956822423067067</v>
      </c>
      <c r="I89" s="32">
        <f t="shared" si="17"/>
        <v>-0.25</v>
      </c>
      <c r="J89" s="32">
        <f t="shared" si="17"/>
        <v>-0.1097560975609756</v>
      </c>
      <c r="K89" s="33">
        <f t="shared" si="17"/>
        <v>-0.20597739578978858</v>
      </c>
    </row>
    <row r="90" spans="2:13" x14ac:dyDescent="0.25">
      <c r="B90" s="13" t="s">
        <v>17</v>
      </c>
      <c r="C90" s="32">
        <f t="shared" ref="C90:K91" si="18">C76/C$72-1</f>
        <v>3.4208365280943287E-3</v>
      </c>
      <c r="D90" s="32">
        <f t="shared" si="18"/>
        <v>-0.12337479469186063</v>
      </c>
      <c r="E90" s="32">
        <f t="shared" si="18"/>
        <v>-7.6641745087754898E-2</v>
      </c>
      <c r="F90" s="32">
        <f t="shared" si="18"/>
        <v>1.3170858346849279E-2</v>
      </c>
      <c r="G90" s="32">
        <f t="shared" si="18"/>
        <v>0</v>
      </c>
      <c r="H90" s="32">
        <f t="shared" si="18"/>
        <v>0.37216875846170749</v>
      </c>
      <c r="I90" s="32">
        <f t="shared" si="18"/>
        <v>-0.13636363636363635</v>
      </c>
      <c r="J90" s="32">
        <f t="shared" si="18"/>
        <v>-2.4390243902439046E-2</v>
      </c>
      <c r="K90" s="33">
        <f t="shared" si="18"/>
        <v>-4.170814437116166E-2</v>
      </c>
    </row>
    <row r="91" spans="2:13" x14ac:dyDescent="0.25">
      <c r="B91" s="13" t="s">
        <v>18</v>
      </c>
      <c r="C91" s="32">
        <f t="shared" si="18"/>
        <v>0.42351147890326235</v>
      </c>
      <c r="D91" s="32">
        <f t="shared" si="18"/>
        <v>0.24460294080955935</v>
      </c>
      <c r="E91" s="32">
        <f t="shared" si="18"/>
        <v>-2.068063872943704E-2</v>
      </c>
      <c r="F91" s="32">
        <f t="shared" si="18"/>
        <v>0.18203266807132423</v>
      </c>
      <c r="G91" s="32">
        <f t="shared" si="18"/>
        <v>5.2549849301942064E-2</v>
      </c>
      <c r="H91" s="32">
        <f t="shared" si="18"/>
        <v>0.94390574115408543</v>
      </c>
      <c r="I91" s="32">
        <f t="shared" si="18"/>
        <v>-2.2727272727272707E-2</v>
      </c>
      <c r="J91" s="32">
        <f t="shared" si="18"/>
        <v>7.3170731707317138E-2</v>
      </c>
      <c r="K91" s="45">
        <f t="shared" si="18"/>
        <v>0.21608688307809376</v>
      </c>
      <c r="M91" s="67">
        <v>0.4985</v>
      </c>
    </row>
    <row r="93" spans="2:13" x14ac:dyDescent="0.25">
      <c r="B93" s="1" t="s">
        <v>39</v>
      </c>
      <c r="D93" s="39"/>
    </row>
    <row r="94" spans="2:13" x14ac:dyDescent="0.25">
      <c r="B94" s="13" t="s">
        <v>40</v>
      </c>
      <c r="D94" s="49">
        <v>1772.8</v>
      </c>
      <c r="E94" s="5"/>
      <c r="F94" s="5"/>
      <c r="G94" s="5"/>
      <c r="H94" s="5"/>
    </row>
    <row r="95" spans="2:13" x14ac:dyDescent="0.25">
      <c r="B95" s="13" t="s">
        <v>43</v>
      </c>
      <c r="D95" s="49">
        <v>1459.8</v>
      </c>
      <c r="E95" s="5"/>
      <c r="F95" s="5"/>
      <c r="G95" s="5"/>
      <c r="H95" s="5"/>
    </row>
    <row r="96" spans="2:13" x14ac:dyDescent="0.25">
      <c r="B96" s="13" t="s">
        <v>69</v>
      </c>
      <c r="D96" s="68">
        <f>K72*M91</f>
        <v>1693.2498127295937</v>
      </c>
      <c r="E96" s="5"/>
      <c r="F96" s="5"/>
      <c r="G96" s="5"/>
      <c r="H96" s="5"/>
    </row>
    <row r="97" spans="2:8" x14ac:dyDescent="0.25">
      <c r="D97" s="50"/>
      <c r="E97" s="5"/>
      <c r="F97" s="5"/>
      <c r="G97" s="5"/>
      <c r="H97" s="5"/>
    </row>
    <row r="98" spans="2:8" x14ac:dyDescent="0.25">
      <c r="B98" s="1" t="s">
        <v>46</v>
      </c>
      <c r="D98" s="50"/>
      <c r="E98" s="5"/>
      <c r="F98" s="5"/>
      <c r="G98" s="5"/>
      <c r="H98" s="5"/>
    </row>
    <row r="99" spans="2:8" x14ac:dyDescent="0.25">
      <c r="B99" s="13" t="s">
        <v>70</v>
      </c>
      <c r="D99" s="51">
        <v>1711.4</v>
      </c>
      <c r="E99" s="5"/>
      <c r="F99" s="5"/>
      <c r="G99" s="5"/>
      <c r="H99" s="5"/>
    </row>
    <row r="100" spans="2:8" x14ac:dyDescent="0.25">
      <c r="B100" s="52" t="s">
        <v>49</v>
      </c>
      <c r="D100" s="68">
        <v>-16</v>
      </c>
      <c r="E100" s="5"/>
      <c r="F100" s="5"/>
      <c r="G100" s="5"/>
      <c r="H100" s="5"/>
    </row>
    <row r="101" spans="2:8" x14ac:dyDescent="0.25">
      <c r="B101" s="13" t="s">
        <v>50</v>
      </c>
      <c r="D101" s="50">
        <f>SUM(D99:D100)</f>
        <v>1695.4</v>
      </c>
      <c r="E101" s="5"/>
      <c r="F101" s="5"/>
      <c r="G101" s="5"/>
      <c r="H101" s="5"/>
    </row>
    <row r="102" spans="2:8" x14ac:dyDescent="0.25">
      <c r="B102" s="54"/>
      <c r="C102" s="54"/>
      <c r="D102" s="55"/>
      <c r="E102" s="5"/>
      <c r="F102" s="5"/>
      <c r="G102" s="12" t="s">
        <v>51</v>
      </c>
      <c r="H102" s="5"/>
    </row>
    <row r="103" spans="2:8" x14ac:dyDescent="0.25">
      <c r="B103" s="1" t="s">
        <v>52</v>
      </c>
      <c r="C103" s="54"/>
      <c r="D103" s="55"/>
      <c r="E103" s="5"/>
      <c r="F103" s="56" t="s">
        <v>16</v>
      </c>
      <c r="G103" s="56" t="s">
        <v>17</v>
      </c>
      <c r="H103" s="56" t="s">
        <v>18</v>
      </c>
    </row>
    <row r="104" spans="2:8" x14ac:dyDescent="0.25">
      <c r="B104" s="58" t="s">
        <v>53</v>
      </c>
      <c r="C104" s="54"/>
      <c r="D104" s="59">
        <f>D101/D95-1</f>
        <v>0.16139197150294571</v>
      </c>
      <c r="E104" s="56" t="s">
        <v>54</v>
      </c>
      <c r="F104" s="59">
        <f>K84</f>
        <v>-9.0371535597007058E-2</v>
      </c>
      <c r="G104" s="59">
        <f>K85</f>
        <v>9.7814526266032598E-2</v>
      </c>
      <c r="H104" s="59">
        <f>K86</f>
        <v>0.39314326590895621</v>
      </c>
    </row>
    <row r="105" spans="2:8" x14ac:dyDescent="0.25">
      <c r="B105" s="58" t="s">
        <v>55</v>
      </c>
      <c r="D105" s="59">
        <f>D101/D96-1</f>
        <v>1.2698582655916724E-3</v>
      </c>
      <c r="E105" s="56" t="s">
        <v>54</v>
      </c>
      <c r="F105" s="59">
        <f>K89</f>
        <v>-0.20597739578978858</v>
      </c>
      <c r="G105" s="59">
        <f>K90</f>
        <v>-4.170814437116166E-2</v>
      </c>
      <c r="H105" s="59">
        <f>K91</f>
        <v>0.21608688307809376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May-26 BBB Scenarios</vt:lpstr>
      <vt:lpstr>Nov-25 BBB Scenarios</vt:lpstr>
      <vt:lpstr>BBB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Bradshaw</dc:creator>
  <cp:lastModifiedBy>Sam Bradshaw</cp:lastModifiedBy>
  <cp:lastPrinted>2026-05-29T06:57:41Z</cp:lastPrinted>
  <dcterms:created xsi:type="dcterms:W3CDTF">2024-11-14T00:40:01Z</dcterms:created>
  <dcterms:modified xsi:type="dcterms:W3CDTF">2026-05-31T02:53:52Z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ad4959-a4d7-4a60-89ba-8fd96e834276_Enabled">
    <vt:lpwstr>true</vt:lpwstr>
  </property>
  <property fmtid="{D5CDD505-2E9C-101B-9397-08002B2CF9AE}" pid="3" name="MSIP_Label_faad4959-a4d7-4a60-89ba-8fd96e834276_SetDate">
    <vt:lpwstr>2024-11-14T00:40:22Z</vt:lpwstr>
  </property>
  <property fmtid="{D5CDD505-2E9C-101B-9397-08002B2CF9AE}" pid="4" name="MSIP_Label_faad4959-a4d7-4a60-89ba-8fd96e834276_Method">
    <vt:lpwstr>Standard</vt:lpwstr>
  </property>
  <property fmtid="{D5CDD505-2E9C-101B-9397-08002B2CF9AE}" pid="5" name="MSIP_Label_faad4959-a4d7-4a60-89ba-8fd96e834276_Name">
    <vt:lpwstr>Restricted - General</vt:lpwstr>
  </property>
  <property fmtid="{D5CDD505-2E9C-101B-9397-08002B2CF9AE}" pid="6" name="MSIP_Label_faad4959-a4d7-4a60-89ba-8fd96e834276_SiteId">
    <vt:lpwstr>6d13d3d5-8b13-4ab4-a345-350f909f5f65</vt:lpwstr>
  </property>
  <property fmtid="{D5CDD505-2E9C-101B-9397-08002B2CF9AE}" pid="7" name="MSIP_Label_faad4959-a4d7-4a60-89ba-8fd96e834276_ActionId">
    <vt:lpwstr>0eef60b6-13a8-45b7-a756-fdb70be34b47</vt:lpwstr>
  </property>
  <property fmtid="{D5CDD505-2E9C-101B-9397-08002B2CF9AE}" pid="8" name="MSIP_Label_faad4959-a4d7-4a60-89ba-8fd96e834276_ContentBits">
    <vt:lpwstr>0</vt:lpwstr>
  </property>
  <property fmtid="{D5CDD505-2E9C-101B-9397-08002B2CF9AE}" pid="9" name="Id">
    <vt:lpwstr>80663390-52ad-4b9c-b358-50653f4b9f6e</vt:lpwstr>
  </property>
</Properties>
</file>