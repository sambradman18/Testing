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omments3.xml" ContentType="application/vnd.openxmlformats-officedocument.spreadsheetml.comments+xml"/>
  <Override PartName="/xl/drawings/drawing2.xml" ContentType="application/vnd.openxmlformats-officedocument.drawing+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updateLinks="never"/>
  <mc:AlternateContent xmlns:mc="http://schemas.openxmlformats.org/markup-compatibility/2006">
    <mc:Choice Requires="x15">
      <x15ac:absPath xmlns:x15ac="http://schemas.microsoft.com/office/spreadsheetml/2010/11/ac" url="P:\Research\SB - Research\4. Lotteries\3. Market Data\5. Alt Products\"/>
    </mc:Choice>
  </mc:AlternateContent>
  <xr:revisionPtr revIDLastSave="0" documentId="13_ncr:1_{0DCCE061-C4F7-433D-9736-00511A70E1B6}" xr6:coauthVersionLast="47" xr6:coauthVersionMax="47" xr10:uidLastSave="{00000000-0000-0000-0000-000000000000}"/>
  <bookViews>
    <workbookView xWindow="28680" yWindow="-120" windowWidth="29040" windowHeight="15720" activeTab="1" xr2:uid="{76CA9034-D081-4666-8D72-0881E6688151}"/>
  </bookViews>
  <sheets>
    <sheet name="Charities List" sheetId="1" r:id="rId1"/>
    <sheet name="Charities Clean" sheetId="6" r:id="rId2"/>
    <sheet name="Charities Draws" sheetId="3" r:id="rId3"/>
    <sheet name="Onboarding" sheetId="4" r:id="rId4"/>
    <sheet name="Comps" sheetId="5"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s>
  <definedNames>
    <definedName name="__1__123Graph_ACHART_1" hidden="1">'[1]Long Term Prices'!$DI$827:$DI$855</definedName>
    <definedName name="__10__123Graph_CCHART_1" hidden="1">[2]AnnualData!#REF!</definedName>
    <definedName name="__11__123Graph_DCHART_5" hidden="1">[2]AnnualData!#REF!</definedName>
    <definedName name="__12__123Graph_XCHART_1" hidden="1">'[1]Long Term Prices'!$A$827:$A$855</definedName>
    <definedName name="__123Graph_A" hidden="1">'[1]Long Term Prices'!$U$270:$U$549</definedName>
    <definedName name="__123Graph_AAL" hidden="1">'[1]Long Term Prices'!$P$450:$P$533</definedName>
    <definedName name="__123Graph_AChart1" hidden="1">[3]F1!#REF!</definedName>
    <definedName name="__123Graph_ACU" hidden="1">'[1]Long Term Prices'!$O$450:$O$533</definedName>
    <definedName name="__123Graph_ACurrent" hidden="1">[3]F1!#REF!</definedName>
    <definedName name="__123Graph_AGRAPH1" hidden="1">[4]Fin!$C$14:$F$14</definedName>
    <definedName name="__123Graph_ALME" hidden="1">'[1]Long Term Prices'!$S$438:$S$505</definedName>
    <definedName name="__123Graph_APB" hidden="1">'[1]Long Term Prices'!$R$450:$R$533</definedName>
    <definedName name="__123Graph_AZN" hidden="1">'[1]Long Term Prices'!$Q$450:$Q$533</definedName>
    <definedName name="__123Graph_B" hidden="1">'[1]Long Term Prices'!$BI$270:$BI$548</definedName>
    <definedName name="__123Graph_BGRAPH1" hidden="1">[4]Fin!$C$17:$F$17</definedName>
    <definedName name="__123Graph_CGRAPH1" hidden="1">[4]Fin!$C$16:$F$16</definedName>
    <definedName name="__123Graph_E" hidden="1">#REF!</definedName>
    <definedName name="__123Graph_F" hidden="1">#REF!</definedName>
    <definedName name="__123Graph_X" hidden="1">[3]F1!#REF!</definedName>
    <definedName name="__123Graph_XAL" hidden="1">'[1]Long Term Prices'!$A$450:$A$533</definedName>
    <definedName name="__123Graph_XChart1" hidden="1">[3]F1!#REF!</definedName>
    <definedName name="__123Graph_XCU" hidden="1">'[1]Long Term Prices'!$A$450:$A$533</definedName>
    <definedName name="__123Graph_XCurrent" hidden="1">[3]F1!#REF!</definedName>
    <definedName name="__123Graph_XGRAPH1" hidden="1">[4]Fin!$A$7:$A$7</definedName>
    <definedName name="__123Graph_XLME" hidden="1">'[1]Long Term Prices'!$A$438:$A$505</definedName>
    <definedName name="__123Graph_XPB" hidden="1">'[1]Long Term Prices'!$A$450:$A$533</definedName>
    <definedName name="__123Graph_XZN" hidden="1">'[1]Long Term Prices'!$A$450:$A$533</definedName>
    <definedName name="__13__123Graph_XCHART_2" hidden="1">'[1]Long Term Prices'!#REF!</definedName>
    <definedName name="__14__123Graph_XCHART_3" hidden="1">[2]AnnualData!#REF!</definedName>
    <definedName name="__15__123Graph_XCHART_4" hidden="1">[2]AnnualData!#REF!</definedName>
    <definedName name="__16__123Graph_XCHART_5" hidden="1">[2]AnnualData!#REF!</definedName>
    <definedName name="__2__123Graph_ACHART_2" hidden="1">'[1]Long Term Prices'!$BZ$486:$BZ$548</definedName>
    <definedName name="__3__123Graph_ACHART_3" hidden="1">[2]AnnualData!#REF!</definedName>
    <definedName name="__4__123Graph_ACHART_4" hidden="1">[2]AnnualData!#REF!</definedName>
    <definedName name="__5__123Graph_ACHART_5" hidden="1">[2]AnnualData!#REF!</definedName>
    <definedName name="__6__123Graph_BCHART_1" hidden="1">[2]AnnualData!#REF!</definedName>
    <definedName name="__7__123Graph_BCHART_2" hidden="1">[2]AnnualData!#REF!</definedName>
    <definedName name="__8__123Graph_BCHART_3" hidden="1">[2]AnnualData!#REF!</definedName>
    <definedName name="__9__123Graph_BCHART_4" hidden="1">[2]AnnualData!#REF!</definedName>
    <definedName name="__FDS_HYPERLINK_TOGGLE_STATE__" hidden="1">"ON"</definedName>
    <definedName name="__FDS_UNIQUE_RANGE_ID_GENERATOR_COUNTER" hidden="1">1</definedName>
    <definedName name="_1__123Graph_ACHART_1" hidden="1">'[1]Long Term Prices'!$DI$827:$DI$855</definedName>
    <definedName name="_10__123Graph_CCHART_1" hidden="1">[2]AnnualData!#REF!</definedName>
    <definedName name="_11__123Graph_DCHART_5" hidden="1">[2]AnnualData!#REF!</definedName>
    <definedName name="_12__123Graph_BCHART_21A" hidden="1">#REF!</definedName>
    <definedName name="_12__123Graph_BCHART_8A" hidden="1">[5]SHELL!#REF!</definedName>
    <definedName name="_12__123Graph_XCHART_1" hidden="1">'[1]Long Term Prices'!$A$827:$A$855</definedName>
    <definedName name="_13__123Graph_XCHART_2" hidden="1">'[1]Long Term Prices'!#REF!</definedName>
    <definedName name="_14__123Graph_XCHART_3" hidden="1">[2]AnnualData!#REF!</definedName>
    <definedName name="_15__123Graph_BCHART_8A" hidden="1">#REF!</definedName>
    <definedName name="_15__123Graph_CCHART_21A" hidden="1">[5]SHELL!#REF!</definedName>
    <definedName name="_15__123Graph_XCHART_4" hidden="1">[2]AnnualData!#REF!</definedName>
    <definedName name="_16__123Graph_XCHART_5" hidden="1">[2]AnnualData!#REF!</definedName>
    <definedName name="_18__123Graph_CCHART_21A" hidden="1">#REF!</definedName>
    <definedName name="_18__123Graph_CCHART_8A" hidden="1">[5]SHELL!#REF!</definedName>
    <definedName name="_2__123Graph_ACHART_2" hidden="1">'[1]Long Term Prices'!$BZ$486:$BZ$548</definedName>
    <definedName name="_21__123Graph_CCHART_8A" hidden="1">#REF!</definedName>
    <definedName name="_21__123Graph_DCHART_21A" hidden="1">[5]SHELL!#REF!</definedName>
    <definedName name="_24__123Graph_DCHART_21A" hidden="1">#REF!</definedName>
    <definedName name="_24__123Graph_DCHART_8A" hidden="1">[5]SHELL!#REF!</definedName>
    <definedName name="_27__123Graph_DCHART_8A" hidden="1">#REF!</definedName>
    <definedName name="_27__123Graph_ECHART_21A" hidden="1">[5]SHELL!#REF!</definedName>
    <definedName name="_3__123Graph_ACHART_21A" hidden="1">[5]SHELL!#REF!</definedName>
    <definedName name="_3__123Graph_ACHART_3" hidden="1">[2]AnnualData!#REF!</definedName>
    <definedName name="_30__123Graph_ECHART_21A" hidden="1">#REF!</definedName>
    <definedName name="_30__123Graph_ECHART_8A" hidden="1">[5]SHELL!#REF!</definedName>
    <definedName name="_33__123Graph_ECHART_8A" hidden="1">#REF!</definedName>
    <definedName name="_33__123Graph_FCHART_21A" hidden="1">[5]SHELL!#REF!</definedName>
    <definedName name="_36__123Graph_FCHART_21A" hidden="1">#REF!</definedName>
    <definedName name="_36__123Graph_XCHART_21A" hidden="1">[5]SHELL!#REF!</definedName>
    <definedName name="_39__123Graph_XCHART_21A" hidden="1">#REF!</definedName>
    <definedName name="_4__123Graph_ACHART_4" hidden="1">[2]AnnualData!#REF!</definedName>
    <definedName name="_5__123Graph_ACHART_5" hidden="1">[2]AnnualData!#REF!</definedName>
    <definedName name="_6__123Graph_ACHART_21A" hidden="1">#REF!</definedName>
    <definedName name="_6__123Graph_ACHART_8A" hidden="1">[5]SHELL!#REF!</definedName>
    <definedName name="_6__123Graph_BCHART_1" hidden="1">[2]AnnualData!#REF!</definedName>
    <definedName name="_7__123Graph_BCHART_2" hidden="1">[2]AnnualData!#REF!</definedName>
    <definedName name="_8__123Graph_BCHART_3" hidden="1">[2]AnnualData!#REF!</definedName>
    <definedName name="_9__123Graph_ACHART_8A" hidden="1">#REF!</definedName>
    <definedName name="_9__123Graph_BCHART_21A" hidden="1">[5]SHELL!#REF!</definedName>
    <definedName name="_9__123Graph_BCHART_4" hidden="1">[2]AnnualData!#REF!</definedName>
    <definedName name="_AMO_UniqueIdentifier" hidden="1">"'2995e12c-7f92-4103-a2d1-a1d598d57c6f'"</definedName>
    <definedName name="_bdm.050D39CD650D4F2095D8D24650D7326B.edm" hidden="1">'[6]Win per Visitor'!$A:$IV</definedName>
    <definedName name="_bdm.2A10043F760B4BDFB6F9D8DB5014AD69.edm" hidden="1">'[6]Mainland China Visitors'!$A:$IV</definedName>
    <definedName name="_bdm.30AE078D04674B0581A83DC0BB71CAE9.edm" hidden="1">[6]Charts2!$A:$IV</definedName>
    <definedName name="_bdm.400015F9721047F2AE12F65177C08B38.edm" hidden="1">[6]Timeline!$A:$IV</definedName>
    <definedName name="_bdm.408316A99C924475A002B539D6B19081.edm" hidden="1">#REF!</definedName>
    <definedName name="_bdm.607844024ECD4A758B546863D50AC585.edm" hidden="1">[6]Gaming!$A:$IV</definedName>
    <definedName name="_bdm.6C3132C4E18240B19A2542E06B6496E8.edm" hidden="1">'[6]Gaming Detail'!$A:$IV</definedName>
    <definedName name="_bdm.9083CA28584C43EE98009F3577D43C4B.edm" hidden="1">[6]Exhibits!$A:$IV</definedName>
    <definedName name="_bdm.A9747668DA694B539C05FB076C09D3D2.edm" hidden="1">#REF!</definedName>
    <definedName name="_bdm.AA02C9D3B8C541E8BBDF9C677034FBDA.edm" hidden="1">'[6]Monthly Data'!$A:$IV</definedName>
    <definedName name="_bdm.ACC583D0D3094FA89BCB4D4AEC1005C1.edm" hidden="1">[6]IVS!$A:$IV</definedName>
    <definedName name="_bdm.AE6209C86C4741CFBFB6DD9A1DBF58D1.edm" hidden="1">[6]Charts!$A:$IV</definedName>
    <definedName name="_bdm.CF80122F6E9B4FFC98957A0CF584493D.edm" hidden="1">'[6]Macau Market Share'!$A:$IV</definedName>
    <definedName name="_bdm.E0A73A124C724002A7E42D1DD632219A.edm" hidden="1">[6]Sensitivity!$A:$IV</definedName>
    <definedName name="_ct2" localSheetId="1" hidden="1">{"Qtr Op Mgd Q3",#N/A,FALSE,"Qtr-Op (Mng)";"Qtr Op Rpt Q3",#N/A,FALSE,"Qtr-Op (Rpt)";"Operating Vs Reported",#N/A,FALSE,"Rpt-Op Inc"}</definedName>
    <definedName name="_ct2" localSheetId="3" hidden="1">{"Qtr Op Mgd Q3",#N/A,FALSE,"Qtr-Op (Mng)";"Qtr Op Rpt Q3",#N/A,FALSE,"Qtr-Op (Rpt)";"Operating Vs Reported",#N/A,FALSE,"Rpt-Op Inc"}</definedName>
    <definedName name="_ct2" hidden="1">{"Qtr Op Mgd Q3",#N/A,FALSE,"Qtr-Op (Mng)";"Qtr Op Rpt Q3",#N/A,FALSE,"Qtr-Op (Rpt)";"Operating Vs Reported",#N/A,FALSE,"Rpt-Op Inc"}</definedName>
    <definedName name="_GSRATES_1" hidden="1">"CF3000012000063019980601"</definedName>
    <definedName name="_GSRATES_2" hidden="1">"CF3000011997073119970701"</definedName>
    <definedName name="_GSRATES_3" hidden="1">"CF3000011998063019980601"</definedName>
    <definedName name="_GSRATES_4" hidden="1">"CF3000011998033119980301"</definedName>
    <definedName name="_GSRATES_COUNT" hidden="1">4</definedName>
    <definedName name="_Key1" hidden="1">#REF!</definedName>
    <definedName name="_Order1" hidden="1">0</definedName>
    <definedName name="_Order1_1" hidden="1">255</definedName>
    <definedName name="_Order2" hidden="1">255</definedName>
    <definedName name="_Regression_Int" hidden="1">1</definedName>
    <definedName name="_Regression_Out" hidden="1">[7]ICTSI!#REF!</definedName>
    <definedName name="_Regression_X" hidden="1">[7]ICTSI!#REF!</definedName>
    <definedName name="_Regression_Y" hidden="1">[7]ICTSI!#REF!</definedName>
    <definedName name="_Sort" hidden="1">#REF!</definedName>
    <definedName name="_Table2_In1" hidden="1">#REF!</definedName>
    <definedName name="_Table2_In2" hidden="1">#REF!</definedName>
    <definedName name="AAA_DOCTOPS" hidden="1">"AAA_SET"</definedName>
    <definedName name="AAA_duser" hidden="1">"OFF"</definedName>
    <definedName name="aaaa" localSheetId="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 localSheetId="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1" localSheetId="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1" localSheetId="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2" localSheetId="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2" localSheetId="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B_Addin5" hidden="1">"AAB_Description for addin 5,Description for addin 5,Description for addin 5,Description for addin 5,Description for addin 5,Description for addin 5"</definedName>
    <definedName name="ACwvu.bal_98." hidden="1">[8]BALSHT_S!$A$1:$M$65536</definedName>
    <definedName name="ACwvu.Detail." hidden="1">'[9]Fert. &amp; Chem.'!$J$8</definedName>
    <definedName name="ACwvu.Forestry." hidden="1">[9]Bunnings!$D$384</definedName>
    <definedName name="ACwvu.Full_Year." hidden="1">[8]PE1_S!$A$1:$Z$65536</definedName>
    <definedName name="ACwvu.Merch_Summary." hidden="1">[9]Bunnings!$F$106</definedName>
    <definedName name="ACwvu.Summary." hidden="1">'[9]Fert. &amp; Chem.'!$A$35:$IV$35</definedName>
    <definedName name="ACwvu.Warehouse." hidden="1">[9]Bunnings!$G$102</definedName>
    <definedName name="arse" localSheetId="1" hidden="1">{"PAGE1",#N/A,FALSE,"Consolidation";"PAGE2",#N/A,FALSE,"Consolidation";"PAGE3",#N/A,FALSE,"Consolidation";"PAGE4",#N/A,FALSE,"Consolidation";"PAGE5",#N/A,FALSE,"Consolidation";"PAGE6",#N/A,FALSE,"Consolidation";"PAGE7",#N/A,FALSE,"Consolidation"}</definedName>
    <definedName name="arse" localSheetId="3" hidden="1">{"PAGE1",#N/A,FALSE,"Consolidation";"PAGE2",#N/A,FALSE,"Consolidation";"PAGE3",#N/A,FALSE,"Consolidation";"PAGE4",#N/A,FALSE,"Consolidation";"PAGE5",#N/A,FALSE,"Consolidation";"PAGE6",#N/A,FALSE,"Consolidation";"PAGE7",#N/A,FALSE,"Consolidation"}</definedName>
    <definedName name="arse" hidden="1">{"PAGE1",#N/A,FALSE,"Consolidation";"PAGE2",#N/A,FALSE,"Consolidation";"PAGE3",#N/A,FALSE,"Consolidation";"PAGE4",#N/A,FALSE,"Consolidation";"PAGE5",#N/A,FALSE,"Consolidation";"PAGE6",#N/A,FALSE,"Consolidation";"PAGE7",#N/A,FALSE,"Consolidation"}</definedName>
    <definedName name="arse_1" localSheetId="1" hidden="1">{"PAGE1",#N/A,FALSE,"Consolidation";"PAGE2",#N/A,FALSE,"Consolidation";"PAGE3",#N/A,FALSE,"Consolidation";"PAGE4",#N/A,FALSE,"Consolidation";"PAGE5",#N/A,FALSE,"Consolidation";"PAGE6",#N/A,FALSE,"Consolidation";"PAGE7",#N/A,FALSE,"Consolidation"}</definedName>
    <definedName name="arse_1" localSheetId="3" hidden="1">{"PAGE1",#N/A,FALSE,"Consolidation";"PAGE2",#N/A,FALSE,"Consolidation";"PAGE3",#N/A,FALSE,"Consolidation";"PAGE4",#N/A,FALSE,"Consolidation";"PAGE5",#N/A,FALSE,"Consolidation";"PAGE6",#N/A,FALSE,"Consolidation";"PAGE7",#N/A,FALSE,"Consolidation"}</definedName>
    <definedName name="arse_1" hidden="1">{"PAGE1",#N/A,FALSE,"Consolidation";"PAGE2",#N/A,FALSE,"Consolidation";"PAGE3",#N/A,FALSE,"Consolidation";"PAGE4",#N/A,FALSE,"Consolidation";"PAGE5",#N/A,FALSE,"Consolidation";"PAGE6",#N/A,FALSE,"Consolidation";"PAGE7",#N/A,FALSE,"Consolidation"}</definedName>
    <definedName name="arse_2" localSheetId="1" hidden="1">{"PAGE1",#N/A,FALSE,"Consolidation";"PAGE2",#N/A,FALSE,"Consolidation";"PAGE3",#N/A,FALSE,"Consolidation";"PAGE4",#N/A,FALSE,"Consolidation";"PAGE5",#N/A,FALSE,"Consolidation";"PAGE6",#N/A,FALSE,"Consolidation";"PAGE7",#N/A,FALSE,"Consolidation"}</definedName>
    <definedName name="arse_2" localSheetId="3" hidden="1">{"PAGE1",#N/A,FALSE,"Consolidation";"PAGE2",#N/A,FALSE,"Consolidation";"PAGE3",#N/A,FALSE,"Consolidation";"PAGE4",#N/A,FALSE,"Consolidation";"PAGE5",#N/A,FALSE,"Consolidation";"PAGE6",#N/A,FALSE,"Consolidation";"PAGE7",#N/A,FALSE,"Consolidation"}</definedName>
    <definedName name="arse_2" hidden="1">{"PAGE1",#N/A,FALSE,"Consolidation";"PAGE2",#N/A,FALSE,"Consolidation";"PAGE3",#N/A,FALSE,"Consolidation";"PAGE4",#N/A,FALSE,"Consolidation";"PAGE5",#N/A,FALSE,"Consolidation";"PAGE6",#N/A,FALSE,"Consolidation";"PAGE7",#N/A,FALSE,"Consolidation"}</definedName>
    <definedName name="arse_CWN" localSheetId="1" hidden="1">{"PAGE1",#N/A,FALSE,"Consolidation";"PAGE2",#N/A,FALSE,"Consolidation";"PAGE3",#N/A,FALSE,"Consolidation";"PAGE4",#N/A,FALSE,"Consolidation";"PAGE5",#N/A,FALSE,"Consolidation";"PAGE6",#N/A,FALSE,"Consolidation";"PAGE7",#N/A,FALSE,"Consolidation"}</definedName>
    <definedName name="arse_CWN" localSheetId="3" hidden="1">{"PAGE1",#N/A,FALSE,"Consolidation";"PAGE2",#N/A,FALSE,"Consolidation";"PAGE3",#N/A,FALSE,"Consolidation";"PAGE4",#N/A,FALSE,"Consolidation";"PAGE5",#N/A,FALSE,"Consolidation";"PAGE6",#N/A,FALSE,"Consolidation";"PAGE7",#N/A,FALSE,"Consolidation"}</definedName>
    <definedName name="arse_CWN" hidden="1">{"PAGE1",#N/A,FALSE,"Consolidation";"PAGE2",#N/A,FALSE,"Consolidation";"PAGE3",#N/A,FALSE,"Consolidation";"PAGE4",#N/A,FALSE,"Consolidation";"PAGE5",#N/A,FALSE,"Consolidation";"PAGE6",#N/A,FALSE,"Consolidation";"PAGE7",#N/A,FALSE,"Consolidation"}</definedName>
    <definedName name="arse_SKC" localSheetId="1" hidden="1">{"PAGE1",#N/A,FALSE,"Consolidation";"PAGE2",#N/A,FALSE,"Consolidation";"PAGE3",#N/A,FALSE,"Consolidation";"PAGE4",#N/A,FALSE,"Consolidation";"PAGE5",#N/A,FALSE,"Consolidation";"PAGE6",#N/A,FALSE,"Consolidation";"PAGE7",#N/A,FALSE,"Consolidation"}</definedName>
    <definedName name="arse_SKC" localSheetId="3" hidden="1">{"PAGE1",#N/A,FALSE,"Consolidation";"PAGE2",#N/A,FALSE,"Consolidation";"PAGE3",#N/A,FALSE,"Consolidation";"PAGE4",#N/A,FALSE,"Consolidation";"PAGE5",#N/A,FALSE,"Consolidation";"PAGE6",#N/A,FALSE,"Consolidation";"PAGE7",#N/A,FALSE,"Consolidation"}</definedName>
    <definedName name="arse_SKC" hidden="1">{"PAGE1",#N/A,FALSE,"Consolidation";"PAGE2",#N/A,FALSE,"Consolidation";"PAGE3",#N/A,FALSE,"Consolidation";"PAGE4",#N/A,FALSE,"Consolidation";"PAGE5",#N/A,FALSE,"Consolidation";"PAGE6",#N/A,FALSE,"Consolidation";"PAGE7",#N/A,FALSE,"Consolidation"}</definedName>
    <definedName name="arse1" localSheetId="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 localSheetId="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1" localSheetId="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1" localSheetId="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2" localSheetId="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2" localSheetId="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CWN" localSheetId="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CWN" localSheetId="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CWN"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SKC" localSheetId="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SKC" localSheetId="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SKC"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2" localSheetId="1" hidden="1">{"Print Summary",#N/A,FALSE,"Bal_Graphs";"Print Summary",#N/A,FALSE,"DCF";"Print Summary",#N/A,FALSE,"Graphs";"Print Summary",#N/A,FALSE,"Summary"}</definedName>
    <definedName name="arse2" localSheetId="3" hidden="1">{"Print Summary",#N/A,FALSE,"Bal_Graphs";"Print Summary",#N/A,FALSE,"DCF";"Print Summary",#N/A,FALSE,"Graphs";"Print Summary",#N/A,FALSE,"Summary"}</definedName>
    <definedName name="arse2" hidden="1">{"Print Summary",#N/A,FALSE,"Bal_Graphs";"Print Summary",#N/A,FALSE,"DCF";"Print Summary",#N/A,FALSE,"Graphs";"Print Summary",#N/A,FALSE,"Summary"}</definedName>
    <definedName name="arse2_1" localSheetId="1" hidden="1">{"Print Summary",#N/A,FALSE,"Bal_Graphs";"Print Summary",#N/A,FALSE,"DCF";"Print Summary",#N/A,FALSE,"Graphs";"Print Summary",#N/A,FALSE,"Summary"}</definedName>
    <definedName name="arse2_1" localSheetId="3" hidden="1">{"Print Summary",#N/A,FALSE,"Bal_Graphs";"Print Summary",#N/A,FALSE,"DCF";"Print Summary",#N/A,FALSE,"Graphs";"Print Summary",#N/A,FALSE,"Summary"}</definedName>
    <definedName name="arse2_1" hidden="1">{"Print Summary",#N/A,FALSE,"Bal_Graphs";"Print Summary",#N/A,FALSE,"DCF";"Print Summary",#N/A,FALSE,"Graphs";"Print Summary",#N/A,FALSE,"Summary"}</definedName>
    <definedName name="arse2_2" localSheetId="1" hidden="1">{"Print Summary",#N/A,FALSE,"Bal_Graphs";"Print Summary",#N/A,FALSE,"DCF";"Print Summary",#N/A,FALSE,"Graphs";"Print Summary",#N/A,FALSE,"Summary"}</definedName>
    <definedName name="arse2_2" localSheetId="3" hidden="1">{"Print Summary",#N/A,FALSE,"Bal_Graphs";"Print Summary",#N/A,FALSE,"DCF";"Print Summary",#N/A,FALSE,"Graphs";"Print Summary",#N/A,FALSE,"Summary"}</definedName>
    <definedName name="arse2_2" hidden="1">{"Print Summary",#N/A,FALSE,"Bal_Graphs";"Print Summary",#N/A,FALSE,"DCF";"Print Summary",#N/A,FALSE,"Graphs";"Print Summary",#N/A,FALSE,"Summary"}</definedName>
    <definedName name="arse2_CWN" localSheetId="1" hidden="1">{"Print Summary",#N/A,FALSE,"Bal_Graphs";"Print Summary",#N/A,FALSE,"DCF";"Print Summary",#N/A,FALSE,"Graphs";"Print Summary",#N/A,FALSE,"Summary"}</definedName>
    <definedName name="arse2_CWN" localSheetId="3" hidden="1">{"Print Summary",#N/A,FALSE,"Bal_Graphs";"Print Summary",#N/A,FALSE,"DCF";"Print Summary",#N/A,FALSE,"Graphs";"Print Summary",#N/A,FALSE,"Summary"}</definedName>
    <definedName name="arse2_CWN" hidden="1">{"Print Summary",#N/A,FALSE,"Bal_Graphs";"Print Summary",#N/A,FALSE,"DCF";"Print Summary",#N/A,FALSE,"Graphs";"Print Summary",#N/A,FALSE,"Summary"}</definedName>
    <definedName name="berkshire" localSheetId="1" hidden="1">{"Revenue by Industry Chart",#N/A,FALSE,"Mix";"Annual Revenue Detail",#N/A,FALSE,"Mix";"Quarterly Revenue Detail",#N/A,FALSE,"Mix"}</definedName>
    <definedName name="berkshire" localSheetId="3" hidden="1">{"Revenue by Industry Chart",#N/A,FALSE,"Mix";"Annual Revenue Detail",#N/A,FALSE,"Mix";"Quarterly Revenue Detail",#N/A,FALSE,"Mix"}</definedName>
    <definedName name="berkshire" hidden="1">{"Revenue by Industry Chart",#N/A,FALSE,"Mix";"Annual Revenue Detail",#N/A,FALSE,"Mix";"Quarterly Revenue Detail",#N/A,FALSE,"Mix"}</definedName>
    <definedName name="BLPH1" hidden="1">#REF!</definedName>
    <definedName name="BLPH100" hidden="1">#REF!</definedName>
    <definedName name="BLPH101" hidden="1">#REF!</definedName>
    <definedName name="BLPH102" hidden="1">#REF!</definedName>
    <definedName name="BLPH103" hidden="1">#REF!</definedName>
    <definedName name="BLPH104" hidden="1">#REF!</definedName>
    <definedName name="BLPH105" hidden="1">#REF!</definedName>
    <definedName name="BLPH106" hidden="1">#REF!</definedName>
    <definedName name="BLPH107" hidden="1">#REF!</definedName>
    <definedName name="BLPH108" hidden="1">#REF!</definedName>
    <definedName name="BLPH109" hidden="1">#REF!</definedName>
    <definedName name="BLPH110" hidden="1">#REF!</definedName>
    <definedName name="BLPH111" hidden="1">#REF!</definedName>
    <definedName name="BLPH112" hidden="1">#REF!</definedName>
    <definedName name="BLPH113" hidden="1">#REF!</definedName>
    <definedName name="BLPH114" hidden="1">#REF!</definedName>
    <definedName name="BLPH115" hidden="1">#REF!</definedName>
    <definedName name="BLPH116" hidden="1">#REF!</definedName>
    <definedName name="BLPH117" hidden="1">#REF!</definedName>
    <definedName name="BLPH118" hidden="1">#REF!</definedName>
    <definedName name="BLPH119" hidden="1">#REF!</definedName>
    <definedName name="BLPH120" hidden="1">#REF!</definedName>
    <definedName name="BLPH121" hidden="1">#REF!</definedName>
    <definedName name="BLPH122" hidden="1">#REF!</definedName>
    <definedName name="BLPH154" hidden="1">#REF!</definedName>
    <definedName name="BLPH155" hidden="1">#REF!</definedName>
    <definedName name="BLPH156" hidden="1">#REF!</definedName>
    <definedName name="BLPH157" hidden="1">#REF!</definedName>
    <definedName name="BLPH158" hidden="1">#REF!</definedName>
    <definedName name="BLPH159"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0" hidden="1">#REF!</definedName>
    <definedName name="BLPH201" hidden="1">#REF!</definedName>
    <definedName name="BLPH202" hidden="1">#REF!</definedName>
    <definedName name="BLPH203" hidden="1">#REF!</definedName>
    <definedName name="BLPH204" hidden="1">#REF!</definedName>
    <definedName name="BLPH205" hidden="1">#REF!</definedName>
    <definedName name="BLPH206" hidden="1">#REF!</definedName>
    <definedName name="BLPH207" hidden="1">#REF!</definedName>
    <definedName name="BLPH208" hidden="1">#REF!</definedName>
    <definedName name="BLPH209" hidden="1">#REF!</definedName>
    <definedName name="BLPH210" hidden="1">#REF!</definedName>
    <definedName name="BLPH211" hidden="1">#REF!</definedName>
    <definedName name="BLPH212" hidden="1">#REF!</definedName>
    <definedName name="BLPH213" hidden="1">#REF!</definedName>
    <definedName name="BLPH214" hidden="1">#REF!</definedName>
    <definedName name="BLPH215" hidden="1">#REF!</definedName>
    <definedName name="BLPH216" hidden="1">#REF!</definedName>
    <definedName name="BLPH217" hidden="1">#REF!</definedName>
    <definedName name="BLPH218" hidden="1">#REF!</definedName>
    <definedName name="BLPH219" hidden="1">#REF!</definedName>
    <definedName name="BLPH220" hidden="1">#REF!</definedName>
    <definedName name="BLPH221" hidden="1">#REF!</definedName>
    <definedName name="BLPH222" hidden="1">#REF!</definedName>
    <definedName name="BLPH223" hidden="1">#REF!</definedName>
    <definedName name="BLPH224" hidden="1">#REF!</definedName>
    <definedName name="BLPH225" hidden="1">#REF!</definedName>
    <definedName name="BLPH226" hidden="1">#REF!</definedName>
    <definedName name="BLPH227" hidden="1">#REF!</definedName>
    <definedName name="BLPH228" hidden="1">#REF!</definedName>
    <definedName name="BLPH229" hidden="1">#REF!</definedName>
    <definedName name="BLPH230" hidden="1">#REF!</definedName>
    <definedName name="BLPH231" hidden="1">#REF!</definedName>
    <definedName name="BLPH232" hidden="1">#REF!</definedName>
    <definedName name="BLPH233" hidden="1">#REF!</definedName>
    <definedName name="BLPH234" hidden="1">#REF!</definedName>
    <definedName name="BLPH235" hidden="1">#REF!</definedName>
    <definedName name="BLPH236" hidden="1">#REF!</definedName>
    <definedName name="BLPH237" hidden="1">#REF!</definedName>
    <definedName name="BLPH238" hidden="1">#REF!</definedName>
    <definedName name="BLPH239" hidden="1">#REF!</definedName>
    <definedName name="BLPH240" hidden="1">#REF!</definedName>
    <definedName name="BLPH241" hidden="1">#REF!</definedName>
    <definedName name="BLPH242" hidden="1">#REF!</definedName>
    <definedName name="BLPH243" hidden="1">#REF!</definedName>
    <definedName name="BLPH244" hidden="1">#REF!</definedName>
    <definedName name="BLPH25" hidden="1">[10]bloomberg!$D$3</definedName>
    <definedName name="BLPH253" hidden="1">#REF!</definedName>
    <definedName name="BLPH254" hidden="1">#REF!</definedName>
    <definedName name="BLPH255" hidden="1">#REF!</definedName>
    <definedName name="BLPH256" hidden="1">#REF!</definedName>
    <definedName name="BLPH257" hidden="1">#REF!</definedName>
    <definedName name="BLPH258" hidden="1">#REF!</definedName>
    <definedName name="BLPH259" hidden="1">#REF!</definedName>
    <definedName name="BLPH26" hidden="1">[10]bloomberg!$G$3</definedName>
    <definedName name="BLPH260" hidden="1">#REF!</definedName>
    <definedName name="BLPH261" hidden="1">#REF!</definedName>
    <definedName name="BLPH262" hidden="1">#REF!</definedName>
    <definedName name="BLPH263" hidden="1">#REF!</definedName>
    <definedName name="BLPH264" hidden="1">#REF!</definedName>
    <definedName name="BLPH265" hidden="1">#REF!</definedName>
    <definedName name="BLPH266" hidden="1">#REF!</definedName>
    <definedName name="BLPH267" hidden="1">#REF!</definedName>
    <definedName name="BLPH268" hidden="1">#REF!</definedName>
    <definedName name="BLPH269" hidden="1">#REF!</definedName>
    <definedName name="BLPH27" hidden="1">[10]bloomberg!$A$3</definedName>
    <definedName name="BLPH294" hidden="1">#REF!</definedName>
    <definedName name="BLPH3" hidden="1">#REF!</definedName>
    <definedName name="BLPH30" hidden="1">[10]bloomberg!$J$3</definedName>
    <definedName name="BLPH31" hidden="1">[10]bloomberg!$M$3</definedName>
    <definedName name="BLPH34" hidden="1">[10]bloomberg!$P$3</definedName>
    <definedName name="BLPH4" hidden="1">#REF!</definedName>
    <definedName name="BLPH5" hidden="1">#REF!</definedName>
    <definedName name="BLPH60" hidden="1">#REF!</definedName>
    <definedName name="BLPH61" hidden="1">#REF!</definedName>
    <definedName name="BLPH67" hidden="1">#REF!</definedName>
    <definedName name="BLPH68" hidden="1">#REF!</definedName>
    <definedName name="BLPH69" hidden="1">#REF!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0" hidden="1">#REF!</definedName>
    <definedName name="BLPH81" hidden="1">#REF!</definedName>
    <definedName name="BLPH82" hidden="1">#REF!</definedName>
    <definedName name="BLPH83" hidden="1">#REF!</definedName>
    <definedName name="BLPH84" hidden="1">#REF!</definedName>
    <definedName name="BLPH85" hidden="1">#REF!</definedName>
    <definedName name="BLPH86" hidden="1">#REF!</definedName>
    <definedName name="BLPH87" hidden="1">#REF!</definedName>
    <definedName name="BLPH88" hidden="1">#REF!</definedName>
    <definedName name="BLPH89" hidden="1">#REF!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LPH96" hidden="1">#REF!</definedName>
    <definedName name="BLPH97" hidden="1">#REF!</definedName>
    <definedName name="BLPH98" hidden="1">#REF!</definedName>
    <definedName name="BLPH99" hidden="1">#REF!</definedName>
    <definedName name="CalendarQ">[11]RTG!$B$36</definedName>
    <definedName name="charft" hidden="1">[2]AnnualData!#REF!</definedName>
    <definedName name="chart1" hidden="1">'[1]Long Term Prices'!#REF!</definedName>
    <definedName name="charts" localSheetId="1" hidden="1">{"IND","COMPANIES",TRUE}</definedName>
    <definedName name="charts" localSheetId="3" hidden="1">{"IND","COMPANIES",TRUE}</definedName>
    <definedName name="charts" hidden="1">{"IND","COMPANIES",TRUE}</definedName>
    <definedName name="cu103.EmployeeScalingFactor" hidden="1">1000</definedName>
    <definedName name="cu107.EPSSymbol" hidden="1">"A$"</definedName>
    <definedName name="cu71.ScalingFactor" hidden="1">1000000</definedName>
    <definedName name="Cwvu.Full_Year." hidden="1">[8]PE1_S!$A$22:$IV$23</definedName>
    <definedName name="Cwvu.Summary." hidden="1">'[12]Fert. &amp; Chem.'!$A$16:$IV$23,'[12]Fert. &amp; Chem.'!#REF!,'[12]Fert. &amp; Chem.'!$A$46:$IV$54,'[12]Fert. &amp; Chem.'!$A$66:$IV$128</definedName>
    <definedName name="ddddd" localSheetId="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 localSheetId="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1" localSheetId="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1" localSheetId="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2" localSheetId="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2" localSheetId="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ME_BeforeCloseCompleted" hidden="1">"False"</definedName>
    <definedName name="DME_Dirty" hidden="1">"False"</definedName>
    <definedName name="DME_LocalFile" hidden="1">"True"</definedName>
    <definedName name="DS" localSheetId="1" hidden="1">{"Full_Year",#N/A,FALSE,"PE1_S";#N/A,#N/A,FALSE,"DIVIS_S"}</definedName>
    <definedName name="DS" localSheetId="3" hidden="1">{"Full_Year",#N/A,FALSE,"PE1_S";#N/A,#N/A,FALSE,"DIVIS_S"}</definedName>
    <definedName name="DS" hidden="1">{"Full_Year",#N/A,FALSE,"PE1_S";#N/A,#N/A,FALSE,"DIVIS_S"}</definedName>
    <definedName name="DS_1" localSheetId="1" hidden="1">{"Full_Year",#N/A,FALSE,"PE1_S";#N/A,#N/A,FALSE,"DIVIS_S"}</definedName>
    <definedName name="DS_1" localSheetId="3" hidden="1">{"Full_Year",#N/A,FALSE,"PE1_S";#N/A,#N/A,FALSE,"DIVIS_S"}</definedName>
    <definedName name="DS_1" hidden="1">{"Full_Year",#N/A,FALSE,"PE1_S";#N/A,#N/A,FALSE,"DIVIS_S"}</definedName>
    <definedName name="DS_2" localSheetId="1" hidden="1">{"Full_Year",#N/A,FALSE,"PE1_S";#N/A,#N/A,FALSE,"DIVIS_S"}</definedName>
    <definedName name="DS_2" localSheetId="3" hidden="1">{"Full_Year",#N/A,FALSE,"PE1_S";#N/A,#N/A,FALSE,"DIVIS_S"}</definedName>
    <definedName name="DS_2" hidden="1">{"Full_Year",#N/A,FALSE,"PE1_S";#N/A,#N/A,FALSE,"DIVIS_S"}</definedName>
    <definedName name="DS_CWN" localSheetId="1" hidden="1">{"Full_Year",#N/A,FALSE,"PE1_S";#N/A,#N/A,FALSE,"DIVIS_S"}</definedName>
    <definedName name="DS_CWN" localSheetId="3" hidden="1">{"Full_Year",#N/A,FALSE,"PE1_S";#N/A,#N/A,FALSE,"DIVIS_S"}</definedName>
    <definedName name="DS_CWN" hidden="1">{"Full_Year",#N/A,FALSE,"PE1_S";#N/A,#N/A,FALSE,"DIVIS_S"}</definedName>
    <definedName name="DSHiddenYear1" hidden="1">[13]RBCCM_Valuation_Measures!$D$1</definedName>
    <definedName name="DSHiddenYear2" hidden="1">[13]RBCCM_Valuation_Measures!$E$1</definedName>
    <definedName name="DSHiddenYear3" hidden="1">[13]RBCCM_Valuation_Measures!$F$1</definedName>
    <definedName name="DSHiddenYear4" hidden="1">[13]RBCCM_Valuation_Measures!$G$1</definedName>
    <definedName name="DSIndHiddenYear1" hidden="1">[13]RBCCM_Industry_Specif!$D$1</definedName>
    <definedName name="DSIndHiddenYear2" hidden="1">[13]RBCCM_Industry_Specif!$E$1</definedName>
    <definedName name="DSIndHiddenYear3" hidden="1">[13]RBCCM_Industry_Specif!$F$1</definedName>
    <definedName name="DSIndHiddenYear4" hidden="1">[13]RBCCM_Industry_Specif!$G$1</definedName>
    <definedName name="DSIndHistHiddenYear1" hidden="1">[14]RBCCM_Industry_Specif!#REF!</definedName>
    <definedName name="DSIndHistHiddenYear2" hidden="1">[14]RBCCM_Industry_Specif!#REF!</definedName>
    <definedName name="DSIndHistHiddenYear3" hidden="1">[14]RBCCM_Industry_Specif!#REF!</definedName>
    <definedName name="DSIndHistHiddenYear4" hidden="1">[13]RBCCM_Industry_Specif!$B$1</definedName>
    <definedName name="DSIndHistHiddenYear5" hidden="1">[13]RBCCM_Industry_Specif!$C$1</definedName>
    <definedName name="esnrc100c1_values" localSheetId="1" hidden="1">{"FTSE100","COMPANIES",TRUE}</definedName>
    <definedName name="esnrc100c1_values" localSheetId="3" hidden="1">{"FTSE100","COMPANIES",TRUE}</definedName>
    <definedName name="esnrc100c1_values" hidden="1">{"FTSE100","COMPANIES",TRUE}</definedName>
    <definedName name="esnrc100c1_values_1" localSheetId="1" hidden="1">{"FTSE100","COMPANIES",TRUE}</definedName>
    <definedName name="esnrc100c1_values_1" localSheetId="3" hidden="1">{"FTSE100","COMPANIES",TRUE}</definedName>
    <definedName name="esnrc100c1_values_1" hidden="1">{"FTSE100","COMPANIES",TRUE}</definedName>
    <definedName name="esnrc100c1_values_2" localSheetId="1" hidden="1">{"FTSE100","COMPANIES",TRUE}</definedName>
    <definedName name="esnrc100c1_values_2" localSheetId="3" hidden="1">{"FTSE100","COMPANIES",TRUE}</definedName>
    <definedName name="esnrc100c1_values_2" hidden="1">{"FTSE100","COMPANIES",TRUE}</definedName>
    <definedName name="esnrc33c1_values" localSheetId="1" hidden="1">{"EUMOT","COMPANIES",TRUE}</definedName>
    <definedName name="esnrc33c1_values" localSheetId="3" hidden="1">{"EUMOT","COMPANIES",TRUE}</definedName>
    <definedName name="esnrc33c1_values" hidden="1">{"EUMOT","COMPANIES",TRUE}</definedName>
    <definedName name="esnrc33c1_values_1" localSheetId="1" hidden="1">{"EUMOT","COMPANIES",TRUE}</definedName>
    <definedName name="esnrc33c1_values_1" localSheetId="3" hidden="1">{"EUMOT","COMPANIES",TRUE}</definedName>
    <definedName name="esnrc33c1_values_1" hidden="1">{"EUMOT","COMPANIES",TRUE}</definedName>
    <definedName name="esnrc33c1_values_2" localSheetId="1" hidden="1">{"EUMOT","COMPANIES",TRUE}</definedName>
    <definedName name="esnrc33c1_values_2" localSheetId="3" hidden="1">{"EUMOT","COMPANIES",TRUE}</definedName>
    <definedName name="esnrc33c1_values_2" hidden="1">{"EUMOT","COMPANIES",TRUE}</definedName>
    <definedName name="esnrc56c1_values" localSheetId="1" hidden="1">{"ASCONGRP","COMPANIES",TRUE}</definedName>
    <definedName name="esnrc56c1_values" localSheetId="3" hidden="1">{"ASCONGRP","COMPANIES",TRUE}</definedName>
    <definedName name="esnrc56c1_values" hidden="1">{"ASCONGRP","COMPANIES",TRUE}</definedName>
    <definedName name="esnrc56c1_values_1" localSheetId="1" hidden="1">{"ASCONGRP","COMPANIES",TRUE}</definedName>
    <definedName name="esnrc56c1_values_1" localSheetId="3" hidden="1">{"ASCONGRP","COMPANIES",TRUE}</definedName>
    <definedName name="esnrc56c1_values_1" hidden="1">{"ASCONGRP","COMPANIES",TRUE}</definedName>
    <definedName name="esnrc56c1_values_2" localSheetId="1" hidden="1">{"ASCONGRP","COMPANIES",TRUE}</definedName>
    <definedName name="esnrc56c1_values_2" localSheetId="3" hidden="1">{"ASCONGRP","COMPANIES",TRUE}</definedName>
    <definedName name="esnrc56c1_values_2" hidden="1">{"ASCONGRP","COMPANIES",TRUE}</definedName>
    <definedName name="esnrc63c1_values" localSheetId="1" hidden="1">{"EUUTIGRP","COMPANIES",TRUE}</definedName>
    <definedName name="esnrc63c1_values" localSheetId="3" hidden="1">{"EUUTIGRP","COMPANIES",TRUE}</definedName>
    <definedName name="esnrc63c1_values" hidden="1">{"EUUTIGRP","COMPANIES",TRUE}</definedName>
    <definedName name="esnrc63c1_values_1" localSheetId="1" hidden="1">{"EUUTIGRP","COMPANIES",TRUE}</definedName>
    <definedName name="esnrc63c1_values_1" localSheetId="3" hidden="1">{"EUUTIGRP","COMPANIES",TRUE}</definedName>
    <definedName name="esnrc63c1_values_1" hidden="1">{"EUUTIGRP","COMPANIES",TRUE}</definedName>
    <definedName name="esnrc63c1_values_2" localSheetId="1" hidden="1">{"EUUTIGRP","COMPANIES",TRUE}</definedName>
    <definedName name="esnrc63c1_values_2" localSheetId="3" hidden="1">{"EUUTIGRP","COMPANIES",TRUE}</definedName>
    <definedName name="esnrc63c1_values_2" hidden="1">{"EUUTIGRP","COMPANIES",TRUE}</definedName>
    <definedName name="esnrc65c1_values" localSheetId="1" hidden="1">{"IND","COMPANIES",TRUE}</definedName>
    <definedName name="esnrc65c1_values" localSheetId="3" hidden="1">{"IND","COMPANIES",TRUE}</definedName>
    <definedName name="esnrc65c1_values" hidden="1">{"IND","COMPANIES",TRUE}</definedName>
    <definedName name="esnrc65c1_values_1" localSheetId="1" hidden="1">{"IND","COMPANIES",TRUE}</definedName>
    <definedName name="esnrc65c1_values_1" localSheetId="3" hidden="1">{"IND","COMPANIES",TRUE}</definedName>
    <definedName name="esnrc65c1_values_1" hidden="1">{"IND","COMPANIES",TRUE}</definedName>
    <definedName name="esnrc65c1_values_2" localSheetId="1" hidden="1">{"IND","COMPANIES",TRUE}</definedName>
    <definedName name="esnrc65c1_values_2" localSheetId="3" hidden="1">{"IND","COMPANIES",TRUE}</definedName>
    <definedName name="esnrc65c1_values_2" hidden="1">{"IND","COMPANIES",TRUE}</definedName>
    <definedName name="esnrc65c1_values_CWN" localSheetId="1" hidden="1">{"IND","COMPANIES",TRUE}</definedName>
    <definedName name="esnrc65c1_values_CWN" localSheetId="3" hidden="1">{"IND","COMPANIES",TRUE}</definedName>
    <definedName name="esnrc65c1_values_CWN" hidden="1">{"IND","COMPANIES",TRUE}</definedName>
    <definedName name="esnrc65c2_values" localSheetId="1" hidden="1">{"IND","COMPANIES",TRUE}</definedName>
    <definedName name="esnrc65c2_values" localSheetId="3" hidden="1">{"IND","COMPANIES",TRUE}</definedName>
    <definedName name="esnrc65c2_values" hidden="1">{"IND","COMPANIES",TRUE}</definedName>
    <definedName name="esnrc65c2_values_1" localSheetId="1" hidden="1">{"IND","COMPANIES",TRUE}</definedName>
    <definedName name="esnrc65c2_values_1" localSheetId="3" hidden="1">{"IND","COMPANIES",TRUE}</definedName>
    <definedName name="esnrc65c2_values_1" hidden="1">{"IND","COMPANIES",TRUE}</definedName>
    <definedName name="esnrc65c2_values_2" localSheetId="1" hidden="1">{"IND","COMPANIES",TRUE}</definedName>
    <definedName name="esnrc65c2_values_2" localSheetId="3" hidden="1">{"IND","COMPANIES",TRUE}</definedName>
    <definedName name="esnrc65c2_values_2" hidden="1">{"IND","COMPANIES",TRUE}</definedName>
    <definedName name="esnrc65c2_values_CWN" localSheetId="1" hidden="1">{"IND","COMPANIES",TRUE}</definedName>
    <definedName name="esnrc65c2_values_CWN" localSheetId="3" hidden="1">{"IND","COMPANIES",TRUE}</definedName>
    <definedName name="esnrc65c2_values_CWN" hidden="1">{"IND","COMPANIES",TRUE}</definedName>
    <definedName name="esnrc91c1_values" localSheetId="1" hidden="1">{"EUUTI","COMPANIES",TRUE}</definedName>
    <definedName name="esnrc91c1_values" localSheetId="3" hidden="1">{"EUUTI","COMPANIES",TRUE}</definedName>
    <definedName name="esnrc91c1_values" hidden="1">{"EUUTI","COMPANIES",TRUE}</definedName>
    <definedName name="esnrc91c1_values_1" localSheetId="1" hidden="1">{"EUUTI","COMPANIES",TRUE}</definedName>
    <definedName name="esnrc91c1_values_1" localSheetId="3" hidden="1">{"EUUTI","COMPANIES",TRUE}</definedName>
    <definedName name="esnrc91c1_values_1" hidden="1">{"EUUTI","COMPANIES",TRUE}</definedName>
    <definedName name="esnrc91c1_values_2" localSheetId="1" hidden="1">{"EUUTI","COMPANIES",TRUE}</definedName>
    <definedName name="esnrc91c1_values_2" localSheetId="3" hidden="1">{"EUUTI","COMPANIES",TRUE}</definedName>
    <definedName name="esnrc91c1_values_2" hidden="1">{"EUUTI","COMPANIES",TRUE}</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fd" hidden="1">[3]F1!#REF!</definedName>
    <definedName name="FDP_0_1_aUrv" hidden="1">#REF!</definedName>
    <definedName name="FDP_1_1_aUrv" hidden="1">#REF!</definedName>
    <definedName name="FDP_10_1_aDrv" hidden="1">#REF!</definedName>
    <definedName name="FDP_100_1_aUrv" hidden="1">#REF!</definedName>
    <definedName name="FDP_101_1_aUrv" hidden="1">#REF!</definedName>
    <definedName name="FDP_102_1_aUrv" hidden="1">#REF!</definedName>
    <definedName name="FDP_103_1_aUrv" hidden="1">#REF!</definedName>
    <definedName name="FDP_104_1_aUrv" hidden="1">#REF!</definedName>
    <definedName name="FDP_105_1_aUrv" hidden="1">#REF!</definedName>
    <definedName name="FDP_106_1_aUrv" hidden="1">#REF!</definedName>
    <definedName name="FDP_108_1_aUrv" hidden="1">#REF!</definedName>
    <definedName name="FDP_109_1_aUrv" hidden="1">#REF!</definedName>
    <definedName name="FDP_11_1_aUrv" hidden="1">#REF!</definedName>
    <definedName name="FDP_110_1_aUrv" hidden="1">#REF!</definedName>
    <definedName name="FDP_111_1_aUrv" hidden="1">#REF!</definedName>
    <definedName name="FDP_112_1_aUrv" hidden="1">#REF!</definedName>
    <definedName name="FDP_113_1_aUrv" hidden="1">#REF!</definedName>
    <definedName name="FDP_114_1_aUrv" hidden="1">#REF!</definedName>
    <definedName name="FDP_115_1_aUrv" hidden="1">#REF!</definedName>
    <definedName name="FDP_116_1_aUrv" hidden="1">#REF!</definedName>
    <definedName name="FDP_117_1_aUrv" hidden="1">#REF!</definedName>
    <definedName name="FDP_118_1_aUrv" hidden="1">#REF!</definedName>
    <definedName name="FDP_119_1_aUrv" hidden="1">#REF!</definedName>
    <definedName name="FDP_12_1_aUrv" hidden="1">#REF!</definedName>
    <definedName name="FDP_120_1_aUrv" hidden="1">#REF!</definedName>
    <definedName name="FDP_121_1_aUrv" hidden="1">#REF!</definedName>
    <definedName name="FDP_124_1_aUrv" hidden="1">#REF!</definedName>
    <definedName name="FDP_125_1_aUrv" hidden="1">#REF!</definedName>
    <definedName name="FDP_126_1_aUrv" hidden="1">#REF!</definedName>
    <definedName name="FDP_127_1_aUrv" hidden="1">#REF!</definedName>
    <definedName name="FDP_128_1_aUrv" hidden="1">#REF!</definedName>
    <definedName name="FDP_129_1_aUrv" hidden="1">#REF!</definedName>
    <definedName name="FDP_13_1_aUrv" hidden="1">#REF!</definedName>
    <definedName name="FDP_130_1_aUrv" hidden="1">#REF!</definedName>
    <definedName name="FDP_132_1_aUrv" hidden="1">#REF!</definedName>
    <definedName name="FDP_133_1_aUrv" hidden="1">#REF!</definedName>
    <definedName name="FDP_134_1_aUrv" hidden="1">#REF!</definedName>
    <definedName name="FDP_135_1_aUrv" hidden="1">#REF!</definedName>
    <definedName name="FDP_136_1_aUrv" hidden="1">#REF!</definedName>
    <definedName name="FDP_137_1_aUrv" hidden="1">#REF!</definedName>
    <definedName name="FDP_139_1_aSrv" hidden="1">#REF!</definedName>
    <definedName name="FDP_14_1_aUrv" hidden="1">#REF!</definedName>
    <definedName name="FDP_140_1_aUrv" hidden="1">#REF!</definedName>
    <definedName name="FDP_141_1_aUrv" hidden="1">#REF!</definedName>
    <definedName name="FDP_142_1_aUrv" hidden="1">#REF!</definedName>
    <definedName name="FDP_143_1_aUrv" hidden="1">#REF!</definedName>
    <definedName name="FDP_144_1_aUrv" hidden="1">#REF!</definedName>
    <definedName name="FDP_145_1_aUrv" hidden="1">#REF!</definedName>
    <definedName name="FDP_146_1_aUrv" hidden="1">#REF!</definedName>
    <definedName name="FDP_147_1_aUrv" hidden="1">#REF!</definedName>
    <definedName name="FDP_148_1_aUrv" hidden="1">#REF!</definedName>
    <definedName name="FDP_149_1_aUrv" hidden="1">#REF!</definedName>
    <definedName name="FDP_151_1_aUrv" hidden="1">#REF!</definedName>
    <definedName name="FDP_153_1_aUrv" hidden="1">#REF!</definedName>
    <definedName name="FDP_155_1_aUrv" hidden="1">#REF!</definedName>
    <definedName name="FDP_156_1_aSrv" hidden="1">#REF!</definedName>
    <definedName name="FDP_157_1_aUrv" hidden="1">#REF!</definedName>
    <definedName name="FDP_159_1_aUrv" hidden="1">#REF!</definedName>
    <definedName name="FDP_16_1_aUrv" hidden="1">#REF!</definedName>
    <definedName name="FDP_165_1_aUrv" hidden="1">[15]Indexes!$E$4</definedName>
    <definedName name="FDP_166_1_aUrv" hidden="1">[15]Indexes!$E$5</definedName>
    <definedName name="FDP_167_1_aUrv" hidden="1">[15]Indexes!$E$6</definedName>
    <definedName name="FDP_168_1_aSrv" hidden="1">[15]Indexes!$E$7</definedName>
    <definedName name="FDP_169_1_aUrv" hidden="1">[15]Indexes!$E$8</definedName>
    <definedName name="FDP_170_1_aSrv" hidden="1">[15]Indexes!$E$9</definedName>
    <definedName name="FDP_171_1_aUrv" hidden="1">[15]Indexes!$E$10</definedName>
    <definedName name="FDP_172_1_aUrv" hidden="1">[15]Indexes!$E$11</definedName>
    <definedName name="FDP_173_1_aUrv" hidden="1">[15]Indexes!$E$12</definedName>
    <definedName name="FDP_174_1_aSrv" hidden="1">[15]Indexes!$E$13</definedName>
    <definedName name="FDP_174_1_aUrv" hidden="1">#REF!</definedName>
    <definedName name="FDP_175_1_aUrv" hidden="1">#REF!</definedName>
    <definedName name="FDP_176_1_aUrv" hidden="1">#REF!</definedName>
    <definedName name="FDP_177_1_aSrv" hidden="1">[15]Indexes!$E$16</definedName>
    <definedName name="FDP_177_1_aUrv" hidden="1">#REF!</definedName>
    <definedName name="FDP_178_1_aSrv" hidden="1">[15]Indexes!$E$17</definedName>
    <definedName name="FDP_178_1_aUrv" hidden="1">#REF!</definedName>
    <definedName name="FDP_179_1_aSrv" hidden="1">[15]Indexes!$E$19</definedName>
    <definedName name="FDP_179_1_aUrv" hidden="1">#REF!</definedName>
    <definedName name="FDP_18_1_aUrv" hidden="1">#REF!</definedName>
    <definedName name="FDP_180_1_aSrv" hidden="1">[15]Indexes!$E$21</definedName>
    <definedName name="FDP_181_1_aUrv" hidden="1">[15]Indexes!$E$22</definedName>
    <definedName name="FDP_182_1_aSrv" hidden="1">[15]Indexes!$E$23</definedName>
    <definedName name="FDP_183_1_aSrv" hidden="1">[15]Indexes!$E$25</definedName>
    <definedName name="FDP_184_1_aUrv" hidden="1">[15]Indexes!$E$26</definedName>
    <definedName name="FDP_185_1_aSrv" hidden="1">[15]Indexes!$E$27</definedName>
    <definedName name="FDP_186_1_aUrv" hidden="1">[15]Indexes!$E$28</definedName>
    <definedName name="FDP_187_1_aSrv" hidden="1">[15]Indexes!$E$29</definedName>
    <definedName name="FDP_188_1_aUrv" hidden="1">[15]Indexes!$E$32</definedName>
    <definedName name="FDP_189_1_aUrv" hidden="1">[15]Indexes!$E$33</definedName>
    <definedName name="FDP_19_1_aUrv" hidden="1">#REF!</definedName>
    <definedName name="FDP_190_1_aUrv" hidden="1">[15]Indexes!$E$35</definedName>
    <definedName name="FDP_191_1_aUrv" hidden="1">[15]Indexes!$E$36</definedName>
    <definedName name="FDP_192_1_aSrv" hidden="1">[15]Indexes!$E$37</definedName>
    <definedName name="FDP_193_1_aUrv" hidden="1">[15]Indexes!$E$38</definedName>
    <definedName name="FDP_194_1_aUrv" hidden="1">[15]Indexes!$E$39</definedName>
    <definedName name="FDP_195_1_aUrv" hidden="1">[15]Indexes!$E$41</definedName>
    <definedName name="FDP_196_1_aSrv" hidden="1">[15]Indexes!$E$42</definedName>
    <definedName name="FDP_197_1_aUrv" hidden="1">[15]Indexes!$E$44</definedName>
    <definedName name="FDP_198_1_aSrv" hidden="1">[15]Indexes!$E$45</definedName>
    <definedName name="FDP_199_1_aUrv" hidden="1">[15]Indexes!$E$47</definedName>
    <definedName name="FDP_2_1_aUrv" hidden="1">#REF!</definedName>
    <definedName name="FDP_20_1_aUrv" hidden="1">#REF!</definedName>
    <definedName name="FDP_200_1_aUrv" hidden="1">[15]Indexes!$E$48</definedName>
    <definedName name="FDP_201_1_aUrv" hidden="1">[15]Indexes!$E$49</definedName>
    <definedName name="FDP_202_1_aUrv" hidden="1">[15]Indexes!$E$50</definedName>
    <definedName name="FDP_203_1_aSrv" hidden="1">[15]Indexes!$E$54</definedName>
    <definedName name="FDP_204_1_aUrv" hidden="1">[15]Indexes!$H$54</definedName>
    <definedName name="FDP_205_1_aUrv" hidden="1">[15]Indexes!$I$54</definedName>
    <definedName name="FDP_206_1_aUrv" hidden="1">[15]Indexes!$J$54</definedName>
    <definedName name="FDP_207_1_aUrv" hidden="1">[15]Indexes!$K$54</definedName>
    <definedName name="FDP_208_1_aSrv" hidden="1">[15]Indexes!$E$55</definedName>
    <definedName name="FDP_209_1_aUrv" hidden="1">[15]Indexes!$H$55</definedName>
    <definedName name="FDP_21_1_aUrv" hidden="1">#REF!</definedName>
    <definedName name="FDP_210_1_aUrv" hidden="1">[15]Indexes!$I$55</definedName>
    <definedName name="FDP_211_1_aUrv" hidden="1">[15]Indexes!$J$55</definedName>
    <definedName name="FDP_212_1_aUrv" hidden="1">[15]Indexes!$K$55</definedName>
    <definedName name="FDP_213_1_aSrv" hidden="1">[15]Indexes!$E$56</definedName>
    <definedName name="FDP_214_1_aUrv" hidden="1">[15]Indexes!$H$56</definedName>
    <definedName name="FDP_215_1_aUrv" hidden="1">[15]Indexes!$I$56</definedName>
    <definedName name="FDP_216_1_aUrv" hidden="1">[15]Indexes!$J$56</definedName>
    <definedName name="FDP_217_1_aUrv" hidden="1">[15]Indexes!$K$56</definedName>
    <definedName name="FDP_218_1_aSrv" hidden="1">[15]Indexes!$E$57</definedName>
    <definedName name="FDP_219_1_aSrv" hidden="1">[15]Indexes!$H$57</definedName>
    <definedName name="FDP_22_1_aUrv" hidden="1">#REF!</definedName>
    <definedName name="FDP_220_1_aSrv" hidden="1">[15]Indexes!$I$57</definedName>
    <definedName name="FDP_221_1_aSrv" hidden="1">[15]Indexes!$J$57</definedName>
    <definedName name="FDP_222_1_aSrv" hidden="1">[15]Indexes!$K$57</definedName>
    <definedName name="FDP_223_1_aSrv" hidden="1">[15]Indexes!$E$58</definedName>
    <definedName name="FDP_224_1_aUrv" hidden="1">[15]Indexes!$H$58</definedName>
    <definedName name="FDP_225_1_aUrv" hidden="1">[15]Indexes!$I$58</definedName>
    <definedName name="FDP_226_1_aUrv" hidden="1">[15]Indexes!$J$58</definedName>
    <definedName name="FDP_227_1_aUrv" hidden="1">[15]Indexes!$K$58</definedName>
    <definedName name="FDP_228_1_aSrv" hidden="1">[15]Indexes!$E$59</definedName>
    <definedName name="FDP_229_1_aSrv" hidden="1">[15]Indexes!$H$59</definedName>
    <definedName name="FDP_23_1_aUrv" hidden="1">#REF!</definedName>
    <definedName name="FDP_230_1_aSrv" hidden="1">[15]Indexes!$I$59</definedName>
    <definedName name="FDP_231_1_aSrv" hidden="1">[15]Indexes!$J$59</definedName>
    <definedName name="FDP_232_1_aSrv" hidden="1">[15]Indexes!$K$59</definedName>
    <definedName name="FDP_233_1_aSrv" hidden="1">[15]Indexes!$E$60</definedName>
    <definedName name="FDP_234_1_aUrv" hidden="1">[15]Indexes!$H$60</definedName>
    <definedName name="FDP_235_1_aUrv" hidden="1">[15]Indexes!$I$60</definedName>
    <definedName name="FDP_236_1_aUrv" hidden="1">[15]Indexes!$J$60</definedName>
    <definedName name="FDP_237_1_aUrv" hidden="1">[15]Indexes!$K$60</definedName>
    <definedName name="FDP_238_1_aSrv" hidden="1">[15]Indexes!$E$61</definedName>
    <definedName name="FDP_24_1_aUrv" hidden="1">#REF!</definedName>
    <definedName name="FDP_243_1_aSrv" hidden="1">[15]Indexes!$E$62</definedName>
    <definedName name="FDP_244_1_aSrv" hidden="1">[15]Indexes!$H$62</definedName>
    <definedName name="FDP_245_1_aSrv" hidden="1">[15]Indexes!$I$62</definedName>
    <definedName name="FDP_246_1_aSrv" hidden="1">[15]Indexes!$J$62</definedName>
    <definedName name="FDP_247_1_aSrv" hidden="1">[15]Indexes!$K$62</definedName>
    <definedName name="FDP_248_1_aSrv" hidden="1">[15]Indexes!$E$63</definedName>
    <definedName name="FDP_249_1_aSrv" hidden="1">[15]Indexes!$H$63</definedName>
    <definedName name="FDP_25_1_aUrv" hidden="1">#REF!</definedName>
    <definedName name="FDP_250_1_aSrv" hidden="1">[15]Indexes!$I$63</definedName>
    <definedName name="FDP_251_1_aSrv" hidden="1">[15]Indexes!$J$63</definedName>
    <definedName name="FDP_252_1_aSrv" hidden="1">[15]Indexes!$K$63</definedName>
    <definedName name="FDP_253_1_aSrv" hidden="1">[15]Indexes!$E$64</definedName>
    <definedName name="FDP_254_1_aSrv" hidden="1">[15]Indexes!$E$65</definedName>
    <definedName name="FDP_255_1_aSrv" hidden="1">[15]Indexes!$E$66</definedName>
    <definedName name="FDP_256_1_aSrv" hidden="1">[15]Indexes!$E$67</definedName>
    <definedName name="FDP_257_1_aSrv" hidden="1">[15]Indexes!$E$68</definedName>
    <definedName name="FDP_258_1_aSrv" hidden="1">[15]Indexes!$E$69</definedName>
    <definedName name="FDP_259_1_aSrv" hidden="1">[15]Indexes!$E$70</definedName>
    <definedName name="FDP_26_1_aUrv" hidden="1">#REF!</definedName>
    <definedName name="FDP_260_1_aSrv" hidden="1">[15]Indexes!$E$71</definedName>
    <definedName name="FDP_261_1_aSrv" hidden="1">[15]Indexes!$E$72</definedName>
    <definedName name="FDP_264_1_aUrv" hidden="1">[15]Indexes!$E$81</definedName>
    <definedName name="FDP_265_1_aUrv" hidden="1">[15]Indexes!$H$81</definedName>
    <definedName name="FDP_266_1_aUrv" hidden="1">[15]Indexes!$I$81</definedName>
    <definedName name="FDP_267_1_aUrv" hidden="1">[15]Indexes!$J$81</definedName>
    <definedName name="FDP_268_1_aUrv" hidden="1">[15]Indexes!$K$81</definedName>
    <definedName name="FDP_269_1_aUrv" hidden="1">[15]Indexes!$E$82</definedName>
    <definedName name="FDP_27_1_aUrv" hidden="1">#REF!</definedName>
    <definedName name="FDP_270_1_aUrv" hidden="1">[15]Indexes!$H$82</definedName>
    <definedName name="FDP_271_1_aUrv" hidden="1">[15]Indexes!$I$82</definedName>
    <definedName name="FDP_272_1_aUrv" hidden="1">[15]Indexes!$J$82</definedName>
    <definedName name="FDP_273_1_aUrv" hidden="1">[15]Indexes!$K$82</definedName>
    <definedName name="FDP_274_1_aUrv" hidden="1">[15]Indexes!$E$83</definedName>
    <definedName name="FDP_275_1_aUrv" hidden="1">[15]Indexes!$H$83</definedName>
    <definedName name="FDP_276_1_aUrv" hidden="1">[15]Indexes!$I$83</definedName>
    <definedName name="FDP_277_1_aUrv" hidden="1">[15]Indexes!$J$83</definedName>
    <definedName name="FDP_278_1_aUrv" hidden="1">[15]Indexes!$K$83</definedName>
    <definedName name="FDP_279_1_aSrv" hidden="1">[15]Indexes!$E$84</definedName>
    <definedName name="FDP_28_1_aUrv" hidden="1">#REF!</definedName>
    <definedName name="FDP_3_1_aUrv" hidden="1">#REF!</definedName>
    <definedName name="FDP_30_1_aUrv" hidden="1">#REF!</definedName>
    <definedName name="FDP_31_1_aUrv" hidden="1">#REF!</definedName>
    <definedName name="FDP_33_1_aUrv" hidden="1">#REF!</definedName>
    <definedName name="FDP_34_1_aUrv" hidden="1">#REF!</definedName>
    <definedName name="FDP_36_1_aUrv" hidden="1">#REF!</definedName>
    <definedName name="FDP_37_1_aUrv" hidden="1">#REF!</definedName>
    <definedName name="FDP_38_1_aUrv" hidden="1">#REF!</definedName>
    <definedName name="FDP_39_1_aUrv" hidden="1">#REF!</definedName>
    <definedName name="FDP_4_1_aUrv" hidden="1">#REF!</definedName>
    <definedName name="FDP_40_1_aUrv" hidden="1">#REF!</definedName>
    <definedName name="FDP_41_1_aUrv" hidden="1">#REF!</definedName>
    <definedName name="FDP_42_1_aUrv" hidden="1">#REF!</definedName>
    <definedName name="FDP_44_1_aUrv" hidden="1">#REF!</definedName>
    <definedName name="FDP_45_1_aUrv" hidden="1">#REF!</definedName>
    <definedName name="FDP_46_1_aUrv" hidden="1">#REF!</definedName>
    <definedName name="FDP_47_1_aUrv" hidden="1">#REF!</definedName>
    <definedName name="FDP_49_1_aUrv" hidden="1">#REF!</definedName>
    <definedName name="FDP_5_1_aUrv" hidden="1">#REF!</definedName>
    <definedName name="FDP_50_1_aUrv" hidden="1">#REF!</definedName>
    <definedName name="FDP_51_1_aSrv" hidden="1">#REF!</definedName>
    <definedName name="FDP_52_1_aUrv" hidden="1">#REF!</definedName>
    <definedName name="FDP_53_1_aUrv" hidden="1">#REF!</definedName>
    <definedName name="FDP_54_1_aUrv" hidden="1">#REF!</definedName>
    <definedName name="FDP_56_1_aUrv" hidden="1">#REF!</definedName>
    <definedName name="FDP_57_1_aUrv" hidden="1">#REF!</definedName>
    <definedName name="FDP_58_1_aUrv" hidden="1">#REF!</definedName>
    <definedName name="FDP_59_1_aUrv" hidden="1">#REF!</definedName>
    <definedName name="FDP_6_1_aUrv" hidden="1">#REF!</definedName>
    <definedName name="FDP_60_1_aUrv" hidden="1">#REF!</definedName>
    <definedName name="FDP_61_1_aUrv" hidden="1">#REF!</definedName>
    <definedName name="FDP_62_1_aUrv" hidden="1">#REF!</definedName>
    <definedName name="FDP_63_1_aUrv" hidden="1">#REF!</definedName>
    <definedName name="FDP_64_1_aUrv" hidden="1">#REF!</definedName>
    <definedName name="FDP_66_1_aUrv" hidden="1">#REF!</definedName>
    <definedName name="FDP_67_1_aUrv" hidden="1">#REF!</definedName>
    <definedName name="FDP_68_1_aUrv" hidden="1">#REF!</definedName>
    <definedName name="FDP_69_1_aUrv" hidden="1">#REF!</definedName>
    <definedName name="FDP_7_1_aUrv" hidden="1">#REF!</definedName>
    <definedName name="FDP_70_1_aUrv" hidden="1">#REF!</definedName>
    <definedName name="FDP_71_1_aSrv" hidden="1">#REF!</definedName>
    <definedName name="FDP_72_1_aUrv" hidden="1">#REF!</definedName>
    <definedName name="FDP_73_1_aUrv" hidden="1">#REF!</definedName>
    <definedName name="FDP_74_1_aUrv" hidden="1">#REF!</definedName>
    <definedName name="FDP_76_1_aUrv" hidden="1">#REF!</definedName>
    <definedName name="FDP_77_1_aUrv" hidden="1">#REF!</definedName>
    <definedName name="FDP_79_1_aUrv" hidden="1">#REF!</definedName>
    <definedName name="FDP_8_1_aUrv" hidden="1">#REF!</definedName>
    <definedName name="FDP_80_1_aUrv" hidden="1">#REF!</definedName>
    <definedName name="FDP_81_1_aUrv" hidden="1">#REF!</definedName>
    <definedName name="FDP_82_1_aUrv" hidden="1">#REF!</definedName>
    <definedName name="FDP_83_1_aUrv" hidden="1">#REF!</definedName>
    <definedName name="FDP_84_1_aUrv" hidden="1">#REF!</definedName>
    <definedName name="FDP_85_1_aUrv" hidden="1">#REF!</definedName>
    <definedName name="FDP_86_1_aUrv" hidden="1">#REF!</definedName>
    <definedName name="FDP_87_1_aUrv" hidden="1">#REF!</definedName>
    <definedName name="FDP_88_1_aUrv" hidden="1">#REF!</definedName>
    <definedName name="FDP_89_1_aUrv" hidden="1">#REF!</definedName>
    <definedName name="FDP_9_1_aUrv" hidden="1">#REF!</definedName>
    <definedName name="FDP_90_1_aUrv" hidden="1">#REF!</definedName>
    <definedName name="FDP_92_1_aSrv" hidden="1">#REF!</definedName>
    <definedName name="FDP_93_1_aUrv" hidden="1">#REF!</definedName>
    <definedName name="FDP_94_1_aUrv" hidden="1">#REF!</definedName>
    <definedName name="FDP_95_1_aUrv" hidden="1">#REF!</definedName>
    <definedName name="FDP_96_1_aUrv" hidden="1">#REF!</definedName>
    <definedName name="FDP_97_1_aUrv" hidden="1">#REF!</definedName>
    <definedName name="FDP_98_1_aUrv" hidden="1">#REF!</definedName>
    <definedName name="FDP_99_1_aUrv" hidden="1">#REF!</definedName>
    <definedName name="fferw" localSheetId="1"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ferw" localSheetId="3"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ferw"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orecast" localSheetId="1" hidden="1">{"cover a","1q",FALSE,"Cover";"Op Earn Mgd Q1",#N/A,FALSE,"Op-Earn (Mng)";"Op Earn Rpt Q1",#N/A,FALSE,"Op-Earn (Rpt)";"Loans",#N/A,FALSE,"Loans";"Credit Costs",#N/A,FALSE,"CCosts";"Net Interest Margin",#N/A,FALSE,"Margin";"Nonint Income",#N/A,FALSE,"NonII";"Nonint Exp",#N/A,FALSE,"NonIE";"Valuation",#N/A,FALSE,"Valuation"}</definedName>
    <definedName name="forecast" localSheetId="3" hidden="1">{"cover a","1q",FALSE,"Cover";"Op Earn Mgd Q1",#N/A,FALSE,"Op-Earn (Mng)";"Op Earn Rpt Q1",#N/A,FALSE,"Op-Earn (Rpt)";"Loans",#N/A,FALSE,"Loans";"Credit Costs",#N/A,FALSE,"CCosts";"Net Interest Margin",#N/A,FALSE,"Margin";"Nonint Income",#N/A,FALSE,"NonII";"Nonint Exp",#N/A,FALSE,"NonIE";"Valuation",#N/A,FALSE,"Valuation"}</definedName>
    <definedName name="forecast" hidden="1">{"cover a","1q",FALSE,"Cover";"Op Earn Mgd Q1",#N/A,FALSE,"Op-Earn (Mng)";"Op Earn Rpt Q1",#N/A,FALSE,"Op-Earn (Rpt)";"Loans",#N/A,FALSE,"Loans";"Credit Costs",#N/A,FALSE,"CCosts";"Net Interest Margin",#N/A,FALSE,"Margin";"Nonint Income",#N/A,FALSE,"NonII";"Nonint Exp",#N/A,FALSE,"NonIE";"Valuation",#N/A,FALSE,"Valuation"}</definedName>
    <definedName name="gls_ACT_EST_ROW" hidden="1">#REF!</definedName>
    <definedName name="gls_ACT_FORM_OFFSET" hidden="1">#REF!</definedName>
    <definedName name="gls_ADMIN" hidden="1">[16]_Control!$D$30</definedName>
    <definedName name="gls_ALLOW_BOTH_PC" hidden="1">[16]_Control!$D$52</definedName>
    <definedName name="gls_ALLOW_PARENT_OR_CONSOLIDATED" hidden="1">[16]_Control!$D$41</definedName>
    <definedName name="gls_ALLOW_PUBLISH" hidden="1">[16]_Control!$D$27</definedName>
    <definedName name="gls_CF_BEGINS" hidden="1">[16]_Control!$D$38</definedName>
    <definedName name="gls_CFD_CHANGEACT" hidden="1">[16]_Control!$D$45</definedName>
    <definedName name="gls_CFD_CHANGEEST" hidden="1">[16]_Control!$D$46</definedName>
    <definedName name="gls_CFD_FIRSTAVAIL" hidden="1">[16]_Control!$D$47</definedName>
    <definedName name="gls_CFD_LISTAVAIL" hidden="1">[16]_Control!$D$48</definedName>
    <definedName name="gls_CFD_SELECTED" hidden="1">[16]_Control!$D$44</definedName>
    <definedName name="gls_CHANGED_NAMES" hidden="1">[16]_Control!$D$25</definedName>
    <definedName name="gls_CHG_KEY_USER" hidden="1">[16]_Control!$D$10</definedName>
    <definedName name="gls_CHG_SEL_ONLY" hidden="1">[16]_Control!$D$9</definedName>
    <definedName name="gls_COMPANY_WORKBOOK_ID" hidden="1">[16]_Control!$D$17</definedName>
    <definedName name="gls_DELETED_PERIODS" hidden="1">[16]_Control!$J$1</definedName>
    <definedName name="gls_EST_FORM_OFFSET" hidden="1">#REF!</definedName>
    <definedName name="gls_EXC_NOT_EXT" hidden="1">[16]_Control!$D$35</definedName>
    <definedName name="gls_EXISTING_PERIODS" hidden="1">[16]_Control!$G$1</definedName>
    <definedName name="gls_EXT_BELOW_PBT" hidden="1">[16]_Control!$D$39</definedName>
    <definedName name="gls_EXT_LINK_GLOSS" hidden="1">[16]_Control!$D$50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LOSS_MONTHS" hidden="1">[16]_Control!$A$1:$A$12</definedName>
    <definedName name="gls_GW_IN" hidden="1">[16]_Control!$D$36</definedName>
    <definedName name="gls_IIAA_IN" hidden="1">[16]_Control!$D$37</definedName>
    <definedName name="gls_InterimValue" hidden="1">[16]_Control!$D$22</definedName>
    <definedName name="gls_KEY_DATA" hidden="1">#REF!</definedName>
    <definedName name="gls_KEY_VALUE" hidden="1">#REF!</definedName>
    <definedName name="gls_LANGUAGE" hidden="1">[16]_Control!$D$23</definedName>
    <definedName name="gls_NEXT_PK" hidden="1">[16]_Control!$D$21</definedName>
    <definedName name="gls_PERIOD_CODE" hidden="1">#REF!</definedName>
    <definedName name="gls_PERIOD_INDICATOR" hidden="1">#REF!</definedName>
    <definedName name="gls_PERIOD_PARENT_OR_CONSOL" hidden="1">#REF!</definedName>
    <definedName name="gls_PERIOD_TYPE" hidden="1">#REF!</definedName>
    <definedName name="gls_PROFILE_NAME" hidden="1">[16]_Control!$D$19</definedName>
    <definedName name="gls_SaveBeforePublish" hidden="1">[16]_Control!$D$26</definedName>
    <definedName name="gls_SaveWkbForNewPeriodCodes" hidden="1">[16]_Control!$D$28</definedName>
    <definedName name="gls_SHOW_CONTROL_VALUE" hidden="1">[16]_Control!$D$1</definedName>
    <definedName name="gls_SHOW_KEY_VAL_COLUMN" hidden="1">[16]_Control!$D$11</definedName>
    <definedName name="gls_SHOW_KEY_VALUES" hidden="1">[16]_Control!$D$8</definedName>
    <definedName name="gls_SHOW_LINKED_ITEMS" hidden="1">[16]_Control!$D$6</definedName>
    <definedName name="gls_SHOW_LOCAL_NAMES" hidden="1">[16]_Control!$D$2</definedName>
    <definedName name="gls_SHOW_MULTIPLIERS" hidden="1">[16]_Control!$D$7</definedName>
    <definedName name="gls_SHOW_PK_COLUMN" hidden="1">[16]_Control!$D$5</definedName>
    <definedName name="gls_SHOW_STATUS_INFORMATION" hidden="1">[16]_Control!$D$3</definedName>
    <definedName name="gls_SHOW_UNITS" hidden="1">[16]_Control!$D$4</definedName>
    <definedName name="gls_SPARE_YEARS" hidden="1">#REF!</definedName>
    <definedName name="gls_SPECIAL_DIALOG" hidden="1">[16]_Control!$D$49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[16]_Control!$D$20</definedName>
    <definedName name="gls_TEMP_PERIOD_CODE" hidden="1">#REF!</definedName>
    <definedName name="gls_THISWORKBOOK_NAME" hidden="1">[16]_Control!$D$18</definedName>
    <definedName name="gls_UNUSUAL_POS" hidden="1">[16]_Control!$D$40</definedName>
    <definedName name="gls_USER_CELL_FORMAT" hidden="1">[16]_Control!$D$51</definedName>
    <definedName name="gls_USING_CONSOLIDATED" hidden="1">[16]_Control!$D$34</definedName>
    <definedName name="gls_YEAR_AE_CONTROL" hidden="1">#REF!</definedName>
    <definedName name="gls_YEAR_END_ROW" hidden="1">#REF!</definedName>
    <definedName name="gls_YetToRunStartupWizard" hidden="1">[16]_Control!$D$29</definedName>
    <definedName name="HTML_CodePage" hidden="1">1252</definedName>
    <definedName name="HTML_Control" localSheetId="1" hidden="1">{"'Outline (2)'!$A$1:$Q$7"}</definedName>
    <definedName name="HTML_Control" localSheetId="3" hidden="1">{"'Outline (2)'!$A$1:$Q$7"}</definedName>
    <definedName name="HTML_Control" hidden="1">{"'Outline (2)'!$A$1:$Q$7"}</definedName>
    <definedName name="HTML_Description" hidden="1">""</definedName>
    <definedName name="HTML_Email" hidden="1">""</definedName>
    <definedName name="HTML_Header" hidden="1">"Outline (2)"</definedName>
    <definedName name="HTML_LastUpdate" hidden="1">"2/9/98"</definedName>
    <definedName name="HTML_LineAfter" hidden="1">FALSE</definedName>
    <definedName name="HTML_LineBefore" hidden="1">FALSE</definedName>
    <definedName name="HTML_Name" hidden="1">"Kenfil Training Centre"</definedName>
    <definedName name="HTML_OBDlg2" hidden="1">TRUE</definedName>
    <definedName name="HTML_OBDlg4" hidden="1">TRUE</definedName>
    <definedName name="HTML_OS" hidden="1">0</definedName>
    <definedName name="HTML_PathFile" hidden="1">"F:\USERS\STUDENT\KAREEN\EXCEL97\MyHTML.htm"</definedName>
    <definedName name="HTML_Title" hidden="1">"XL97_ADV"</definedName>
    <definedName name="HTML1_1" hidden="1">"[firstpacpg59withformula.xls]Sheet1!$A$1:$G$23"</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 hidden="1">"[firstpacpg58.xls]Sheet1!$A$1:$F$15"</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i" localSheetId="1" hidden="1">{"Qtr Op Mgd Q3",#N/A,FALSE,"Qtr-Op (Mng)";"Qtr Op Rpt Q3",#N/A,FALSE,"Qtr-Op (Rpt)";"Operating Vs Reported",#N/A,FALSE,"Rpt-Op Inc"}</definedName>
    <definedName name="i" localSheetId="3" hidden="1">{"Qtr Op Mgd Q3",#N/A,FALSE,"Qtr-Op (Mng)";"Qtr Op Rpt Q3",#N/A,FALSE,"Qtr-Op (Rpt)";"Operating Vs Reported",#N/A,FALSE,"Rpt-Op Inc"}</definedName>
    <definedName name="i" hidden="1">{"Qtr Op Mgd Q3",#N/A,FALSE,"Qtr-Op (Mng)";"Qtr Op Rpt Q3",#N/A,FALSE,"Qtr-Op (Rpt)";"Operating Vs Reported",#N/A,FALSE,"Rpt-Op Inc"}</definedName>
    <definedName name="Img_ML_1c3d1n6n" hidden="1">"IMG_11"</definedName>
    <definedName name="Img_ML_1d1b5x3i" hidden="1">"IMG_18"</definedName>
    <definedName name="Img_ML_1e1k9n5y" hidden="1">"IMG_10"</definedName>
    <definedName name="Img_ML_1g9i6j4i" hidden="1">"IMG_6"</definedName>
    <definedName name="Img_ML_1h4n3h8h" hidden="1">"IMG_18"</definedName>
    <definedName name="Img_ML_1k2d3y6g" hidden="1">"IMG_18"</definedName>
    <definedName name="Img_ML_1k4g9u7k" hidden="1">"IMG_10"</definedName>
    <definedName name="Img_ML_1k4u6z9q" hidden="1">"IMG_12"</definedName>
    <definedName name="Img_ML_1q6n1r3y" hidden="1">"IMG_18"</definedName>
    <definedName name="Img_ML_1q7t4c5p" hidden="1">"IMG_18"</definedName>
    <definedName name="Img_ML_1q9i2k7i" hidden="1">"IMG_6"</definedName>
    <definedName name="Img_ML_1s9s8u2q" hidden="1">"IMG_12"</definedName>
    <definedName name="Img_ML_1t5s6u1f" hidden="1">"IMG_18"</definedName>
    <definedName name="Img_ML_1u3g1w9g" hidden="1">"IMG_18"</definedName>
    <definedName name="Img_ML_1v1d3k4v" hidden="1">"IMG_6"</definedName>
    <definedName name="Img_ML_1y7a6c1t" hidden="1">"IMG_17"</definedName>
    <definedName name="Img_ML_2e1r5p2m" hidden="1">"IMG_10"</definedName>
    <definedName name="Img_ML_2f4p3r6p" hidden="1">"IMG_18"</definedName>
    <definedName name="Img_ML_2i4d6c2r" hidden="1">"IMG_18"</definedName>
    <definedName name="Img_ML_2j1p7k4i" hidden="1">"IMG_6"</definedName>
    <definedName name="Img_ML_2j4h5d5y" hidden="1">"IMG_10"</definedName>
    <definedName name="Img_ML_2j6i5k6b" hidden="1">"IMG_18"</definedName>
    <definedName name="Img_ML_2m9t4m5q" hidden="1">"IMG_18"</definedName>
    <definedName name="Img_ML_2u8x3t5a" hidden="1">"IMG_3"</definedName>
    <definedName name="Img_ML_2v6s9i5c" hidden="1">"IMG_18"</definedName>
    <definedName name="Img_ML_2w1t7g9m" hidden="1">"IMG_18"</definedName>
    <definedName name="Img_ML_2x1b8j5c" hidden="1">"IMG_10"</definedName>
    <definedName name="Img_ML_2x8r4a2e" hidden="1">"IMG_18"</definedName>
    <definedName name="Img_ML_3b3j3x9k" hidden="1">"IMG_10"</definedName>
    <definedName name="Img_ML_3b5m6a3d" hidden="1">"IMG_18"</definedName>
    <definedName name="Img_ML_3b8r3t8y" hidden="1">"IMG_11"</definedName>
    <definedName name="Img_ML_3c6e9c4g" hidden="1">"IMG_11"</definedName>
    <definedName name="Img_ML_3e2q4k7i" hidden="1">"IMG_18"</definedName>
    <definedName name="Img_ML_3h2n3p4v" hidden="1">"IMG_17"</definedName>
    <definedName name="Img_ML_3j3i3p7g" hidden="1">"IMG_18"</definedName>
    <definedName name="Img_ML_3m9x5w6k" hidden="1">"IMG_6"</definedName>
    <definedName name="Img_ML_3n5p3k4y" hidden="1">"IMG_18"</definedName>
    <definedName name="Img_ML_3p2b9c6w" hidden="1">"IMG_18"</definedName>
    <definedName name="Img_ML_3p5d9q5j" hidden="1">"IMG_11"</definedName>
    <definedName name="Img_ML_3r4u7k1k" hidden="1">"IMG_18"</definedName>
    <definedName name="Img_ML_3u5n6c7g" hidden="1">"IMG_6"</definedName>
    <definedName name="Img_ML_3x8m5t8j" hidden="1">"IMG_18"</definedName>
    <definedName name="Img_ML_3y1j4m2m" hidden="1">"IMG_17"</definedName>
    <definedName name="Img_ML_4b5b4m3y" hidden="1">"IMG_18"</definedName>
    <definedName name="Img_ML_4b5r5k9y" hidden="1">"IMG_18"</definedName>
    <definedName name="Img_ML_4g9t7u4l" hidden="1">"IMG_12"</definedName>
    <definedName name="Img_ML_4k4p2k2y" hidden="1">"IMG_6"</definedName>
    <definedName name="Img_ML_4k4z1z9l" hidden="1">"IMG_11"</definedName>
    <definedName name="Img_ML_4k8k7q4x" hidden="1">"IMG_18"</definedName>
    <definedName name="Img_ML_4m1m4x3e" hidden="1">"IMG_18"</definedName>
    <definedName name="Img_ML_4m3p5r8j" hidden="1">"IMG_10"</definedName>
    <definedName name="Img_ML_4n6t1k1h" hidden="1">"IMG_18"</definedName>
    <definedName name="Img_ML_4r3t2p9g" hidden="1">"IMG_18"</definedName>
    <definedName name="Img_ML_4s4r5e3c" hidden="1">"IMG_18"</definedName>
    <definedName name="Img_ML_5d3i8b5s" hidden="1">"IMG_10"</definedName>
    <definedName name="Img_ML_5e7s6t2u" hidden="1">"IMG_10"</definedName>
    <definedName name="Img_ML_5e9m1k3s" hidden="1">"IMG_11"</definedName>
    <definedName name="Img_ML_5f9d1i5x" hidden="1">"IMG_18"</definedName>
    <definedName name="Img_ML_5f9x9u4u" hidden="1">"IMG_18"</definedName>
    <definedName name="Img_ML_5g9z1u4m" hidden="1">"IMG_11"</definedName>
    <definedName name="Img_ML_5h6q3g8u" hidden="1">"IMG_12"</definedName>
    <definedName name="Img_ML_5i2f2p6v" hidden="1">"IMG_11"</definedName>
    <definedName name="Img_ML_5k1g6v5e" hidden="1">"IMG_18"</definedName>
    <definedName name="Img_ML_5k7e4n8n" hidden="1">"IMG_18"</definedName>
    <definedName name="Img_ML_5k8u7s9i" hidden="1">"IMG_11"</definedName>
    <definedName name="Img_ML_5p5a4d6d" hidden="1">"IMG_11"</definedName>
    <definedName name="Img_ML_6a6y1x1h" hidden="1">"IMG_18"</definedName>
    <definedName name="Img_ML_6d9u6u7z" hidden="1">"IMG_4"</definedName>
    <definedName name="Img_ML_6f2p1m9g" hidden="1">"IMG_10"</definedName>
    <definedName name="Img_ML_6j4v6x5i" hidden="1">"IMG_10"</definedName>
    <definedName name="Img_ML_6k5t7m9z" hidden="1">"IMG_4"</definedName>
    <definedName name="Img_ML_6k9c9p4d" hidden="1">"IMG_18"</definedName>
    <definedName name="Img_ML_6m3p7m9h" hidden="1">"IMG_18"</definedName>
    <definedName name="Img_ML_6m5d9e6r" hidden="1">"IMG_18"</definedName>
    <definedName name="Img_ML_6m6i9t6k" hidden="1">"IMG_18"</definedName>
    <definedName name="Img_ML_6n6c2h1d" hidden="1">"IMG_18"</definedName>
    <definedName name="Img_ML_6p2b6u6k" hidden="1">"IMG_12"</definedName>
    <definedName name="Img_ML_6p3m8v1n" hidden="1">"IMG_18"</definedName>
    <definedName name="Img_ML_6p9x3u7k" hidden="1">"IMG_18"</definedName>
    <definedName name="Img_ML_6r9u1n9k" hidden="1">"IMG_5"</definedName>
    <definedName name="Img_ML_6s4w4z2z" hidden="1">"IMG_3"</definedName>
    <definedName name="Img_ML_6s5x3m6z" hidden="1">"IMG_3"</definedName>
    <definedName name="Img_ML_6u1b6h4m" hidden="1">"IMG_18"</definedName>
    <definedName name="Img_ML_6u4t7r7e" hidden="1">"IMG_11"</definedName>
    <definedName name="Img_ML_6w6m7b7r" hidden="1">"IMG_10"</definedName>
    <definedName name="Img_ML_6y9f7y3n" hidden="1">"IMG_10"</definedName>
    <definedName name="Img_ML_7b3x8f2f" hidden="1">"IMG_18"</definedName>
    <definedName name="Img_ML_7d3a8x3f" hidden="1">"IMG_18"</definedName>
    <definedName name="Img_ML_7e1g7x4r" hidden="1">"IMG_18"</definedName>
    <definedName name="Img_ML_7f1w1m7s" hidden="1">"IMG_11"</definedName>
    <definedName name="Img_ML_7g4k9d6i" hidden="1">"IMG_10"</definedName>
    <definedName name="Img_ML_7g5e5e2b" hidden="1">"IMG_11"</definedName>
    <definedName name="Img_ML_7j3p5m6t" hidden="1">"IMG_18"</definedName>
    <definedName name="Img_ML_7j8s8t8i" hidden="1">"IMG_11"</definedName>
    <definedName name="Img_ML_7m3b4p7p" hidden="1">"IMG_18"</definedName>
    <definedName name="Img_ML_7m5m4k3b" hidden="1">"IMG_17"</definedName>
    <definedName name="Img_ML_7n6h3t1t" hidden="1">"IMG_17"</definedName>
    <definedName name="Img_ML_7s4w7c6r" hidden="1">"IMG_10"</definedName>
    <definedName name="Img_ML_7s5s8m2i" hidden="1">"IMG_12"</definedName>
    <definedName name="Img_ML_7t5s6e3m" hidden="1">"IMG_11"</definedName>
    <definedName name="Img_ML_7w3j1h9t" hidden="1">"IMG_18"</definedName>
    <definedName name="Img_ML_8a8m2p9x" hidden="1">"IMG_11"</definedName>
    <definedName name="Img_ML_8b4s3j4n" hidden="1">"IMG_18"</definedName>
    <definedName name="Img_ML_8b9j5t1p" hidden="1">"IMG_10"</definedName>
    <definedName name="Img_ML_8c2q5i2r" hidden="1">"IMG_18"</definedName>
    <definedName name="Img_ML_8d2v5j7j" hidden="1">"IMG_12"</definedName>
    <definedName name="Img_ML_8e3p4n9n" hidden="1">"IMG_18"</definedName>
    <definedName name="Img_ML_8f5v8k5i" hidden="1">"IMG_11"</definedName>
    <definedName name="Img_ML_8g3e4a7v" hidden="1">"IMG_17"</definedName>
    <definedName name="Img_ML_8h3m3i1m" hidden="1">"IMG_11"</definedName>
    <definedName name="Img_ML_8i9u7w8k" hidden="1">"IMG_18"</definedName>
    <definedName name="Img_ML_8j3w6p4c" hidden="1">"IMG_12"</definedName>
    <definedName name="Img_ML_8n6m2q6v" hidden="1">"IMG_18"</definedName>
    <definedName name="Img_ML_8r1k8t4y" hidden="1">"IMG_10"</definedName>
    <definedName name="Img_ML_8r9f4n4f" hidden="1">"IMG_18"</definedName>
    <definedName name="Img_ML_8s3q3c1i" hidden="1">"IMG_18"</definedName>
    <definedName name="Img_ML_8s9d7q9u" hidden="1">"IMG_11"</definedName>
    <definedName name="Img_ML_8t3m5u6f" hidden="1">"IMG_11"</definedName>
    <definedName name="Img_ML_8y3q6y4b" hidden="1">"IMG_18"</definedName>
    <definedName name="Img_ML_8y5b6i3r" hidden="1">"IMG_6"</definedName>
    <definedName name="Img_ML_9c9p6w6g" hidden="1">"IMG_18"</definedName>
    <definedName name="Img_ML_9e4j3y6n" hidden="1">"IMG_18"</definedName>
    <definedName name="Img_ML_9g2r1i7c" hidden="1">"IMG_18"</definedName>
    <definedName name="Img_ML_9g3r6t7h" hidden="1">"IMG_18"</definedName>
    <definedName name="Img_ML_9h6h8h8e" hidden="1">"IMG_18"</definedName>
    <definedName name="Img_ML_9h6p7r7t" hidden="1">"IMG_18"</definedName>
    <definedName name="Img_ML_9j3t2m3v" hidden="1">"IMG_18"</definedName>
    <definedName name="Img_ML_9m3v1d9u" hidden="1">"IMG_18"</definedName>
    <definedName name="Img_ML_9n1s4m5f" hidden="1">"IMG_18"</definedName>
    <definedName name="Img_ML_9t4s6m1a" hidden="1">"IMG_18"</definedName>
    <definedName name="Img_ML_9u2c1d4e" hidden="1">"IMG_11"</definedName>
    <definedName name="Img_ML_9v4y5y5t" hidden="1">"IMG_11"</definedName>
    <definedName name="Img_ML_9v6s2g1u" hidden="1">"IMG_18"</definedName>
    <definedName name="Img_NAV_chart" hidden="1">"IMG_50"</definedName>
    <definedName name="Img_Office_S_vs_Rental" hidden="1">"IMG_10"</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TER_TAX_INCOME_FDIC" hidden="1">"c6583"</definedName>
    <definedName name="IQ_AGENCY" hidden="1">"c8960"</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REUT" hidden="1">"c3630"</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UNUSED" hidden="1">"c7473"</definedName>
    <definedName name="IQ_BALANCE_GOODS_FC_UNUSED" hidden="1">"c7693"</definedName>
    <definedName name="IQ_BALANCE_GOODS_POP_FC_UNUSED" hidden="1">"c7913"</definedName>
    <definedName name="IQ_BALANCE_GOODS_POP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UNUSED" hidden="1">"c7253"</definedName>
    <definedName name="IQ_BALANCE_SERV_APR_FC_UNUSED" hidden="1">"c8355"</definedName>
    <definedName name="IQ_BALANCE_SERV_APR_UNUSED" hidden="1">"c7475"</definedName>
    <definedName name="IQ_BALANCE_SERV_FC_UNUSED" hidden="1">"c7695"</definedName>
    <definedName name="IQ_BALANCE_SERV_POP_FC_UNUSED" hidden="1">"c7915"</definedName>
    <definedName name="IQ_BALANCE_SERV_POP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UNUSED" hidden="1">"c7477"</definedName>
    <definedName name="IQ_BALANCE_TRADE_FC_UNUSED" hidden="1">"c7697"</definedName>
    <definedName name="IQ_BALANCE_TRADE_POP_FC_UNUSED" hidden="1">"c7917"</definedName>
    <definedName name="IQ_BALANCE_TRADE_POP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"c11749"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DGET_BALANCE_APR_FC_UNUSED" hidden="1">"c8359"</definedName>
    <definedName name="IQ_BUDGET_BALANCE_APR_UNUSED" hidden="1">"c7479"</definedName>
    <definedName name="IQ_BUDGET_BALANCE_FC_UNUSED" hidden="1">"c7699"</definedName>
    <definedName name="IQ_BUDGET_BALANCE_POP_FC_UNUSED" hidden="1">"c7919"</definedName>
    <definedName name="IQ_BUDGET_BALANCE_POP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YOY_FC_UNUSED" hidden="1">"c8139"</definedName>
    <definedName name="IQ_BUDGET_BALANCE_YOY_UNUSED" hidden="1">"c7259"</definedName>
    <definedName name="IQ_BUDGET_RECEIPTS_APR_FC_UNUSED" hidden="1">"c8361"</definedName>
    <definedName name="IQ_BUDGET_RECEIPTS_APR_UNUSED" hidden="1">"c7481"</definedName>
    <definedName name="IQ_BUDGET_RECEIPTS_FC_UNUSED" hidden="1">"c7701"</definedName>
    <definedName name="IQ_BUDGET_RECEIPTS_POP_FC_UNUSED" hidden="1">"c7921"</definedName>
    <definedName name="IQ_BUDGET_RECEIPTS_POP_UNUSED" hidden="1">"c7041"</definedName>
    <definedName name="IQ_BUDGET_RECEIPTS_UNUSED" hidden="1">"c6821"</definedName>
    <definedName name="IQ_BUDGET_RECEIPTS_YOY_FC_UNUSED" hidden="1">"c8141"</definedName>
    <definedName name="IQ_BUDGET_RECEIPTS_YOY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CIQ" hidden="1">"c5068"</definedName>
    <definedName name="IQ_BV_OVER_SHARES" hidden="1">"c1349"</definedName>
    <definedName name="IQ_BV_SHARE" hidden="1">"c100"</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Y" hidden="1">"c102"</definedName>
    <definedName name="IQ_CAL_Y_EST" hidden="1">"c6797"</definedName>
    <definedName name="IQ_CAL_Y_EST_CIQ" hidden="1">"c6809"</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"c1351"</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UNUSED" hidden="1">"c7620"</definedName>
    <definedName name="IQ_CHANGE_INVENT_REAL_FC_UNUSED" hidden="1">"c7840"</definedName>
    <definedName name="IQ_CHANGE_INVENT_REAL_POP_FC_UNUSED" hidden="1">"c8060"</definedName>
    <definedName name="IQ_CHANGE_INVENT_REAL_POP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ATERAL_TYPE" hidden="1">"c8954"</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 hidden="1">"c8381"</definedName>
    <definedName name="IQ_CORP_GOODS_PRICE_INDEX_APR_UNUSED" hidden="1">"c7501"</definedName>
    <definedName name="IQ_CORP_GOODS_PRICE_INDEX_FC_UNUSED" hidden="1">"c7721"</definedName>
    <definedName name="IQ_CORP_GOODS_PRICE_INDEX_POP_FC_UNUSED" hidden="1">"c7941"</definedName>
    <definedName name="IQ_CORP_GOODS_PRICE_INDEX_POP_UNUSED" hidden="1">"c7061"</definedName>
    <definedName name="IQ_CORP_GOODS_PRICE_INDEX_UNUSED" hidden="1">"c6841"</definedName>
    <definedName name="IQ_CORP_GOODS_PRICE_INDEX_YOY_FC_UNUSED" hidden="1">"c8161"</definedName>
    <definedName name="IQ_CORP_GOODS_PRICE_INDEX_YOY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ING" hidden="1">"c2936"</definedName>
    <definedName name="IQ_COST_BORROWINGS" hidden="1">"c225"</definedName>
    <definedName name="IQ_COST_CAPITAL_NEW_BUSINESS" hidden="1">"c9968"</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EXPOSURE" hidden="1">"c10038"</definedName>
    <definedName name="IQ_CREDIT_LOSS_CF" hidden="1">"c232"</definedName>
    <definedName name="IQ_CREDIT_LOSS_PROVISION_NET_CHARGE_OFFS_FDIC" hidden="1">"c6734"</definedName>
    <definedName name="IQ_CUMULATIVE_SPLIT_FACTOR" hidden="1">"c2094"</definedName>
    <definedName name="IQ_CURR_ACCT_BALANCE_APR_FC_UNUSED" hidden="1">"c8387"</definedName>
    <definedName name="IQ_CURR_ACCT_BALANCE_APR_UNUSED" hidden="1">"c7507"</definedName>
    <definedName name="IQ_CURR_ACCT_BALANCE_FC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CIQ" hidden="1">"c4767"</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COVERAGE_NET_CHARGE_OFFS_FDIC" hidden="1">"c6735"</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EQ_INC" hidden="1">"c3498"</definedName>
    <definedName name="IQ_EBIT_EQ_INC_EXCL_SBC" hidden="1">"c3502"</definedName>
    <definedName name="IQ_EBIT_EXCL_SBC" hidden="1">"c3082"</definedName>
    <definedName name="IQ_EBIT_GW_ACT_OR_EST" hidden="1">"c4306"</definedName>
    <definedName name="IQ_EBIT_INT" hidden="1">"c360"</definedName>
    <definedName name="IQ_EBIT_MARGIN" hidden="1">"c359"</definedName>
    <definedName name="IQ_EBIT_OVER_IE" hidden="1">"c1369"</definedName>
    <definedName name="IQ_EBIT_SBC_ACT_OR_EST" hidden="1">"c4316"</definedName>
    <definedName name="IQ_EBIT_SBC_ACT_OR_EST_CIQ" hidden="1">"c4841"</definedName>
    <definedName name="IQ_EBIT_SBC_GW_ACT_OR_EST" hidden="1">"c4320"</definedName>
    <definedName name="IQ_EBIT_SBC_GW_ACT_OR_EST_CIQ" hidden="1">"c4845"</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_CIQ" hidden="1">"c5060"</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XCL_SBC" hidden="1">"c3081"</definedName>
    <definedName name="IQ_EBITDA_HIGH_EST" hidden="1">"c370"</definedName>
    <definedName name="IQ_EBITDA_HIGH_EST_CIQ" hidden="1">"c3624"</definedName>
    <definedName name="IQ_EBITDA_HIGH_EST_REUT" hidden="1">"c3642"</definedName>
    <definedName name="IQ_EBITDA_INT" hidden="1">"c373"</definedName>
    <definedName name="IQ_EBITDA_LOW_EST" hidden="1">"c371"</definedName>
    <definedName name="IQ_EBITDA_LOW_EST_CIQ" hidden="1">"c3625"</definedName>
    <definedName name="IQ_EBITDA_LOW_EST_REUT" hidden="1">"c3643"</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NUM_EST" hidden="1">"c374"</definedName>
    <definedName name="IQ_EBITDA_NUM_EST_CIQ" hidden="1">"c3626"</definedName>
    <definedName name="IQ_EBITDA_NUM_EST_REUT" hidden="1">"c3644"</definedName>
    <definedName name="IQ_EBITDA_OVER_TOTAL_IE" hidden="1">"c1371"</definedName>
    <definedName name="IQ_EBITDA_SBC_ACT_OR_EST" hidden="1">"c4337"</definedName>
    <definedName name="IQ_EBITDA_SBC_ACT_OR_EST_CIQ" hidden="1">"c4862"</definedName>
    <definedName name="IQ_EBITDA_STDDEV_EST" hidden="1">"c375"</definedName>
    <definedName name="IQ_EBITDA_STDDEV_EST_CIQ" hidden="1">"c3627"</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ACT_OR_EST_CIQ" hidden="1">"c4875"</definedName>
    <definedName name="IQ_EBT_SBC_GW_ACT_OR_EST" hidden="1">"c4354"</definedName>
    <definedName name="IQ_EBT_SBC_GW_ACT_OR_EST_CIQ" hidden="1">"c4879"</definedName>
    <definedName name="IQ_EBT_SUBTOTAL_AP" hidden="1">"c8982"</definedName>
    <definedName name="IQ_EBT_UTI" hidden="1">"c390"</definedName>
    <definedName name="IQ_ECO_METRIC_6825_UNUSED" hidden="1">"c6825"</definedName>
    <definedName name="IQ_ECO_METRIC_6839_UNUSED" hidden="1">"c6839"</definedName>
    <definedName name="IQ_ECO_METRIC_6896_UNUSED" hidden="1">"c6896"</definedName>
    <definedName name="IQ_ECO_METRIC_6897_UNUSED" hidden="1">"c6897"</definedName>
    <definedName name="IQ_ECO_METRIC_6927" hidden="1">"c6927"</definedName>
    <definedName name="IQ_ECO_METRIC_6988_UNUSED" hidden="1">"c6988"</definedName>
    <definedName name="IQ_ECO_METRIC_7045_UNUSED" hidden="1">"c7045"</definedName>
    <definedName name="IQ_ECO_METRIC_7059_UNUSED" hidden="1">"c7059"</definedName>
    <definedName name="IQ_ECO_METRIC_7116_UNUSED" hidden="1">"c7116"</definedName>
    <definedName name="IQ_ECO_METRIC_7117_UNUSED" hidden="1">"c7117"</definedName>
    <definedName name="IQ_ECO_METRIC_7147" hidden="1">"c7147"</definedName>
    <definedName name="IQ_ECO_METRIC_7208_UNUSED" hidden="1">"c7208"</definedName>
    <definedName name="IQ_ECO_METRIC_7265_UNUSED" hidden="1">"c7265"</definedName>
    <definedName name="IQ_ECO_METRIC_7279_UNUSED" hidden="1">"c7279"</definedName>
    <definedName name="IQ_ECO_METRIC_7336_UNUSED" hidden="1">"c7336"</definedName>
    <definedName name="IQ_ECO_METRIC_7337_UNUSED" hidden="1">"c7337"</definedName>
    <definedName name="IQ_ECO_METRIC_7367" hidden="1">"c7367"</definedName>
    <definedName name="IQ_ECO_METRIC_7428_UNUSED" hidden="1">"c7428"</definedName>
    <definedName name="IQ_ECO_METRIC_7556_UNUSED" hidden="1">"c7556"</definedName>
    <definedName name="IQ_ECO_METRIC_7557_UNUSED" hidden="1">"c7557"</definedName>
    <definedName name="IQ_ECO_METRIC_7587" hidden="1">"c7587"</definedName>
    <definedName name="IQ_ECO_METRIC_7648_UNUSED" hidden="1">"c7648"</definedName>
    <definedName name="IQ_ECO_METRIC_7704" hidden="1">"c7704"</definedName>
    <definedName name="IQ_ECO_METRIC_7705_UNUSED" hidden="1">"c7705"</definedName>
    <definedName name="IQ_ECO_METRIC_7706" hidden="1">"c7706"</definedName>
    <definedName name="IQ_ECO_METRIC_7718" hidden="1">"c7718"</definedName>
    <definedName name="IQ_ECO_METRIC_7719_UNUSED" hidden="1">"c7719"</definedName>
    <definedName name="IQ_ECO_METRIC_7776_UNUSED" hidden="1">"c7776"</definedName>
    <definedName name="IQ_ECO_METRIC_7777_UNUSED" hidden="1">"c7777"</definedName>
    <definedName name="IQ_ECO_METRIC_7807" hidden="1">"c7807"</definedName>
    <definedName name="IQ_ECO_METRIC_7811" hidden="1">"c7811"</definedName>
    <definedName name="IQ_ECO_METRIC_7868_UNUSED" hidden="1">"c7868"</definedName>
    <definedName name="IQ_ECO_METRIC_7873" hidden="1">"c7873"</definedName>
    <definedName name="IQ_ECO_METRIC_7924" hidden="1">"c7924"</definedName>
    <definedName name="IQ_ECO_METRIC_7925_UNUSED" hidden="1">"c7925"</definedName>
    <definedName name="IQ_ECO_METRIC_7926" hidden="1">"c7926"</definedName>
    <definedName name="IQ_ECO_METRIC_7938" hidden="1">"c7938"</definedName>
    <definedName name="IQ_ECO_METRIC_7939_UNUSED" hidden="1">"c7939"</definedName>
    <definedName name="IQ_ECO_METRIC_7996_UNUSED" hidden="1">"c7996"</definedName>
    <definedName name="IQ_ECO_METRIC_7997_UNUSED" hidden="1">"c7997"</definedName>
    <definedName name="IQ_ECO_METRIC_8027" hidden="1">"c8027"</definedName>
    <definedName name="IQ_ECO_METRIC_8031" hidden="1">"c8031"</definedName>
    <definedName name="IQ_ECO_METRIC_8088_UNUSED" hidden="1">"c8088"</definedName>
    <definedName name="IQ_ECO_METRIC_8093" hidden="1">"c8093"</definedName>
    <definedName name="IQ_ECO_METRIC_8144" hidden="1">"c8144"</definedName>
    <definedName name="IQ_ECO_METRIC_8145_UNUSED" hidden="1">"c8145"</definedName>
    <definedName name="IQ_ECO_METRIC_8146" hidden="1">"c8146"</definedName>
    <definedName name="IQ_ECO_METRIC_8158" hidden="1">"c8158"</definedName>
    <definedName name="IQ_ECO_METRIC_8159_UNUSED" hidden="1">"c8159"</definedName>
    <definedName name="IQ_ECO_METRIC_8216_UNUSED" hidden="1">"c8216"</definedName>
    <definedName name="IQ_ECO_METRIC_8217_UNUSED" hidden="1">"c8217"</definedName>
    <definedName name="IQ_ECO_METRIC_8247" hidden="1">"c8247"</definedName>
    <definedName name="IQ_ECO_METRIC_8251" hidden="1">"c8251"</definedName>
    <definedName name="IQ_ECO_METRIC_8308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7_UNUSED" hidden="1">"c8437"</definedName>
    <definedName name="IQ_ECO_METRIC_8467" hidden="1">"c8467"</definedName>
    <definedName name="IQ_ECO_METRIC_8471" hidden="1">"c8471"</definedName>
    <definedName name="IQ_ECO_METRIC_8528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_CIQ" hidden="1">"c5058"</definedName>
    <definedName name="IQ_EPS_AP" hidden="1">"c8880"</definedName>
    <definedName name="IQ_EPS_AP_ABS" hidden="1">"c8899"</definedName>
    <definedName name="IQ_EPS_EST" hidden="1">"c399"</definedName>
    <definedName name="IQ_EPS_EST_CIQ" hidden="1">"c4994"</definedName>
    <definedName name="IQ_EPS_EST_REUT" hidden="1">"c5453"</definedName>
    <definedName name="IQ_EPS_GW_ACT_OR_EST_CIQ" hidden="1">"c5066"</definedName>
    <definedName name="IQ_EPS_GW_EST" hidden="1">"c1737"</definedName>
    <definedName name="IQ_EPS_GW_EST_CIQ" hidden="1">"c4723"</definedName>
    <definedName name="IQ_EPS_GW_EST_REUT" hidden="1">"c5389"</definedName>
    <definedName name="IQ_EPS_GW_HIGH_EST" hidden="1">"c1739"</definedName>
    <definedName name="IQ_EPS_GW_HIGH_EST_CIQ" hidden="1">"c4725"</definedName>
    <definedName name="IQ_EPS_GW_HIGH_EST_REUT" hidden="1">"c5391"</definedName>
    <definedName name="IQ_EPS_GW_LOW_EST" hidden="1">"c1740"</definedName>
    <definedName name="IQ_EPS_GW_LOW_EST_CIQ" hidden="1">"c4726"</definedName>
    <definedName name="IQ_EPS_GW_LOW_EST_REUT" hidden="1">"c5392"</definedName>
    <definedName name="IQ_EPS_GW_MEDIAN_EST" hidden="1">"c1738"</definedName>
    <definedName name="IQ_EPS_GW_MEDIAN_EST_CIQ" hidden="1">"c4724"</definedName>
    <definedName name="IQ_EPS_GW_MEDIAN_EST_REUT" hidden="1">"c5390"</definedName>
    <definedName name="IQ_EPS_GW_NUM_EST" hidden="1">"c1741"</definedName>
    <definedName name="IQ_EPS_GW_NUM_EST_CIQ" hidden="1">"c4727"</definedName>
    <definedName name="IQ_EPS_GW_NUM_EST_REUT" hidden="1">"c5393"</definedName>
    <definedName name="IQ_EPS_GW_STDDEV_EST" hidden="1">"c1742"</definedName>
    <definedName name="IQ_EPS_GW_STDDEV_EST_CIQ" hidden="1">"c4728"</definedName>
    <definedName name="IQ_EPS_GW_STDDEV_EST_REUT" hidden="1">"c5394"</definedName>
    <definedName name="IQ_EPS_HIGH_EST" hidden="1">"c400"</definedName>
    <definedName name="IQ_EPS_HIGH_EST_CIQ" hidden="1">"c4995"</definedName>
    <definedName name="IQ_EPS_HIGH_EST_REUT" hidden="1">"c5454"</definedName>
    <definedName name="IQ_EPS_LOW_EST" hidden="1">"c401"</definedName>
    <definedName name="IQ_EPS_LOW_EST_CIQ" hidden="1">"c4996"</definedName>
    <definedName name="IQ_EPS_LOW_EST_REUT" hidden="1">"c5455"</definedName>
    <definedName name="IQ_EPS_MEDIAN_EST" hidden="1">"c1661"</definedName>
    <definedName name="IQ_EPS_MEDIAN_EST_CIQ" hidden="1">"c4997"</definedName>
    <definedName name="IQ_EPS_MEDIAN_EST_REUT" hidden="1">"c5456"</definedName>
    <definedName name="IQ_EPS_NAME_AP" hidden="1">"c8918"</definedName>
    <definedName name="IQ_EPS_NAME_AP_ABS" hidden="1">"c8937"</definedName>
    <definedName name="IQ_EPS_NORM" hidden="1">"c1902"</definedName>
    <definedName name="IQ_EPS_NORM_EST" hidden="1">"c2226"</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REPORT_ACT_OR_EST_CIQ" hidden="1">"c5067"</definedName>
    <definedName name="IQ_EPS_REPORTED_EST" hidden="1">"c1744"</definedName>
    <definedName name="IQ_EPS_REPORTED_EST_CIQ" hidden="1">"c4730"</definedName>
    <definedName name="IQ_EPS_REPORTED_EST_REUT" hidden="1">"c5396"</definedName>
    <definedName name="IQ_EPS_REPORTED_HIGH_EST" hidden="1">"c1746"</definedName>
    <definedName name="IQ_EPS_REPORTED_HIGH_EST_CIQ" hidden="1">"c4732"</definedName>
    <definedName name="IQ_EPS_REPORTED_HIGH_EST_REUT" hidden="1">"c5398"</definedName>
    <definedName name="IQ_EPS_REPORTED_LOW_EST" hidden="1">"c1747"</definedName>
    <definedName name="IQ_EPS_REPORTED_LOW_EST_CIQ" hidden="1">"c4733"</definedName>
    <definedName name="IQ_EPS_REPORTED_LOW_EST_REUT" hidden="1">"c5399"</definedName>
    <definedName name="IQ_EPS_REPORTED_MEDIAN_EST" hidden="1">"c1745"</definedName>
    <definedName name="IQ_EPS_REPORTED_MEDIAN_EST_CIQ" hidden="1">"c4731"</definedName>
    <definedName name="IQ_EPS_REPORTED_MEDIAN_EST_REUT" hidden="1">"c5397"</definedName>
    <definedName name="IQ_EPS_REPORTED_NUM_EST" hidden="1">"c1748"</definedName>
    <definedName name="IQ_EPS_REPORTED_NUM_EST_CIQ" hidden="1">"c4734"</definedName>
    <definedName name="IQ_EPS_REPORTED_NUM_EST_REUT" hidden="1">"c5400"</definedName>
    <definedName name="IQ_EPS_REPORTED_STDDEV_EST" hidden="1">"c1749"</definedName>
    <definedName name="IQ_EPS_REPORTED_STDDEV_EST_CIQ" hidden="1">"c4735"</definedName>
    <definedName name="IQ_EPS_REPORTED_STDDEV_EST_REUT" hidden="1">"c5401"</definedName>
    <definedName name="IQ_EPS_SBC_ACT_OR_EST" hidden="1">"c4376"</definedName>
    <definedName name="IQ_EPS_SBC_ACT_OR_EST_CIQ" hidden="1">"c4901"</definedName>
    <definedName name="IQ_EPS_SBC_GW_ACT_OR_EST" hidden="1">"c4380"</definedName>
    <definedName name="IQ_EPS_SBC_GW_ACT_OR_EST_CIQ" hidden="1">"c4905"</definedName>
    <definedName name="IQ_EPS_STDDEV_EST" hidden="1">"c403"</definedName>
    <definedName name="IQ_EPS_STDDEV_EST_CIQ" hidden="1">"c4993"</definedName>
    <definedName name="IQ_EPS_STDDEV_EST_REUT" hidden="1">"c5452"</definedName>
    <definedName name="IQ_EQUITY_AFFIL" hidden="1">"c1451"</definedName>
    <definedName name="IQ_EQUITY_AP" hidden="1">"c8887"</definedName>
    <definedName name="IQ_EQUITY_AP_ABS" hidden="1">"c8906"</definedName>
    <definedName name="IQ_EQUITY_CAPITAL_ASSETS_FDIC" hidden="1">"c6744"</definedName>
    <definedName name="IQ_EQUITY_FDIC" hidden="1">"c6353"</definedName>
    <definedName name="IQ_EQUITY_METHOD" hidden="1">"c404"</definedName>
    <definedName name="IQ_EQUITY_NAME_AP" hidden="1">"c8925"</definedName>
    <definedName name="IQ_EQUITY_NAME_AP_ABS" hidden="1">"c8944"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EPS_GW" hidden="1">"c1743"</definedName>
    <definedName name="IQ_EST_ACT_EPS_GW_CIQ" hidden="1">"c4729"</definedName>
    <definedName name="IQ_EST_ACT_EPS_GW_REUT" hidden="1">"c5395"</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CURRENCY" hidden="1">"c2140"</definedName>
    <definedName name="IQ_EST_CURRENCY_CIQ" hidden="1">"c4769"</definedName>
    <definedName name="IQ_EST_CURRENCY_REUT" hidden="1">"c5437"</definedName>
    <definedName name="IQ_EST_DATE" hidden="1">"c1634"</definedName>
    <definedName name="IQ_EST_DATE_CIQ" hidden="1">"c4770"</definedName>
    <definedName name="IQ_EST_DATE_REUT" hidden="1">"c5438"</definedName>
    <definedName name="IQ_EST_EPS_GROWTH_1YR" hidden="1">"c1636"</definedName>
    <definedName name="IQ_EST_EPS_GROWTH_1YR_CIQ" hidden="1">"c3628"</definedName>
    <definedName name="IQ_EST_EPS_GROWTH_1YR_REUT" hidden="1">"c3646"</definedName>
    <definedName name="IQ_EST_EPS_GROWTH_5YR" hidden="1">"c1655"</definedName>
    <definedName name="IQ_EST_EPS_GROWTH_5YR_CIQ" hidden="1">"c3615"</definedName>
    <definedName name="IQ_EST_EPS_GROWTH_5YR_HIGH" hidden="1">"c1657"</definedName>
    <definedName name="IQ_EST_EPS_GROWTH_5YR_HIGH_CIQ" hidden="1">"c4663"</definedName>
    <definedName name="IQ_EST_EPS_GROWTH_5YR_LOW" hidden="1">"c1658"</definedName>
    <definedName name="IQ_EST_EPS_GROWTH_5YR_LOW_CIQ" hidden="1">"c4664"</definedName>
    <definedName name="IQ_EST_EPS_GROWTH_5YR_MEDIAN" hidden="1">"c1656"</definedName>
    <definedName name="IQ_EST_EPS_GROWTH_5YR_MEDIAN_CIQ" hidden="1">"c5480"</definedName>
    <definedName name="IQ_EST_EPS_GROWTH_5YR_NUM" hidden="1">"c1659"</definedName>
    <definedName name="IQ_EST_EPS_GROWTH_5YR_NUM_CIQ" hidden="1">"c4665"</definedName>
    <definedName name="IQ_EST_EPS_GROWTH_5YR_REUT" hidden="1">"c3633"</definedName>
    <definedName name="IQ_EST_EPS_GROWTH_5YR_STDDEV" hidden="1">"c1660"</definedName>
    <definedName name="IQ_EST_EPS_GROWTH_5YR_STDDEV_CIQ" hidden="1">"c4666"</definedName>
    <definedName name="IQ_EST_EPS_GROWTH_Q_1YR" hidden="1">"c1641"</definedName>
    <definedName name="IQ_EST_EPS_GROWTH_Q_1YR_CIQ" hidden="1">"c4744"</definedName>
    <definedName name="IQ_EST_EPS_GROWTH_Q_1YR_REUT" hidden="1">"c5410"</definedName>
    <definedName name="IQ_EST_EPS_GW_DIFF" hidden="1">"c1891"</definedName>
    <definedName name="IQ_EST_EPS_GW_DIFF_CIQ" hidden="1">"c4761"</definedName>
    <definedName name="IQ_EST_EPS_GW_DIFF_REUT" hidden="1">"c5429"</definedName>
    <definedName name="IQ_EST_EPS_GW_SURPRISE_PERCENT" hidden="1">"c1892"</definedName>
    <definedName name="IQ_EST_EPS_GW_SURPRISE_PERCENT_CIQ" hidden="1">"c4762"</definedName>
    <definedName name="IQ_EST_EPS_GW_SURPRISE_PERCENT_REUT" hidden="1">"c5430"</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SURPRISE_PERCENT" hidden="1">"c1894"</definedName>
    <definedName name="IQ_EST_EPS_REPORT_SURPRISE_PERCENT_CIQ" hidden="1">"c4764"</definedName>
    <definedName name="IQ_EST_EPS_REPORT_SURPRISE_PERCENT_REUT" hidden="1">"c5432"</definedName>
    <definedName name="IQ_EST_FOOTNOTE" hidden="1">"c4540"</definedName>
    <definedName name="IQ_EST_FOOTNOTE_CIQ" hidden="1">"c12022"</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UNUSED" hidden="1">"c7632"</definedName>
    <definedName name="IQ_EXPORTS_GOODS_REAL_SAAR_FC_UNUSED" hidden="1">"c7852"</definedName>
    <definedName name="IQ_EXPORTS_GOODS_REAL_SAAR_POP" hidden="1">"c11931"</definedName>
    <definedName name="IQ_EXPORTS_GOODS_REAL_SAAR_POP_FC_UNUSED" hidden="1">"c8072"</definedName>
    <definedName name="IQ_EXPORTS_GOODS_REAL_SAAR_POP_UNUSED" hidden="1">"c7192"</definedName>
    <definedName name="IQ_EXPORTS_GOODS_REAL_SAAR_UNUSED" hidden="1">"c6972"</definedName>
    <definedName name="IQ_EXPORTS_GOODS_REAL_SAAR_YOY" hidden="1">"c11932"</definedName>
    <definedName name="IQ_EXPORTS_GOODS_REAL_SAAR_YOY_FC_UNUSED" hidden="1">"c8292"</definedName>
    <definedName name="IQ_EXPORTS_GOODS_REAL_SAAR_YOY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UNUSED" hidden="1">"c7636"</definedName>
    <definedName name="IQ_EXPORTS_SERVICES_REAL_SAAR_FC_UNUSED" hidden="1">"c7856"</definedName>
    <definedName name="IQ_EXPORTS_SERVICES_REAL_SAAR_POP" hidden="1">"c11935"</definedName>
    <definedName name="IQ_EXPORTS_SERVICES_REAL_SAAR_POP_FC_UNUSED" hidden="1">"c8076"</definedName>
    <definedName name="IQ_EXPORTS_SERVICES_REAL_SAAR_POP_UNUSED" hidden="1">"c7196"</definedName>
    <definedName name="IQ_EXPORTS_SERVICES_REAL_SAAR_UNUSED" hidden="1">"c6976"</definedName>
    <definedName name="IQ_EXPORTS_SERVICES_REAL_SAAR_YOY" hidden="1">"c11936"</definedName>
    <definedName name="IQ_EXPORTS_SERVICES_REAL_SAAR_YOY_FC_UNUSED" hidden="1">"c8296"</definedName>
    <definedName name="IQ_EXPORTS_SERVICES_REAL_SAAR_YOY_UNUSED" hidden="1">"c7416"</definedName>
    <definedName name="IQ_EXPORTS_SERVICES_REAL_YOY" hidden="1">"c7417"</definedName>
    <definedName name="IQ_EXPORTS_SERVICES_REAL_YOY_FC" hidden="1">"c8297"</definedName>
    <definedName name="IQ_EXPORTS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FDIC" hidden="1">"c6343"</definedName>
    <definedName name="IQ_FED_FUNDS_SOLD_FDIC" hidden="1">"c6307"</definedName>
    <definedName name="IQ_FEDFUNDS_SOLD" hidden="1">"c2256"</definedName>
    <definedName name="IQ_FFO" hidden="1">"c1574"</definedName>
    <definedName name="IQ_FFO_ADJ_ACT_OR_EST" hidden="1">"c4435"</definedName>
    <definedName name="IQ_FFO_ADJ_ACT_OR_EST_CIQ" hidden="1">"c4960"</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 hidden="1">"c6798"</definedName>
    <definedName name="IQ_FISCAL_Y" hidden="1">"c441"</definedName>
    <definedName name="IQ_FISCAL_Y_EST" hidden="1">"c6795"</definedName>
    <definedName name="IQ_FISCAL_Y_EST_CIQ" hidden="1">"c6807"</definedName>
    <definedName name="IQ_FISCAL_Y_EST_REUT"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VEST_APR_FC_UNUSED" hidden="1">"c8410"</definedName>
    <definedName name="IQ_FIXED_INVEST_APR_UNUSED" hidden="1">"c7530"</definedName>
    <definedName name="IQ_FIXED_INVEST_FC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UNUSED" hidden="1">"c7090"</definedName>
    <definedName name="IQ_FIXED_INVEST_REAL_APR_FC_UNUSED" hidden="1">"c8518"</definedName>
    <definedName name="IQ_FIXED_INVEST_REAL_APR_UNUSED" hidden="1">"c7638"</definedName>
    <definedName name="IQ_FIXED_INVEST_REAL_FC_UNUSED" hidden="1">"c7858"</definedName>
    <definedName name="IQ_FIXED_INVEST_REAL_POP_FC_UNUSED" hidden="1">"c8078"</definedName>
    <definedName name="IQ_FIXED_INVEST_REAL_POP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TARGET_PRICE" hidden="1">"c1651"</definedName>
    <definedName name="IQ_HIGH_TARGET_PRICE_CIQ" hidden="1">"c4659"</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UNUSED" hidden="1">"c7542"</definedName>
    <definedName name="IQ_HOUSING_COMPLETIONS_SINGLE_FAM_FC_UNUSED" hidden="1">"c7762"</definedName>
    <definedName name="IQ_HOUSING_COMPLETIONS_SINGLE_FAM_POP_FC_UNUSED" hidden="1">"c7982"</definedName>
    <definedName name="IQ_HOUSING_COMPLETIONS_SINGLE_FAM_POP_UNUSED" hidden="1">"c7102"</definedName>
    <definedName name="IQ_HOUSING_COMPLETIONS_SINGLE_FAM_UNUSED" hidden="1">"c6882"</definedName>
    <definedName name="IQ_HOUSING_COMPLETIONS_SINGLE_FAM_YOY_FC_UNUSED" hidden="1">"c8202"</definedName>
    <definedName name="IQ_HOUSING_COMPLETIONS_SINGLE_FAM_YOY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UNUSED" hidden="1">"c7643"</definedName>
    <definedName name="IQ_IMPORTS_GOODS_REAL_SAAR_FC_UNUSED" hidden="1">"c7863"</definedName>
    <definedName name="IQ_IMPORTS_GOODS_REAL_SAAR_POP_FC_UNUSED" hidden="1">"c8083"</definedName>
    <definedName name="IQ_IMPORTS_GOODS_REAL_SAAR_POP_UNUSED" hidden="1">"c7203"</definedName>
    <definedName name="IQ_IMPORTS_GOODS_REAL_SAAR_UNUSED" hidden="1">"c6983"</definedName>
    <definedName name="IQ_IMPORTS_GOODS_REAL_SAAR_YOY_FC_UNUSED" hidden="1">"c8303"</definedName>
    <definedName name="IQ_IMPORTS_GOODS_REAL_SAAR_YOY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UNUSED" hidden="1">"c7549"</definedName>
    <definedName name="IQ_IMPORTS_GOODS_SERVICES_FC_UNUSED" hidden="1">"c7769"</definedName>
    <definedName name="IQ_IMPORTS_GOODS_SERVICES_POP_FC_UNUSED" hidden="1">"c7989"</definedName>
    <definedName name="IQ_IMPORTS_GOODS_SERVICES_POP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UNUSED" hidden="1">"c7644"</definedName>
    <definedName name="IQ_IMPORTS_GOODS_SERVICES_REAL_SAAR_FC_UNUSED" hidden="1">"c7864"</definedName>
    <definedName name="IQ_IMPORTS_GOODS_SERVICES_REAL_SAAR_POP" hidden="1">"c11959"</definedName>
    <definedName name="IQ_IMPORTS_GOODS_SERVICES_REAL_SAAR_POP_FC_UNUSED" hidden="1">"c8084"</definedName>
    <definedName name="IQ_IMPORTS_GOODS_SERVICES_REAL_SAAR_POP_UNUSED" hidden="1">"c7204"</definedName>
    <definedName name="IQ_IMPORTS_GOODS_SERVICES_REAL_SAAR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EARING_DEPOSITS" hidden="1">"c1166"</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UNUSED" hidden="1">"c7563"</definedName>
    <definedName name="IQ_ISM_SERVICES_FC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UNUSED" hidden="1">"c7123"</definedName>
    <definedName name="IQ_ISM_SERVICES_UNUSED" hidden="1">"c6903"</definedName>
    <definedName name="IQ_ISM_SERVICES_YOY_FC_UNUSED" hidden="1">"c8223"</definedName>
    <definedName name="IQ_ISM_SERVICES_YOY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_MONTHLY_FACTOR" hidden="1">"c8971"</definedName>
    <definedName name="IQ_LATEST_MONTHLY_FACTOR_DATE" hidden="1">"c8972"</definedName>
    <definedName name="IQ_LATESTK" hidden="1">1000</definedName>
    <definedName name="IQ_LATESTQ" hidden="1">500</definedName>
    <definedName name="IQ_LEAD_UNDERWRITER" hidden="1">"c8957"</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UNUSED" hidden="1">"c7580"</definedName>
    <definedName name="IQ_MEDIAN_NEW_HOME_SALES_FC_UNUSED" hidden="1">"c7800"</definedName>
    <definedName name="IQ_MEDIAN_NEW_HOME_SALES_POP_FC_UNUSED" hidden="1">"c8020"</definedName>
    <definedName name="IQ_MEDIAN_NEW_HOME_SALES_POP_UNUSED" hidden="1">"c7140"</definedName>
    <definedName name="IQ_MEDIAN_NEW_HOME_SALES_UNUSED" hidden="1">"c6920"</definedName>
    <definedName name="IQ_MEDIAN_NEW_HOME_SALES_YOY_FC_UNUSED" hidden="1">"c8240"</definedName>
    <definedName name="IQ_MEDIAN_NEW_HOME_SALES_YOY_UNUSED" hidden="1">"c7360"</definedName>
    <definedName name="IQ_MEDIAN_TARGET_PRICE" hidden="1">"c1650"</definedName>
    <definedName name="IQ_MEDIAN_TARGET_PRICE_CIQ" hidden="1">"c4658"</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42549.6547106481</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MARGIN" hidden="1">"c794"</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SBC_ACT_OR_EST" hidden="1">"c4474"</definedName>
    <definedName name="IQ_NI_SBC_ACT_OR_EST_CIQ" hidden="1">"c5012"</definedName>
    <definedName name="IQ_NI_SBC_GW_ACT_OR_EST" hidden="1">"c4478"</definedName>
    <definedName name="IQ_NI_SBC_GW_ACT_OR_EST_CIQ" hidden="1">"c5016"</definedName>
    <definedName name="IQ_NI_SFAS" hidden="1">"c795"</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"c11750"</definedName>
    <definedName name="IQ_NON_INT_BEARING_DEPOSITS" hidden="1">"c800"</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UNUSED" hidden="1">"c7588"</definedName>
    <definedName name="IQ_NONRES_FIXED_INVEST_PRIV_FC_UNUSED" hidden="1">"c7808"</definedName>
    <definedName name="IQ_NONRES_FIXED_INVEST_PRIV_POP_FC_UNUSED" hidden="1">"c8028"</definedName>
    <definedName name="IQ_NONRES_FIXED_INVEST_PRIV_POP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NSACTION_ACCOUNTS_FDIC" hidden="1">"c6552"</definedName>
    <definedName name="IQ_NONUTIL_REV" hidden="1">"c2089"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 hidden="1">"c6240"</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DJUSTMENTS_COVERED" hidden="1">"c9961"</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RTNERSHIP_INC_RE" hidden="1">"c12039"</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8MONTHS" hidden="1">"c1853"</definedName>
    <definedName name="IQ_PERCENT_CHANGE_EST_5YR_GROWTH_RATE_18MONTHS_CIQ" hidden="1">"c3791"</definedName>
    <definedName name="IQ_PERCENT_CHANGE_EST_5YR_GROWTH_RATE_3MONTHS" hidden="1">"c1849"</definedName>
    <definedName name="IQ_PERCENT_CHANGE_EST_5YR_GROWTH_RATE_3MONTHS_CIQ" hidden="1">"c3787"</definedName>
    <definedName name="IQ_PERCENT_CHANGE_EST_5YR_GROWTH_RATE_6MONTHS" hidden="1">"c1850"</definedName>
    <definedName name="IQ_PERCENT_CHANGE_EST_5YR_GROWTH_RATE_6MONTHS_CIQ" hidden="1">"c3788"</definedName>
    <definedName name="IQ_PERCENT_CHANGE_EST_5YR_GROWTH_RATE_9MONTHS" hidden="1">"c1851"</definedName>
    <definedName name="IQ_PERCENT_CHANGE_EST_5YR_GROWTH_RATE_9MONTHS_CIQ" hidden="1">"c3789"</definedName>
    <definedName name="IQ_PERCENT_CHANGE_EST_5YR_GROWTH_RATE_DAY" hidden="1">"c1846"</definedName>
    <definedName name="IQ_PERCENT_CHANGE_EST_5YR_GROWTH_RATE_DAY_CIQ" hidden="1">"c3785"</definedName>
    <definedName name="IQ_PERCENT_CHANGE_EST_5YR_GROWTH_RATE_MONTH" hidden="1">"c1848"</definedName>
    <definedName name="IQ_PERCENT_CHANGE_EST_5YR_GROWTH_RATE_MONTH_CIQ" hidden="1">"c3786"</definedName>
    <definedName name="IQ_PERCENT_CHANGE_EST_5YR_GROWTH_RATE_WEEK" hidden="1">"c1847"</definedName>
    <definedName name="IQ_PERCENT_CHANGE_EST_5YR_GROWTH_RATE_WEEK_CIQ" hidden="1">"c3797"</definedName>
    <definedName name="IQ_PERCENT_CHANGE_EST_EBITDA_12MONTHS" hidden="1">"c1804"</definedName>
    <definedName name="IQ_PERCENT_CHANGE_EST_EBITDA_12MONTHS_CIQ" hidden="1">"c3748"</definedName>
    <definedName name="IQ_PERCENT_CHANGE_EST_EBITDA_18MONTHS" hidden="1">"c1805"</definedName>
    <definedName name="IQ_PERCENT_CHANGE_EST_EBITDA_18MONTHS_CIQ" hidden="1">"c3749"</definedName>
    <definedName name="IQ_PERCENT_CHANGE_EST_EBITDA_3MONTHS" hidden="1">"c1801"</definedName>
    <definedName name="IQ_PERCENT_CHANGE_EST_EBITDA_3MONTHS_CIQ" hidden="1">"c3745"</definedName>
    <definedName name="IQ_PERCENT_CHANGE_EST_EBITDA_6MONTHS" hidden="1">"c1802"</definedName>
    <definedName name="IQ_PERCENT_CHANGE_EST_EBITDA_6MONTHS_CIQ" hidden="1">"c3746"</definedName>
    <definedName name="IQ_PERCENT_CHANGE_EST_EBITDA_9MONTHS" hidden="1">"c1803"</definedName>
    <definedName name="IQ_PERCENT_CHANGE_EST_EBITDA_9MONTHS_CIQ" hidden="1">"c3747"</definedName>
    <definedName name="IQ_PERCENT_CHANGE_EST_EBITDA_DAY" hidden="1">"c1798"</definedName>
    <definedName name="IQ_PERCENT_CHANGE_EST_EBITDA_DAY_CIQ" hidden="1">"c3743"</definedName>
    <definedName name="IQ_PERCENT_CHANGE_EST_EBITDA_MONTH" hidden="1">"c1800"</definedName>
    <definedName name="IQ_PERCENT_CHANGE_EST_EBITDA_MONTH_CIQ" hidden="1">"c3744"</definedName>
    <definedName name="IQ_PERCENT_CHANGE_EST_EBITDA_WEEK" hidden="1">"c1799"</definedName>
    <definedName name="IQ_PERCENT_CHANGE_EST_EBITDA_WEEK_CIQ" hidden="1">"c3792"</definedName>
    <definedName name="IQ_PERCENT_CHANGE_EST_EPS_12MONTHS" hidden="1">"c1788"</definedName>
    <definedName name="IQ_PERCENT_CHANGE_EST_EPS_12MONTHS_CIQ" hidden="1">"c3733"</definedName>
    <definedName name="IQ_PERCENT_CHANGE_EST_EPS_18MONTHS" hidden="1">"c1789"</definedName>
    <definedName name="IQ_PERCENT_CHANGE_EST_EPS_18MONTHS_CIQ" hidden="1">"c3734"</definedName>
    <definedName name="IQ_PERCENT_CHANGE_EST_EPS_3MONTHS" hidden="1">"c1785"</definedName>
    <definedName name="IQ_PERCENT_CHANGE_EST_EPS_3MONTHS_CIQ" hidden="1">"c3730"</definedName>
    <definedName name="IQ_PERCENT_CHANGE_EST_EPS_6MONTHS" hidden="1">"c1786"</definedName>
    <definedName name="IQ_PERCENT_CHANGE_EST_EPS_6MONTHS_CIQ" hidden="1">"c3731"</definedName>
    <definedName name="IQ_PERCENT_CHANGE_EST_EPS_9MONTHS" hidden="1">"c1787"</definedName>
    <definedName name="IQ_PERCENT_CHANGE_EST_EPS_9MONTHS_CIQ" hidden="1">"c3732"</definedName>
    <definedName name="IQ_PERCENT_CHANGE_EST_EPS_DAY" hidden="1">"c1782"</definedName>
    <definedName name="IQ_PERCENT_CHANGE_EST_EPS_DAY_CIQ" hidden="1">"c3727"</definedName>
    <definedName name="IQ_PERCENT_CHANGE_EST_EPS_MONTH" hidden="1">"c1784"</definedName>
    <definedName name="IQ_PERCENT_CHANGE_EST_EPS_MONTH_CIQ" hidden="1">"c3729"</definedName>
    <definedName name="IQ_PERCENT_CHANGE_EST_EPS_WEEK" hidden="1">"c1783"</definedName>
    <definedName name="IQ_PERCENT_CHANGE_EST_EPS_WEEK_CIQ" hidden="1">"c3728"</definedName>
    <definedName name="IQ_PERCENT_CHANGE_EST_PRICE_TARGET_12MONTHS" hidden="1">"c1844"</definedName>
    <definedName name="IQ_PERCENT_CHANGE_EST_PRICE_TARGET_12MONTHS_CIQ" hidden="1">"c3783"</definedName>
    <definedName name="IQ_PERCENT_CHANGE_EST_PRICE_TARGET_18MONTHS" hidden="1">"c1845"</definedName>
    <definedName name="IQ_PERCENT_CHANGE_EST_PRICE_TARGET_18MONTHS_CIQ" hidden="1">"c3784"</definedName>
    <definedName name="IQ_PERCENT_CHANGE_EST_PRICE_TARGET_3MONTHS" hidden="1">"c1841"</definedName>
    <definedName name="IQ_PERCENT_CHANGE_EST_PRICE_TARGET_3MONTHS_CIQ" hidden="1">"c3780"</definedName>
    <definedName name="IQ_PERCENT_CHANGE_EST_PRICE_TARGET_6MONTHS" hidden="1">"c1842"</definedName>
    <definedName name="IQ_PERCENT_CHANGE_EST_PRICE_TARGET_6MONTHS_CIQ" hidden="1">"c3781"</definedName>
    <definedName name="IQ_PERCENT_CHANGE_EST_PRICE_TARGET_9MONTHS" hidden="1">"c1843"</definedName>
    <definedName name="IQ_PERCENT_CHANGE_EST_PRICE_TARGET_9MONTHS_CIQ" hidden="1">"c3782"</definedName>
    <definedName name="IQ_PERCENT_CHANGE_EST_PRICE_TARGET_DAY" hidden="1">"c1838"</definedName>
    <definedName name="IQ_PERCENT_CHANGE_EST_PRICE_TARGET_DAY_CIQ" hidden="1">"c3778"</definedName>
    <definedName name="IQ_PERCENT_CHANGE_EST_PRICE_TARGET_MONTH" hidden="1">"c1840"</definedName>
    <definedName name="IQ_PERCENT_CHANGE_EST_PRICE_TARGET_MONTH_CIQ" hidden="1">"c3779"</definedName>
    <definedName name="IQ_PERCENT_CHANGE_EST_PRICE_TARGET_WEEK" hidden="1">"c1839"</definedName>
    <definedName name="IQ_PERCENT_CHANGE_EST_PRICE_TARGET_WEEK_CIQ" hidden="1">"c3798"</definedName>
    <definedName name="IQ_PERCENT_CHANGE_EST_RECO_12MONTHS" hidden="1">"c1836"</definedName>
    <definedName name="IQ_PERCENT_CHANGE_EST_RECO_12MONTHS_CIQ" hidden="1">"c3776"</definedName>
    <definedName name="IQ_PERCENT_CHANGE_EST_RECO_18MONTHS" hidden="1">"c1837"</definedName>
    <definedName name="IQ_PERCENT_CHANGE_EST_RECO_18MONTHS_CIQ" hidden="1">"c3777"</definedName>
    <definedName name="IQ_PERCENT_CHANGE_EST_RECO_3MONTHS" hidden="1">"c1833"</definedName>
    <definedName name="IQ_PERCENT_CHANGE_EST_RECO_3MONTHS_CIQ" hidden="1">"c3773"</definedName>
    <definedName name="IQ_PERCENT_CHANGE_EST_RECO_6MONTHS" hidden="1">"c1834"</definedName>
    <definedName name="IQ_PERCENT_CHANGE_EST_RECO_6MONTHS_CIQ" hidden="1">"c3774"</definedName>
    <definedName name="IQ_PERCENT_CHANGE_EST_RECO_9MONTHS" hidden="1">"c1835"</definedName>
    <definedName name="IQ_PERCENT_CHANGE_EST_RECO_9MONTHS_CIQ" hidden="1">"c3775"</definedName>
    <definedName name="IQ_PERCENT_CHANGE_EST_RECO_DAY" hidden="1">"c1830"</definedName>
    <definedName name="IQ_PERCENT_CHANGE_EST_RECO_DAY_CIQ" hidden="1">"c3771"</definedName>
    <definedName name="IQ_PERCENT_CHANGE_EST_RECO_MONTH" hidden="1">"c1832"</definedName>
    <definedName name="IQ_PERCENT_CHANGE_EST_RECO_MONTH_CIQ" hidden="1">"c3772"</definedName>
    <definedName name="IQ_PERCENT_CHANGE_EST_RECO_WEEK" hidden="1">"c1831"</definedName>
    <definedName name="IQ_PERCENT_CHANGE_EST_RECO_WEEK_CIQ" hidden="1">"c3796"</definedName>
    <definedName name="IQ_PERCENT_CHANGE_EST_REV_12MONTHS" hidden="1">"c1796"</definedName>
    <definedName name="IQ_PERCENT_CHANGE_EST_REV_12MONTHS_CIQ" hidden="1">"c3741"</definedName>
    <definedName name="IQ_PERCENT_CHANGE_EST_REV_18MONTHS" hidden="1">"c1797"</definedName>
    <definedName name="IQ_PERCENT_CHANGE_EST_REV_18MONTHS_CIQ" hidden="1">"c3742"</definedName>
    <definedName name="IQ_PERCENT_CHANGE_EST_REV_3MONTHS" hidden="1">"c1793"</definedName>
    <definedName name="IQ_PERCENT_CHANGE_EST_REV_3MONTHS_CIQ" hidden="1">"c3738"</definedName>
    <definedName name="IQ_PERCENT_CHANGE_EST_REV_6MONTHS" hidden="1">"c1794"</definedName>
    <definedName name="IQ_PERCENT_CHANGE_EST_REV_6MONTHS_CIQ" hidden="1">"c3739"</definedName>
    <definedName name="IQ_PERCENT_CHANGE_EST_REV_9MONTHS" hidden="1">"c1795"</definedName>
    <definedName name="IQ_PERCENT_CHANGE_EST_REV_9MONTHS_CIQ" hidden="1">"c3740"</definedName>
    <definedName name="IQ_PERCENT_CHANGE_EST_REV_DAY" hidden="1">"c1790"</definedName>
    <definedName name="IQ_PERCENT_CHANGE_EST_REV_DAY_CIQ" hidden="1">"c3735"</definedName>
    <definedName name="IQ_PERCENT_CHANGE_EST_REV_MONTH" hidden="1">"c1792"</definedName>
    <definedName name="IQ_PERCENT_CHANGE_EST_REV_MONTH_CIQ" hidden="1">"c3737"</definedName>
    <definedName name="IQ_PERCENT_CHANGE_EST_REV_WEEK" hidden="1">"c1791"</definedName>
    <definedName name="IQ_PERCENT_CHANGE_EST_REV_WEEK_CIQ" hidden="1">"c3736"</definedName>
    <definedName name="IQ_PERCENT_INSURED_FDIC" hidden="1">"c6374"</definedName>
    <definedName name="IQ_PERIODDATE" hidden="1">"c1414"</definedName>
    <definedName name="IQ_PERIODDATE_AP" hidden="1">"c11745"</definedName>
    <definedName name="IQ_PERIODDATE_BS" hidden="1">"c1032"</definedName>
    <definedName name="IQ_PERIODDATE_CF" hidden="1">"c1033"</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OL_AMT_ORIGINAL" hidden="1">"c8970"</definedName>
    <definedName name="IQ_POOL_NAME" hidden="1">"c8967"</definedName>
    <definedName name="IQ_POOL_NUMBER" hidden="1">"c8968"</definedName>
    <definedName name="IQ_POOL_TYPE" hidden="1">"c8969"</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CIQ" hidden="1">"c3799"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RETURN_ASSETS_FDIC" hidden="1">"c6731"</definedName>
    <definedName name="IQ_PREV_MONTHLY_FACTOR" hidden="1">"c8973"</definedName>
    <definedName name="IQ_PREV_MONTHLY_FACTOR_DATE" hidden="1">"c8974"</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CIQ" hidden="1">"c3613"</definedName>
    <definedName name="IQ_PRICE_TARGET_REUT" hidden="1">"c3631"</definedName>
    <definedName name="IQ_PRICEDATE" hidden="1">"c1069"</definedName>
    <definedName name="IQ_PRICING_DATE" hidden="1">"c1613"</definedName>
    <definedName name="IQ_PRIMARY_INDUSTRY" hidden="1">"c1070"</definedName>
    <definedName name="IQ_PRINCIPAL_AMT" hidden="1">"c2157"</definedName>
    <definedName name="IQ_PRIVATE_CONST_TOTAL_APR_FC_UNUSED" hidden="1">"c8559"</definedName>
    <definedName name="IQ_PRIVATE_CONST_TOTAL_APR_UNUSED" hidden="1">"c7679"</definedName>
    <definedName name="IQ_PRIVATE_CONST_TOTAL_FC_UNUSED" hidden="1">"c7899"</definedName>
    <definedName name="IQ_PRIVATE_CONST_TOTAL_POP_FC_UNUSED" hidden="1">"c8119"</definedName>
    <definedName name="IQ_PRIVATE_CONST_TOTAL_POP_UNUSED" hidden="1">"c7239"</definedName>
    <definedName name="IQ_PRIVATE_CONST_TOTAL_UNUSED" hidden="1">"c7019"</definedName>
    <definedName name="IQ_PRIVATE_CONST_TOTAL_YOY_FC_UNUSED" hidden="1">"c8339"</definedName>
    <definedName name="IQ_PRIVATE_CONST_TOTAL_YOY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UNUSED" hidden="1">"c7655"</definedName>
    <definedName name="IQ_PRIVATE_RES_CONST_REAL_FC_UNUSED" hidden="1">"c7875"</definedName>
    <definedName name="IQ_PRIVATE_RES_CONST_REAL_POP_FC_UNUSED" hidden="1">"c8095"</definedName>
    <definedName name="IQ_PRIVATE_RES_CONST_REAL_POP_UNUSED" hidden="1">"c7215"</definedName>
    <definedName name="IQ_PRIVATE_RES_CONST_REAL_UNUSED" hidden="1">"c6995"</definedName>
    <definedName name="IQ_PRIVATE_RES_CONST_REAL_YOY_FC_UNUSED" hidden="1">"c8315"</definedName>
    <definedName name="IQ_PRIVATE_RES_CONST_REAL_YOY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UNUSED" hidden="1">"c7611"</definedName>
    <definedName name="IQ_PURCHASES_EQUIP_NONRES_SAAR_FC_UNUSED" hidden="1">"c7831"</definedName>
    <definedName name="IQ_PURCHASES_EQUIP_NONRES_SAAR_POP_FC_UNUSED" hidden="1">"c8051"</definedName>
    <definedName name="IQ_PURCHASES_EQUIP_NONRES_SAAR_POP_UNUSED" hidden="1">"c7171"</definedName>
    <definedName name="IQ_PURCHASES_EQUIP_NONRES_SAAR_UNUSED" hidden="1">"c6951"</definedName>
    <definedName name="IQ_PURCHASES_EQUIP_NONRES_SAAR_YOY_FC_UNUSED" hidden="1">"c8271"</definedName>
    <definedName name="IQ_PURCHASES_EQUIP_NONRES_SAAR_YOY_UNUSED" hidden="1">"c7391"</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DEPR_AMORT" hidden="1">"c8750"</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GAIN_LOSS_SALE_ASSETS" hidden="1">"c8751"</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SHARE_ACT_OR_EST" hidden="1">"c4508"</definedName>
    <definedName name="IQ_RECURRING_PROFIT_SHARE_ACT_OR_EST_CIQ" hidden="1">"c5046"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AL_REV" hidden="1">"c1101"</definedName>
    <definedName name="IQ_RES_CONST_REAL_APR_FC_UNUSED" hidden="1">"c8536"</definedName>
    <definedName name="IQ_RES_CONST_REAL_APR_UNUSED" hidden="1">"c7656"</definedName>
    <definedName name="IQ_RES_CONST_REAL_FC_UNUSED" hidden="1">"c7876"</definedName>
    <definedName name="IQ_RES_CONST_REAL_POP_FC_UNUSED" hidden="1">"c8096"</definedName>
    <definedName name="IQ_RES_CONST_REAL_POP_UNUSED" hidden="1">"c7216"</definedName>
    <definedName name="IQ_RES_CONST_REAL_SAAR_APR_FC_UNUSED" hidden="1">"c8537"</definedName>
    <definedName name="IQ_RES_CONST_REAL_SAAR_APR_UNUSED" hidden="1">"c7657"</definedName>
    <definedName name="IQ_RES_CONST_REAL_SAAR_FC_UNUSED" hidden="1">"c7877"</definedName>
    <definedName name="IQ_RES_CONST_REAL_SAAR_POP_FC_UNUSED" hidden="1">"c8097"</definedName>
    <definedName name="IQ_RES_CONST_REAL_SAAR_POP_UNUSED" hidden="1">"c7217"</definedName>
    <definedName name="IQ_RES_CONST_REAL_SAAR_UNUSED" hidden="1">"c6997"</definedName>
    <definedName name="IQ_RES_CONST_REAL_SAAR_YOY_FC_UNUSED" hidden="1">"c8317"</definedName>
    <definedName name="IQ_RES_CONST_REAL_SAAR_YOY_UNUSED" hidden="1">"c7437"</definedName>
    <definedName name="IQ_RES_CONST_REAL_UNUSED" hidden="1">"c6996"</definedName>
    <definedName name="IQ_RES_CONST_REAL_YOY_FC_UNUSED" hidden="1">"c8316"</definedName>
    <definedName name="IQ_RES_CONST_REAL_YOY_UNUSED" hidden="1">"c7436"</definedName>
    <definedName name="IQ_RES_CONST_SAAR_APR_FC_UNUSED" hidden="1">"c8540"</definedName>
    <definedName name="IQ_RES_CONST_SAAR_APR_UNUSED" hidden="1">"c7660"</definedName>
    <definedName name="IQ_RES_CONST_SAAR_FC_UNUSED" hidden="1">"c7880"</definedName>
    <definedName name="IQ_RES_CONST_SAAR_POP_FC_UNUSED" hidden="1">"c8100"</definedName>
    <definedName name="IQ_RES_CONST_SAAR_POP_UNUSED" hidden="1">"c7220"</definedName>
    <definedName name="IQ_RES_CONST_SAAR_UNUSED" hidden="1">"c7000"</definedName>
    <definedName name="IQ_RES_CONST_SAAR_YOY_FC_UNUSED" hidden="1">"c8320"</definedName>
    <definedName name="IQ_RES_CONST_SAAR_YOY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MBEDDED_VALUE" hidden="1">"c9974"</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_CIQ" hidden="1">"c5059"</definedName>
    <definedName name="IQ_REVENUE_EST" hidden="1">"c1126"</definedName>
    <definedName name="IQ_REVENUE_EST_CIQ" hidden="1">"c3616"</definedName>
    <definedName name="IQ_REVENUE_EST_REUT" hidden="1">"c3634"</definedName>
    <definedName name="IQ_REVENUE_HIGH_EST" hidden="1">"c1127"</definedName>
    <definedName name="IQ_REVENUE_HIGH_EST_CIQ" hidden="1">"c3618"</definedName>
    <definedName name="IQ_REVENUE_HIGH_EST_REUT" hidden="1">"c3636"</definedName>
    <definedName name="IQ_REVENUE_LOW_EST" hidden="1">"c1128"</definedName>
    <definedName name="IQ_REVENUE_LOW_EST_CIQ" hidden="1">"c3619"</definedName>
    <definedName name="IQ_REVENUE_LOW_EST_REUT" hidden="1">"c3637"</definedName>
    <definedName name="IQ_REVENUE_MEDIAN_EST" hidden="1">"c1662"</definedName>
    <definedName name="IQ_REVENUE_MEDIAN_EST_CIQ" hidden="1">"c3617"</definedName>
    <definedName name="IQ_REVENUE_MEDIAN_EST_REUT" hidden="1">"c3635"</definedName>
    <definedName name="IQ_REVENUE_NUM_EST" hidden="1">"c1129"</definedName>
    <definedName name="IQ_REVENUE_NUM_EST_CIQ" hidden="1">"c3620"</definedName>
    <definedName name="IQ_REVENUE_NUM_EST_REUT" hidden="1">"c3638"</definedName>
    <definedName name="IQ_REVISION_DATE_" hidden="1">39890.4646875</definedName>
    <definedName name="IQ_RISK_ADJ_BANK_ASSETS" hidden="1">"c2670"</definedName>
    <definedName name="IQ_RISK_WEIGHTED_ASSETS_FDIC" hidden="1">"c6370"</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ERVICE_FEE" hidden="1">"c8951"</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"c11748"</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UCT_FIN_CLASS" hidden="1">"c8950"</definedName>
    <definedName name="IQ_STRUCT_FIN_SERIES" hidden="1">"c8956"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CIQ" hidden="1">"c4661"</definedName>
    <definedName name="IQ_TARGET_PRICE_NUM_REUT" hidden="1">"c5319"</definedName>
    <definedName name="IQ_TARGET_PRICE_STDDEV" hidden="1">"c1654"</definedName>
    <definedName name="IQ_TARGET_PRICE_STDDEV_CIQ" hidden="1">"c4662"</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SUBTOTAL_AP" hidden="1">"c8989"</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ISK_BASED_CAPITAL_RATIO_FDIC" hidden="1">"c6747"</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ITEM_CIQID" hidden="1">"c8949"</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"iQShowAnnual"</definedName>
    <definedName name="M_PlaceofPath" hidden="1">"H:\excel\AIG\aig_vdf.xls"</definedName>
    <definedName name="MnPrices" hidden="1">#REF!</definedName>
    <definedName name="MODEL_db_ORIGINATOR" hidden="1">"1"</definedName>
    <definedName name="MODEL_db_TICKER" hidden="1">"ABC"</definedName>
    <definedName name="q" localSheetId="1" hidden="1">{"Qtr Op Mgd Q2",#N/A,FALSE,"Qtr-Op (Mng)";"Qtr Op Rpt Q2",#N/A,FALSE,"Qtr-Op (Rpt)";"Operating Vs Reported",#N/A,FALSE,"Rpt-Op Inc"}</definedName>
    <definedName name="q" localSheetId="3" hidden="1">{"Qtr Op Mgd Q2",#N/A,FALSE,"Qtr-Op (Mng)";"Qtr Op Rpt Q2",#N/A,FALSE,"Qtr-Op (Rpt)";"Operating Vs Reported",#N/A,FALSE,"Rpt-Op Inc"}</definedName>
    <definedName name="q" hidden="1">{"Qtr Op Mgd Q2",#N/A,FALSE,"Qtr-Op (Mng)";"Qtr Op Rpt Q2",#N/A,FALSE,"Qtr-Op (Rpt)";"Operating Vs Reported",#N/A,FALSE,"Rpt-Op Inc"}</definedName>
    <definedName name="qwer" localSheetId="1" hidden="1">{"'Outline (2)'!$A$1:$Q$7"}</definedName>
    <definedName name="qwer" localSheetId="3" hidden="1">{"'Outline (2)'!$A$1:$Q$7"}</definedName>
    <definedName name="qwer" hidden="1">{"'Outline (2)'!$A$1:$Q$7"}</definedName>
    <definedName name="rep" localSheetId="1" hidden="1">{#N/A,#N/A,FALSE,"COVER";#N/A,#N/A,FALSE,"VALUATION";#N/A,#N/A,FALSE,"FORECAST";#N/A,#N/A,FALSE,"FY ANALYSIS ";#N/A,#N/A,FALSE," HY ANALYSIS"}</definedName>
    <definedName name="rep" localSheetId="3" hidden="1">{#N/A,#N/A,FALSE,"COVER";#N/A,#N/A,FALSE,"VALUATION";#N/A,#N/A,FALSE,"FORECAST";#N/A,#N/A,FALSE,"FY ANALYSIS ";#N/A,#N/A,FALSE," HY ANALYSIS"}</definedName>
    <definedName name="rep" hidden="1">{#N/A,#N/A,FALSE,"COVER";#N/A,#N/A,FALSE,"VALUATION";#N/A,#N/A,FALSE,"FORECAST";#N/A,#N/A,FALSE,"FY ANALYSIS ";#N/A,#N/A,FALSE," HY ANALYSIS"}</definedName>
    <definedName name="RiM_A.ValMethod" hidden="1">[17]Database!$C$12</definedName>
    <definedName name="RiM_SHAREUNITS" hidden="1">"U.WN.MIL"</definedName>
    <definedName name="RiM_UNITS" hidden="1">"U.CUR.MIL"</definedName>
    <definedName name="rrrrrr" localSheetId="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 localSheetId="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1" localSheetId="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1" localSheetId="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2" localSheetId="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2" localSheetId="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wvu.bal_98." hidden="1">[8]BALSHT_S!$C$1:$H$65536</definedName>
    <definedName name="Rwvu.Full_Year." hidden="1">[8]PE1_S!$D$1:$H$65536,[8]PE1_S!$L$1:$M$65536,[8]PE1_S!$O$1:$P$65536,[8]PE1_S!$R$1:$S$65536</definedName>
    <definedName name="s" localSheetId="1" hidden="1">{"IND","COMPANIES",TRUE}</definedName>
    <definedName name="s" localSheetId="3" hidden="1">{"IND","COMPANIES",TRUE}</definedName>
    <definedName name="s" hidden="1">{"IND","COMPANIES",TRUE}</definedName>
    <definedName name="sencount" hidden="1">1</definedName>
    <definedName name="solver_cvg" hidden="1">0.000000001</definedName>
    <definedName name="solver_drv" hidden="1">1</definedName>
    <definedName name="solver_est" hidden="1">1</definedName>
    <definedName name="solver_itr" hidden="1">10000</definedName>
    <definedName name="solver_lin" hidden="1">2</definedName>
    <definedName name="solver_lin_1" hidden="1">0</definedName>
    <definedName name="solver_neg" hidden="1">2</definedName>
    <definedName name="solver_num" hidden="1">0</definedName>
    <definedName name="solver_nwt" hidden="1">1</definedName>
    <definedName name="solver_opt" hidden="1">[18]old!#REF!</definedName>
    <definedName name="solver_pre" hidden="1">0.000000000001</definedName>
    <definedName name="solver_scl" hidden="1">2</definedName>
    <definedName name="solver_sho" hidden="1">2</definedName>
    <definedName name="solver_tim" hidden="1">1000</definedName>
    <definedName name="solver_tol" hidden="1">0.000000000001</definedName>
    <definedName name="solver_typ" hidden="1">3</definedName>
    <definedName name="solver_val" hidden="1">0</definedName>
    <definedName name="srthhdg" localSheetId="1" hidden="1">{"Revenue by Industry Chart",#N/A,FALSE,"Mix";"Annual Revenue Detail",#N/A,FALSE,"Mix";"Quarterly Revenue Detail",#N/A,FALSE,"Mix"}</definedName>
    <definedName name="srthhdg" localSheetId="3" hidden="1">{"Revenue by Industry Chart",#N/A,FALSE,"Mix";"Annual Revenue Detail",#N/A,FALSE,"Mix";"Quarterly Revenue Detail",#N/A,FALSE,"Mix"}</definedName>
    <definedName name="srthhdg" hidden="1">{"Revenue by Industry Chart",#N/A,FALSE,"Mix";"Annual Revenue Detail",#N/A,FALSE,"Mix";"Quarterly Revenue Detail",#N/A,FALSE,"Mix"}</definedName>
    <definedName name="sssss" localSheetId="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 localSheetId="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1" localSheetId="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1" localSheetId="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2" localSheetId="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2" localSheetId="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wvu.bal_98." hidden="1">[8]BALSHT_S!$A$1:$M$65536</definedName>
    <definedName name="Swvu.Detail." hidden="1">'[9]Fert. &amp; Chem.'!$J$8</definedName>
    <definedName name="Swvu.Forestry." hidden="1">[9]Bunnings!$D$384</definedName>
    <definedName name="Swvu.Full_Year." hidden="1">[8]PE1_S!$A$1:$Z$65536</definedName>
    <definedName name="Swvu.Merch_Summary." hidden="1">[9]Bunnings!$F$106</definedName>
    <definedName name="Swvu.Summary." hidden="1">'[9]Fert. &amp; Chem.'!$A$35:$IV$35</definedName>
    <definedName name="Swvu.Warehouse." hidden="1">[9]Bunnings!$G$102</definedName>
    <definedName name="Tigr_Exhibit2cf0c7a4_8079_452d_90b1_946b4ca5791e" hidden="1">[19]GS!#REF!</definedName>
    <definedName name="Tigr_Exhibit3edd6723_b4b8_4c96_a3d2_86d3ddbd543d" hidden="1">[19]GS!#REF!</definedName>
    <definedName name="Tigr_Exhibitf2941059_9aad_40de_bd7f_fb976c9da072" hidden="1">[19]GS!#REF!</definedName>
    <definedName name="tttttt" localSheetId="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 localSheetId="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1" localSheetId="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1" localSheetId="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2" localSheetId="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2" localSheetId="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known_CWN" localSheetId="1" hidden="1">{"PAGE1",#N/A,FALSE,"Consolidation";"PAGE2",#N/A,FALSE,"Consolidation";"PAGE3",#N/A,FALSE,"Consolidation";"PAGE4",#N/A,FALSE,"Consolidation";"PAGE5",#N/A,FALSE,"Consolidation";"PAGE6",#N/A,FALSE,"Consolidation";"PAGE7",#N/A,FALSE,"Consolidation"}</definedName>
    <definedName name="uknown_CWN" localSheetId="3" hidden="1">{"PAGE1",#N/A,FALSE,"Consolidation";"PAGE2",#N/A,FALSE,"Consolidation";"PAGE3",#N/A,FALSE,"Consolidation";"PAGE4",#N/A,FALSE,"Consolidation";"PAGE5",#N/A,FALSE,"Consolidation";"PAGE6",#N/A,FALSE,"Consolidation";"PAGE7",#N/A,FALSE,"Consolidation"}</definedName>
    <definedName name="uknown_CWN" hidden="1">{"PAGE1",#N/A,FALSE,"Consolidation";"PAGE2",#N/A,FALSE,"Consolidation";"PAGE3",#N/A,FALSE,"Consolidation";"PAGE4",#N/A,FALSE,"Consolidation";"PAGE5",#N/A,FALSE,"Consolidation";"PAGE6",#N/A,FALSE,"Consolidation";"PAGE7",#N/A,FALSE,"Consolidation"}</definedName>
    <definedName name="unknown" localSheetId="1" hidden="1">{"PAGE1",#N/A,FALSE,"Consolidation";"PAGE2",#N/A,FALSE,"Consolidation";"PAGE3",#N/A,FALSE,"Consolidation";"PAGE4",#N/A,FALSE,"Consolidation";"PAGE5",#N/A,FALSE,"Consolidation";"PAGE6",#N/A,FALSE,"Consolidation";"PAGE7",#N/A,FALSE,"Consolidation"}</definedName>
    <definedName name="unknown" localSheetId="3" hidden="1">{"PAGE1",#N/A,FALSE,"Consolidation";"PAGE2",#N/A,FALSE,"Consolidation";"PAGE3",#N/A,FALSE,"Consolidation";"PAGE4",#N/A,FALSE,"Consolidation";"PAGE5",#N/A,FALSE,"Consolidation";"PAGE6",#N/A,FALSE,"Consolidation";"PAGE7",#N/A,FALSE,"Consolidation"}</definedName>
    <definedName name="unknown" hidden="1">{"PAGE1",#N/A,FALSE,"Consolidation";"PAGE2",#N/A,FALSE,"Consolidation";"PAGE3",#N/A,FALSE,"Consolidation";"PAGE4",#N/A,FALSE,"Consolidation";"PAGE5",#N/A,FALSE,"Consolidation";"PAGE6",#N/A,FALSE,"Consolidation";"PAGE7",#N/A,FALSE,"Consolidation"}</definedName>
    <definedName name="unknown_1" localSheetId="1" hidden="1">{"PAGE1",#N/A,FALSE,"Consolidation";"PAGE2",#N/A,FALSE,"Consolidation";"PAGE3",#N/A,FALSE,"Consolidation";"PAGE4",#N/A,FALSE,"Consolidation";"PAGE5",#N/A,FALSE,"Consolidation";"PAGE6",#N/A,FALSE,"Consolidation";"PAGE7",#N/A,FALSE,"Consolidation"}</definedName>
    <definedName name="unknown_1" localSheetId="3" hidden="1">{"PAGE1",#N/A,FALSE,"Consolidation";"PAGE2",#N/A,FALSE,"Consolidation";"PAGE3",#N/A,FALSE,"Consolidation";"PAGE4",#N/A,FALSE,"Consolidation";"PAGE5",#N/A,FALSE,"Consolidation";"PAGE6",#N/A,FALSE,"Consolidation";"PAGE7",#N/A,FALSE,"Consolidation"}</definedName>
    <definedName name="unknown_1" hidden="1">{"PAGE1",#N/A,FALSE,"Consolidation";"PAGE2",#N/A,FALSE,"Consolidation";"PAGE3",#N/A,FALSE,"Consolidation";"PAGE4",#N/A,FALSE,"Consolidation";"PAGE5",#N/A,FALSE,"Consolidation";"PAGE6",#N/A,FALSE,"Consolidation";"PAGE7",#N/A,FALSE,"Consolidation"}</definedName>
    <definedName name="unknown_2" localSheetId="1" hidden="1">{"PAGE1",#N/A,FALSE,"Consolidation";"PAGE2",#N/A,FALSE,"Consolidation";"PAGE3",#N/A,FALSE,"Consolidation";"PAGE4",#N/A,FALSE,"Consolidation";"PAGE5",#N/A,FALSE,"Consolidation";"PAGE6",#N/A,FALSE,"Consolidation";"PAGE7",#N/A,FALSE,"Consolidation"}</definedName>
    <definedName name="unknown_2" localSheetId="3" hidden="1">{"PAGE1",#N/A,FALSE,"Consolidation";"PAGE2",#N/A,FALSE,"Consolidation";"PAGE3",#N/A,FALSE,"Consolidation";"PAGE4",#N/A,FALSE,"Consolidation";"PAGE5",#N/A,FALSE,"Consolidation";"PAGE6",#N/A,FALSE,"Consolidation";"PAGE7",#N/A,FALSE,"Consolidation"}</definedName>
    <definedName name="unknown_2" hidden="1">{"PAGE1",#N/A,FALSE,"Consolidation";"PAGE2",#N/A,FALSE,"Consolidation";"PAGE3",#N/A,FALSE,"Consolidation";"PAGE4",#N/A,FALSE,"Consolidation";"PAGE5",#N/A,FALSE,"Consolidation";"PAGE6",#N/A,FALSE,"Consolidation";"PAGE7",#N/A,FALSE,"Consolidation"}</definedName>
    <definedName name="unknown1" localSheetId="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 localSheetId="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1" localSheetId="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1" localSheetId="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2" localSheetId="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2" localSheetId="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CWN" localSheetId="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CWN" localSheetId="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CWN"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2" localSheetId="1" hidden="1">{"Print Summary",#N/A,FALSE,"Bal_Graphs";"Print Summary",#N/A,FALSE,"DCF";"Print Summary",#N/A,FALSE,"Graphs";"Print Summary",#N/A,FALSE,"Summary"}</definedName>
    <definedName name="unknown2" localSheetId="3" hidden="1">{"Print Summary",#N/A,FALSE,"Bal_Graphs";"Print Summary",#N/A,FALSE,"DCF";"Print Summary",#N/A,FALSE,"Graphs";"Print Summary",#N/A,FALSE,"Summary"}</definedName>
    <definedName name="unknown2" hidden="1">{"Print Summary",#N/A,FALSE,"Bal_Graphs";"Print Summary",#N/A,FALSE,"DCF";"Print Summary",#N/A,FALSE,"Graphs";"Print Summary",#N/A,FALSE,"Summary"}</definedName>
    <definedName name="unknown2_1" localSheetId="1" hidden="1">{"Print Summary",#N/A,FALSE,"Bal_Graphs";"Print Summary",#N/A,FALSE,"DCF";"Print Summary",#N/A,FALSE,"Graphs";"Print Summary",#N/A,FALSE,"Summary"}</definedName>
    <definedName name="unknown2_1" localSheetId="3" hidden="1">{"Print Summary",#N/A,FALSE,"Bal_Graphs";"Print Summary",#N/A,FALSE,"DCF";"Print Summary",#N/A,FALSE,"Graphs";"Print Summary",#N/A,FALSE,"Summary"}</definedName>
    <definedName name="unknown2_1" hidden="1">{"Print Summary",#N/A,FALSE,"Bal_Graphs";"Print Summary",#N/A,FALSE,"DCF";"Print Summary",#N/A,FALSE,"Graphs";"Print Summary",#N/A,FALSE,"Summary"}</definedName>
    <definedName name="unknown2_2" localSheetId="1" hidden="1">{"Print Summary",#N/A,FALSE,"Bal_Graphs";"Print Summary",#N/A,FALSE,"DCF";"Print Summary",#N/A,FALSE,"Graphs";"Print Summary",#N/A,FALSE,"Summary"}</definedName>
    <definedName name="unknown2_2" localSheetId="3" hidden="1">{"Print Summary",#N/A,FALSE,"Bal_Graphs";"Print Summary",#N/A,FALSE,"DCF";"Print Summary",#N/A,FALSE,"Graphs";"Print Summary",#N/A,FALSE,"Summary"}</definedName>
    <definedName name="unknown2_2" hidden="1">{"Print Summary",#N/A,FALSE,"Bal_Graphs";"Print Summary",#N/A,FALSE,"DCF";"Print Summary",#N/A,FALSE,"Graphs";"Print Summary",#N/A,FALSE,"Summary"}</definedName>
    <definedName name="unknown2_CWN" localSheetId="1" hidden="1">{"Print Summary",#N/A,FALSE,"Bal_Graphs";"Print Summary",#N/A,FALSE,"DCF";"Print Summary",#N/A,FALSE,"Graphs";"Print Summary",#N/A,FALSE,"Summary"}</definedName>
    <definedName name="unknown2_CWN" localSheetId="3" hidden="1">{"Print Summary",#N/A,FALSE,"Bal_Graphs";"Print Summary",#N/A,FALSE,"DCF";"Print Summary",#N/A,FALSE,"Graphs";"Print Summary",#N/A,FALSE,"Summary"}</definedName>
    <definedName name="unknown2_CWN" hidden="1">{"Print Summary",#N/A,FALSE,"Bal_Graphs";"Print Summary",#N/A,FALSE,"DCF";"Print Summary",#N/A,FALSE,"Graphs";"Print Summary",#N/A,FALSE,"Summary"}</definedName>
    <definedName name="unknown3" localSheetId="1" hidden="1">{"PAGE1",#N/A,FALSE,"Consolidation";"PAGE2",#N/A,FALSE,"Consolidation";"PAGE3",#N/A,FALSE,"Consolidation";"PAGE4",#N/A,FALSE,"Consolidation";"PAGE5",#N/A,FALSE,"Consolidation";"PAGE6",#N/A,FALSE,"Consolidation";"PAGE7",#N/A,FALSE,"Consolidation"}</definedName>
    <definedName name="unknown3" localSheetId="3" hidden="1">{"PAGE1",#N/A,FALSE,"Consolidation";"PAGE2",#N/A,FALSE,"Consolidation";"PAGE3",#N/A,FALSE,"Consolidation";"PAGE4",#N/A,FALSE,"Consolidation";"PAGE5",#N/A,FALSE,"Consolidation";"PAGE6",#N/A,FALSE,"Consolidation";"PAGE7",#N/A,FALSE,"Consolidation"}</definedName>
    <definedName name="unknown3" hidden="1">{"PAGE1",#N/A,FALSE,"Consolidation";"PAGE2",#N/A,FALSE,"Consolidation";"PAGE3",#N/A,FALSE,"Consolidation";"PAGE4",#N/A,FALSE,"Consolidation";"PAGE5",#N/A,FALSE,"Consolidation";"PAGE6",#N/A,FALSE,"Consolidation";"PAGE7",#N/A,FALSE,"Consolidation"}</definedName>
    <definedName name="unknown3_1" localSheetId="1" hidden="1">{"PAGE1",#N/A,FALSE,"Consolidation";"PAGE2",#N/A,FALSE,"Consolidation";"PAGE3",#N/A,FALSE,"Consolidation";"PAGE4",#N/A,FALSE,"Consolidation";"PAGE5",#N/A,FALSE,"Consolidation";"PAGE6",#N/A,FALSE,"Consolidation";"PAGE7",#N/A,FALSE,"Consolidation"}</definedName>
    <definedName name="unknown3_1" localSheetId="3" hidden="1">{"PAGE1",#N/A,FALSE,"Consolidation";"PAGE2",#N/A,FALSE,"Consolidation";"PAGE3",#N/A,FALSE,"Consolidation";"PAGE4",#N/A,FALSE,"Consolidation";"PAGE5",#N/A,FALSE,"Consolidation";"PAGE6",#N/A,FALSE,"Consolidation";"PAGE7",#N/A,FALSE,"Consolidation"}</definedName>
    <definedName name="unknown3_1" hidden="1">{"PAGE1",#N/A,FALSE,"Consolidation";"PAGE2",#N/A,FALSE,"Consolidation";"PAGE3",#N/A,FALSE,"Consolidation";"PAGE4",#N/A,FALSE,"Consolidation";"PAGE5",#N/A,FALSE,"Consolidation";"PAGE6",#N/A,FALSE,"Consolidation";"PAGE7",#N/A,FALSE,"Consolidation"}</definedName>
    <definedName name="unknown3_2" localSheetId="1" hidden="1">{"PAGE1",#N/A,FALSE,"Consolidation";"PAGE2",#N/A,FALSE,"Consolidation";"PAGE3",#N/A,FALSE,"Consolidation";"PAGE4",#N/A,FALSE,"Consolidation";"PAGE5",#N/A,FALSE,"Consolidation";"PAGE6",#N/A,FALSE,"Consolidation";"PAGE7",#N/A,FALSE,"Consolidation"}</definedName>
    <definedName name="unknown3_2" localSheetId="3" hidden="1">{"PAGE1",#N/A,FALSE,"Consolidation";"PAGE2",#N/A,FALSE,"Consolidation";"PAGE3",#N/A,FALSE,"Consolidation";"PAGE4",#N/A,FALSE,"Consolidation";"PAGE5",#N/A,FALSE,"Consolidation";"PAGE6",#N/A,FALSE,"Consolidation";"PAGE7",#N/A,FALSE,"Consolidation"}</definedName>
    <definedName name="unknown3_2" hidden="1">{"PAGE1",#N/A,FALSE,"Consolidation";"PAGE2",#N/A,FALSE,"Consolidation";"PAGE3",#N/A,FALSE,"Consolidation";"PAGE4",#N/A,FALSE,"Consolidation";"PAGE5",#N/A,FALSE,"Consolidation";"PAGE6",#N/A,FALSE,"Consolidation";"PAGE7",#N/A,FALSE,"Consolidation"}</definedName>
    <definedName name="unknown3_CWN" localSheetId="1" hidden="1">{"PAGE1",#N/A,FALSE,"Consolidation";"PAGE2",#N/A,FALSE,"Consolidation";"PAGE3",#N/A,FALSE,"Consolidation";"PAGE4",#N/A,FALSE,"Consolidation";"PAGE5",#N/A,FALSE,"Consolidation";"PAGE6",#N/A,FALSE,"Consolidation";"PAGE7",#N/A,FALSE,"Consolidation"}</definedName>
    <definedName name="unknown3_CWN" localSheetId="3" hidden="1">{"PAGE1",#N/A,FALSE,"Consolidation";"PAGE2",#N/A,FALSE,"Consolidation";"PAGE3",#N/A,FALSE,"Consolidation";"PAGE4",#N/A,FALSE,"Consolidation";"PAGE5",#N/A,FALSE,"Consolidation";"PAGE6",#N/A,FALSE,"Consolidation";"PAGE7",#N/A,FALSE,"Consolidation"}</definedName>
    <definedName name="unknown3_CWN" hidden="1">{"PAGE1",#N/A,FALSE,"Consolidation";"PAGE2",#N/A,FALSE,"Consolidation";"PAGE3",#N/A,FALSE,"Consolidation";"PAGE4",#N/A,FALSE,"Consolidation";"PAGE5",#N/A,FALSE,"Consolidation";"PAGE6",#N/A,FALSE,"Consolidation";"PAGE7",#N/A,FALSE,"Consolidation"}</definedName>
    <definedName name="unknown4" localSheetId="1" hidden="1">{"PAGE1",#N/A,FALSE,"Consolidation";"PAGE2",#N/A,FALSE,"Consolidation";"PAGE3",#N/A,FALSE,"Consolidation";"PAGE4",#N/A,FALSE,"Consolidation";"PAGE5",#N/A,FALSE,"Consolidation";"PAGE6",#N/A,FALSE,"Consolidation";"PAGE7",#N/A,FALSE,"Consolidation"}</definedName>
    <definedName name="unknown4" localSheetId="3" hidden="1">{"PAGE1",#N/A,FALSE,"Consolidation";"PAGE2",#N/A,FALSE,"Consolidation";"PAGE3",#N/A,FALSE,"Consolidation";"PAGE4",#N/A,FALSE,"Consolidation";"PAGE5",#N/A,FALSE,"Consolidation";"PAGE6",#N/A,FALSE,"Consolidation";"PAGE7",#N/A,FALSE,"Consolidation"}</definedName>
    <definedName name="unknown4" hidden="1">{"PAGE1",#N/A,FALSE,"Consolidation";"PAGE2",#N/A,FALSE,"Consolidation";"PAGE3",#N/A,FALSE,"Consolidation";"PAGE4",#N/A,FALSE,"Consolidation";"PAGE5",#N/A,FALSE,"Consolidation";"PAGE6",#N/A,FALSE,"Consolidation";"PAGE7",#N/A,FALSE,"Consolidation"}</definedName>
    <definedName name="unknown4_1" localSheetId="1" hidden="1">{"PAGE1",#N/A,FALSE,"Consolidation";"PAGE2",#N/A,FALSE,"Consolidation";"PAGE3",#N/A,FALSE,"Consolidation";"PAGE4",#N/A,FALSE,"Consolidation";"PAGE5",#N/A,FALSE,"Consolidation";"PAGE6",#N/A,FALSE,"Consolidation";"PAGE7",#N/A,FALSE,"Consolidation"}</definedName>
    <definedName name="unknown4_1" localSheetId="3" hidden="1">{"PAGE1",#N/A,FALSE,"Consolidation";"PAGE2",#N/A,FALSE,"Consolidation";"PAGE3",#N/A,FALSE,"Consolidation";"PAGE4",#N/A,FALSE,"Consolidation";"PAGE5",#N/A,FALSE,"Consolidation";"PAGE6",#N/A,FALSE,"Consolidation";"PAGE7",#N/A,FALSE,"Consolidation"}</definedName>
    <definedName name="unknown4_1" hidden="1">{"PAGE1",#N/A,FALSE,"Consolidation";"PAGE2",#N/A,FALSE,"Consolidation";"PAGE3",#N/A,FALSE,"Consolidation";"PAGE4",#N/A,FALSE,"Consolidation";"PAGE5",#N/A,FALSE,"Consolidation";"PAGE6",#N/A,FALSE,"Consolidation";"PAGE7",#N/A,FALSE,"Consolidation"}</definedName>
    <definedName name="unknown4_2" localSheetId="1" hidden="1">{"PAGE1",#N/A,FALSE,"Consolidation";"PAGE2",#N/A,FALSE,"Consolidation";"PAGE3",#N/A,FALSE,"Consolidation";"PAGE4",#N/A,FALSE,"Consolidation";"PAGE5",#N/A,FALSE,"Consolidation";"PAGE6",#N/A,FALSE,"Consolidation";"PAGE7",#N/A,FALSE,"Consolidation"}</definedName>
    <definedName name="unknown4_2" localSheetId="3" hidden="1">{"PAGE1",#N/A,FALSE,"Consolidation";"PAGE2",#N/A,FALSE,"Consolidation";"PAGE3",#N/A,FALSE,"Consolidation";"PAGE4",#N/A,FALSE,"Consolidation";"PAGE5",#N/A,FALSE,"Consolidation";"PAGE6",#N/A,FALSE,"Consolidation";"PAGE7",#N/A,FALSE,"Consolidation"}</definedName>
    <definedName name="unknown4_2" hidden="1">{"PAGE1",#N/A,FALSE,"Consolidation";"PAGE2",#N/A,FALSE,"Consolidation";"PAGE3",#N/A,FALSE,"Consolidation";"PAGE4",#N/A,FALSE,"Consolidation";"PAGE5",#N/A,FALSE,"Consolidation";"PAGE6",#N/A,FALSE,"Consolidation";"PAGE7",#N/A,FALSE,"Consolidation"}</definedName>
    <definedName name="unknown4_CWN" localSheetId="1" hidden="1">{"PAGE1",#N/A,FALSE,"Consolidation";"PAGE2",#N/A,FALSE,"Consolidation";"PAGE3",#N/A,FALSE,"Consolidation";"PAGE4",#N/A,FALSE,"Consolidation";"PAGE5",#N/A,FALSE,"Consolidation";"PAGE6",#N/A,FALSE,"Consolidation";"PAGE7",#N/A,FALSE,"Consolidation"}</definedName>
    <definedName name="unknown4_CWN" localSheetId="3" hidden="1">{"PAGE1",#N/A,FALSE,"Consolidation";"PAGE2",#N/A,FALSE,"Consolidation";"PAGE3",#N/A,FALSE,"Consolidation";"PAGE4",#N/A,FALSE,"Consolidation";"PAGE5",#N/A,FALSE,"Consolidation";"PAGE6",#N/A,FALSE,"Consolidation";"PAGE7",#N/A,FALSE,"Consolidation"}</definedName>
    <definedName name="unknown4_CWN" hidden="1">{"PAGE1",#N/A,FALSE,"Consolidation";"PAGE2",#N/A,FALSE,"Consolidation";"PAGE3",#N/A,FALSE,"Consolidation";"PAGE4",#N/A,FALSE,"Consolidation";"PAGE5",#N/A,FALSE,"Consolidation";"PAGE6",#N/A,FALSE,"Consolidation";"PAGE7",#N/A,FALSE,"Consolidation"}</definedName>
    <definedName name="unknown5" localSheetId="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 localSheetId="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1" localSheetId="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1" localSheetId="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2" localSheetId="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2" localSheetId="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CWN" localSheetId="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CWN" localSheetId="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CWN"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6" localSheetId="1" hidden="1">{"Print Summary",#N/A,FALSE,"Bal_Graphs";"Print Summary",#N/A,FALSE,"DCF";"Print Summary",#N/A,FALSE,"Graphs";"Print Summary",#N/A,FALSE,"Summary"}</definedName>
    <definedName name="unknown6" localSheetId="3" hidden="1">{"Print Summary",#N/A,FALSE,"Bal_Graphs";"Print Summary",#N/A,FALSE,"DCF";"Print Summary",#N/A,FALSE,"Graphs";"Print Summary",#N/A,FALSE,"Summary"}</definedName>
    <definedName name="unknown6" hidden="1">{"Print Summary",#N/A,FALSE,"Bal_Graphs";"Print Summary",#N/A,FALSE,"DCF";"Print Summary",#N/A,FALSE,"Graphs";"Print Summary",#N/A,FALSE,"Summary"}</definedName>
    <definedName name="unknown6_1" localSheetId="1" hidden="1">{"Print Summary",#N/A,FALSE,"Bal_Graphs";"Print Summary",#N/A,FALSE,"DCF";"Print Summary",#N/A,FALSE,"Graphs";"Print Summary",#N/A,FALSE,"Summary"}</definedName>
    <definedName name="unknown6_1" localSheetId="3" hidden="1">{"Print Summary",#N/A,FALSE,"Bal_Graphs";"Print Summary",#N/A,FALSE,"DCF";"Print Summary",#N/A,FALSE,"Graphs";"Print Summary",#N/A,FALSE,"Summary"}</definedName>
    <definedName name="unknown6_1" hidden="1">{"Print Summary",#N/A,FALSE,"Bal_Graphs";"Print Summary",#N/A,FALSE,"DCF";"Print Summary",#N/A,FALSE,"Graphs";"Print Summary",#N/A,FALSE,"Summary"}</definedName>
    <definedName name="unknown6_2" localSheetId="1" hidden="1">{"Print Summary",#N/A,FALSE,"Bal_Graphs";"Print Summary",#N/A,FALSE,"DCF";"Print Summary",#N/A,FALSE,"Graphs";"Print Summary",#N/A,FALSE,"Summary"}</definedName>
    <definedName name="unknown6_2" localSheetId="3" hidden="1">{"Print Summary",#N/A,FALSE,"Bal_Graphs";"Print Summary",#N/A,FALSE,"DCF";"Print Summary",#N/A,FALSE,"Graphs";"Print Summary",#N/A,FALSE,"Summary"}</definedName>
    <definedName name="unknown6_2" hidden="1">{"Print Summary",#N/A,FALSE,"Bal_Graphs";"Print Summary",#N/A,FALSE,"DCF";"Print Summary",#N/A,FALSE,"Graphs";"Print Summary",#N/A,FALSE,"Summary"}</definedName>
    <definedName name="unknown6_CWN" localSheetId="1" hidden="1">{"Print Summary",#N/A,FALSE,"Bal_Graphs";"Print Summary",#N/A,FALSE,"DCF";"Print Summary",#N/A,FALSE,"Graphs";"Print Summary",#N/A,FALSE,"Summary"}</definedName>
    <definedName name="unknown6_CWN" localSheetId="3" hidden="1">{"Print Summary",#N/A,FALSE,"Bal_Graphs";"Print Summary",#N/A,FALSE,"DCF";"Print Summary",#N/A,FALSE,"Graphs";"Print Summary",#N/A,FALSE,"Summary"}</definedName>
    <definedName name="unknown6_CWN" hidden="1">{"Print Summary",#N/A,FALSE,"Bal_Graphs";"Print Summary",#N/A,FALSE,"DCF";"Print Summary",#N/A,FALSE,"Graphs";"Print Summary",#N/A,FALSE,"Summary"}</definedName>
    <definedName name="unknown7" localSheetId="1" hidden="1">{"PAGE1",#N/A,FALSE,"Consolidation";"PAGE2",#N/A,FALSE,"Consolidation";"PAGE3",#N/A,FALSE,"Consolidation";"PAGE4",#N/A,FALSE,"Consolidation";"PAGE5",#N/A,FALSE,"Consolidation";"PAGE6",#N/A,FALSE,"Consolidation";"PAGE7",#N/A,FALSE,"Consolidation"}</definedName>
    <definedName name="unknown7" localSheetId="3" hidden="1">{"PAGE1",#N/A,FALSE,"Consolidation";"PAGE2",#N/A,FALSE,"Consolidation";"PAGE3",#N/A,FALSE,"Consolidation";"PAGE4",#N/A,FALSE,"Consolidation";"PAGE5",#N/A,FALSE,"Consolidation";"PAGE6",#N/A,FALSE,"Consolidation";"PAGE7",#N/A,FALSE,"Consolidation"}</definedName>
    <definedName name="unknown7" hidden="1">{"PAGE1",#N/A,FALSE,"Consolidation";"PAGE2",#N/A,FALSE,"Consolidation";"PAGE3",#N/A,FALSE,"Consolidation";"PAGE4",#N/A,FALSE,"Consolidation";"PAGE5",#N/A,FALSE,"Consolidation";"PAGE6",#N/A,FALSE,"Consolidation";"PAGE7",#N/A,FALSE,"Consolidation"}</definedName>
    <definedName name="unknown7_1" localSheetId="1" hidden="1">{"PAGE1",#N/A,FALSE,"Consolidation";"PAGE2",#N/A,FALSE,"Consolidation";"PAGE3",#N/A,FALSE,"Consolidation";"PAGE4",#N/A,FALSE,"Consolidation";"PAGE5",#N/A,FALSE,"Consolidation";"PAGE6",#N/A,FALSE,"Consolidation";"PAGE7",#N/A,FALSE,"Consolidation"}</definedName>
    <definedName name="unknown7_1" localSheetId="3" hidden="1">{"PAGE1",#N/A,FALSE,"Consolidation";"PAGE2",#N/A,FALSE,"Consolidation";"PAGE3",#N/A,FALSE,"Consolidation";"PAGE4",#N/A,FALSE,"Consolidation";"PAGE5",#N/A,FALSE,"Consolidation";"PAGE6",#N/A,FALSE,"Consolidation";"PAGE7",#N/A,FALSE,"Consolidation"}</definedName>
    <definedName name="unknown7_1" hidden="1">{"PAGE1",#N/A,FALSE,"Consolidation";"PAGE2",#N/A,FALSE,"Consolidation";"PAGE3",#N/A,FALSE,"Consolidation";"PAGE4",#N/A,FALSE,"Consolidation";"PAGE5",#N/A,FALSE,"Consolidation";"PAGE6",#N/A,FALSE,"Consolidation";"PAGE7",#N/A,FALSE,"Consolidation"}</definedName>
    <definedName name="unknown7_2" localSheetId="1" hidden="1">{"PAGE1",#N/A,FALSE,"Consolidation";"PAGE2",#N/A,FALSE,"Consolidation";"PAGE3",#N/A,FALSE,"Consolidation";"PAGE4",#N/A,FALSE,"Consolidation";"PAGE5",#N/A,FALSE,"Consolidation";"PAGE6",#N/A,FALSE,"Consolidation";"PAGE7",#N/A,FALSE,"Consolidation"}</definedName>
    <definedName name="unknown7_2" localSheetId="3" hidden="1">{"PAGE1",#N/A,FALSE,"Consolidation";"PAGE2",#N/A,FALSE,"Consolidation";"PAGE3",#N/A,FALSE,"Consolidation";"PAGE4",#N/A,FALSE,"Consolidation";"PAGE5",#N/A,FALSE,"Consolidation";"PAGE6",#N/A,FALSE,"Consolidation";"PAGE7",#N/A,FALSE,"Consolidation"}</definedName>
    <definedName name="unknown7_2" hidden="1">{"PAGE1",#N/A,FALSE,"Consolidation";"PAGE2",#N/A,FALSE,"Consolidation";"PAGE3",#N/A,FALSE,"Consolidation";"PAGE4",#N/A,FALSE,"Consolidation";"PAGE5",#N/A,FALSE,"Consolidation";"PAGE6",#N/A,FALSE,"Consolidation";"PAGE7",#N/A,FALSE,"Consolidation"}</definedName>
    <definedName name="unknown7_CWN" localSheetId="1" hidden="1">{"PAGE1",#N/A,FALSE,"Consolidation";"PAGE2",#N/A,FALSE,"Consolidation";"PAGE3",#N/A,FALSE,"Consolidation";"PAGE4",#N/A,FALSE,"Consolidation";"PAGE5",#N/A,FALSE,"Consolidation";"PAGE6",#N/A,FALSE,"Consolidation";"PAGE7",#N/A,FALSE,"Consolidation"}</definedName>
    <definedName name="unknown7_CWN" localSheetId="3" hidden="1">{"PAGE1",#N/A,FALSE,"Consolidation";"PAGE2",#N/A,FALSE,"Consolidation";"PAGE3",#N/A,FALSE,"Consolidation";"PAGE4",#N/A,FALSE,"Consolidation";"PAGE5",#N/A,FALSE,"Consolidation";"PAGE6",#N/A,FALSE,"Consolidation";"PAGE7",#N/A,FALSE,"Consolidation"}</definedName>
    <definedName name="unknown7_CWN" hidden="1">{"PAGE1",#N/A,FALSE,"Consolidation";"PAGE2",#N/A,FALSE,"Consolidation";"PAGE3",#N/A,FALSE,"Consolidation";"PAGE4",#N/A,FALSE,"Consolidation";"PAGE5",#N/A,FALSE,"Consolidation";"PAGE6",#N/A,FALSE,"Consolidation";"PAGE7",#N/A,FALSE,"Consolidation"}</definedName>
    <definedName name="uuuuu" localSheetId="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 localSheetId="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1" localSheetId="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1" localSheetId="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2" localSheetId="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2" localSheetId="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ar.client_detailed_skc" localSheetId="1" hidden="1">{"Full_Year",#N/A,FALSE,"PE1_S";"Full_Year",#N/A,FALSE,"Cashflow_EPS";"Full_Year",#N/A,FALSE,"EBIT_DIV"}</definedName>
    <definedName name="war.client_detailed_skc" localSheetId="3" hidden="1">{"Full_Year",#N/A,FALSE,"PE1_S";"Full_Year",#N/A,FALSE,"Cashflow_EPS";"Full_Year",#N/A,FALSE,"EBIT_DIV"}</definedName>
    <definedName name="war.client_detailed_skc" hidden="1">{"Full_Year",#N/A,FALSE,"PE1_S";"Full_Year",#N/A,FALSE,"Cashflow_EPS";"Full_Year",#N/A,FALSE,"EBIT_DIV"}</definedName>
    <definedName name="warn.full_client_skc" localSheetId="1" hidden="1">{"Full_Year",#N/A,FALSE,"PE1_S";"Automotive",#N/A,FALSE,"Auto_EBIT";#N/A,#N/A,FALSE,"Industrial_EBIT";#N/A,#N/A,FALSE,"Webforge_EBIT"}</definedName>
    <definedName name="warn.full_client_skc" localSheetId="3" hidden="1">{"Full_Year",#N/A,FALSE,"PE1_S";"Automotive",#N/A,FALSE,"Auto_EBIT";#N/A,#N/A,FALSE,"Industrial_EBIT";#N/A,#N/A,FALSE,"Webforge_EBIT"}</definedName>
    <definedName name="warn.full_client_skc" hidden="1">{"Full_Year",#N/A,FALSE,"PE1_S";"Automotive",#N/A,FALSE,"Auto_EBIT";#N/A,#N/A,FALSE,"Industrial_EBIT";#N/A,#N/A,FALSE,"Webforge_EBIT"}</definedName>
    <definedName name="wrn.1q97." localSheetId="1"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1q97." localSheetId="3"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1q97."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3rd._.Qtr._.Supplement." localSheetId="1"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tr._.Supplement." localSheetId="3"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tr._.Supplement."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uarter._.Supplement." localSheetId="1"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3rd._.Quarter._.Supplement." localSheetId="3"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3rd._.Quarter._.Supplement."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all." localSheetId="1" hidden="1">{#N/A,#N/A,FALSE,"Gaming Revenues";#N/A,#N/A,FALSE,"RevCompare";#N/A,#N/A,FALSE,"Capacity";#N/A,#N/A,FALSE,"% Casino Rooms";#N/A,#N/A,FALSE,"ADR";#N/A,#N/A,FALSE,"Occupancy";#N/A,#N/A,FALSE,"Length of stay";#N/A,#N/A,FALSE,"Growth Rates";#N/A,#N/A,FALSE,"casinos";#N/A,#N/A,FALSE,"Slots&amp;Tables";#N/A,#N/A,FALSE,"tax";#N/A,#N/A,FALSE,"demographics";#N/A,#N/A,FALSE,"Rooms v stops";#N/A,#N/A,FALSE,"demos2";#N/A,#N/A,FALSE,"air arrivals";#N/A,#N/A,FALSE,"load";#N/A,#N/A,FALSE,"stays"}</definedName>
    <definedName name="wrn.all." localSheetId="3" hidden="1">{#N/A,#N/A,FALSE,"Gaming Revenues";#N/A,#N/A,FALSE,"RevCompare";#N/A,#N/A,FALSE,"Capacity";#N/A,#N/A,FALSE,"% Casino Rooms";#N/A,#N/A,FALSE,"ADR";#N/A,#N/A,FALSE,"Occupancy";#N/A,#N/A,FALSE,"Length of stay";#N/A,#N/A,FALSE,"Growth Rates";#N/A,#N/A,FALSE,"casinos";#N/A,#N/A,FALSE,"Slots&amp;Tables";#N/A,#N/A,FALSE,"tax";#N/A,#N/A,FALSE,"demographics";#N/A,#N/A,FALSE,"Rooms v stops";#N/A,#N/A,FALSE,"demos2";#N/A,#N/A,FALSE,"air arrivals";#N/A,#N/A,FALSE,"load";#N/A,#N/A,FALSE,"stays"}</definedName>
    <definedName name="wrn.all." hidden="1">{#N/A,#N/A,FALSE,"Gaming Revenues";#N/A,#N/A,FALSE,"RevCompare";#N/A,#N/A,FALSE,"Capacity";#N/A,#N/A,FALSE,"% Casino Rooms";#N/A,#N/A,FALSE,"ADR";#N/A,#N/A,FALSE,"Occupancy";#N/A,#N/A,FALSE,"Length of stay";#N/A,#N/A,FALSE,"Growth Rates";#N/A,#N/A,FALSE,"casinos";#N/A,#N/A,FALSE,"Slots&amp;Tables";#N/A,#N/A,FALSE,"tax";#N/A,#N/A,FALSE,"demographics";#N/A,#N/A,FALSE,"Rooms v stops";#N/A,#N/A,FALSE,"demos2";#N/A,#N/A,FALSE,"air arrivals";#N/A,#N/A,FALSE,"load";#N/A,#N/A,FALSE,"stays"}</definedName>
    <definedName name="wrn.AMPJAN96." localSheetId="1" hidden="1">{"Associates",#N/A,FALSE,"FULLESTI";"GPEBIT",#N/A,FALSE,"FULLESTI";"USEBIT",#N/A,FALSE,"FULLESTI";"UKEBIT",#N/A,FALSE,"FULLESTI";"AUSTEBIT",#N/A,FALSE,"FULLESTI"}</definedName>
    <definedName name="wrn.AMPJAN96." localSheetId="3" hidden="1">{"Associates",#N/A,FALSE,"FULLESTI";"GPEBIT",#N/A,FALSE,"FULLESTI";"USEBIT",#N/A,FALSE,"FULLESTI";"UKEBIT",#N/A,FALSE,"FULLESTI";"AUSTEBIT",#N/A,FALSE,"FULLESTI"}</definedName>
    <definedName name="wrn.AMPJAN96." hidden="1">{"Associates",#N/A,FALSE,"FULLESTI";"GPEBIT",#N/A,FALSE,"FULLESTI";"USEBIT",#N/A,FALSE,"FULLESTI";"UKEBIT",#N/A,FALSE,"FULLESTI";"AUSTEBIT",#N/A,FALSE,"FULLESTI"}</definedName>
    <definedName name="wrn.Bunnings." localSheetId="1" hidden="1">{"Summary",#N/A,FALSE,"Bunnings";"Merch_Summary",#N/A,FALSE,"Bunnings";"Forestry",#N/A,FALSE,"Bunnings"}</definedName>
    <definedName name="wrn.Bunnings." localSheetId="3" hidden="1">{"Summary",#N/A,FALSE,"Bunnings";"Merch_Summary",#N/A,FALSE,"Bunnings";"Forestry",#N/A,FALSE,"Bunnings"}</definedName>
    <definedName name="wrn.Bunnings." hidden="1">{"Summary",#N/A,FALSE,"Bunnings";"Merch_Summary",#N/A,FALSE,"Bunnings";"Forestry",#N/A,FALSE,"Bunnings"}</definedName>
    <definedName name="wrn.Cable." localSheetId="1" hidden="1">{"Cable_front",#N/A,TRUE,"Cable";"Cable_back",#N/A,TRUE,"Cable"}</definedName>
    <definedName name="wrn.Cable." localSheetId="3" hidden="1">{"Cable_front",#N/A,TRUE,"Cable";"Cable_back",#N/A,TRUE,"Cable"}</definedName>
    <definedName name="wrn.Cable." hidden="1">{"Cable_front",#N/A,TRUE,"Cable";"Cable_back",#N/A,TRUE,"Cable"}</definedName>
    <definedName name="wrn.Client." localSheetId="1" hidden="1">{"Full_Year",#N/A,FALSE,"PE1_S";#N/A,#N/A,FALSE,"DIVIS_S"}</definedName>
    <definedName name="wrn.Client." localSheetId="3" hidden="1">{"Full_Year",#N/A,FALSE,"PE1_S";#N/A,#N/A,FALSE,"DIVIS_S"}</definedName>
    <definedName name="wrn.Client." hidden="1">{"Full_Year",#N/A,FALSE,"PE1_S";#N/A,#N/A,FALSE,"DIVIS_S"}</definedName>
    <definedName name="wrn.Client._1" localSheetId="1" hidden="1">{"Full_Year",#N/A,FALSE,"PE1_S";#N/A,#N/A,FALSE,"DIVIS_S"}</definedName>
    <definedName name="wrn.Client._1" localSheetId="3" hidden="1">{"Full_Year",#N/A,FALSE,"PE1_S";#N/A,#N/A,FALSE,"DIVIS_S"}</definedName>
    <definedName name="wrn.Client._1" hidden="1">{"Full_Year",#N/A,FALSE,"PE1_S";#N/A,#N/A,FALSE,"DIVIS_S"}</definedName>
    <definedName name="wrn.Client._2" localSheetId="1" hidden="1">{"Full_Year",#N/A,FALSE,"PE1_S";#N/A,#N/A,FALSE,"DIVIS_S"}</definedName>
    <definedName name="wrn.Client._2" localSheetId="3" hidden="1">{"Full_Year",#N/A,FALSE,"PE1_S";#N/A,#N/A,FALSE,"DIVIS_S"}</definedName>
    <definedName name="wrn.Client._2" hidden="1">{"Full_Year",#N/A,FALSE,"PE1_S";#N/A,#N/A,FALSE,"DIVIS_S"}</definedName>
    <definedName name="wrn.Client_CWN" localSheetId="1" hidden="1">{"Full_Year",#N/A,FALSE,"PE1_S";#N/A,#N/A,FALSE,"DIVIS_S"}</definedName>
    <definedName name="wrn.Client_CWN" localSheetId="3" hidden="1">{"Full_Year",#N/A,FALSE,"PE1_S";#N/A,#N/A,FALSE,"DIVIS_S"}</definedName>
    <definedName name="wrn.Client_CWN" hidden="1">{"Full_Year",#N/A,FALSE,"PE1_S";#N/A,#N/A,FALSE,"DIVIS_S"}</definedName>
    <definedName name="wrn.Client_Detailed." localSheetId="1" hidden="1">{"Full_Year",#N/A,FALSE,"PE1_S";"Full_Year",#N/A,FALSE,"Cashflow_EPS";"Full_Year",#N/A,FALSE,"EBIT_DIV"}</definedName>
    <definedName name="wrn.Client_Detailed." localSheetId="3" hidden="1">{"Full_Year",#N/A,FALSE,"PE1_S";"Full_Year",#N/A,FALSE,"Cashflow_EPS";"Full_Year",#N/A,FALSE,"EBIT_DIV"}</definedName>
    <definedName name="wrn.Client_Detailed." hidden="1">{"Full_Year",#N/A,FALSE,"PE1_S";"Full_Year",#N/A,FALSE,"Cashflow_EPS";"Full_Year",#N/A,FALSE,"EBIT_DIV"}</definedName>
    <definedName name="wrn.Client_Detailed._1" localSheetId="1" hidden="1">{"Full_Year",#N/A,FALSE,"PE1_S";"Full_Year",#N/A,FALSE,"Cashflow_EPS";"Full_Year",#N/A,FALSE,"EBIT_DIV"}</definedName>
    <definedName name="wrn.Client_Detailed._1" localSheetId="3" hidden="1">{"Full_Year",#N/A,FALSE,"PE1_S";"Full_Year",#N/A,FALSE,"Cashflow_EPS";"Full_Year",#N/A,FALSE,"EBIT_DIV"}</definedName>
    <definedName name="wrn.Client_Detailed._1" hidden="1">{"Full_Year",#N/A,FALSE,"PE1_S";"Full_Year",#N/A,FALSE,"Cashflow_EPS";"Full_Year",#N/A,FALSE,"EBIT_DIV"}</definedName>
    <definedName name="wrn.Client_Detailed._2" localSheetId="1" hidden="1">{"Full_Year",#N/A,FALSE,"PE1_S";"Full_Year",#N/A,FALSE,"Cashflow_EPS";"Full_Year",#N/A,FALSE,"EBIT_DIV"}</definedName>
    <definedName name="wrn.Client_Detailed._2" localSheetId="3" hidden="1">{"Full_Year",#N/A,FALSE,"PE1_S";"Full_Year",#N/A,FALSE,"Cashflow_EPS";"Full_Year",#N/A,FALSE,"EBIT_DIV"}</definedName>
    <definedName name="wrn.Client_Detailed._2" hidden="1">{"Full_Year",#N/A,FALSE,"PE1_S";"Full_Year",#N/A,FALSE,"Cashflow_EPS";"Full_Year",#N/A,FALSE,"EBIT_DIV"}</definedName>
    <definedName name="wrn.client_detailed_CWN" localSheetId="1" hidden="1">{"Full_Year",#N/A,FALSE,"PE1_S";"Full_Year",#N/A,FALSE,"Cashflow_EPS";"Full_Year",#N/A,FALSE,"EBIT_DIV"}</definedName>
    <definedName name="wrn.client_detailed_CWN" localSheetId="3" hidden="1">{"Full_Year",#N/A,FALSE,"PE1_S";"Full_Year",#N/A,FALSE,"Cashflow_EPS";"Full_Year",#N/A,FALSE,"EBIT_DIV"}</definedName>
    <definedName name="wrn.client_detailed_CWN" hidden="1">{"Full_Year",#N/A,FALSE,"PE1_S";"Full_Year",#N/A,FALSE,"Cashflow_EPS";"Full_Year",#N/A,FALSE,"EBIT_DIV"}</definedName>
    <definedName name="wrn.client_SKC" localSheetId="1" hidden="1">{"Full_Year",#N/A,FALSE,"PE1_S";#N/A,#N/A,FALSE,"DIVIS_S"}</definedName>
    <definedName name="wrn.client_SKC" localSheetId="3" hidden="1">{"Full_Year",#N/A,FALSE,"PE1_S";#N/A,#N/A,FALSE,"DIVIS_S"}</definedName>
    <definedName name="wrn.client_SKC" hidden="1">{"Full_Year",#N/A,FALSE,"PE1_S";#N/A,#N/A,FALSE,"DIVIS_S"}</definedName>
    <definedName name="wrn.Complete._.Report." localSheetId="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1" localSheetId="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1" localSheetId="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2" localSheetId="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2" localSheetId="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1" localSheetId="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1" localSheetId="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2" localSheetId="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2" localSheetId="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ns" localSheetId="1" hidden="1">{"PAGE1",#N/A,FALSE,"Consolidation";"PAGE2",#N/A,FALSE,"Consolidation";"PAGE3",#N/A,FALSE,"Consolidation";"PAGE4",#N/A,FALSE,"Consolidation";"PAGE5",#N/A,FALSE,"Consolidation";"PAGE6",#N/A,FALSE,"Consolidation";"PAGE7",#N/A,FALSE,"Consolidation"}</definedName>
    <definedName name="wrn.cons" localSheetId="3" hidden="1">{"PAGE1",#N/A,FALSE,"Consolidation";"PAGE2",#N/A,FALSE,"Consolidation";"PAGE3",#N/A,FALSE,"Consolidation";"PAGE4",#N/A,FALSE,"Consolidation";"PAGE5",#N/A,FALSE,"Consolidation";"PAGE6",#N/A,FALSE,"Consolidation";"PAGE7",#N/A,FALSE,"Consolidation"}</definedName>
    <definedName name="wrn.cons" hidden="1">{"PAGE1",#N/A,FALSE,"Consolidation";"PAGE2",#N/A,FALSE,"Consolidation";"PAGE3",#N/A,FALSE,"Consolidation";"PAGE4",#N/A,FALSE,"Consolidation";"PAGE5",#N/A,FALSE,"Consolidation";"PAGE6",#N/A,FALSE,"Consolidation";"PAGE7",#N/A,FALSE,"Consolidation"}</definedName>
    <definedName name="wrn.cons_1" localSheetId="1" hidden="1">{"PAGE1",#N/A,FALSE,"Consolidation";"PAGE2",#N/A,FALSE,"Consolidation";"PAGE3",#N/A,FALSE,"Consolidation";"PAGE4",#N/A,FALSE,"Consolidation";"PAGE5",#N/A,FALSE,"Consolidation";"PAGE6",#N/A,FALSE,"Consolidation";"PAGE7",#N/A,FALSE,"Consolidation"}</definedName>
    <definedName name="wrn.cons_1" localSheetId="3" hidden="1">{"PAGE1",#N/A,FALSE,"Consolidation";"PAGE2",#N/A,FALSE,"Consolidation";"PAGE3",#N/A,FALSE,"Consolidation";"PAGE4",#N/A,FALSE,"Consolidation";"PAGE5",#N/A,FALSE,"Consolidation";"PAGE6",#N/A,FALSE,"Consolidation";"PAGE7",#N/A,FALSE,"Consolidation"}</definedName>
    <definedName name="wrn.cons_1" hidden="1">{"PAGE1",#N/A,FALSE,"Consolidation";"PAGE2",#N/A,FALSE,"Consolidation";"PAGE3",#N/A,FALSE,"Consolidation";"PAGE4",#N/A,FALSE,"Consolidation";"PAGE5",#N/A,FALSE,"Consolidation";"PAGE6",#N/A,FALSE,"Consolidation";"PAGE7",#N/A,FALSE,"Consolidation"}</definedName>
    <definedName name="wrn.cons_2" localSheetId="1" hidden="1">{"PAGE1",#N/A,FALSE,"Consolidation";"PAGE2",#N/A,FALSE,"Consolidation";"PAGE3",#N/A,FALSE,"Consolidation";"PAGE4",#N/A,FALSE,"Consolidation";"PAGE5",#N/A,FALSE,"Consolidation";"PAGE6",#N/A,FALSE,"Consolidation";"PAGE7",#N/A,FALSE,"Consolidation"}</definedName>
    <definedName name="wrn.cons_2" localSheetId="3" hidden="1">{"PAGE1",#N/A,FALSE,"Consolidation";"PAGE2",#N/A,FALSE,"Consolidation";"PAGE3",#N/A,FALSE,"Consolidation";"PAGE4",#N/A,FALSE,"Consolidation";"PAGE5",#N/A,FALSE,"Consolidation";"PAGE6",#N/A,FALSE,"Consolidation";"PAGE7",#N/A,FALSE,"Consolidation"}</definedName>
    <definedName name="wrn.cons_2" hidden="1">{"PAGE1",#N/A,FALSE,"Consolidation";"PAGE2",#N/A,FALSE,"Consolidation";"PAGE3",#N/A,FALSE,"Consolidation";"PAGE4",#N/A,FALSE,"Consolidation";"PAGE5",#N/A,FALSE,"Consolidation";"PAGE6",#N/A,FALSE,"Consolidation";"PAGE7",#N/A,FALSE,"Consolidation"}</definedName>
    <definedName name="wrn.cons_CWN" localSheetId="1" hidden="1">{"PAGE1",#N/A,FALSE,"Consolidation";"PAGE2",#N/A,FALSE,"Consolidation";"PAGE3",#N/A,FALSE,"Consolidation";"PAGE4",#N/A,FALSE,"Consolidation";"PAGE5",#N/A,FALSE,"Consolidation";"PAGE6",#N/A,FALSE,"Consolidation";"PAGE7",#N/A,FALSE,"Consolidation"}</definedName>
    <definedName name="wrn.cons_CWN" localSheetId="3" hidden="1">{"PAGE1",#N/A,FALSE,"Consolidation";"PAGE2",#N/A,FALSE,"Consolidation";"PAGE3",#N/A,FALSE,"Consolidation";"PAGE4",#N/A,FALSE,"Consolidation";"PAGE5",#N/A,FALSE,"Consolidation";"PAGE6",#N/A,FALSE,"Consolidation";"PAGE7",#N/A,FALSE,"Consolidation"}</definedName>
    <definedName name="wrn.cons_CWN" hidden="1">{"PAGE1",#N/A,FALSE,"Consolidation";"PAGE2",#N/A,FALSE,"Consolidation";"PAGE3",#N/A,FALSE,"Consolidation";"PAGE4",#N/A,FALSE,"Consolidation";"PAGE5",#N/A,FALSE,"Consolidation";"PAGE6",#N/A,FALSE,"Consolidation";"PAGE7",#N/A,FALSE,"Consolidation"}</definedName>
    <definedName name="wrn.CONSOLIDATION." localSheetId="1" hidden="1">{"PAGE1",#N/A,FALSE,"Consolidation";"PAGE2",#N/A,FALSE,"Consolidation";"PAGE3",#N/A,FALSE,"Consolidation";"PAGE4",#N/A,FALSE,"Consolidation";"PAGE5",#N/A,FALSE,"Consolidation";"PAGE6",#N/A,FALSE,"Consolidation";"PAGE7",#N/A,FALSE,"Consolidation"}</definedName>
    <definedName name="wrn.CONSOLIDATION." localSheetId="3" hidden="1">{"PAGE1",#N/A,FALSE,"Consolidation";"PAGE2",#N/A,FALSE,"Consolidation";"PAGE3",#N/A,FALSE,"Consolidation";"PAGE4",#N/A,FALSE,"Consolidation";"PAGE5",#N/A,FALSE,"Consolidation";"PAGE6",#N/A,FALSE,"Consolidation";"PAGE7",#N/A,FALSE,"Consolidation"}</definedName>
    <definedName name="wrn.CONSOLIDATION." hidden="1">{"PAGE1",#N/A,FALSE,"Consolidation";"PAGE2",#N/A,FALSE,"Consolidation";"PAGE3",#N/A,FALSE,"Consolidation";"PAGE4",#N/A,FALSE,"Consolidation";"PAGE5",#N/A,FALSE,"Consolidation";"PAGE6",#N/A,FALSE,"Consolidation";"PAGE7",#N/A,FALSE,"Consolidation"}</definedName>
    <definedName name="wrn.CONSOLIDATION._1" localSheetId="1" hidden="1">{"PAGE1",#N/A,FALSE,"Consolidation";"PAGE2",#N/A,FALSE,"Consolidation";"PAGE3",#N/A,FALSE,"Consolidation";"PAGE4",#N/A,FALSE,"Consolidation";"PAGE5",#N/A,FALSE,"Consolidation";"PAGE6",#N/A,FALSE,"Consolidation";"PAGE7",#N/A,FALSE,"Consolidation"}</definedName>
    <definedName name="wrn.CONSOLIDATION._1" localSheetId="3" hidden="1">{"PAGE1",#N/A,FALSE,"Consolidation";"PAGE2",#N/A,FALSE,"Consolidation";"PAGE3",#N/A,FALSE,"Consolidation";"PAGE4",#N/A,FALSE,"Consolidation";"PAGE5",#N/A,FALSE,"Consolidation";"PAGE6",#N/A,FALSE,"Consolidation";"PAGE7",#N/A,FALSE,"Consolidation"}</definedName>
    <definedName name="wrn.CONSOLIDATION._1" hidden="1">{"PAGE1",#N/A,FALSE,"Consolidation";"PAGE2",#N/A,FALSE,"Consolidation";"PAGE3",#N/A,FALSE,"Consolidation";"PAGE4",#N/A,FALSE,"Consolidation";"PAGE5",#N/A,FALSE,"Consolidation";"PAGE6",#N/A,FALSE,"Consolidation";"PAGE7",#N/A,FALSE,"Consolidation"}</definedName>
    <definedName name="wrn.CONSOLIDATION._2" localSheetId="1" hidden="1">{"PAGE1",#N/A,FALSE,"Consolidation";"PAGE2",#N/A,FALSE,"Consolidation";"PAGE3",#N/A,FALSE,"Consolidation";"PAGE4",#N/A,FALSE,"Consolidation";"PAGE5",#N/A,FALSE,"Consolidation";"PAGE6",#N/A,FALSE,"Consolidation";"PAGE7",#N/A,FALSE,"Consolidation"}</definedName>
    <definedName name="wrn.CONSOLIDATION._2" localSheetId="3" hidden="1">{"PAGE1",#N/A,FALSE,"Consolidation";"PAGE2",#N/A,FALSE,"Consolidation";"PAGE3",#N/A,FALSE,"Consolidation";"PAGE4",#N/A,FALSE,"Consolidation";"PAGE5",#N/A,FALSE,"Consolidation";"PAGE6",#N/A,FALSE,"Consolidation";"PAGE7",#N/A,FALSE,"Consolidation"}</definedName>
    <definedName name="wrn.CONSOLIDATION._2" hidden="1">{"PAGE1",#N/A,FALSE,"Consolidation";"PAGE2",#N/A,FALSE,"Consolidation";"PAGE3",#N/A,FALSE,"Consolidation";"PAGE4",#N/A,FALSE,"Consolidation";"PAGE5",#N/A,FALSE,"Consolidation";"PAGE6",#N/A,FALSE,"Consolidation";"PAGE7",#N/A,FALSE,"Consolidation"}</definedName>
    <definedName name="wrn.CONSOLIDATION_CWN" localSheetId="1" hidden="1">{"PAGE1",#N/A,FALSE,"Consolidation";"PAGE2",#N/A,FALSE,"Consolidation";"PAGE3",#N/A,FALSE,"Consolidation";"PAGE4",#N/A,FALSE,"Consolidation";"PAGE5",#N/A,FALSE,"Consolidation";"PAGE6",#N/A,FALSE,"Consolidation";"PAGE7",#N/A,FALSE,"Consolidation"}</definedName>
    <definedName name="wrn.CONSOLIDATION_CWN" localSheetId="3" hidden="1">{"PAGE1",#N/A,FALSE,"Consolidation";"PAGE2",#N/A,FALSE,"Consolidation";"PAGE3",#N/A,FALSE,"Consolidation";"PAGE4",#N/A,FALSE,"Consolidation";"PAGE5",#N/A,FALSE,"Consolidation";"PAGE6",#N/A,FALSE,"Consolidation";"PAGE7",#N/A,FALSE,"Consolidation"}</definedName>
    <definedName name="wrn.CONSOLIDATION_CWN" hidden="1">{"PAGE1",#N/A,FALSE,"Consolidation";"PAGE2",#N/A,FALSE,"Consolidation";"PAGE3",#N/A,FALSE,"Consolidation";"PAGE4",#N/A,FALSE,"Consolidation";"PAGE5",#N/A,FALSE,"Consolidation";"PAGE6",#N/A,FALSE,"Consolidation";"PAGE7",#N/A,FALSE,"Consolidation"}</definedName>
    <definedName name="wrn.daily." localSheetId="1" hidden="1">{#N/A,#N/A,FALSE,"Major v. River";#N/A,#N/A,FALSE,"Large Operators";#N/A,#N/A,FALSE,"Smaller Operators";#N/A,#N/A,FALSE,"Equip. Supply";#N/A,#N/A,FALSE,"EBITDA"}</definedName>
    <definedName name="wrn.daily." localSheetId="3" hidden="1">{#N/A,#N/A,FALSE,"Major v. River";#N/A,#N/A,FALSE,"Large Operators";#N/A,#N/A,FALSE,"Smaller Operators";#N/A,#N/A,FALSE,"Equip. Supply";#N/A,#N/A,FALSE,"EBITDA"}</definedName>
    <definedName name="wrn.daily." hidden="1">{#N/A,#N/A,FALSE,"Major v. River";#N/A,#N/A,FALSE,"Large Operators";#N/A,#N/A,FALSE,"Smaller Operators";#N/A,#N/A,FALSE,"Equip. Supply";#N/A,#N/A,FALSE,"EBITDA"}</definedName>
    <definedName name="wrn.Divisional._.Summaries." localSheetId="1" hidden="1">{"Divisional summaries",#N/A,TRUE,"Model"}</definedName>
    <definedName name="wrn.Divisional._.Summaries." localSheetId="3" hidden="1">{"Divisional summaries",#N/A,TRUE,"Model"}</definedName>
    <definedName name="wrn.Divisional._.Summaries." hidden="1">{"Divisional summaries",#N/A,TRUE,"Model"}</definedName>
    <definedName name="wrn.Forecast._.Q4a" localSheetId="1" hidden="1">{"cover a","4q",FALSE,"Cover";"Op Earn Mgd Q4",#N/A,FALSE,"Op-Earn (Mng)";"Op Earn Rpt Q4",#N/A,FALSE,"Op-Earn (Rpt)";"Loans",#N/A,FALSE,"Loans";"Credit Costs",#N/A,FALSE,"CCosts";"Net Interest Margin",#N/A,FALSE,"Margin";"Nonint Income",#N/A,FALSE,"NonII";"Nonint Exp",#N/A,FALSE,"NonIE";"Valuation",#N/A,FALSE,"Valuation"}</definedName>
    <definedName name="wrn.Forecast._.Q4a" localSheetId="3" hidden="1">{"cover a","4q",FALSE,"Cover";"Op Earn Mgd Q4",#N/A,FALSE,"Op-Earn (Mng)";"Op Earn Rpt Q4",#N/A,FALSE,"Op-Earn (Rpt)";"Loans",#N/A,FALSE,"Loans";"Credit Costs",#N/A,FALSE,"CCosts";"Net Interest Margin",#N/A,FALSE,"Margin";"Nonint Income",#N/A,FALSE,"NonII";"Nonint Exp",#N/A,FALSE,"NonIE";"Valuation",#N/A,FALSE,"Valuation"}</definedName>
    <definedName name="wrn.Forecast._.Q4a" hidden="1">{"cover a","4q",FALSE,"Cover";"Op Earn Mgd Q4",#N/A,FALSE,"Op-Earn (Mng)";"Op Earn Rpt Q4",#N/A,FALSE,"Op-Earn (Rpt)";"Loans",#N/A,FALSE,"Loans";"Credit Costs",#N/A,FALSE,"CCosts";"Net Interest Margin",#N/A,FALSE,"Margin";"Nonint Income",#N/A,FALSE,"NonII";"Nonint Exp",#N/A,FALSE,"NonIE";"Valuation",#N/A,FALSE,"Valuation"}</definedName>
    <definedName name="wrn.Full._.Divisional._.Analysis." localSheetId="1" hidden="1">{#N/A,"Likely capex",TRUE,"Model";#N/A,"Optimal ROAs",TRUE,"Model";"Full Divisional Analysis","Aggressive asset sales",TRUE,"Model"}</definedName>
    <definedName name="wrn.Full._.Divisional._.Analysis." localSheetId="3" hidden="1">{#N/A,"Likely capex",TRUE,"Model";#N/A,"Optimal ROAs",TRUE,"Model";"Full Divisional Analysis","Aggressive asset sales",TRUE,"Model"}</definedName>
    <definedName name="wrn.Full._.Divisional._.Analysis." hidden="1">{#N/A,"Likely capex",TRUE,"Model";#N/A,"Optimal ROAs",TRUE,"Model";"Full Divisional Analysis","Aggressive asset sales",TRUE,"Model"}</definedName>
    <definedName name="wrn.Full._.EBITDA._.Valuation." localSheetId="1" hidden="1">{"Full EBITDA valuation",#N/A,FALSE,"Value"}</definedName>
    <definedName name="wrn.Full._.EBITDA._.Valuation." localSheetId="3" hidden="1">{"Full EBITDA valuation",#N/A,FALSE,"Value"}</definedName>
    <definedName name="wrn.Full._.EBITDA._.Valuation." hidden="1">{"Full EBITDA valuation",#N/A,FALSE,"Value"}</definedName>
    <definedName name="wrn.Full._.Report." localSheetId="1" hidden="1">{"Assumptions",#N/A,FALSE,"Sheet1";"Main Report",#N/A,FALSE,"Sheet1";"Results",#N/A,FALSE,"Sheet1";"Advances",#N/A,FALSE,"Sheet1"}</definedName>
    <definedName name="wrn.Full._.Report." localSheetId="3" hidden="1">{"Assumptions",#N/A,FALSE,"Sheet1";"Main Report",#N/A,FALSE,"Sheet1";"Results",#N/A,FALSE,"Sheet1";"Advances",#N/A,FALSE,"Sheet1"}</definedName>
    <definedName name="wrn.Full._.Report." hidden="1">{"Assumptions",#N/A,FALSE,"Sheet1";"Main Report",#N/A,FALSE,"Sheet1";"Results",#N/A,FALSE,"Sheet1";"Advances",#N/A,FALSE,"Sheet1"}</definedName>
    <definedName name="wrn.Full._.Report._1" localSheetId="1" hidden="1">{"Assumptions",#N/A,FALSE,"Sheet1";"Main Report",#N/A,FALSE,"Sheet1";"Results",#N/A,FALSE,"Sheet1";"Advances",#N/A,FALSE,"Sheet1"}</definedName>
    <definedName name="wrn.Full._.Report._1" localSheetId="3" hidden="1">{"Assumptions",#N/A,FALSE,"Sheet1";"Main Report",#N/A,FALSE,"Sheet1";"Results",#N/A,FALSE,"Sheet1";"Advances",#N/A,FALSE,"Sheet1"}</definedName>
    <definedName name="wrn.Full._.Report._1" hidden="1">{"Assumptions",#N/A,FALSE,"Sheet1";"Main Report",#N/A,FALSE,"Sheet1";"Results",#N/A,FALSE,"Sheet1";"Advances",#N/A,FALSE,"Sheet1"}</definedName>
    <definedName name="wrn.Full._.Report._2" localSheetId="1" hidden="1">{"Assumptions",#N/A,FALSE,"Sheet1";"Main Report",#N/A,FALSE,"Sheet1";"Results",#N/A,FALSE,"Sheet1";"Advances",#N/A,FALSE,"Sheet1"}</definedName>
    <definedName name="wrn.Full._.Report._2" localSheetId="3" hidden="1">{"Assumptions",#N/A,FALSE,"Sheet1";"Main Report",#N/A,FALSE,"Sheet1";"Results",#N/A,FALSE,"Sheet1";"Advances",#N/A,FALSE,"Sheet1"}</definedName>
    <definedName name="wrn.Full._.Report._2" hidden="1">{"Assumptions",#N/A,FALSE,"Sheet1";"Main Report",#N/A,FALSE,"Sheet1";"Results",#N/A,FALSE,"Sheet1";"Advances",#N/A,FALSE,"Sheet1"}</definedName>
    <definedName name="wrn.full._report_CWN" localSheetId="1" hidden="1">{"Assumptions",#N/A,FALSE,"Sheet1";"Main Report",#N/A,FALSE,"Sheet1";"Results",#N/A,FALSE,"Sheet1";"Advances",#N/A,FALSE,"Sheet1"}</definedName>
    <definedName name="wrn.full._report_CWN" localSheetId="3" hidden="1">{"Assumptions",#N/A,FALSE,"Sheet1";"Main Report",#N/A,FALSE,"Sheet1";"Results",#N/A,FALSE,"Sheet1";"Advances",#N/A,FALSE,"Sheet1"}</definedName>
    <definedName name="wrn.full._report_CWN" hidden="1">{"Assumptions",#N/A,FALSE,"Sheet1";"Main Report",#N/A,FALSE,"Sheet1";"Results",#N/A,FALSE,"Sheet1";"Advances",#N/A,FALSE,"Sheet1"}</definedName>
    <definedName name="wrn.Full_Client." localSheetId="1" hidden="1">{"Full_Year",#N/A,FALSE,"PE1_S";"Automotive",#N/A,FALSE,"Auto_EBIT";#N/A,#N/A,FALSE,"Industrial_EBIT";#N/A,#N/A,FALSE,"Webforge_EBIT"}</definedName>
    <definedName name="wrn.Full_Client." localSheetId="3" hidden="1">{"Full_Year",#N/A,FALSE,"PE1_S";"Automotive",#N/A,FALSE,"Auto_EBIT";#N/A,#N/A,FALSE,"Industrial_EBIT";#N/A,#N/A,FALSE,"Webforge_EBIT"}</definedName>
    <definedName name="wrn.Full_Client." hidden="1">{"Full_Year",#N/A,FALSE,"PE1_S";"Automotive",#N/A,FALSE,"Auto_EBIT";#N/A,#N/A,FALSE,"Industrial_EBIT";#N/A,#N/A,FALSE,"Webforge_EBIT"}</definedName>
    <definedName name="wrn.Full_Client._1" localSheetId="1" hidden="1">{"Full_Year",#N/A,FALSE,"PE1_S";"Automotive",#N/A,FALSE,"Auto_EBIT";#N/A,#N/A,FALSE,"Industrial_EBIT";#N/A,#N/A,FALSE,"Webforge_EBIT"}</definedName>
    <definedName name="wrn.Full_Client._1" localSheetId="3" hidden="1">{"Full_Year",#N/A,FALSE,"PE1_S";"Automotive",#N/A,FALSE,"Auto_EBIT";#N/A,#N/A,FALSE,"Industrial_EBIT";#N/A,#N/A,FALSE,"Webforge_EBIT"}</definedName>
    <definedName name="wrn.Full_Client._1" hidden="1">{"Full_Year",#N/A,FALSE,"PE1_S";"Automotive",#N/A,FALSE,"Auto_EBIT";#N/A,#N/A,FALSE,"Industrial_EBIT";#N/A,#N/A,FALSE,"Webforge_EBIT"}</definedName>
    <definedName name="wrn.Full_Client._2" localSheetId="1" hidden="1">{"Full_Year",#N/A,FALSE,"PE1_S";"Automotive",#N/A,FALSE,"Auto_EBIT";#N/A,#N/A,FALSE,"Industrial_EBIT";#N/A,#N/A,FALSE,"Webforge_EBIT"}</definedName>
    <definedName name="wrn.Full_Client._2" localSheetId="3" hidden="1">{"Full_Year",#N/A,FALSE,"PE1_S";"Automotive",#N/A,FALSE,"Auto_EBIT";#N/A,#N/A,FALSE,"Industrial_EBIT";#N/A,#N/A,FALSE,"Webforge_EBIT"}</definedName>
    <definedName name="wrn.Full_Client._2" hidden="1">{"Full_Year",#N/A,FALSE,"PE1_S";"Automotive",#N/A,FALSE,"Auto_EBIT";#N/A,#N/A,FALSE,"Industrial_EBIT";#N/A,#N/A,FALSE,"Webforge_EBIT"}</definedName>
    <definedName name="wrn.full_client_CWN" localSheetId="1" hidden="1">{"Full_Year",#N/A,FALSE,"PE1_S";"Automotive",#N/A,FALSE,"Auto_EBIT";#N/A,#N/A,FALSE,"Industrial_EBIT";#N/A,#N/A,FALSE,"Webforge_EBIT"}</definedName>
    <definedName name="wrn.full_client_CWN" localSheetId="3" hidden="1">{"Full_Year",#N/A,FALSE,"PE1_S";"Automotive",#N/A,FALSE,"Auto_EBIT";#N/A,#N/A,FALSE,"Industrial_EBIT";#N/A,#N/A,FALSE,"Webforge_EBIT"}</definedName>
    <definedName name="wrn.full_client_CWN" hidden="1">{"Full_Year",#N/A,FALSE,"PE1_S";"Automotive",#N/A,FALSE,"Auto_EBIT";#N/A,#N/A,FALSE,"Industrial_EBIT";#N/A,#N/A,FALSE,"Webforge_EBIT"}</definedName>
    <definedName name="wrn.Full_Model." localSheetId="1" hidden="1">{"Full_Year",#N/A,FALSE,"P&amp;L";#N/A,#N/A,FALSE,"C_flow_EPS";"B_Sheet",#N/A,FALSE,"B_Sheet";"Detail",#N/A,FALSE,"Fert. &amp; Chem.";#N/A,#N/A,FALSE,"Energy";"Merch_Summary",#N/A,FALSE,"Bunnings";"Warehouse",#N/A,FALSE,"Bunnings";"Forestry",#N/A,FALSE,"Bunnings";#N/A,#N/A,FALSE,"Rural"}</definedName>
    <definedName name="wrn.Full_Model." localSheetId="3" hidden="1">{"Full_Year",#N/A,FALSE,"P&amp;L";#N/A,#N/A,FALSE,"C_flow_EPS";"B_Sheet",#N/A,FALSE,"B_Sheet";"Detail",#N/A,FALSE,"Fert. &amp; Chem.";#N/A,#N/A,FALSE,"Energy";"Merch_Summary",#N/A,FALSE,"Bunnings";"Warehouse",#N/A,FALSE,"Bunnings";"Forestry",#N/A,FALSE,"Bunnings";#N/A,#N/A,FALSE,"Rural"}</definedName>
    <definedName name="wrn.Full_Model." hidden="1">{"Full_Year",#N/A,FALSE,"P&amp;L";#N/A,#N/A,FALSE,"C_flow_EPS";"B_Sheet",#N/A,FALSE,"B_Sheet";"Detail",#N/A,FALSE,"Fert. &amp; Chem.";#N/A,#N/A,FALSE,"Energy";"Merch_Summary",#N/A,FALSE,"Bunnings";"Warehouse",#N/A,FALSE,"Bunnings";"Forestry",#N/A,FALSE,"Bunnings";#N/A,#N/A,FALSE,"Rural"}</definedName>
    <definedName name="wrn.IGT._.Model." localSheetId="1" hidden="1">{#N/A,#N/A,TRUE,"IGT";#N/A,#N/A,TRUE,"IGTSLOT"}</definedName>
    <definedName name="wrn.IGT._.Model." localSheetId="3" hidden="1">{#N/A,#N/A,TRUE,"IGT";#N/A,#N/A,TRUE,"IGTSLOT"}</definedName>
    <definedName name="wrn.IGT._.Model." hidden="1">{#N/A,#N/A,TRUE,"IGT";#N/A,#N/A,TRUE,"IGTSLOT"}</definedName>
    <definedName name="wrn.input._.and._.output." localSheetId="1"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3" hidden="1">{"EBITDA",#N/A,TRUE,"P&amp;L Net of Disc Ops";"output net of disc ops",#N/A,TRUE,"Revenue";"input",#N/A,TRUE,"Revenue";"output",#N/A,TRUE,"DC";"Input",#N/A,TRUE,"DC";"MTN and MCN",#N/A,TRUE,"Margin";"output detail line items",#N/A,TRUE,"SGA";"personnel by year",#N/A,TRUE,"Payroll";#N/A,#N/A,TRUE,"CapEx"}</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put._.and._.output._1" localSheetId="1" hidden="1">{"EBITDA",#N/A,TRUE,"P&amp;L Net of Disc Ops";"output net of disc ops",#N/A,TRUE,"Revenue";"input",#N/A,TRUE,"Revenue";"output",#N/A,TRUE,"DC";"Input",#N/A,TRUE,"DC";"MTN and MCN",#N/A,TRUE,"Margin";"output detail line items",#N/A,TRUE,"SGA";"personnel by year",#N/A,TRUE,"Payroll";#N/A,#N/A,TRUE,"CapEx"}</definedName>
    <definedName name="wrn.input._.and._.output._1" localSheetId="3" hidden="1">{"EBITDA",#N/A,TRUE,"P&amp;L Net of Disc Ops";"output net of disc ops",#N/A,TRUE,"Revenue";"input",#N/A,TRUE,"Revenue";"output",#N/A,TRUE,"DC";"Input",#N/A,TRUE,"DC";"MTN and MCN",#N/A,TRUE,"Margin";"output detail line items",#N/A,TRUE,"SGA";"personnel by year",#N/A,TRUE,"Payroll";#N/A,#N/A,TRUE,"CapEx"}</definedName>
    <definedName name="wrn.input._.and._.output._1" hidden="1">{"EBITDA",#N/A,TRUE,"P&amp;L Net of Disc Ops";"output net of disc ops",#N/A,TRUE,"Revenue";"input",#N/A,TRUE,"Revenue";"output",#N/A,TRUE,"DC";"Input",#N/A,TRUE,"DC";"MTN and MCN",#N/A,TRUE,"Margin";"output detail line items",#N/A,TRUE,"SGA";"personnel by year",#N/A,TRUE,"Payroll";#N/A,#N/A,TRUE,"CapEx"}</definedName>
    <definedName name="wrn.input._.and._.output._2" localSheetId="1" hidden="1">{"EBITDA",#N/A,TRUE,"P&amp;L Net of Disc Ops";"output net of disc ops",#N/A,TRUE,"Revenue";"input",#N/A,TRUE,"Revenue";"output",#N/A,TRUE,"DC";"Input",#N/A,TRUE,"DC";"MTN and MCN",#N/A,TRUE,"Margin";"output detail line items",#N/A,TRUE,"SGA";"personnel by year",#N/A,TRUE,"Payroll";#N/A,#N/A,TRUE,"CapEx"}</definedName>
    <definedName name="wrn.input._.and._.output._2" localSheetId="3" hidden="1">{"EBITDA",#N/A,TRUE,"P&amp;L Net of Disc Ops";"output net of disc ops",#N/A,TRUE,"Revenue";"input",#N/A,TRUE,"Revenue";"output",#N/A,TRUE,"DC";"Input",#N/A,TRUE,"DC";"MTN and MCN",#N/A,TRUE,"Margin";"output detail line items",#N/A,TRUE,"SGA";"personnel by year",#N/A,TRUE,"Payroll";#N/A,#N/A,TRUE,"CapEx"}</definedName>
    <definedName name="wrn.input._.and._.output._2"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3" hidden="1">{"EBITDA",#N/A,TRUE,"P&amp;L Net of Disc Ops";"output net of disc ops",#N/A,TRUE,"Revenue";"input",#N/A,TRUE,"Revenue";"output",#N/A,TRUE,"DC";"Input",#N/A,TRUE,"DC";"MTN and MCN",#N/A,TRUE,"Margin";"output detail line items",#N/A,TRUE,"SGA";"personnel by year",#N/A,TRUE,"Payroll";#N/A,#N/A,TRUE,"CapEx"}</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Level._.4." localSheetId="1" hidden="1">{#N/A,#N/A,FALSE,"Income";#N/A,#N/A,FALSE,"EPS";#N/A,#N/A,FALSE,"CashFlow";#N/A,#N/A,FALSE,"Quarterly";#N/A,#N/A,FALSE,"Dividend";#N/A,#N/A,FALSE,"DetailedRegional";#N/A,#N/A,FALSE,"Return On Equity";#N/A,#N/A,FALSE,"Financials &amp; Ratios";#N/A,#N/A,FALSE,"Other";#N/A,#N/A,FALSE,"Inventory"}</definedName>
    <definedName name="wrn.Level._.4." localSheetId="3" hidden="1">{#N/A,#N/A,FALSE,"Income";#N/A,#N/A,FALSE,"EPS";#N/A,#N/A,FALSE,"CashFlow";#N/A,#N/A,FALSE,"Quarterly";#N/A,#N/A,FALSE,"Dividend";#N/A,#N/A,FALSE,"DetailedRegional";#N/A,#N/A,FALSE,"Return On Equity";#N/A,#N/A,FALSE,"Financials &amp; Ratios";#N/A,#N/A,FALSE,"Other";#N/A,#N/A,FALSE,"Inventory"}</definedName>
    <definedName name="wrn.Level._.4." hidden="1">{#N/A,#N/A,FALSE,"Income";#N/A,#N/A,FALSE,"EPS";#N/A,#N/A,FALSE,"CashFlow";#N/A,#N/A,FALSE,"Quarterly";#N/A,#N/A,FALSE,"Dividend";#N/A,#N/A,FALSE,"DetailedRegional";#N/A,#N/A,FALSE,"Return On Equity";#N/A,#N/A,FALSE,"Financials &amp; Ratios";#N/A,#N/A,FALSE,"Other";#N/A,#N/A,FALSE,"Inventory"}</definedName>
    <definedName name="wrn.Level._.4._1" localSheetId="1" hidden="1">{#N/A,#N/A,FALSE,"Income";#N/A,#N/A,FALSE,"EPS";#N/A,#N/A,FALSE,"CashFlow";#N/A,#N/A,FALSE,"Quarterly";#N/A,#N/A,FALSE,"Dividend";#N/A,#N/A,FALSE,"DetailedRegional";#N/A,#N/A,FALSE,"Return On Equity";#N/A,#N/A,FALSE,"Financials &amp; Ratios";#N/A,#N/A,FALSE,"Other";#N/A,#N/A,FALSE,"Inventory"}</definedName>
    <definedName name="wrn.Level._.4._1" localSheetId="3" hidden="1">{#N/A,#N/A,FALSE,"Income";#N/A,#N/A,FALSE,"EPS";#N/A,#N/A,FALSE,"CashFlow";#N/A,#N/A,FALSE,"Quarterly";#N/A,#N/A,FALSE,"Dividend";#N/A,#N/A,FALSE,"DetailedRegional";#N/A,#N/A,FALSE,"Return On Equity";#N/A,#N/A,FALSE,"Financials &amp; Ratios";#N/A,#N/A,FALSE,"Other";#N/A,#N/A,FALSE,"Inventory"}</definedName>
    <definedName name="wrn.Level._.4._1" hidden="1">{#N/A,#N/A,FALSE,"Income";#N/A,#N/A,FALSE,"EPS";#N/A,#N/A,FALSE,"CashFlow";#N/A,#N/A,FALSE,"Quarterly";#N/A,#N/A,FALSE,"Dividend";#N/A,#N/A,FALSE,"DetailedRegional";#N/A,#N/A,FALSE,"Return On Equity";#N/A,#N/A,FALSE,"Financials &amp; Ratios";#N/A,#N/A,FALSE,"Other";#N/A,#N/A,FALSE,"Inventory"}</definedName>
    <definedName name="wrn.Level._.4._2" localSheetId="1" hidden="1">{#N/A,#N/A,FALSE,"Income";#N/A,#N/A,FALSE,"EPS";#N/A,#N/A,FALSE,"CashFlow";#N/A,#N/A,FALSE,"Quarterly";#N/A,#N/A,FALSE,"Dividend";#N/A,#N/A,FALSE,"DetailedRegional";#N/A,#N/A,FALSE,"Return On Equity";#N/A,#N/A,FALSE,"Financials &amp; Ratios";#N/A,#N/A,FALSE,"Other";#N/A,#N/A,FALSE,"Inventory"}</definedName>
    <definedName name="wrn.Level._.4._2" localSheetId="3" hidden="1">{#N/A,#N/A,FALSE,"Income";#N/A,#N/A,FALSE,"EPS";#N/A,#N/A,FALSE,"CashFlow";#N/A,#N/A,FALSE,"Quarterly";#N/A,#N/A,FALSE,"Dividend";#N/A,#N/A,FALSE,"DetailedRegional";#N/A,#N/A,FALSE,"Return On Equity";#N/A,#N/A,FALSE,"Financials &amp; Ratios";#N/A,#N/A,FALSE,"Other";#N/A,#N/A,FALSE,"Inventory"}</definedName>
    <definedName name="wrn.Level._.4._2" hidden="1">{#N/A,#N/A,FALSE,"Income";#N/A,#N/A,FALSE,"EPS";#N/A,#N/A,FALSE,"CashFlow";#N/A,#N/A,FALSE,"Quarterly";#N/A,#N/A,FALSE,"Dividend";#N/A,#N/A,FALSE,"DetailedRegional";#N/A,#N/A,FALSE,"Return On Equity";#N/A,#N/A,FALSE,"Financials &amp; Ratios";#N/A,#N/A,FALSE,"Other";#N/A,#N/A,FALSE,"Inventory"}</definedName>
    <definedName name="wrn.Lodging." localSheetId="1" hidden="1">{#N/A,#N/A,FALSE,"EPS";#N/A,#N/A,FALSE,"EBITDA"}</definedName>
    <definedName name="wrn.Lodging." localSheetId="3" hidden="1">{#N/A,#N/A,FALSE,"EPS";#N/A,#N/A,FALSE,"EBITDA"}</definedName>
    <definedName name="wrn.Lodging." hidden="1">{#N/A,#N/A,FALSE,"EPS";#N/A,#N/A,FALSE,"EBITDA"}</definedName>
    <definedName name="wrn.Main._.Report._.All._.Sections." localSheetId="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1" localSheetId="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1" localSheetId="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2" localSheetId="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2" localSheetId="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irBellagio." localSheetId="1" hidden="1">{#N/A,#N/A,FALSE,"MIR";#N/A,#N/A,FALSE,"NYNY"}</definedName>
    <definedName name="wrn.mirBellagio." localSheetId="3" hidden="1">{#N/A,#N/A,FALSE,"MIR";#N/A,#N/A,FALSE,"NYNY"}</definedName>
    <definedName name="wrn.mirBellagio." hidden="1">{#N/A,#N/A,FALSE,"MIR";#N/A,#N/A,FALSE,"NYNY"}</definedName>
    <definedName name="wrn.Model." localSheetId="1" hidden="1">{#N/A,#N/A,FALSE,"PRH";#N/A,#N/A,FALSE,"Units"}</definedName>
    <definedName name="wrn.Model." localSheetId="3" hidden="1">{#N/A,#N/A,FALSE,"PRH";#N/A,#N/A,FALSE,"Units"}</definedName>
    <definedName name="wrn.Model." hidden="1">{#N/A,#N/A,FALSE,"PRH";#N/A,#N/A,FALSE,"Units"}</definedName>
    <definedName name="wrn.Model._.Level._.3." localSheetId="1" hidden="1">{"Income (All hidden)",#N/A,FALSE,"Income";"EPS (All Hidden)",#N/A,FALSE,"EPS";"EPS (All Hidden)",#N/A,FALSE,"CashFlow";"Quarterly (Last, Current and Next)",#N/A,FALSE,"Quarterly"}</definedName>
    <definedName name="wrn.Model._.Level._.3." localSheetId="3" hidden="1">{"Income (All hidden)",#N/A,FALSE,"Income";"EPS (All Hidden)",#N/A,FALSE,"EPS";"EPS (All Hidden)",#N/A,FALSE,"CashFlow";"Quarterly (Last, Current and Next)",#N/A,FALSE,"Quarterly"}</definedName>
    <definedName name="wrn.Model._.Level._.3." hidden="1">{"Income (All hidden)",#N/A,FALSE,"Income";"EPS (All Hidden)",#N/A,FALSE,"EPS";"EPS (All Hidden)",#N/A,FALSE,"CashFlow";"Quarterly (Last, Current and Next)",#N/A,FALSE,"Quarterly"}</definedName>
    <definedName name="wrn.Model._.Level._.3._1" localSheetId="1" hidden="1">{"Income (All hidden)",#N/A,FALSE,"Income";"EPS (All Hidden)",#N/A,FALSE,"EPS";"EPS (All Hidden)",#N/A,FALSE,"CashFlow";"Quarterly (Last, Current and Next)",#N/A,FALSE,"Quarterly"}</definedName>
    <definedName name="wrn.Model._.Level._.3._1" localSheetId="3" hidden="1">{"Income (All hidden)",#N/A,FALSE,"Income";"EPS (All Hidden)",#N/A,FALSE,"EPS";"EPS (All Hidden)",#N/A,FALSE,"CashFlow";"Quarterly (Last, Current and Next)",#N/A,FALSE,"Quarterly"}</definedName>
    <definedName name="wrn.Model._.Level._.3._1" hidden="1">{"Income (All hidden)",#N/A,FALSE,"Income";"EPS (All Hidden)",#N/A,FALSE,"EPS";"EPS (All Hidden)",#N/A,FALSE,"CashFlow";"Quarterly (Last, Current and Next)",#N/A,FALSE,"Quarterly"}</definedName>
    <definedName name="wrn.Model._.Level._.3._2" localSheetId="1" hidden="1">{"Income (All hidden)",#N/A,FALSE,"Income";"EPS (All Hidden)",#N/A,FALSE,"EPS";"EPS (All Hidden)",#N/A,FALSE,"CashFlow";"Quarterly (Last, Current and Next)",#N/A,FALSE,"Quarterly"}</definedName>
    <definedName name="wrn.Model._.Level._.3._2" localSheetId="3" hidden="1">{"Income (All hidden)",#N/A,FALSE,"Income";"EPS (All Hidden)",#N/A,FALSE,"EPS";"EPS (All Hidden)",#N/A,FALSE,"CashFlow";"Quarterly (Last, Current and Next)",#N/A,FALSE,"Quarterly"}</definedName>
    <definedName name="wrn.Model._.Level._.3._2" hidden="1">{"Income (All hidden)",#N/A,FALSE,"Income";"EPS (All Hidden)",#N/A,FALSE,"EPS";"EPS (All Hidden)",#N/A,FALSE,"CashFlow";"Quarterly (Last, Current and Next)",#N/A,FALSE,"Quarterly"}</definedName>
    <definedName name="wrn.monthly." localSheetId="1" hidden="1">{#N/A,#N/A,FALSE,"Running Total";#N/A,#N/A,FALSE,"Oct 96";#N/A,#N/A,FALSE,"Nov 96";#N/A,#N/A,FALSE,"Dec 96";#N/A,#N/A,FALSE,"Jan 97";#N/A,#N/A,FALSE,"Feb 97";#N/A,#N/A,FALSE,"Mar 97";#N/A,#N/A,FALSE,"Apr 97";#N/A,#N/A,FALSE,"May 97";#N/A,#N/A,FALSE,"June 97";#N/A,#N/A,FALSE,"July 97"}</definedName>
    <definedName name="wrn.monthly." localSheetId="3" hidden="1">{#N/A,#N/A,FALSE,"Running Total";#N/A,#N/A,FALSE,"Oct 96";#N/A,#N/A,FALSE,"Nov 96";#N/A,#N/A,FALSE,"Dec 96";#N/A,#N/A,FALSE,"Jan 97";#N/A,#N/A,FALSE,"Feb 97";#N/A,#N/A,FALSE,"Mar 97";#N/A,#N/A,FALSE,"Apr 97";#N/A,#N/A,FALSE,"May 97";#N/A,#N/A,FALSE,"June 97";#N/A,#N/A,FALSE,"July 97"}</definedName>
    <definedName name="wrn.monthly." hidden="1">{#N/A,#N/A,FALSE,"Running Total";#N/A,#N/A,FALSE,"Oct 96";#N/A,#N/A,FALSE,"Nov 96";#N/A,#N/A,FALSE,"Dec 96";#N/A,#N/A,FALSE,"Jan 97";#N/A,#N/A,FALSE,"Feb 97";#N/A,#N/A,FALSE,"Mar 97";#N/A,#N/A,FALSE,"Apr 97";#N/A,#N/A,FALSE,"May 97";#N/A,#N/A,FALSE,"June 97";#N/A,#N/A,FALSE,"July 97"}</definedName>
    <definedName name="wrn.pres." localSheetId="1" hidden="1">{#N/A,#N/A,FALSE,"Major v. River";#N/A,#N/A,FALSE,"Industry";#N/A,#N/A,FALSE,"Large Operators";#N/A,#N/A,FALSE,"Smaller Operators";#N/A,#N/A,FALSE,"Equip. Supply";#N/A,#N/A,FALSE,"EBITDA";#N/A,#N/A,FALSE,"States";#N/A,#N/A,FALSE,"LV Detail"}</definedName>
    <definedName name="wrn.pres." localSheetId="3" hidden="1">{#N/A,#N/A,FALSE,"Major v. River";#N/A,#N/A,FALSE,"Industry";#N/A,#N/A,FALSE,"Large Operators";#N/A,#N/A,FALSE,"Smaller Operators";#N/A,#N/A,FALSE,"Equip. Supply";#N/A,#N/A,FALSE,"EBITDA";#N/A,#N/A,FALSE,"States";#N/A,#N/A,FALSE,"LV Detail"}</definedName>
    <definedName name="wrn.pres." hidden="1">{#N/A,#N/A,FALSE,"Major v. River";#N/A,#N/A,FALSE,"Industry";#N/A,#N/A,FALSE,"Large Operators";#N/A,#N/A,FALSE,"Smaller Operators";#N/A,#N/A,FALSE,"Equip. Supply";#N/A,#N/A,FALSE,"EBITDA";#N/A,#N/A,FALSE,"States";#N/A,#N/A,FALSE,"LV Detail"}</definedName>
    <definedName name="wrn.pres97." localSheetId="1"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localSheetId="3"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int." localSheetId="1" hidden="1">{"Cashflow",#N/A,FALSE,"CASHFLOW";"DCF",#N/A,FALSE,"CASHFLOW"}</definedName>
    <definedName name="wrn.Print." localSheetId="3" hidden="1">{"Cashflow",#N/A,FALSE,"CASHFLOW";"DCF",#N/A,FALSE,"CASHFLOW"}</definedName>
    <definedName name="wrn.Print." hidden="1">{"Cashflow",#N/A,FALSE,"CASHFLOW";"DCF",#N/A,FALSE,"CASHFLOW"}</definedName>
    <definedName name="wrn.Q2._.Press._.Release." localSheetId="1" hidden="1">{"Q2_STMT_INC_PR",#N/A,FALSE,"STMT OF INC";"Q2 SUPPL INFO PR",#N/A,FALSE,"SUPPL INFO"}</definedName>
    <definedName name="wrn.Q2._.Press._.Release." localSheetId="3" hidden="1">{"Q2_STMT_INC_PR",#N/A,FALSE,"STMT OF INC";"Q2 SUPPL INFO PR",#N/A,FALSE,"SUPPL INFO"}</definedName>
    <definedName name="wrn.Q2._.Press._.Release." hidden="1">{"Q2_STMT_INC_PR",#N/A,FALSE,"STMT OF INC";"Q2 SUPPL INFO PR",#N/A,FALSE,"SUPPL INFO"}</definedName>
    <definedName name="wrn.Report." localSheetId="1" hidden="1">{"Cashflow",#N/A,FALSE,"CASHFLOW";"DCF",#N/A,FALSE,"CASHFLOW"}</definedName>
    <definedName name="wrn.Report." localSheetId="3" hidden="1">{"Cashflow",#N/A,FALSE,"CASHFLOW";"DCF",#N/A,FALSE,"CASHFLOW"}</definedName>
    <definedName name="wrn.Report." hidden="1">{"Cashflow",#N/A,FALSE,"CASHFLOW";"DCF",#N/A,FALSE,"CASHFLOW"}</definedName>
    <definedName name="wrn.Revenue._.Details." localSheetId="1" hidden="1">{"Revenue by Industry Chart",#N/A,FALSE,"Mix";"Annual Revenue Detail",#N/A,FALSE,"Mix";"Quarterly Revenue Detail",#N/A,FALSE,"Mix"}</definedName>
    <definedName name="wrn.Revenue._.Details." localSheetId="3" hidden="1">{"Revenue by Industry Chart",#N/A,FALSE,"Mix";"Annual Revenue Detail",#N/A,FALSE,"Mix";"Quarterly Revenue Detail",#N/A,FALSE,"Mix"}</definedName>
    <definedName name="wrn.Revenue._.Details." hidden="1">{"Revenue by Industry Chart",#N/A,FALSE,"Mix";"Annual Revenue Detail",#N/A,FALSE,"Mix";"Quarterly Revenue Detail",#N/A,FALSE,"Mix"}</definedName>
    <definedName name="wrn.Summary." localSheetId="1" hidden="1">{"Print Summary",#N/A,FALSE,"Bal_Graphs";"Print Summary",#N/A,FALSE,"DCF";"Print Summary",#N/A,FALSE,"Graphs";"Print Summary",#N/A,FALSE,"Summary"}</definedName>
    <definedName name="wrn.Summary." localSheetId="3" hidden="1">{"Print Summary",#N/A,FALSE,"Bal_Graphs";"Print Summary",#N/A,FALSE,"DCF";"Print Summary",#N/A,FALSE,"Graphs";"Print Summary",#N/A,FALSE,"Summary"}</definedName>
    <definedName name="wrn.Summary." hidden="1">{"Print Summary",#N/A,FALSE,"Bal_Graphs";"Print Summary",#N/A,FALSE,"DCF";"Print Summary",#N/A,FALSE,"Graphs";"Print Summary",#N/A,FALSE,"Summary"}</definedName>
    <definedName name="wrn.Summary._1" localSheetId="1" hidden="1">{"Print Summary",#N/A,FALSE,"Bal_Graphs";"Print Summary",#N/A,FALSE,"DCF";"Print Summary",#N/A,FALSE,"Graphs";"Print Summary",#N/A,FALSE,"Summary"}</definedName>
    <definedName name="wrn.Summary._1" localSheetId="3" hidden="1">{"Print Summary",#N/A,FALSE,"Bal_Graphs";"Print Summary",#N/A,FALSE,"DCF";"Print Summary",#N/A,FALSE,"Graphs";"Print Summary",#N/A,FALSE,"Summary"}</definedName>
    <definedName name="wrn.Summary._1" hidden="1">{"Print Summary",#N/A,FALSE,"Bal_Graphs";"Print Summary",#N/A,FALSE,"DCF";"Print Summary",#N/A,FALSE,"Graphs";"Print Summary",#N/A,FALSE,"Summary"}</definedName>
    <definedName name="wrn.Summary._2" localSheetId="1" hidden="1">{"Print Summary",#N/A,FALSE,"Bal_Graphs";"Print Summary",#N/A,FALSE,"DCF";"Print Summary",#N/A,FALSE,"Graphs";"Print Summary",#N/A,FALSE,"Summary"}</definedName>
    <definedName name="wrn.Summary._2" localSheetId="3" hidden="1">{"Print Summary",#N/A,FALSE,"Bal_Graphs";"Print Summary",#N/A,FALSE,"DCF";"Print Summary",#N/A,FALSE,"Graphs";"Print Summary",#N/A,FALSE,"Summary"}</definedName>
    <definedName name="wrn.Summary._2" hidden="1">{"Print Summary",#N/A,FALSE,"Bal_Graphs";"Print Summary",#N/A,FALSE,"DCF";"Print Summary",#N/A,FALSE,"Graphs";"Print Summary",#N/A,FALSE,"Summary"}</definedName>
    <definedName name="wrn.summary_CWN" localSheetId="1" hidden="1">{"Print Summary",#N/A,FALSE,"Bal_Graphs";"Print Summary",#N/A,FALSE,"DCF";"Print Summary",#N/A,FALSE,"Graphs";"Print Summary",#N/A,FALSE,"Summary"}</definedName>
    <definedName name="wrn.summary_CWN" localSheetId="3" hidden="1">{"Print Summary",#N/A,FALSE,"Bal_Graphs";"Print Summary",#N/A,FALSE,"DCF";"Print Summary",#N/A,FALSE,"Graphs";"Print Summary",#N/A,FALSE,"Summary"}</definedName>
    <definedName name="wrn.summary_CWN" hidden="1">{"Print Summary",#N/A,FALSE,"Bal_Graphs";"Print Summary",#N/A,FALSE,"DCF";"Print Summary",#N/A,FALSE,"Graphs";"Print Summary",#N/A,FALSE,"Summary"}</definedName>
    <definedName name="wrn.SunModel." localSheetId="1" hidden="1">{#N/A,#N/A,FALSE,"summary";#N/A,#N/A,FALSE,"SIH";#N/A,#N/A,FALSE,"SIH Value";#N/A,#N/A,FALSE,"tax est.";#N/A,#N/A,FALSE,"Mohegan";#N/A,#N/A,FALSE,"Resorts";#N/A,#N/A,FALSE,"Win Per Day";#N/A,#N/A,FALSE,"CapStr"}</definedName>
    <definedName name="wrn.SunModel." localSheetId="3" hidden="1">{#N/A,#N/A,FALSE,"summary";#N/A,#N/A,FALSE,"SIH";#N/A,#N/A,FALSE,"SIH Value";#N/A,#N/A,FALSE,"tax est.";#N/A,#N/A,FALSE,"Mohegan";#N/A,#N/A,FALSE,"Resorts";#N/A,#N/A,FALSE,"Win Per Day";#N/A,#N/A,FALSE,"CapStr"}</definedName>
    <definedName name="wrn.SunModel." hidden="1">{#N/A,#N/A,FALSE,"summary";#N/A,#N/A,FALSE,"SIH";#N/A,#N/A,FALSE,"SIH Value";#N/A,#N/A,FALSE,"tax est.";#N/A,#N/A,FALSE,"Mohegan";#N/A,#N/A,FALSE,"Resorts";#N/A,#N/A,FALSE,"Win Per Day";#N/A,#N/A,FALSE,"CapStr"}</definedName>
    <definedName name="wrn.Test." localSheetId="1" hidden="1">{"Detail",#N/A,FALSE,"FULLESTI";#N/A,#N/A,FALSE,"USMEDCOY"}</definedName>
    <definedName name="wrn.Test." localSheetId="3" hidden="1">{"Detail",#N/A,FALSE,"FULLESTI";#N/A,#N/A,FALSE,"USMEDCOY"}</definedName>
    <definedName name="wrn.Test." hidden="1">{"Detail",#N/A,FALSE,"FULLESTI";#N/A,#N/A,FALSE,"USMEDCOY"}</definedName>
    <definedName name="wrn.Variance._.Q4" localSheetId="1" hidden="1">{"Variance Q4",#N/A,FALSE,"Var"}</definedName>
    <definedName name="wrn.Variance._.Q4" localSheetId="3" hidden="1">{"Variance Q4",#N/A,FALSE,"Var"}</definedName>
    <definedName name="wrn.Variance._.Q4" hidden="1">{"Variance Q4",#N/A,FALSE,"Var"}</definedName>
    <definedName name="wrn.weekly." localSheetId="1" hidden="1">{#N/A,#N/A,FALSE,"Large Operators";#N/A,#N/A,FALSE,"Smaller Operators";#N/A,#N/A,FALSE,"Equip. Supply";#N/A,#N/A,FALSE,"EBITDA";#N/A,#N/A,FALSE,"perform"}</definedName>
    <definedName name="wrn.weekly." localSheetId="3" hidden="1">{#N/A,#N/A,FALSE,"Large Operators";#N/A,#N/A,FALSE,"Smaller Operators";#N/A,#N/A,FALSE,"Equip. Supply";#N/A,#N/A,FALSE,"EBITDA";#N/A,#N/A,FALSE,"perform"}</definedName>
    <definedName name="wrn.weekly." hidden="1">{#N/A,#N/A,FALSE,"Large Operators";#N/A,#N/A,FALSE,"Smaller Operators";#N/A,#N/A,FALSE,"Equip. Supply";#N/A,#N/A,FALSE,"EBITDA";#N/A,#N/A,FALSE,"perform"}</definedName>
    <definedName name="wrn.year._.end." localSheetId="1"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year._.end." localSheetId="3"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year._.end."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main_report_all_sections" localSheetId="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vu.B_Sheet." localSheetId="1" hidden="1">{TRUE,TRUE,-1.25,-15.5,604.5,366.75,FALSE,TRUE,TRUE,TRUE,0,1,#N/A,1,65,17.1333333333333,4,3,FALSE,TRUE,3,TRUE,1,FALSE,75,"Swvu.B_Sheet.","ACwvu.B_Sheet.",#N/A,FALSE,FALSE,0.748031496062992,0.748031496062992,0.984251968503937,0.984251968503937,1,"","&amp;C&amp;""Helvetica,Regular""&amp;10J B Were &amp;&amp; Son Industrial Research - Analyst: Matt Cook - (03) 9679-1445",FALSE,FALSE,FALSE,FALSE,1,75,#N/A,#N/A,"=R5C7:R69C15","=C1:C3,R1:R4","Rwvu.B_Sheet.",#N/A,FALSE,FALSE,TRUE,9,#N/A,#N/A,FALSE,FALSE,TRUE,TRUE,TRUE}</definedName>
    <definedName name="wvu.B_Sheet." localSheetId="3" hidden="1">{TRUE,TRUE,-1.25,-15.5,604.5,366.75,FALSE,TRUE,TRUE,TRUE,0,1,#N/A,1,65,17.1333333333333,4,3,FALSE,TRUE,3,TRUE,1,FALSE,75,"Swvu.B_Sheet.","ACwvu.B_Sheet.",#N/A,FALSE,FALSE,0.748031496062992,0.748031496062992,0.984251968503937,0.984251968503937,1,"","&amp;C&amp;""Helvetica,Regular""&amp;10J B Were &amp;&amp; Son Industrial Research - Analyst: Matt Cook - (03) 9679-1445",FALSE,FALSE,FALSE,FALSE,1,75,#N/A,#N/A,"=R5C7:R69C15","=C1:C3,R1:R4","Rwvu.B_Sheet.",#N/A,FALSE,FALSE,TRUE,9,#N/A,#N/A,FALSE,FALSE,TRUE,TRUE,TRUE}</definedName>
    <definedName name="wvu.B_Sheet." hidden="1">{TRUE,TRUE,-1.25,-15.5,604.5,366.75,FALSE,TRUE,TRUE,TRUE,0,1,#N/A,1,65,17.1333333333333,4,3,FALSE,TRUE,3,TRUE,1,FALSE,75,"Swvu.B_Sheet.","ACwvu.B_Sheet.",#N/A,FALSE,FALSE,0.748031496062992,0.748031496062992,0.984251968503937,0.984251968503937,1,"","&amp;C&amp;""Helvetica,Regular""&amp;10J B Were &amp;&amp; Son Industrial Research - Analyst: Matt Cook - (03) 9679-1445",FALSE,FALSE,FALSE,FALSE,1,75,#N/A,#N/A,"=R5C7:R69C15","=C1:C3,R1:R4","Rwvu.B_Sheet.",#N/A,FALSE,FALSE,TRUE,9,#N/A,#N/A,FALSE,FALSE,TRUE,TRUE,TRUE}</definedName>
    <definedName name="wvu.bal_98." localSheetId="1" hidden="1">{TRUE,TRUE,-1.25,-15.5,484.5,276.75,FALSE,TRUE,TRUE,TRUE,0,1,#N/A,1,36,13.234375,17,1,FALSE,TRUE,3,TRUE,1,FALSE,100,"Swvu.bal_98.","ACwvu.bal_98.",#N/A,FALSE,FALSE,0.748031496062992,0.748031496062992,0.984251968503937,0.984251968503937,1,"&amp;F","Page &amp;P",FALSE,FALSE,FALSE,FALSE,1,100,#N/A,#N/A,FALSE,FALSE,"Rwvu.bal_98.",#N/A,FALSE,FALSE,TRUE,9,#N/A,#N/A,FALSE,FALSE,TRUE,TRUE,TRUE}</definedName>
    <definedName name="wvu.bal_98." localSheetId="3" hidden="1">{TRUE,TRUE,-1.25,-15.5,484.5,276.75,FALSE,TRUE,TRUE,TRUE,0,1,#N/A,1,36,13.234375,17,1,FALSE,TRUE,3,TRUE,1,FALSE,100,"Swvu.bal_98.","ACwvu.bal_98.",#N/A,FALSE,FALSE,0.748031496062992,0.748031496062992,0.984251968503937,0.984251968503937,1,"&amp;F","Page &amp;P",FALSE,FALSE,FALSE,FALSE,1,100,#N/A,#N/A,FALSE,FALSE,"Rwvu.bal_98.",#N/A,FALSE,FALSE,TRUE,9,#N/A,#N/A,FALSE,FALSE,TRUE,TRUE,TRUE}</definedName>
    <definedName name="wvu.bal_98." hidden="1">{TRUE,TRUE,-1.25,-15.5,484.5,276.75,FALSE,TRUE,TRUE,TRUE,0,1,#N/A,1,36,13.234375,17,1,FALSE,TRUE,3,TRUE,1,FALSE,100,"Swvu.bal_98.","ACwvu.bal_98.",#N/A,FALSE,FALSE,0.748031496062992,0.748031496062992,0.984251968503937,0.984251968503937,1,"&amp;F","Page &amp;P",FALSE,FALSE,FALSE,FALSE,1,100,#N/A,#N/A,FALSE,FALSE,"Rwvu.bal_98.",#N/A,FALSE,FALSE,TRUE,9,#N/A,#N/A,FALSE,FALSE,TRUE,TRUE,TRUE}</definedName>
    <definedName name="wvu.Detail." localSheetId="1" hidden="1">{TRUE,TRUE,-1.25,-15.5,604.5,366.75,FALSE,TRUE,TRUE,TRUE,0,1,#N/A,1,#N/A,11.4,33.0769230769231,1,FALSE,FALSE,3,TRUE,1,FALSE,75,"Swvu.Detail.","ACwvu.Detail.",#N/A,FALSE,FALSE,0.393700787401575,0.393700787401575,0.393700787401575,0.393700787401575,1,"","&amp;C&amp;""Helvetica,Regular""&amp;10J B Were &amp;&amp; Son Industrial Research:  Analyst Matt Cook:  Ph: 03-9679 1445",TRUE,FALSE,FALSE,FALSE,1,80,#N/A,#N/A,"=R5C4:R105C11","=C1,R1:R4",#N/A,#N/A,FALSE,FALSE,TRUE,9,#N/A,#N/A,FALSE,FALSE,TRUE,TRUE,TRUE}</definedName>
    <definedName name="wvu.Detail." localSheetId="3" hidden="1">{TRUE,TRUE,-1.25,-15.5,604.5,366.75,FALSE,TRUE,TRUE,TRUE,0,1,#N/A,1,#N/A,11.4,33.0769230769231,1,FALSE,FALSE,3,TRUE,1,FALSE,75,"Swvu.Detail.","ACwvu.Detail.",#N/A,FALSE,FALSE,0.393700787401575,0.393700787401575,0.393700787401575,0.393700787401575,1,"","&amp;C&amp;""Helvetica,Regular""&amp;10J B Were &amp;&amp; Son Industrial Research:  Analyst Matt Cook:  Ph: 03-9679 1445",TRUE,FALSE,FALSE,FALSE,1,80,#N/A,#N/A,"=R5C4:R105C11","=C1,R1:R4",#N/A,#N/A,FALSE,FALSE,TRUE,9,#N/A,#N/A,FALSE,FALSE,TRUE,TRUE,TRUE}</definedName>
    <definedName name="wvu.Detail." hidden="1">{TRUE,TRUE,-1.25,-15.5,604.5,366.75,FALSE,TRUE,TRUE,TRUE,0,1,#N/A,1,#N/A,11.4,33.0769230769231,1,FALSE,FALSE,3,TRUE,1,FALSE,75,"Swvu.Detail.","ACwvu.Detail.",#N/A,FALSE,FALSE,0.393700787401575,0.393700787401575,0.393700787401575,0.393700787401575,1,"","&amp;C&amp;""Helvetica,Regular""&amp;10J B Were &amp;&amp; Son Industrial Research:  Analyst Matt Cook:  Ph: 03-9679 1445",TRUE,FALSE,FALSE,FALSE,1,80,#N/A,#N/A,"=R5C4:R105C11","=C1,R1:R4",#N/A,#N/A,FALSE,FALSE,TRUE,9,#N/A,#N/A,FALSE,FALSE,TRUE,TRUE,TRUE}</definedName>
    <definedName name="wvu.Full_Year." localSheetId="1" hidden="1">{TRUE,TRUE,-1.25,-15.5,604.5,366.75,FALSE,TRUE,TRUE,TRUE,0,1,#N/A,1,18,25.85,20,1,FALSE,TRUE,3,TRUE,1,FALSE,75,"Swvu.Full_Year.","ACwvu.Full_Year.",#N/A,FALSE,FALSE,0.393700787401575,0.393700787401575,0.393700787401575,0.393700787401575,1," ","&amp;C&amp;""Helvetica,Regular""J B Were &amp; Son - Research. Analyst: Matt Cook- Tel: (03) 9679 1445",TRUE,FALSE,FALSE,FALSE,1,85,#N/A,#N/A,"=C1:C22","=C1:C3,R1:R4","Rwvu.Full_Year.","Cwvu.Full_Year.",FALSE,FALSE,FALSE,9,#N/A,#N/A,FALSE,FALSE,TRUE,TRUE,TRUE}</definedName>
    <definedName name="wvu.Full_Year." localSheetId="3" hidden="1">{TRUE,TRUE,-1.25,-15.5,604.5,366.75,FALSE,TRUE,TRUE,TRUE,0,1,#N/A,1,18,25.85,20,1,FALSE,TRUE,3,TRUE,1,FALSE,75,"Swvu.Full_Year.","ACwvu.Full_Year.",#N/A,FALSE,FALSE,0.393700787401575,0.393700787401575,0.393700787401575,0.393700787401575,1," ","&amp;C&amp;""Helvetica,Regular""J B Were &amp; Son - Research. Analyst: Matt Cook- Tel: (03) 9679 1445",TRUE,FALSE,FALSE,FALSE,1,85,#N/A,#N/A,"=C1:C22","=C1:C3,R1:R4","Rwvu.Full_Year.","Cwvu.Full_Year.",FALSE,FALSE,FALSE,9,#N/A,#N/A,FALSE,FALSE,TRUE,TRUE,TRUE}</definedName>
    <definedName name="wvu.Full_Year." hidden="1">{TRUE,TRUE,-1.25,-15.5,604.5,366.75,FALSE,TRUE,TRUE,TRUE,0,1,#N/A,1,18,25.85,20,1,FALSE,TRUE,3,TRUE,1,FALSE,75,"Swvu.Full_Year.","ACwvu.Full_Year.",#N/A,FALSE,FALSE,0.393700787401575,0.393700787401575,0.393700787401575,0.393700787401575,1," ","&amp;C&amp;""Helvetica,Regular""J B Were &amp; Son - Research. Analyst: Matt Cook- Tel: (03) 9679 1445",TRUE,FALSE,FALSE,FALSE,1,85,#N/A,#N/A,"=C1:C22","=C1:C3,R1:R4","Rwvu.Full_Year.","Cwvu.Full_Year.",FALSE,FALSE,FALSE,9,#N/A,#N/A,FALSE,FALSE,TRUE,TRUE,TRUE}</definedName>
    <definedName name="wvu.Warehouse." localSheetId="1" hidden="1">{TRUE,TRUE,-1.25,-15.5,604.5,366.75,FALSE,TRUE,TRUE,TRUE,0,1,6,1,74,3.7,5.15384615384615,4,TRUE,TRUE,3,TRUE,1,FALSE,75,"Swvu.Warehouse.","ACwvu.Warehouse.",#N/A,FALSE,FALSE,0.393700787401575,0.393700787401575,0.393700787401575,0.393700787401575,1,"","&amp;C&amp;10J B Were &amp;&amp; Son Industrial Research - Analyst:  Matt Cook Ph: 03 9679 1445",TRUE,FALSE,FALSE,FALSE,1,75,#N/A,#N/A,"=R74C7:R192C13","=C1:C4,R1:R4",#N/A,#N/A,FALSE,FALSE,TRUE,9,#N/A,#N/A,FALSE,FALSE,TRUE,TRUE,TRUE}</definedName>
    <definedName name="wvu.Warehouse." localSheetId="3" hidden="1">{TRUE,TRUE,-1.25,-15.5,604.5,366.75,FALSE,TRUE,TRUE,TRUE,0,1,6,1,74,3.7,5.15384615384615,4,TRUE,TRUE,3,TRUE,1,FALSE,75,"Swvu.Warehouse.","ACwvu.Warehouse.",#N/A,FALSE,FALSE,0.393700787401575,0.393700787401575,0.393700787401575,0.393700787401575,1,"","&amp;C&amp;10J B Were &amp;&amp; Son Industrial Research - Analyst:  Matt Cook Ph: 03 9679 1445",TRUE,FALSE,FALSE,FALSE,1,75,#N/A,#N/A,"=R74C7:R192C13","=C1:C4,R1:R4",#N/A,#N/A,FALSE,FALSE,TRUE,9,#N/A,#N/A,FALSE,FALSE,TRUE,TRUE,TRUE}</definedName>
    <definedName name="wvu.Warehouse." hidden="1">{TRUE,TRUE,-1.25,-15.5,604.5,366.75,FALSE,TRUE,TRUE,TRUE,0,1,6,1,74,3.7,5.15384615384615,4,TRUE,TRUE,3,TRUE,1,FALSE,75,"Swvu.Warehouse.","ACwvu.Warehouse.",#N/A,FALSE,FALSE,0.393700787401575,0.393700787401575,0.393700787401575,0.393700787401575,1,"","&amp;C&amp;10J B Were &amp;&amp; Son Industrial Research - Analyst:  Matt Cook Ph: 03 9679 1445",TRUE,FALSE,FALSE,FALSE,1,75,#N/A,#N/A,"=R74C7:R192C13","=C1:C4,R1:R4",#N/A,#N/A,FALSE,FALSE,TRUE,9,#N/A,#N/A,FALSE,FALSE,TRUE,TRUE,TRUE}</definedName>
    <definedName name="ww" localSheetId="1" hidden="1">{"PAGE1",#N/A,FALSE,"Consolidation";"PAGE2",#N/A,FALSE,"Consolidation";"PAGE3",#N/A,FALSE,"Consolidation";"PAGE4",#N/A,FALSE,"Consolidation";"PAGE5",#N/A,FALSE,"Consolidation";"PAGE6",#N/A,FALSE,"Consolidation";"PAGE7",#N/A,FALSE,"Consolidation"}</definedName>
    <definedName name="ww" localSheetId="3" hidden="1">{"PAGE1",#N/A,FALSE,"Consolidation";"PAGE2",#N/A,FALSE,"Consolidation";"PAGE3",#N/A,FALSE,"Consolidation";"PAGE4",#N/A,FALSE,"Consolidation";"PAGE5",#N/A,FALSE,"Consolidation";"PAGE6",#N/A,FALSE,"Consolidation";"PAGE7",#N/A,FALSE,"Consolidation"}</definedName>
    <definedName name="ww" hidden="1">{"PAGE1",#N/A,FALSE,"Consolidation";"PAGE2",#N/A,FALSE,"Consolidation";"PAGE3",#N/A,FALSE,"Consolidation";"PAGE4",#N/A,FALSE,"Consolidation";"PAGE5",#N/A,FALSE,"Consolidation";"PAGE6",#N/A,FALSE,"Consolidation";"PAGE7",#N/A,FALSE,"Consolidation"}</definedName>
    <definedName name="ww_1" localSheetId="1" hidden="1">{"PAGE1",#N/A,FALSE,"Consolidation";"PAGE2",#N/A,FALSE,"Consolidation";"PAGE3",#N/A,FALSE,"Consolidation";"PAGE4",#N/A,FALSE,"Consolidation";"PAGE5",#N/A,FALSE,"Consolidation";"PAGE6",#N/A,FALSE,"Consolidation";"PAGE7",#N/A,FALSE,"Consolidation"}</definedName>
    <definedName name="ww_1" localSheetId="3" hidden="1">{"PAGE1",#N/A,FALSE,"Consolidation";"PAGE2",#N/A,FALSE,"Consolidation";"PAGE3",#N/A,FALSE,"Consolidation";"PAGE4",#N/A,FALSE,"Consolidation";"PAGE5",#N/A,FALSE,"Consolidation";"PAGE6",#N/A,FALSE,"Consolidation";"PAGE7",#N/A,FALSE,"Consolidation"}</definedName>
    <definedName name="ww_1" hidden="1">{"PAGE1",#N/A,FALSE,"Consolidation";"PAGE2",#N/A,FALSE,"Consolidation";"PAGE3",#N/A,FALSE,"Consolidation";"PAGE4",#N/A,FALSE,"Consolidation";"PAGE5",#N/A,FALSE,"Consolidation";"PAGE6",#N/A,FALSE,"Consolidation";"PAGE7",#N/A,FALSE,"Consolidation"}</definedName>
    <definedName name="ww_2" localSheetId="1" hidden="1">{"PAGE1",#N/A,FALSE,"Consolidation";"PAGE2",#N/A,FALSE,"Consolidation";"PAGE3",#N/A,FALSE,"Consolidation";"PAGE4",#N/A,FALSE,"Consolidation";"PAGE5",#N/A,FALSE,"Consolidation";"PAGE6",#N/A,FALSE,"Consolidation";"PAGE7",#N/A,FALSE,"Consolidation"}</definedName>
    <definedName name="ww_2" localSheetId="3" hidden="1">{"PAGE1",#N/A,FALSE,"Consolidation";"PAGE2",#N/A,FALSE,"Consolidation";"PAGE3",#N/A,FALSE,"Consolidation";"PAGE4",#N/A,FALSE,"Consolidation";"PAGE5",#N/A,FALSE,"Consolidation";"PAGE6",#N/A,FALSE,"Consolidation";"PAGE7",#N/A,FALSE,"Consolidation"}</definedName>
    <definedName name="ww_2" hidden="1">{"PAGE1",#N/A,FALSE,"Consolidation";"PAGE2",#N/A,FALSE,"Consolidation";"PAGE3",#N/A,FALSE,"Consolidation";"PAGE4",#N/A,FALSE,"Consolidation";"PAGE5",#N/A,FALSE,"Consolidation";"PAGE6",#N/A,FALSE,"Consolidation";"PAGE7",#N/A,FALSE,"Consolidation"}</definedName>
    <definedName name="ww_CWN" localSheetId="1" hidden="1">{"PAGE1",#N/A,FALSE,"Consolidation";"PAGE2",#N/A,FALSE,"Consolidation";"PAGE3",#N/A,FALSE,"Consolidation";"PAGE4",#N/A,FALSE,"Consolidation";"PAGE5",#N/A,FALSE,"Consolidation";"PAGE6",#N/A,FALSE,"Consolidation";"PAGE7",#N/A,FALSE,"Consolidation"}</definedName>
    <definedName name="ww_CWN" localSheetId="3" hidden="1">{"PAGE1",#N/A,FALSE,"Consolidation";"PAGE2",#N/A,FALSE,"Consolidation";"PAGE3",#N/A,FALSE,"Consolidation";"PAGE4",#N/A,FALSE,"Consolidation";"PAGE5",#N/A,FALSE,"Consolidation";"PAGE6",#N/A,FALSE,"Consolidation";"PAGE7",#N/A,FALSE,"Consolidation"}</definedName>
    <definedName name="ww_CWN" hidden="1">{"PAGE1",#N/A,FALSE,"Consolidation";"PAGE2",#N/A,FALSE,"Consolidation";"PAGE3",#N/A,FALSE,"Consolidation";"PAGE4",#N/A,FALSE,"Consolidation";"PAGE5",#N/A,FALSE,"Consolidation";"PAGE6",#N/A,FALSE,"Consolidation";"PAGE7",#N/A,FALSE,"Consolidation"}</definedName>
    <definedName name="wwwww" localSheetId="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 localSheetId="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1" localSheetId="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1" localSheetId="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2" localSheetId="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2" localSheetId="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x" localSheetId="1" hidden="1">{"Revenue by Industry Chart",#N/A,FALSE,"Mix";"Annual Revenue Detail",#N/A,FALSE,"Mix";"Quarterly Revenue Detail",#N/A,FALSE,"Mix"}</definedName>
    <definedName name="x" localSheetId="3" hidden="1">{"Revenue by Industry Chart",#N/A,FALSE,"Mix";"Annual Revenue Detail",#N/A,FALSE,"Mix";"Quarterly Revenue Detail",#N/A,FALSE,"Mix"}</definedName>
    <definedName name="x" hidden="1">{"Revenue by Industry Chart",#N/A,FALSE,"Mix";"Annual Revenue Detail",#N/A,FALSE,"Mix";"Quarterly Revenue Detail",#N/A,FALSE,"Mix"}</definedName>
    <definedName name="xxx" localSheetId="1" hidden="1">{"'Outline (2)'!$A$1:$Q$7"}</definedName>
    <definedName name="xxx" localSheetId="3" hidden="1">{"'Outline (2)'!$A$1:$Q$7"}</definedName>
    <definedName name="xxx" hidden="1">{"'Outline (2)'!$A$1:$Q$7"}</definedName>
    <definedName name="Z_03DAD996_7A4F_11D1_AB8C_00805F1D08F8_.wvu.Cols" hidden="1">[8]BALSHT_S!$C$1:$H$65536</definedName>
    <definedName name="Z_03DAD997_7A4F_11D1_AB8C_00805F1D08F8_.wvu.Cols" hidden="1">[8]PE1_S!$D$1:$H$65536,[8]PE1_S!$L$1:$M$65536,[8]PE1_S!$O$1:$P$65536,[8]PE1_S!$R$1:$S$65536</definedName>
    <definedName name="Z_03DAD997_7A4F_11D1_AB8C_00805F1D08F8_.wvu.Rows" hidden="1">[8]PE1_S!$A$22:$IV$23</definedName>
    <definedName name="Z_0C942D73_7104_11D1_AB6C_00805F1D2048_.wvu.Cols" hidden="1">[8]BALSHT_S!$C$1:$H$65536</definedName>
    <definedName name="Z_0C942D74_7104_11D1_AB6C_00805F1D2048_.wvu.Cols" hidden="1">[8]PE1_S!$D$1:$H$65536,[8]PE1_S!$L$1:$M$65536,[8]PE1_S!$O$1:$P$65536,[8]PE1_S!$R$1:$S$65536</definedName>
    <definedName name="Z_0C942D74_7104_11D1_AB6C_00805F1D2048_.wvu.Rows" hidden="1">[8]PE1_S!$A$22:$IV$23</definedName>
    <definedName name="Z_115772F5_74E0_11D1_AB6E_00805F1D2048_.wvu.Cols" hidden="1">[8]BALSHT_S!$C$1:$H$65536</definedName>
    <definedName name="Z_115772F6_74E0_11D1_AB6E_00805F1D2048_.wvu.Cols" hidden="1">[8]PE1_S!$D$1:$H$65536,[8]PE1_S!$L$1:$M$65536,[8]PE1_S!$O$1:$P$65536,[8]PE1_S!$R$1:$S$65536</definedName>
    <definedName name="Z_115772F6_74E0_11D1_AB6E_00805F1D2048_.wvu.Rows" hidden="1">[8]PE1_S!$A$22:$IV$23</definedName>
    <definedName name="Z_2087720D_7599_11D1_AB6F_00805F1D2048_.wvu.Cols" hidden="1">[8]BALSHT_S!$C$1:$H$65536</definedName>
    <definedName name="Z_2087720E_7599_11D1_AB6F_00805F1D2048_.wvu.Cols" hidden="1">[8]PE1_S!$D$1:$H$65536,[8]PE1_S!$L$1:$M$65536,[8]PE1_S!$O$1:$P$65536,[8]PE1_S!$R$1:$S$65536</definedName>
    <definedName name="Z_2087720E_7599_11D1_AB6F_00805F1D2048_.wvu.Rows" hidden="1">[8]PE1_S!$A$22:$IV$23</definedName>
    <definedName name="Z_2087722D_7599_11D1_AB6F_00805F1D2048_.wvu.Cols" hidden="1">[8]BALSHT_S!$C$1:$H$65536</definedName>
    <definedName name="Z_2087722E_7599_11D1_AB6F_00805F1D2048_.wvu.Cols" hidden="1">[8]PE1_S!$D$1:$H$65536,[8]PE1_S!$L$1:$M$65536,[8]PE1_S!$O$1:$P$65536,[8]PE1_S!$R$1:$S$65536</definedName>
    <definedName name="Z_2087722E_7599_11D1_AB6F_00805F1D2048_.wvu.Rows" hidden="1">[8]PE1_S!$A$22:$IV$23</definedName>
    <definedName name="Z_2087724D_7599_11D1_AB6F_00805F1D2048_.wvu.Cols" hidden="1">[8]BALSHT_S!$C$1:$H$65536</definedName>
    <definedName name="Z_2087724E_7599_11D1_AB6F_00805F1D2048_.wvu.Cols" hidden="1">[8]PE1_S!$D$1:$H$65536,[8]PE1_S!$L$1:$M$65536,[8]PE1_S!$O$1:$P$65536,[8]PE1_S!$R$1:$S$65536</definedName>
    <definedName name="Z_2087724E_7599_11D1_AB6F_00805F1D2048_.wvu.Rows" hidden="1">[8]PE1_S!$A$22:$IV$23</definedName>
    <definedName name="Z_390AA9A0_4F12_11D1_AB62_00805F1D08F8_.wvu.Cols" hidden="1">[8]BALSHT_S!$C$1:$H$65536</definedName>
    <definedName name="Z_390AA9A1_4F12_11D1_AB62_00805F1D08F8_.wvu.Cols" hidden="1">[8]PE1_S!$D$1:$H$65536,[8]PE1_S!$L$1:$M$65536,[8]PE1_S!$O$1:$P$65536,[8]PE1_S!$R$1:$S$65536</definedName>
    <definedName name="Z_390AA9A1_4F12_11D1_AB62_00805F1D08F8_.wvu.Rows" hidden="1">[8]PE1_S!$A$22:$IV$23</definedName>
    <definedName name="Z_3A0CF412_61F2_11D1_AB75_00805F1D08F8_.wvu.Cols" hidden="1">[8]BALSHT_S!$C$1:$H$65536</definedName>
    <definedName name="Z_3A0CF413_61F2_11D1_AB75_00805F1D08F8_.wvu.Cols" hidden="1">[8]PE1_S!$D$1:$H$65536,[8]PE1_S!$L$1:$M$65536,[8]PE1_S!$O$1:$P$65536,[8]PE1_S!$R$1:$S$65536</definedName>
    <definedName name="Z_3A0CF413_61F2_11D1_AB75_00805F1D08F8_.wvu.Rows" hidden="1">[8]PE1_S!$A$22:$IV$23</definedName>
    <definedName name="Z_40C39523_4116_11D1_AB55_00805F1D08F8_.wvu.Cols" hidden="1">[8]BALSHT_S!$C$1:$H$65536</definedName>
    <definedName name="Z_40C39524_4116_11D1_AB55_00805F1D08F8_.wvu.Cols" hidden="1">[8]PE1_S!$D$1:$H$65536,[8]PE1_S!$L$1:$M$65536,[8]PE1_S!$O$1:$P$65536,[8]PE1_S!$R$1:$S$65536</definedName>
    <definedName name="Z_40C39524_4116_11D1_AB55_00805F1D08F8_.wvu.Rows" hidden="1">[8]PE1_S!$A$22:$IV$23</definedName>
    <definedName name="Z_40C39573_4116_11D1_AB55_00805F1D08F8_.wvu.Cols" hidden="1">[8]BALSHT_S!$C$1:$H$65536</definedName>
    <definedName name="Z_40C39574_4116_11D1_AB55_00805F1D08F8_.wvu.Cols" hidden="1">[8]PE1_S!$D$1:$H$65536,[8]PE1_S!$L$1:$M$65536,[8]PE1_S!$O$1:$P$65536,[8]PE1_S!$R$1:$S$65536</definedName>
    <definedName name="Z_40C39574_4116_11D1_AB55_00805F1D08F8_.wvu.Rows" hidden="1">[8]PE1_S!$A$22:$IV$23</definedName>
    <definedName name="Z_4B689A83_6515_11D1_AB79_00805F1D08F8_.wvu.Cols" hidden="1">[8]BALSHT_S!$C$1:$H$65536</definedName>
    <definedName name="Z_4B689A84_6515_11D1_AB79_00805F1D08F8_.wvu.Cols" hidden="1">[8]PE1_S!$D$1:$H$65536,[8]PE1_S!$L$1:$M$65536,[8]PE1_S!$O$1:$P$65536,[8]PE1_S!$R$1:$S$65536</definedName>
    <definedName name="Z_4B689A84_6515_11D1_AB79_00805F1D08F8_.wvu.Rows" hidden="1">[8]PE1_S!$A$22:$IV$23</definedName>
    <definedName name="Z_4D4EF4DC_6A0A_11D1_AB7D_00805F1D08F8_.wvu.Cols" hidden="1">[8]BALSHT_S!$C$1:$H$65536</definedName>
    <definedName name="Z_4D4EF4DD_6A0A_11D1_AB7D_00805F1D08F8_.wvu.Cols" hidden="1">[8]PE1_S!$D$1:$H$65536,[8]PE1_S!$L$1:$M$65536,[8]PE1_S!$O$1:$P$65536,[8]PE1_S!$R$1:$S$65536</definedName>
    <definedName name="Z_4D4EF4DD_6A0A_11D1_AB7D_00805F1D08F8_.wvu.Rows" hidden="1">[8]PE1_S!$A$22:$IV$23</definedName>
    <definedName name="Z_5BD438D4_7596_11D1_AB88_00805F1D08F8_.wvu.Cols" hidden="1">[8]BALSHT_S!$C$1:$H$65536</definedName>
    <definedName name="Z_5BD438D5_7596_11D1_AB88_00805F1D08F8_.wvu.Cols" hidden="1">[8]PE1_S!$D$1:$H$65536,[8]PE1_S!$L$1:$M$65536,[8]PE1_S!$O$1:$P$65536,[8]PE1_S!$R$1:$S$65536</definedName>
    <definedName name="Z_5BD438D5_7596_11D1_AB88_00805F1D08F8_.wvu.Rows" hidden="1">[8]PE1_S!$A$22:$IV$23</definedName>
    <definedName name="Z_5BD43914_7596_11D1_AB88_00805F1D08F8_.wvu.Cols" hidden="1">[8]BALSHT_S!$C$1:$H$65536</definedName>
    <definedName name="Z_5BD43915_7596_11D1_AB88_00805F1D08F8_.wvu.Cols" hidden="1">[8]PE1_S!$D$1:$H$65536,[8]PE1_S!$L$1:$M$65536,[8]PE1_S!$O$1:$P$65536,[8]PE1_S!$R$1:$S$65536</definedName>
    <definedName name="Z_5BD43915_7596_11D1_AB88_00805F1D08F8_.wvu.Rows" hidden="1">[8]PE1_S!$A$22:$IV$23</definedName>
    <definedName name="Z_5D8928C3_27D9_11D1_AB33_00805F1D2048_.wvu.Cols" hidden="1">[8]BALSHT_S!$C$1:$H$65536</definedName>
    <definedName name="Z_5D8928C4_27D9_11D1_AB33_00805F1D2048_.wvu.Cols" hidden="1">[8]PE1_S!$D$1:$H$65536,[8]PE1_S!$L$1:$M$65536,[8]PE1_S!$O$1:$P$65536,[8]PE1_S!$R$1:$S$65536</definedName>
    <definedName name="Z_5D8928C4_27D9_11D1_AB33_00805F1D2048_.wvu.Rows" hidden="1">[8]PE1_S!$A$22:$IV$23</definedName>
    <definedName name="Z_63193F35_1A71_11D1_AB28_00805F1D2048_.wvu.Cols" hidden="1">[8]BALSHT_S!$C$1:$H$65536</definedName>
    <definedName name="Z_63193F36_1A71_11D1_AB28_00805F1D2048_.wvu.Cols" hidden="1">[8]PE1_S!$D$1:$H$65536,[8]PE1_S!$L$1:$M$65536,[8]PE1_S!$O$1:$P$65536,[8]PE1_S!$R$1:$S$65536</definedName>
    <definedName name="Z_63193F36_1A71_11D1_AB28_00805F1D2048_.wvu.Rows" hidden="1">[8]PE1_S!$A$22:$IV$23</definedName>
    <definedName name="Z_67539AE7_7018_11D1_AB83_00805F1D08F8_.wvu.Cols" hidden="1">[8]BALSHT_S!$C$1:$H$65536</definedName>
    <definedName name="Z_67539AE8_7018_11D1_AB83_00805F1D08F8_.wvu.Cols" hidden="1">[8]PE1_S!$D$1:$H$65536,[8]PE1_S!$L$1:$M$65536,[8]PE1_S!$O$1:$P$65536,[8]PE1_S!$R$1:$S$65536</definedName>
    <definedName name="Z_67539AE8_7018_11D1_AB83_00805F1D08F8_.wvu.Rows" hidden="1">[8]PE1_S!$A$22:$IV$23</definedName>
    <definedName name="Z_78668872_6450_11D1_AB62_00805F1D2048_.wvu.Cols" hidden="1">[8]BALSHT_S!$C$1:$H$65536</definedName>
    <definedName name="Z_78668873_6450_11D1_AB62_00805F1D2048_.wvu.Cols" hidden="1">[8]PE1_S!$D$1:$H$65536,[8]PE1_S!$L$1:$M$65536,[8]PE1_S!$O$1:$P$65536,[8]PE1_S!$R$1:$S$65536</definedName>
    <definedName name="Z_78668873_6450_11D1_AB62_00805F1D2048_.wvu.Rows" hidden="1">[8]PE1_S!$A$22:$IV$23</definedName>
    <definedName name="Z_78668A26_6450_11D1_AB62_00805F1D2048_.wvu.Cols" hidden="1">[8]BALSHT_S!$C$1:$H$65536</definedName>
    <definedName name="Z_78668A27_6450_11D1_AB62_00805F1D2048_.wvu.Cols" hidden="1">[8]PE1_S!$D$1:$H$65536,[8]PE1_S!$L$1:$M$65536,[8]PE1_S!$O$1:$P$65536,[8]PE1_S!$R$1:$S$65536</definedName>
    <definedName name="Z_78668A27_6450_11D1_AB62_00805F1D2048_.wvu.Rows" hidden="1">[8]PE1_S!$A$22:$IV$23</definedName>
    <definedName name="Z_81AF337E_7A53_11D1_AB73_00805F1D2048_.wvu.Cols" hidden="1">[8]BALSHT_S!$C$1:$H$65536</definedName>
    <definedName name="Z_81AF337F_7A53_11D1_AB73_00805F1D2048_.wvu.Cols" hidden="1">[8]PE1_S!$D$1:$H$65536,[8]PE1_S!$L$1:$M$65536,[8]PE1_S!$O$1:$P$65536,[8]PE1_S!$R$1:$S$65536</definedName>
    <definedName name="Z_81AF337F_7A53_11D1_AB73_00805F1D2048_.wvu.Rows" hidden="1">[8]PE1_S!$A$22:$IV$23</definedName>
    <definedName name="Z_9431393B_8BB4_11D1_AB82_00805F1D2048_.wvu.Cols" hidden="1">[8]BALSHT_S!$C$1:$H$65536</definedName>
    <definedName name="Z_9431393C_8BB4_11D1_AB82_00805F1D2048_.wvu.Cols" hidden="1">[8]PE1_S!$D$1:$H$65536,[8]PE1_S!$L$1:$M$65536,[8]PE1_S!$O$1:$P$65536,[8]PE1_S!$R$1:$S$65536</definedName>
    <definedName name="Z_9431393C_8BB4_11D1_AB82_00805F1D2048_.wvu.Rows" hidden="1">[8]PE1_S!$A$22:$IV$23</definedName>
    <definedName name="Z_A399A71D_4368_11D1_AB57_00805F1D08F8_.wvu.Cols" hidden="1">[8]BALSHT_S!$C$1:$H$65536</definedName>
    <definedName name="Z_A399A71E_4368_11D1_AB57_00805F1D08F8_.wvu.Cols" hidden="1">[8]PE1_S!$D$1:$H$65536,[8]PE1_S!$L$1:$M$65536,[8]PE1_S!$O$1:$P$65536,[8]PE1_S!$R$1:$S$65536</definedName>
    <definedName name="Z_A399A71E_4368_11D1_AB57_00805F1D08F8_.wvu.Rows" hidden="1">[8]PE1_S!$A$22:$IV$23</definedName>
    <definedName name="Z_BAD6B5D0_6209_11D1_AB61_00805F1D2048_.wvu.Cols" hidden="1">[8]BALSHT_S!$C$1:$H$65536</definedName>
    <definedName name="Z_BAD6B5D1_6209_11D1_AB61_00805F1D2048_.wvu.Cols" hidden="1">[8]PE1_S!$D$1:$H$65536,[8]PE1_S!$L$1:$M$65536,[8]PE1_S!$O$1:$P$65536,[8]PE1_S!$R$1:$S$65536</definedName>
    <definedName name="Z_BAD6B5D1_6209_11D1_AB61_00805F1D2048_.wvu.Rows" hidden="1">[8]PE1_S!$A$22:$IV$23</definedName>
    <definedName name="Z_C743300D_5626_11D1_AB56_00805F1D2048_.wvu.Cols" hidden="1">[8]BALSHT_S!$C$1:$H$65536</definedName>
    <definedName name="Z_C743300E_5626_11D1_AB56_00805F1D2048_.wvu.Cols" hidden="1">[8]PE1_S!$D$1:$H$65536,[8]PE1_S!$L$1:$M$65536,[8]PE1_S!$O$1:$P$65536,[8]PE1_S!$R$1:$S$65536</definedName>
    <definedName name="Z_C743300E_5626_11D1_AB56_00805F1D2048_.wvu.Rows" hidden="1">[8]PE1_S!$A$22:$IV$23</definedName>
    <definedName name="Z_C7433013_5626_11D1_AB56_00805F1D2048_.wvu.Cols" hidden="1">[8]BALSHT_S!$C$1:$H$65536</definedName>
    <definedName name="Z_C7433014_5626_11D1_AB56_00805F1D2048_.wvu.Cols" hidden="1">[8]PE1_S!$D$1:$H$65536,[8]PE1_S!$L$1:$M$65536,[8]PE1_S!$O$1:$P$65536,[8]PE1_S!$R$1:$S$65536</definedName>
    <definedName name="Z_C7433014_5626_11D1_AB56_00805F1D2048_.wvu.Rows" hidden="1">[8]PE1_S!$A$22:$IV$23</definedName>
    <definedName name="Z_D54F9874_4E48_11D1_AB4F_00805F1D2048_.wvu.Cols" hidden="1">[8]BALSHT_S!$C$1:$H$65536</definedName>
    <definedName name="Z_D54F9875_4E48_11D1_AB4F_00805F1D2048_.wvu.Cols" hidden="1">[8]PE1_S!$D$1:$H$65536,[8]PE1_S!$L$1:$M$65536,[8]PE1_S!$O$1:$P$65536,[8]PE1_S!$R$1:$S$65536</definedName>
    <definedName name="Z_D54F9875_4E48_11D1_AB4F_00805F1D2048_.wvu.Rows" hidden="1">[8]PE1_S!$A$22:$IV$23</definedName>
    <definedName name="Z_D54F996E_4E48_11D1_AB4F_00805F1D2048_.wvu.Cols" hidden="1">[8]BALSHT_S!$C$1:$H$65536</definedName>
    <definedName name="Z_D54F996F_4E48_11D1_AB4F_00805F1D2048_.wvu.Cols" hidden="1">[8]PE1_S!$D$1:$H$65536,[8]PE1_S!$L$1:$M$65536,[8]PE1_S!$O$1:$P$65536,[8]PE1_S!$R$1:$S$65536</definedName>
    <definedName name="Z_D54F996F_4E48_11D1_AB4F_00805F1D2048_.wvu.Rows" hidden="1">[8]PE1_S!$A$22:$IV$23</definedName>
    <definedName name="Z_D62B3FE5_56F6_11D1_AB57_00805F1D2048_.wvu.Cols" hidden="1">[8]BALSHT_S!$C$1:$H$65536</definedName>
    <definedName name="Z_D62B3FE6_56F6_11D1_AB57_00805F1D2048_.wvu.Cols" hidden="1">[8]PE1_S!$D$1:$H$65536,[8]PE1_S!$L$1:$M$65536,[8]PE1_S!$O$1:$P$65536,[8]PE1_S!$R$1:$S$65536</definedName>
    <definedName name="Z_D62B3FE6_56F6_11D1_AB57_00805F1D2048_.wvu.Rows" hidden="1">[8]PE1_S!$A$22:$IV$23</definedName>
    <definedName name="Z_DCBAD063_2D80_11D1_AB5C_00805F466D8F_.wvu.Cols" hidden="1">[8]BALSHT_S!$C$1:$H$65536</definedName>
    <definedName name="Z_DCBAD064_2D80_11D1_AB5C_00805F466D8F_.wvu.Cols" hidden="1">[8]PE1_S!$D$1:$H$65536,[8]PE1_S!$L$1:$M$65536,[8]PE1_S!$O$1:$P$65536,[8]PE1_S!$R$1:$S$65536</definedName>
    <definedName name="Z_DCBAD064_2D80_11D1_AB5C_00805F466D8F_.wvu.Rows" hidden="1">[8]PE1_S!$A$22:$IV$23</definedName>
    <definedName name="Z_EC399ADF_4413_11D1_AB58_00805F1D08F8_.wvu.Cols" hidden="1">[8]BALSHT_S!$C$1:$H$65536</definedName>
    <definedName name="Z_EC399AE0_4413_11D1_AB58_00805F1D08F8_.wvu.Cols" hidden="1">[8]PE1_S!$D$1:$H$65536,[8]PE1_S!$L$1:$M$65536,[8]PE1_S!$O$1:$P$65536,[8]PE1_S!$R$1:$S$65536</definedName>
    <definedName name="Z_EC399AE0_4413_11D1_AB58_00805F1D08F8_.wvu.Rows" hidden="1">[8]PE1_S!$A$22:$IV$23</definedName>
    <definedName name="Z_F8F432B7_2D4F_11D1_AB36_00805F1DF014_.wvu.Cols" hidden="1">[8]BALSHT_S!$C$1:$H$65536</definedName>
    <definedName name="Z_F8F432B8_2D4F_11D1_AB36_00805F1DF014_.wvu.Cols" hidden="1">[8]PE1_S!$D$1:$H$65536,[8]PE1_S!$L$1:$M$65536,[8]PE1_S!$O$1:$P$65536,[8]PE1_S!$R$1:$S$65536</definedName>
    <definedName name="Z_F8F432B8_2D4F_11D1_AB36_00805F1DF014_.wvu.Rows" hidden="1">[8]PE1_S!$A$22:$IV$23</definedName>
    <definedName name="Z_F97BFBDE_2894_11D1_AB3A_00805F1D08F8_.wvu.Cols" hidden="1">[8]BALSHT_S!$C$1:$H$65536</definedName>
    <definedName name="Z_F97BFBDF_2894_11D1_AB3A_00805F1D08F8_.wvu.Cols" hidden="1">[8]PE1_S!$D$1:$H$65536,[8]PE1_S!$L$1:$M$65536,[8]PE1_S!$O$1:$P$65536,[8]PE1_S!$R$1:$S$65536</definedName>
    <definedName name="Z_F97BFBDF_2894_11D1_AB3A_00805F1D08F8_.wvu.Rows" hidden="1">[8]PE1_S!$A$22:$IV$23</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5" i="6" l="1"/>
  <c r="P8" i="6"/>
  <c r="P13" i="6"/>
  <c r="P14" i="6" s="1"/>
  <c r="P20" i="6" s="1"/>
  <c r="P22" i="6" s="1"/>
  <c r="P29" i="6" s="1"/>
  <c r="CX8" i="3"/>
  <c r="CX6" i="3" s="1"/>
  <c r="CX9" i="3"/>
  <c r="DB4" i="3"/>
  <c r="DA5" i="3" s="1"/>
  <c r="DB5" i="3" s="1"/>
  <c r="DA6" i="3" s="1"/>
  <c r="DB6" i="3" s="1"/>
  <c r="DA7" i="3" s="1"/>
  <c r="P106" i="6"/>
  <c r="P109" i="6"/>
  <c r="P26" i="6" l="1"/>
  <c r="P27" i="6"/>
  <c r="P25" i="6"/>
  <c r="P24" i="6"/>
  <c r="P31" i="6" s="1"/>
  <c r="P23" i="6"/>
  <c r="P30" i="6" s="1"/>
  <c r="DB7" i="3"/>
  <c r="DA8" i="3" s="1"/>
  <c r="DB8" i="3" l="1"/>
  <c r="DA9" i="3" s="1"/>
  <c r="DD7" i="3"/>
  <c r="DF7" i="3"/>
  <c r="DI7" i="3" s="1"/>
  <c r="DB9" i="3" l="1"/>
  <c r="DA10" i="3" s="1"/>
  <c r="DD8" i="3"/>
  <c r="DF8" i="3"/>
  <c r="DI8" i="3" s="1"/>
  <c r="DD9" i="3" l="1"/>
  <c r="DF9" i="3"/>
  <c r="DI9" i="3" s="1"/>
  <c r="DB10" i="3"/>
  <c r="DA11" i="3" s="1"/>
  <c r="DB11" i="3" l="1"/>
  <c r="DA12" i="3" s="1"/>
  <c r="DD10" i="3"/>
  <c r="DF10" i="3"/>
  <c r="DI10" i="3" s="1"/>
  <c r="DB12" i="3" l="1"/>
  <c r="DA13" i="3" s="1"/>
  <c r="DC11" i="3"/>
  <c r="DD11" i="3"/>
  <c r="DF11" i="3"/>
  <c r="DI11" i="3" s="1"/>
  <c r="DC12" i="3" l="1"/>
  <c r="DB13" i="3"/>
  <c r="DA14" i="3" s="1"/>
  <c r="DF12" i="3"/>
  <c r="DD12" i="3"/>
  <c r="DE12" i="3" s="1"/>
  <c r="DG12" i="3" l="1"/>
  <c r="DI12" i="3"/>
  <c r="DB14" i="3"/>
  <c r="DA15" i="3" s="1"/>
  <c r="DD13" i="3"/>
  <c r="DE13" i="3" s="1"/>
  <c r="DF13" i="3"/>
  <c r="DC13" i="3"/>
  <c r="DI13" i="3" l="1"/>
  <c r="DG13" i="3"/>
  <c r="DC14" i="3"/>
  <c r="DB15" i="3"/>
  <c r="DA16" i="3" s="1"/>
  <c r="DF14" i="3"/>
  <c r="DD14" i="3"/>
  <c r="DE14" i="3" s="1"/>
  <c r="DD15" i="3" l="1"/>
  <c r="DE15" i="3" s="1"/>
  <c r="DF15" i="3"/>
  <c r="DI15" i="3" s="1"/>
  <c r="DG14" i="3"/>
  <c r="DI14" i="3"/>
  <c r="DB16" i="3"/>
  <c r="DA17" i="3" s="1"/>
  <c r="DC15" i="3"/>
  <c r="DG15" i="3" l="1"/>
  <c r="DB17" i="3"/>
  <c r="DF17" i="3" s="1"/>
  <c r="DC16" i="3"/>
  <c r="DF16" i="3"/>
  <c r="DD16" i="3"/>
  <c r="DE16" i="3" s="1"/>
  <c r="DI16" i="3" l="1"/>
  <c r="DH17" i="3" s="1"/>
  <c r="DI17" i="3" s="1"/>
  <c r="DG16" i="3"/>
  <c r="DC17" i="3"/>
  <c r="DD17" i="3"/>
  <c r="DE17" i="3" s="1"/>
  <c r="P98" i="6" l="1"/>
  <c r="N98" i="6"/>
  <c r="M98" i="6"/>
  <c r="M99" i="6" s="1"/>
  <c r="L98" i="6"/>
  <c r="K98" i="6"/>
  <c r="J98" i="6"/>
  <c r="I98" i="6"/>
  <c r="H98" i="6"/>
  <c r="H99" i="6" s="1"/>
  <c r="G98" i="6"/>
  <c r="G99" i="6" s="1"/>
  <c r="F98" i="6"/>
  <c r="E98" i="6"/>
  <c r="E99" i="6" s="1"/>
  <c r="E101" i="6" s="1"/>
  <c r="D98" i="6"/>
  <c r="O98" i="6"/>
  <c r="P53" i="6"/>
  <c r="P44" i="6"/>
  <c r="Q40" i="6"/>
  <c r="Q42" i="6" s="1"/>
  <c r="Q41" i="6"/>
  <c r="P41" i="6"/>
  <c r="O14" i="6"/>
  <c r="O41" i="6" s="1"/>
  <c r="N14" i="6"/>
  <c r="N41" i="6" s="1"/>
  <c r="M14" i="6"/>
  <c r="M41" i="6" s="1"/>
  <c r="L14" i="6"/>
  <c r="L41" i="6" s="1"/>
  <c r="K14" i="6"/>
  <c r="J14" i="6"/>
  <c r="J41" i="6" s="1"/>
  <c r="I14" i="6"/>
  <c r="I41" i="6" s="1"/>
  <c r="H14" i="6"/>
  <c r="H41" i="6" s="1"/>
  <c r="G14" i="6"/>
  <c r="G41" i="6" s="1"/>
  <c r="F14" i="6"/>
  <c r="F41" i="6" s="1"/>
  <c r="E14" i="6"/>
  <c r="D14" i="6"/>
  <c r="D41" i="6" s="1"/>
  <c r="D59" i="6" s="1"/>
  <c r="P40" i="6"/>
  <c r="P58" i="6" s="1"/>
  <c r="J35" i="6"/>
  <c r="W5" i="6"/>
  <c r="D8" i="6"/>
  <c r="E8" i="6"/>
  <c r="F8" i="6"/>
  <c r="F40" i="6" s="1"/>
  <c r="G8" i="6"/>
  <c r="G40" i="6" s="1"/>
  <c r="H8" i="6"/>
  <c r="I8" i="6"/>
  <c r="I40" i="6" s="1"/>
  <c r="J8" i="6"/>
  <c r="J40" i="6" s="1"/>
  <c r="K8" i="6"/>
  <c r="K20" i="6" s="1"/>
  <c r="K22" i="6" s="1"/>
  <c r="K29" i="6" s="1"/>
  <c r="L8" i="6"/>
  <c r="L20" i="6" s="1"/>
  <c r="L24" i="6" s="1"/>
  <c r="L31" i="6" s="1"/>
  <c r="M8" i="6"/>
  <c r="M20" i="6" s="1"/>
  <c r="M24" i="6" s="1"/>
  <c r="M31" i="6" s="1"/>
  <c r="N8" i="6"/>
  <c r="N40" i="6" s="1"/>
  <c r="O8" i="6"/>
  <c r="O40" i="6" s="1"/>
  <c r="O58" i="6" s="1"/>
  <c r="E41" i="6"/>
  <c r="K41" i="6"/>
  <c r="D40" i="6"/>
  <c r="D57" i="6" s="1"/>
  <c r="E40" i="6"/>
  <c r="K44" i="6"/>
  <c r="L44" i="6"/>
  <c r="M44" i="6"/>
  <c r="N44" i="6"/>
  <c r="O44" i="6"/>
  <c r="E48" i="6"/>
  <c r="F48" i="6"/>
  <c r="G48" i="6"/>
  <c r="H48" i="6"/>
  <c r="I48" i="6"/>
  <c r="J48" i="6"/>
  <c r="K48" i="6"/>
  <c r="K53" i="6"/>
  <c r="L53" i="6"/>
  <c r="M53" i="6"/>
  <c r="N53" i="6"/>
  <c r="O53" i="6"/>
  <c r="K88" i="6"/>
  <c r="K87" i="6" s="1"/>
  <c r="L88" i="6"/>
  <c r="L87" i="6" s="1"/>
  <c r="M88" i="6"/>
  <c r="M87" i="6" s="1"/>
  <c r="N88" i="6"/>
  <c r="N87" i="6" s="1"/>
  <c r="M91" i="6"/>
  <c r="N91" i="6"/>
  <c r="L93" i="6"/>
  <c r="M93" i="6"/>
  <c r="N93" i="6"/>
  <c r="F99" i="6"/>
  <c r="E106" i="6"/>
  <c r="F106" i="6"/>
  <c r="G106" i="6"/>
  <c r="H106" i="6"/>
  <c r="I106" i="6"/>
  <c r="J106" i="6"/>
  <c r="K106" i="6"/>
  <c r="L106" i="6"/>
  <c r="M106" i="6"/>
  <c r="N106" i="6"/>
  <c r="O106" i="6"/>
  <c r="D109" i="6"/>
  <c r="E109" i="6"/>
  <c r="F109" i="6"/>
  <c r="G109" i="6"/>
  <c r="H109" i="6"/>
  <c r="I109" i="6"/>
  <c r="J109" i="6"/>
  <c r="K109" i="6"/>
  <c r="L109" i="6"/>
  <c r="M109" i="6"/>
  <c r="N109" i="6"/>
  <c r="O109" i="6"/>
  <c r="O115" i="6"/>
  <c r="O116" i="6"/>
  <c r="O117" i="6"/>
  <c r="O118" i="6"/>
  <c r="O119" i="6"/>
  <c r="O120" i="6"/>
  <c r="AJ61" i="3"/>
  <c r="AJ62" i="3"/>
  <c r="AJ63" i="3"/>
  <c r="T70" i="3"/>
  <c r="T66" i="3"/>
  <c r="T67" i="3"/>
  <c r="T68" i="3"/>
  <c r="T69" i="3"/>
  <c r="D58" i="3"/>
  <c r="D57" i="3"/>
  <c r="H20" i="6" l="1"/>
  <c r="P48" i="6"/>
  <c r="O107" i="6"/>
  <c r="P99" i="6"/>
  <c r="S99" i="6" s="1"/>
  <c r="P110" i="6"/>
  <c r="P101" i="6"/>
  <c r="P107" i="6"/>
  <c r="P42" i="6"/>
  <c r="P55" i="6" s="1"/>
  <c r="N99" i="6"/>
  <c r="N101" i="6" s="1"/>
  <c r="G57" i="6"/>
  <c r="P45" i="6"/>
  <c r="P59" i="6"/>
  <c r="P46" i="6"/>
  <c r="P54" i="6"/>
  <c r="O121" i="6"/>
  <c r="F59" i="6"/>
  <c r="H40" i="6"/>
  <c r="H42" i="6" s="1"/>
  <c r="H46" i="6" s="1"/>
  <c r="G110" i="6"/>
  <c r="E110" i="6"/>
  <c r="J110" i="6"/>
  <c r="H27" i="6"/>
  <c r="H22" i="6"/>
  <c r="E57" i="6"/>
  <c r="I110" i="6"/>
  <c r="L48" i="6"/>
  <c r="J20" i="6"/>
  <c r="J25" i="6" s="1"/>
  <c r="E59" i="6"/>
  <c r="I20" i="6"/>
  <c r="I23" i="6" s="1"/>
  <c r="G101" i="6"/>
  <c r="D110" i="6"/>
  <c r="M48" i="6"/>
  <c r="D99" i="6"/>
  <c r="D101" i="6" s="1"/>
  <c r="K40" i="6"/>
  <c r="K58" i="6" s="1"/>
  <c r="E42" i="6"/>
  <c r="E46" i="6" s="1"/>
  <c r="H57" i="6"/>
  <c r="F42" i="6"/>
  <c r="F46" i="6" s="1"/>
  <c r="I42" i="6"/>
  <c r="I46" i="6" s="1"/>
  <c r="H101" i="6"/>
  <c r="F57" i="6"/>
  <c r="I57" i="6"/>
  <c r="H110" i="6"/>
  <c r="F101" i="6"/>
  <c r="J24" i="6"/>
  <c r="D42" i="6"/>
  <c r="D54" i="6" s="1"/>
  <c r="J23" i="6"/>
  <c r="O99" i="6"/>
  <c r="O101" i="6" s="1"/>
  <c r="M40" i="6"/>
  <c r="M58" i="6" s="1"/>
  <c r="F110" i="6"/>
  <c r="N107" i="6"/>
  <c r="L40" i="6"/>
  <c r="L42" i="6" s="1"/>
  <c r="L46" i="6" s="1"/>
  <c r="L22" i="6"/>
  <c r="L29" i="6" s="1"/>
  <c r="G59" i="6"/>
  <c r="L99" i="6"/>
  <c r="L101" i="6" s="1"/>
  <c r="L110" i="6"/>
  <c r="M59" i="6"/>
  <c r="M107" i="6"/>
  <c r="K59" i="6"/>
  <c r="M26" i="6"/>
  <c r="M25" i="6"/>
  <c r="M27" i="6"/>
  <c r="M22" i="6"/>
  <c r="M29" i="6" s="1"/>
  <c r="K110" i="6"/>
  <c r="K99" i="6"/>
  <c r="K101" i="6" s="1"/>
  <c r="H25" i="6"/>
  <c r="H24" i="6"/>
  <c r="H23" i="6"/>
  <c r="H26" i="6"/>
  <c r="F54" i="6"/>
  <c r="K25" i="6"/>
  <c r="K24" i="6"/>
  <c r="K27" i="6"/>
  <c r="K26" i="6"/>
  <c r="L27" i="6"/>
  <c r="L25" i="6"/>
  <c r="L26" i="6"/>
  <c r="K107" i="6"/>
  <c r="I59" i="6"/>
  <c r="O59" i="6"/>
  <c r="H59" i="6"/>
  <c r="O48" i="6"/>
  <c r="L58" i="6"/>
  <c r="M23" i="6"/>
  <c r="M30" i="6" s="1"/>
  <c r="L107" i="6"/>
  <c r="L23" i="6"/>
  <c r="L30" i="6" s="1"/>
  <c r="L59" i="6"/>
  <c r="J59" i="6"/>
  <c r="O110" i="6"/>
  <c r="M92" i="6"/>
  <c r="J57" i="6"/>
  <c r="J58" i="6"/>
  <c r="J42" i="6"/>
  <c r="K23" i="6"/>
  <c r="K30" i="6" s="1"/>
  <c r="K35" i="6" s="1"/>
  <c r="N58" i="6"/>
  <c r="N42" i="6"/>
  <c r="N46" i="6" s="1"/>
  <c r="N48" i="6"/>
  <c r="N110" i="6"/>
  <c r="G42" i="6"/>
  <c r="J107" i="6"/>
  <c r="J99" i="6"/>
  <c r="J101" i="6" s="1"/>
  <c r="N59" i="6"/>
  <c r="N92" i="6"/>
  <c r="L92" i="6"/>
  <c r="M110" i="6"/>
  <c r="M101" i="6"/>
  <c r="O42" i="6"/>
  <c r="O46" i="6" s="1"/>
  <c r="H55" i="6"/>
  <c r="H45" i="6"/>
  <c r="H54" i="6"/>
  <c r="G20" i="6"/>
  <c r="F20" i="6"/>
  <c r="E20" i="6"/>
  <c r="D20" i="6"/>
  <c r="O19" i="6"/>
  <c r="O20" i="6"/>
  <c r="N20" i="6"/>
  <c r="H107" i="6"/>
  <c r="G107" i="6"/>
  <c r="I99" i="6"/>
  <c r="I101" i="6" s="1"/>
  <c r="F107" i="6"/>
  <c r="J26" i="6"/>
  <c r="E107" i="6"/>
  <c r="I107" i="6"/>
  <c r="CE72" i="3"/>
  <c r="AJ58" i="3"/>
  <c r="AJ59" i="3"/>
  <c r="AJ60" i="3"/>
  <c r="T65" i="3"/>
  <c r="T64" i="3"/>
  <c r="T63" i="3"/>
  <c r="T62" i="3"/>
  <c r="D51" i="3"/>
  <c r="D52" i="3"/>
  <c r="D53" i="3"/>
  <c r="D54" i="3"/>
  <c r="D55" i="3"/>
  <c r="D56" i="3"/>
  <c r="L4" i="4"/>
  <c r="L5" i="4"/>
  <c r="L6" i="4"/>
  <c r="C7" i="4"/>
  <c r="D7" i="4"/>
  <c r="E7" i="4"/>
  <c r="F7" i="4"/>
  <c r="G7" i="4"/>
  <c r="B8" i="4"/>
  <c r="C8" i="4" s="1"/>
  <c r="L10" i="4"/>
  <c r="L13" i="4"/>
  <c r="I4" i="3"/>
  <c r="H5" i="3" s="1"/>
  <c r="I5" i="3" s="1"/>
  <c r="H6" i="3" s="1"/>
  <c r="I6" i="3" s="1"/>
  <c r="H7" i="3" s="1"/>
  <c r="I7" i="3" s="1"/>
  <c r="H8" i="3" s="1"/>
  <c r="I8" i="3" s="1"/>
  <c r="H9" i="3" s="1"/>
  <c r="Y4" i="3"/>
  <c r="X5" i="3" s="1"/>
  <c r="Y5" i="3" s="1"/>
  <c r="X6" i="3" s="1"/>
  <c r="Y6" i="3" s="1"/>
  <c r="X7" i="3" s="1"/>
  <c r="Y7" i="3" s="1"/>
  <c r="X8" i="3" s="1"/>
  <c r="Y8" i="3" s="1"/>
  <c r="X9" i="3" s="1"/>
  <c r="Y9" i="3" s="1"/>
  <c r="X10" i="3" s="1"/>
  <c r="Y10" i="3" s="1"/>
  <c r="X11" i="3" s="1"/>
  <c r="AO4" i="3"/>
  <c r="AN5" i="3" s="1"/>
  <c r="AO5" i="3" s="1"/>
  <c r="AN6" i="3" s="1"/>
  <c r="AO6" i="3" s="1"/>
  <c r="AN7" i="3" s="1"/>
  <c r="AO7" i="3" s="1"/>
  <c r="AN8" i="3" s="1"/>
  <c r="AO8" i="3" s="1"/>
  <c r="AN9" i="3" s="1"/>
  <c r="AO9" i="3" s="1"/>
  <c r="AN10" i="3" s="1"/>
  <c r="AO10" i="3" s="1"/>
  <c r="AN11" i="3" s="1"/>
  <c r="BD4" i="3"/>
  <c r="BC5" i="3" s="1"/>
  <c r="BD5" i="3" s="1"/>
  <c r="BC6" i="3" s="1"/>
  <c r="BD6" i="3" s="1"/>
  <c r="BC7" i="3" s="1"/>
  <c r="BD7" i="3" s="1"/>
  <c r="BC8" i="3" s="1"/>
  <c r="BD8" i="3" s="1"/>
  <c r="BC9" i="3" s="1"/>
  <c r="BT4" i="3"/>
  <c r="BS5" i="3" s="1"/>
  <c r="BT5" i="3" s="1"/>
  <c r="BS6" i="3" s="1"/>
  <c r="BT6" i="3" s="1"/>
  <c r="BS7" i="3" s="1"/>
  <c r="BT7" i="3" s="1"/>
  <c r="BS8" i="3" s="1"/>
  <c r="BT8" i="3" s="1"/>
  <c r="BS9" i="3" s="1"/>
  <c r="CJ4" i="3"/>
  <c r="CI5" i="3" s="1"/>
  <c r="CJ5" i="3" s="1"/>
  <c r="CI6" i="3" s="1"/>
  <c r="CJ6" i="3" s="1"/>
  <c r="CI7" i="3" s="1"/>
  <c r="D5" i="3"/>
  <c r="AJ5" i="3"/>
  <c r="AY5" i="3"/>
  <c r="BO5" i="3"/>
  <c r="D6" i="3"/>
  <c r="AJ6" i="3"/>
  <c r="AY6" i="3"/>
  <c r="BO6" i="3"/>
  <c r="D7" i="3"/>
  <c r="AJ7" i="3"/>
  <c r="AY7" i="3"/>
  <c r="BO7" i="3"/>
  <c r="D8" i="3"/>
  <c r="AJ8" i="3"/>
  <c r="AY8" i="3"/>
  <c r="BO8" i="3"/>
  <c r="CE8" i="3"/>
  <c r="D9" i="3"/>
  <c r="AJ9" i="3"/>
  <c r="AY9" i="3"/>
  <c r="BO9" i="3"/>
  <c r="CE9" i="3"/>
  <c r="D10" i="3"/>
  <c r="AJ10" i="3"/>
  <c r="AY10" i="3"/>
  <c r="BO10" i="3"/>
  <c r="CE10" i="3"/>
  <c r="D11" i="3"/>
  <c r="AJ11" i="3"/>
  <c r="AY11" i="3"/>
  <c r="BO11" i="3"/>
  <c r="CE11" i="3"/>
  <c r="D12" i="3"/>
  <c r="AJ12" i="3"/>
  <c r="AY12" i="3"/>
  <c r="BO12" i="3"/>
  <c r="CE12" i="3"/>
  <c r="D13" i="3"/>
  <c r="AJ13" i="3"/>
  <c r="AY13" i="3"/>
  <c r="BO13" i="3"/>
  <c r="CE13" i="3"/>
  <c r="D14" i="3"/>
  <c r="AJ14" i="3"/>
  <c r="AY14" i="3"/>
  <c r="BO14" i="3"/>
  <c r="CE14" i="3"/>
  <c r="D15" i="3"/>
  <c r="AJ15" i="3"/>
  <c r="AY15" i="3"/>
  <c r="BO15" i="3"/>
  <c r="CE15" i="3"/>
  <c r="D16" i="3"/>
  <c r="AJ16" i="3"/>
  <c r="AY16" i="3"/>
  <c r="BO16" i="3"/>
  <c r="CE16" i="3"/>
  <c r="D17" i="3"/>
  <c r="AJ17" i="3"/>
  <c r="AY17" i="3"/>
  <c r="BO17" i="3"/>
  <c r="CE17" i="3"/>
  <c r="D18" i="3"/>
  <c r="AJ18" i="3"/>
  <c r="AY18" i="3"/>
  <c r="BO18" i="3"/>
  <c r="CE18" i="3"/>
  <c r="D19" i="3"/>
  <c r="T19" i="3"/>
  <c r="AJ19" i="3"/>
  <c r="AY19" i="3"/>
  <c r="BO19" i="3"/>
  <c r="CE19" i="3"/>
  <c r="D20" i="3"/>
  <c r="T20" i="3"/>
  <c r="AJ20" i="3"/>
  <c r="AY20" i="3"/>
  <c r="BO20" i="3"/>
  <c r="CE20" i="3"/>
  <c r="D21" i="3"/>
  <c r="T21" i="3"/>
  <c r="AJ21" i="3"/>
  <c r="AY21" i="3"/>
  <c r="BD21" i="3"/>
  <c r="BC22" i="3" s="1"/>
  <c r="BD22" i="3" s="1"/>
  <c r="BC23" i="3" s="1"/>
  <c r="BD23" i="3" s="1"/>
  <c r="BC24" i="3" s="1"/>
  <c r="BD24" i="3" s="1"/>
  <c r="BC25" i="3" s="1"/>
  <c r="BD25" i="3" s="1"/>
  <c r="BC26" i="3" s="1"/>
  <c r="BO21" i="3"/>
  <c r="CE21" i="3"/>
  <c r="D22" i="3"/>
  <c r="T22" i="3"/>
  <c r="AJ22" i="3"/>
  <c r="AY22" i="3"/>
  <c r="BO22" i="3"/>
  <c r="CE22" i="3"/>
  <c r="D23" i="3"/>
  <c r="T23" i="3"/>
  <c r="AJ23" i="3"/>
  <c r="AY23" i="3"/>
  <c r="BO23" i="3"/>
  <c r="CE23" i="3"/>
  <c r="D24" i="3"/>
  <c r="T24" i="3"/>
  <c r="AJ24" i="3"/>
  <c r="AY24" i="3"/>
  <c r="BO24" i="3"/>
  <c r="CE24" i="3"/>
  <c r="D25" i="3"/>
  <c r="T25" i="3"/>
  <c r="AJ25" i="3"/>
  <c r="AY25" i="3"/>
  <c r="BO25" i="3"/>
  <c r="CE25" i="3"/>
  <c r="D26" i="3"/>
  <c r="T26" i="3"/>
  <c r="AJ26" i="3"/>
  <c r="AY26" i="3"/>
  <c r="BO26" i="3"/>
  <c r="CE26" i="3"/>
  <c r="D27" i="3"/>
  <c r="T27" i="3"/>
  <c r="AJ27" i="3"/>
  <c r="AY27" i="3"/>
  <c r="BO27" i="3"/>
  <c r="CE27" i="3"/>
  <c r="D28" i="3"/>
  <c r="T28" i="3"/>
  <c r="AJ28" i="3"/>
  <c r="AY28" i="3"/>
  <c r="BO28" i="3"/>
  <c r="CE28" i="3"/>
  <c r="D29" i="3"/>
  <c r="T29" i="3"/>
  <c r="AJ29" i="3"/>
  <c r="AY29" i="3"/>
  <c r="BO29" i="3"/>
  <c r="CE29" i="3"/>
  <c r="D30" i="3"/>
  <c r="T30" i="3"/>
  <c r="AJ30" i="3"/>
  <c r="AY30" i="3"/>
  <c r="BO30" i="3"/>
  <c r="CE30" i="3"/>
  <c r="D31" i="3"/>
  <c r="T31" i="3"/>
  <c r="AJ31" i="3"/>
  <c r="AY31" i="3"/>
  <c r="BO31" i="3"/>
  <c r="CE31" i="3"/>
  <c r="D32" i="3"/>
  <c r="T32" i="3"/>
  <c r="AJ32" i="3"/>
  <c r="AY32" i="3"/>
  <c r="BO32" i="3"/>
  <c r="CE32" i="3"/>
  <c r="D33" i="3"/>
  <c r="T33" i="3"/>
  <c r="AJ33" i="3"/>
  <c r="AY33" i="3"/>
  <c r="BO33" i="3"/>
  <c r="CE33" i="3"/>
  <c r="D34" i="3"/>
  <c r="T34" i="3"/>
  <c r="AJ34" i="3"/>
  <c r="AY34" i="3"/>
  <c r="BO34" i="3"/>
  <c r="CE34" i="3"/>
  <c r="D35" i="3"/>
  <c r="T35" i="3"/>
  <c r="AJ35" i="3"/>
  <c r="AY35" i="3"/>
  <c r="BO35" i="3"/>
  <c r="CE35" i="3"/>
  <c r="D36" i="3"/>
  <c r="T36" i="3"/>
  <c r="AJ36" i="3"/>
  <c r="AY36" i="3"/>
  <c r="BO36" i="3"/>
  <c r="CE36" i="3"/>
  <c r="D37" i="3"/>
  <c r="T37" i="3"/>
  <c r="AJ37" i="3"/>
  <c r="AY37" i="3"/>
  <c r="BO37" i="3"/>
  <c r="CE37" i="3"/>
  <c r="D38" i="3"/>
  <c r="T38" i="3"/>
  <c r="AJ38" i="3"/>
  <c r="AY38" i="3"/>
  <c r="BO38" i="3"/>
  <c r="CE38" i="3"/>
  <c r="D39" i="3"/>
  <c r="T39" i="3"/>
  <c r="AJ39" i="3"/>
  <c r="AY39" i="3"/>
  <c r="BO39" i="3"/>
  <c r="CE39" i="3"/>
  <c r="D40" i="3"/>
  <c r="T40" i="3"/>
  <c r="AJ40" i="3"/>
  <c r="AY40" i="3"/>
  <c r="BO40" i="3"/>
  <c r="CE40" i="3"/>
  <c r="D41" i="3"/>
  <c r="T41" i="3"/>
  <c r="AJ41" i="3"/>
  <c r="AY41" i="3"/>
  <c r="BO41" i="3"/>
  <c r="CE41" i="3"/>
  <c r="D42" i="3"/>
  <c r="T42" i="3"/>
  <c r="AJ42" i="3"/>
  <c r="AY42" i="3"/>
  <c r="BO42" i="3"/>
  <c r="CE42" i="3"/>
  <c r="D43" i="3"/>
  <c r="T43" i="3"/>
  <c r="AJ43" i="3"/>
  <c r="AY43" i="3"/>
  <c r="BO43" i="3"/>
  <c r="CE43" i="3"/>
  <c r="D44" i="3"/>
  <c r="T44" i="3"/>
  <c r="AJ44" i="3"/>
  <c r="AY44" i="3"/>
  <c r="BO44" i="3"/>
  <c r="CE44" i="3"/>
  <c r="D45" i="3"/>
  <c r="T45" i="3"/>
  <c r="AJ45" i="3"/>
  <c r="AY45" i="3"/>
  <c r="BO45" i="3"/>
  <c r="CE45" i="3"/>
  <c r="D46" i="3"/>
  <c r="T46" i="3"/>
  <c r="AJ46" i="3"/>
  <c r="AY46" i="3"/>
  <c r="BO46" i="3"/>
  <c r="CE46" i="3"/>
  <c r="D47" i="3"/>
  <c r="T47" i="3"/>
  <c r="AJ47" i="3"/>
  <c r="AY47" i="3"/>
  <c r="BO47" i="3"/>
  <c r="CE47" i="3"/>
  <c r="D48" i="3"/>
  <c r="T48" i="3"/>
  <c r="AJ48" i="3"/>
  <c r="AY48" i="3"/>
  <c r="BO48" i="3"/>
  <c r="CE48" i="3"/>
  <c r="D49" i="3"/>
  <c r="T49" i="3"/>
  <c r="AJ49" i="3"/>
  <c r="AY49" i="3"/>
  <c r="BO49" i="3"/>
  <c r="CE49" i="3"/>
  <c r="D50" i="3"/>
  <c r="T50" i="3"/>
  <c r="AJ50" i="3"/>
  <c r="AY50" i="3"/>
  <c r="BO50" i="3"/>
  <c r="CE50" i="3"/>
  <c r="T51" i="3"/>
  <c r="AJ51" i="3"/>
  <c r="AY51" i="3"/>
  <c r="BO51" i="3"/>
  <c r="CE51" i="3"/>
  <c r="T52" i="3"/>
  <c r="AJ52" i="3"/>
  <c r="AY52" i="3"/>
  <c r="BO52" i="3"/>
  <c r="CE52" i="3"/>
  <c r="T53" i="3"/>
  <c r="AJ53" i="3"/>
  <c r="AY53" i="3"/>
  <c r="BO53" i="3"/>
  <c r="CE53" i="3"/>
  <c r="T54" i="3"/>
  <c r="AJ54" i="3"/>
  <c r="AY54" i="3"/>
  <c r="BO54" i="3"/>
  <c r="CE54" i="3"/>
  <c r="T55" i="3"/>
  <c r="AJ55" i="3"/>
  <c r="AY55" i="3"/>
  <c r="BO55" i="3"/>
  <c r="CE55" i="3"/>
  <c r="T56" i="3"/>
  <c r="AJ56" i="3"/>
  <c r="AY56" i="3"/>
  <c r="BO56" i="3"/>
  <c r="CE56" i="3"/>
  <c r="T57" i="3"/>
  <c r="AJ57" i="3"/>
  <c r="AY57" i="3"/>
  <c r="BO57" i="3"/>
  <c r="CE57" i="3"/>
  <c r="T58" i="3"/>
  <c r="AY58" i="3"/>
  <c r="BO58" i="3"/>
  <c r="CE58" i="3"/>
  <c r="T59" i="3"/>
  <c r="AY59" i="3"/>
  <c r="BO59" i="3"/>
  <c r="CE59" i="3"/>
  <c r="T60" i="3"/>
  <c r="AY60" i="3"/>
  <c r="BO60" i="3"/>
  <c r="CE60" i="3"/>
  <c r="T61" i="3"/>
  <c r="AY61" i="3"/>
  <c r="BO61" i="3"/>
  <c r="CE61" i="3"/>
  <c r="AY62" i="3"/>
  <c r="BO62" i="3"/>
  <c r="CE62" i="3"/>
  <c r="AY63" i="3"/>
  <c r="BO63" i="3"/>
  <c r="CE63" i="3"/>
  <c r="AY64" i="3"/>
  <c r="BO64" i="3"/>
  <c r="CE64" i="3"/>
  <c r="AY65" i="3"/>
  <c r="BO65" i="3"/>
  <c r="CE65" i="3"/>
  <c r="AY66" i="3"/>
  <c r="BO66" i="3"/>
  <c r="CE66" i="3"/>
  <c r="AY67" i="3"/>
  <c r="BO67" i="3"/>
  <c r="CE67" i="3"/>
  <c r="AY68" i="3"/>
  <c r="BO68" i="3"/>
  <c r="CE68" i="3"/>
  <c r="AY69" i="3"/>
  <c r="BO69" i="3"/>
  <c r="CE69" i="3"/>
  <c r="AY70" i="3"/>
  <c r="BO70" i="3"/>
  <c r="CE70" i="3"/>
  <c r="AY71" i="3"/>
  <c r="BO71" i="3"/>
  <c r="CE71" i="3"/>
  <c r="AY72" i="3"/>
  <c r="BO72" i="3"/>
  <c r="AY73" i="3"/>
  <c r="BO73" i="3"/>
  <c r="CE73" i="3"/>
  <c r="AY74" i="3"/>
  <c r="BO74" i="3"/>
  <c r="CE74" i="3"/>
  <c r="AY75" i="3"/>
  <c r="BO75" i="3"/>
  <c r="CE75" i="3"/>
  <c r="AY76" i="3"/>
  <c r="BO76" i="3"/>
  <c r="CE76" i="3"/>
  <c r="AY77" i="3"/>
  <c r="BO77" i="3"/>
  <c r="CE77" i="3"/>
  <c r="AY78" i="3"/>
  <c r="BO78" i="3"/>
  <c r="CE78" i="3"/>
  <c r="AY79" i="3"/>
  <c r="BO79" i="3"/>
  <c r="CE79" i="3"/>
  <c r="AY80" i="3"/>
  <c r="BO80" i="3"/>
  <c r="CE80" i="3"/>
  <c r="AY81" i="3"/>
  <c r="BO81" i="3"/>
  <c r="CE81" i="3"/>
  <c r="AY82" i="3"/>
  <c r="BO82" i="3"/>
  <c r="CE82" i="3"/>
  <c r="AY83" i="3"/>
  <c r="BO83" i="3"/>
  <c r="CE83" i="3"/>
  <c r="AY84" i="3"/>
  <c r="BO84" i="3"/>
  <c r="CE84" i="3"/>
  <c r="AY85" i="3"/>
  <c r="BO85" i="3"/>
  <c r="CE85" i="3"/>
  <c r="AY86" i="3"/>
  <c r="BO86" i="3"/>
  <c r="CE86" i="3"/>
  <c r="AY87" i="3"/>
  <c r="BO87" i="3"/>
  <c r="CE87" i="3"/>
  <c r="AY88" i="3"/>
  <c r="BO88" i="3"/>
  <c r="CE88" i="3"/>
  <c r="AY89" i="3"/>
  <c r="BO89" i="3"/>
  <c r="CE89" i="3"/>
  <c r="AY90" i="3"/>
  <c r="BO90" i="3"/>
  <c r="CE90" i="3"/>
  <c r="AY91" i="3"/>
  <c r="BO91" i="3"/>
  <c r="CE91" i="3"/>
  <c r="AY92" i="3"/>
  <c r="BO92" i="3"/>
  <c r="CE92" i="3"/>
  <c r="AY93" i="3"/>
  <c r="BO93" i="3"/>
  <c r="CE93" i="3"/>
  <c r="AY94" i="3"/>
  <c r="BO94" i="3"/>
  <c r="CE94" i="3"/>
  <c r="AY95" i="3"/>
  <c r="BO95" i="3"/>
  <c r="CE95" i="3"/>
  <c r="AY96" i="3"/>
  <c r="BO96" i="3"/>
  <c r="CE96" i="3"/>
  <c r="AY97" i="3"/>
  <c r="BO97" i="3"/>
  <c r="F45" i="6" l="1"/>
  <c r="I54" i="6"/>
  <c r="I45" i="6"/>
  <c r="I55" i="6"/>
  <c r="F55" i="6"/>
  <c r="P50" i="6"/>
  <c r="H50" i="6"/>
  <c r="N55" i="6"/>
  <c r="I25" i="6"/>
  <c r="D46" i="6"/>
  <c r="I24" i="6"/>
  <c r="I50" i="6"/>
  <c r="M35" i="6"/>
  <c r="E45" i="6"/>
  <c r="F49" i="6" s="1"/>
  <c r="I49" i="6"/>
  <c r="I27" i="6"/>
  <c r="I22" i="6"/>
  <c r="F50" i="6"/>
  <c r="J27" i="6"/>
  <c r="J22" i="6"/>
  <c r="E55" i="6"/>
  <c r="E54" i="6"/>
  <c r="I26" i="6"/>
  <c r="K42" i="6"/>
  <c r="L35" i="6"/>
  <c r="E50" i="6"/>
  <c r="D55" i="6"/>
  <c r="M42" i="6"/>
  <c r="M50" i="6" s="1"/>
  <c r="D45" i="6"/>
  <c r="G55" i="6"/>
  <c r="G45" i="6"/>
  <c r="H49" i="6" s="1"/>
  <c r="G54" i="6"/>
  <c r="G46" i="6"/>
  <c r="G50" i="6"/>
  <c r="L45" i="6"/>
  <c r="L54" i="6"/>
  <c r="O55" i="6"/>
  <c r="N26" i="6"/>
  <c r="N27" i="6"/>
  <c r="N22" i="6"/>
  <c r="N29" i="6" s="1"/>
  <c r="N25" i="6"/>
  <c r="N24" i="6"/>
  <c r="N31" i="6" s="1"/>
  <c r="N23" i="6"/>
  <c r="N30" i="6" s="1"/>
  <c r="L55" i="6"/>
  <c r="O22" i="6"/>
  <c r="O26" i="6"/>
  <c r="Q26" i="6" s="1"/>
  <c r="O27" i="6"/>
  <c r="Q27" i="6" s="1"/>
  <c r="O25" i="6"/>
  <c r="Q25" i="6" s="1"/>
  <c r="Q32" i="6" s="1"/>
  <c r="O24" i="6"/>
  <c r="O23" i="6"/>
  <c r="D23" i="6"/>
  <c r="D24" i="6"/>
  <c r="D22" i="6"/>
  <c r="D26" i="6"/>
  <c r="D27" i="6"/>
  <c r="D25" i="6"/>
  <c r="N54" i="6"/>
  <c r="N45" i="6"/>
  <c r="O49" i="6" s="1"/>
  <c r="J50" i="6"/>
  <c r="J55" i="6"/>
  <c r="J46" i="6"/>
  <c r="J45" i="6"/>
  <c r="J49" i="6" s="1"/>
  <c r="J54" i="6"/>
  <c r="E25" i="6"/>
  <c r="E24" i="6"/>
  <c r="E23" i="6"/>
  <c r="E22" i="6"/>
  <c r="E27" i="6"/>
  <c r="E26" i="6"/>
  <c r="O50" i="6"/>
  <c r="O54" i="6"/>
  <c r="O45" i="6"/>
  <c r="P49" i="6" s="1"/>
  <c r="F25" i="6"/>
  <c r="F24" i="6"/>
  <c r="F23" i="6"/>
  <c r="F22" i="6"/>
  <c r="F27" i="6"/>
  <c r="F26" i="6"/>
  <c r="G26" i="6"/>
  <c r="G23" i="6"/>
  <c r="G22" i="6"/>
  <c r="G25" i="6"/>
  <c r="G24" i="6"/>
  <c r="G27" i="6"/>
  <c r="B9" i="4"/>
  <c r="F9" i="4" s="1"/>
  <c r="G8" i="4"/>
  <c r="F8" i="4"/>
  <c r="I9" i="3"/>
  <c r="H10" i="3" s="1"/>
  <c r="BD26" i="3"/>
  <c r="BC27" i="3" s="1"/>
  <c r="CJ7" i="3"/>
  <c r="CI8" i="3" s="1"/>
  <c r="BD9" i="3"/>
  <c r="BC10" i="3" s="1"/>
  <c r="AO11" i="3"/>
  <c r="AN12" i="3" s="1"/>
  <c r="BT9" i="3"/>
  <c r="BS10" i="3" s="1"/>
  <c r="Y11" i="3"/>
  <c r="X12" i="3" s="1"/>
  <c r="E8" i="4"/>
  <c r="D8" i="4"/>
  <c r="M45" i="6" l="1"/>
  <c r="G49" i="6"/>
  <c r="E49" i="6"/>
  <c r="K55" i="6"/>
  <c r="K46" i="6"/>
  <c r="K50" i="6"/>
  <c r="K54" i="6"/>
  <c r="L50" i="6"/>
  <c r="N35" i="6"/>
  <c r="M49" i="6"/>
  <c r="K45" i="6"/>
  <c r="K49" i="6" s="1"/>
  <c r="N50" i="6"/>
  <c r="M54" i="6"/>
  <c r="M55" i="6"/>
  <c r="M46" i="6"/>
  <c r="O30" i="6"/>
  <c r="O29" i="6"/>
  <c r="O31" i="6"/>
  <c r="N49" i="6"/>
  <c r="E9" i="4"/>
  <c r="Z11" i="3"/>
  <c r="K9" i="3"/>
  <c r="M9" i="3"/>
  <c r="P9" i="3" s="1"/>
  <c r="BH26" i="3"/>
  <c r="BF26" i="3"/>
  <c r="J9" i="3"/>
  <c r="CL7" i="3"/>
  <c r="CN7" i="3"/>
  <c r="CQ7" i="3" s="1"/>
  <c r="AR11" i="3"/>
  <c r="AU11" i="3" s="1"/>
  <c r="AQ11" i="3"/>
  <c r="AP11" i="3"/>
  <c r="D9" i="4"/>
  <c r="C9" i="4"/>
  <c r="G9" i="4"/>
  <c r="B10" i="4"/>
  <c r="G10" i="4" s="1"/>
  <c r="BH9" i="3"/>
  <c r="BK9" i="3" s="1"/>
  <c r="BF9" i="3"/>
  <c r="BE9" i="3"/>
  <c r="AO12" i="3"/>
  <c r="AN13" i="3" s="1"/>
  <c r="BD27" i="3"/>
  <c r="BC28" i="3" s="1"/>
  <c r="Y12" i="3"/>
  <c r="X13" i="3" s="1"/>
  <c r="BD10" i="3"/>
  <c r="BC11" i="3" s="1"/>
  <c r="AC11" i="3"/>
  <c r="AF11" i="3" s="1"/>
  <c r="BE26" i="3"/>
  <c r="AA11" i="3"/>
  <c r="BT10" i="3"/>
  <c r="BS11" i="3" s="1"/>
  <c r="BX9" i="3"/>
  <c r="CA9" i="3" s="1"/>
  <c r="BV9" i="3"/>
  <c r="BU9" i="3"/>
  <c r="CJ8" i="3"/>
  <c r="CI9" i="3" s="1"/>
  <c r="I10" i="3"/>
  <c r="H11" i="3" s="1"/>
  <c r="L49" i="6" l="1"/>
  <c r="O35" i="6"/>
  <c r="Q24" i="6"/>
  <c r="Q31" i="6" s="1"/>
  <c r="Q22" i="6"/>
  <c r="Q29" i="6" s="1"/>
  <c r="Q23" i="6"/>
  <c r="Q30" i="6" s="1"/>
  <c r="F10" i="4"/>
  <c r="D10" i="4"/>
  <c r="E10" i="4"/>
  <c r="C10" i="4"/>
  <c r="B11" i="4"/>
  <c r="G11" i="4" s="1"/>
  <c r="Z12" i="3"/>
  <c r="BE10" i="3"/>
  <c r="BF10" i="3"/>
  <c r="J10" i="3"/>
  <c r="BU10" i="3"/>
  <c r="AC12" i="3"/>
  <c r="AD12" i="3" s="1"/>
  <c r="AA12" i="3"/>
  <c r="AB12" i="3" s="1"/>
  <c r="CL8" i="3"/>
  <c r="BH10" i="3"/>
  <c r="BK10" i="3" s="1"/>
  <c r="BD11" i="3"/>
  <c r="BC12" i="3" s="1"/>
  <c r="Y13" i="3"/>
  <c r="X14" i="3" s="1"/>
  <c r="M10" i="3"/>
  <c r="BX10" i="3"/>
  <c r="CA10" i="3" s="1"/>
  <c r="BF27" i="3"/>
  <c r="BG27" i="3" s="1"/>
  <c r="BH27" i="3"/>
  <c r="K10" i="3"/>
  <c r="L10" i="3" s="1"/>
  <c r="BV10" i="3"/>
  <c r="BE27" i="3"/>
  <c r="BD28" i="3"/>
  <c r="BC29" i="3" s="1"/>
  <c r="I11" i="3"/>
  <c r="H12" i="3" s="1"/>
  <c r="BT11" i="3"/>
  <c r="BS12" i="3" s="1"/>
  <c r="AR12" i="3"/>
  <c r="CN8" i="3"/>
  <c r="CQ8" i="3" s="1"/>
  <c r="AQ12" i="3"/>
  <c r="AP12" i="3"/>
  <c r="CJ9" i="3"/>
  <c r="CI10" i="3" s="1"/>
  <c r="AO13" i="3"/>
  <c r="AN14" i="3" s="1"/>
  <c r="F11" i="4" l="1"/>
  <c r="E11" i="4"/>
  <c r="D11" i="4"/>
  <c r="C11" i="4"/>
  <c r="B12" i="4"/>
  <c r="P35" i="6"/>
  <c r="Q35" i="6"/>
  <c r="AF12" i="3"/>
  <c r="BX11" i="3"/>
  <c r="CA11" i="3" s="1"/>
  <c r="BV11" i="3"/>
  <c r="BU11" i="3"/>
  <c r="BE11" i="3"/>
  <c r="BE28" i="3"/>
  <c r="CN9" i="3"/>
  <c r="CQ9" i="3" s="1"/>
  <c r="J11" i="3"/>
  <c r="AR13" i="3"/>
  <c r="AQ13" i="3"/>
  <c r="AP13" i="3"/>
  <c r="AO14" i="3"/>
  <c r="AN15" i="3" s="1"/>
  <c r="BT12" i="3"/>
  <c r="BS13" i="3" s="1"/>
  <c r="AC13" i="3"/>
  <c r="CL9" i="3"/>
  <c r="M11" i="3"/>
  <c r="AA13" i="3"/>
  <c r="AB13" i="3" s="1"/>
  <c r="N10" i="3"/>
  <c r="P10" i="3"/>
  <c r="CJ10" i="3"/>
  <c r="CI11" i="3" s="1"/>
  <c r="K11" i="3"/>
  <c r="L11" i="3" s="1"/>
  <c r="Z13" i="3"/>
  <c r="Y14" i="3"/>
  <c r="X15" i="3" s="1"/>
  <c r="I12" i="3"/>
  <c r="H13" i="3" s="1"/>
  <c r="BF28" i="3"/>
  <c r="BG28" i="3" s="1"/>
  <c r="AS12" i="3"/>
  <c r="AU12" i="3"/>
  <c r="BD29" i="3"/>
  <c r="BC30" i="3" s="1"/>
  <c r="BD12" i="3"/>
  <c r="BC13" i="3" s="1"/>
  <c r="BH28" i="3"/>
  <c r="BH11" i="3"/>
  <c r="BK11" i="3" s="1"/>
  <c r="BF11" i="3"/>
  <c r="C12" i="4"/>
  <c r="D12" i="4"/>
  <c r="E12" i="4"/>
  <c r="F12" i="4"/>
  <c r="G12" i="4"/>
  <c r="B13" i="4"/>
  <c r="BX12" i="3" l="1"/>
  <c r="CA12" i="3" s="1"/>
  <c r="BV12" i="3"/>
  <c r="BW12" i="3" s="1"/>
  <c r="K12" i="3"/>
  <c r="L12" i="3" s="1"/>
  <c r="CL10" i="3"/>
  <c r="M12" i="3"/>
  <c r="N12" i="3" s="1"/>
  <c r="BH12" i="3"/>
  <c r="BI12" i="3" s="1"/>
  <c r="BF12" i="3"/>
  <c r="BG12" i="3" s="1"/>
  <c r="BE29" i="3"/>
  <c r="BU12" i="3"/>
  <c r="AC14" i="3"/>
  <c r="AD14" i="3" s="1"/>
  <c r="AA14" i="3"/>
  <c r="AB14" i="3" s="1"/>
  <c r="BE12" i="3"/>
  <c r="P12" i="3"/>
  <c r="N11" i="3"/>
  <c r="P11" i="3"/>
  <c r="J12" i="3"/>
  <c r="AD13" i="3"/>
  <c r="AF13" i="3"/>
  <c r="I13" i="3"/>
  <c r="H14" i="3" s="1"/>
  <c r="BT13" i="3"/>
  <c r="BS14" i="3" s="1"/>
  <c r="Z14" i="3"/>
  <c r="AO15" i="3"/>
  <c r="AN16" i="3" s="1"/>
  <c r="AP14" i="3"/>
  <c r="Y15" i="3"/>
  <c r="X16" i="3" s="1"/>
  <c r="AR14" i="3"/>
  <c r="BD13" i="3"/>
  <c r="BC14" i="3" s="1"/>
  <c r="BH29" i="3"/>
  <c r="BI29" i="3" s="1"/>
  <c r="BF29" i="3"/>
  <c r="BG29" i="3" s="1"/>
  <c r="CN10" i="3"/>
  <c r="CQ10" i="3" s="1"/>
  <c r="AQ14" i="3"/>
  <c r="C13" i="4"/>
  <c r="D13" i="4"/>
  <c r="E13" i="4"/>
  <c r="F13" i="4"/>
  <c r="G13" i="4"/>
  <c r="B14" i="4"/>
  <c r="CJ11" i="3"/>
  <c r="CI12" i="3" s="1"/>
  <c r="BD30" i="3"/>
  <c r="BC31" i="3" s="1"/>
  <c r="AS13" i="3"/>
  <c r="AU13" i="3"/>
  <c r="BY12" i="3" l="1"/>
  <c r="BK12" i="3"/>
  <c r="M13" i="3"/>
  <c r="K13" i="3"/>
  <c r="L13" i="3" s="1"/>
  <c r="AF14" i="3"/>
  <c r="BH30" i="3"/>
  <c r="BI30" i="3" s="1"/>
  <c r="AP15" i="3"/>
  <c r="AC15" i="3"/>
  <c r="AF15" i="3" s="1"/>
  <c r="BF30" i="3"/>
  <c r="BG30" i="3" s="1"/>
  <c r="AA15" i="3"/>
  <c r="AB15" i="3" s="1"/>
  <c r="J13" i="3"/>
  <c r="BU13" i="3"/>
  <c r="AS14" i="3"/>
  <c r="AU14" i="3"/>
  <c r="N13" i="3"/>
  <c r="P13" i="3"/>
  <c r="D14" i="4"/>
  <c r="E14" i="4"/>
  <c r="F14" i="4"/>
  <c r="G14" i="4"/>
  <c r="B15" i="4"/>
  <c r="C14" i="4"/>
  <c r="I14" i="3"/>
  <c r="H15" i="3" s="1"/>
  <c r="CK11" i="3"/>
  <c r="CJ12" i="3"/>
  <c r="CI13" i="3" s="1"/>
  <c r="Z15" i="3"/>
  <c r="AO16" i="3"/>
  <c r="AN17" i="3" s="1"/>
  <c r="AR15" i="3"/>
  <c r="BE30" i="3"/>
  <c r="BH13" i="3"/>
  <c r="BT14" i="3"/>
  <c r="BS15" i="3" s="1"/>
  <c r="BD31" i="3"/>
  <c r="BC32" i="3" s="1"/>
  <c r="BF13" i="3"/>
  <c r="BG13" i="3" s="1"/>
  <c r="CN11" i="3"/>
  <c r="CQ11" i="3" s="1"/>
  <c r="BE13" i="3"/>
  <c r="BX13" i="3"/>
  <c r="Y16" i="3"/>
  <c r="X17" i="3" s="1"/>
  <c r="AQ15" i="3"/>
  <c r="CL11" i="3"/>
  <c r="BD14" i="3"/>
  <c r="BC15" i="3" s="1"/>
  <c r="BV13" i="3"/>
  <c r="BW13" i="3" s="1"/>
  <c r="AA16" i="3" l="1"/>
  <c r="AB16" i="3" s="1"/>
  <c r="AC16" i="3"/>
  <c r="CL12" i="3"/>
  <c r="CM12" i="3" s="1"/>
  <c r="BE14" i="3"/>
  <c r="BE31" i="3"/>
  <c r="AD15" i="3"/>
  <c r="CN12" i="3"/>
  <c r="CO12" i="3" s="1"/>
  <c r="BU14" i="3"/>
  <c r="AD16" i="3"/>
  <c r="AF16" i="3"/>
  <c r="I15" i="3"/>
  <c r="H16" i="3" s="1"/>
  <c r="BX14" i="3"/>
  <c r="M14" i="3"/>
  <c r="K14" i="3"/>
  <c r="L14" i="3" s="1"/>
  <c r="C15" i="4"/>
  <c r="D15" i="4"/>
  <c r="E15" i="4"/>
  <c r="F15" i="4"/>
  <c r="G15" i="4"/>
  <c r="B16" i="4"/>
  <c r="BT15" i="3"/>
  <c r="BS16" i="3" s="1"/>
  <c r="BY13" i="3"/>
  <c r="CA13" i="3"/>
  <c r="BV14" i="3"/>
  <c r="BW14" i="3" s="1"/>
  <c r="Y17" i="3"/>
  <c r="Z17" i="3" s="1"/>
  <c r="AP16" i="3"/>
  <c r="AQ16" i="3"/>
  <c r="BI13" i="3"/>
  <c r="BK13" i="3"/>
  <c r="J14" i="3"/>
  <c r="Z16" i="3"/>
  <c r="BD32" i="3"/>
  <c r="BC33" i="3" s="1"/>
  <c r="BD15" i="3"/>
  <c r="BC16" i="3" s="1"/>
  <c r="AS15" i="3"/>
  <c r="AU15" i="3"/>
  <c r="AO17" i="3"/>
  <c r="AQ17" i="3" s="1"/>
  <c r="BH14" i="3"/>
  <c r="BH31" i="3"/>
  <c r="BI31" i="3" s="1"/>
  <c r="CK12" i="3"/>
  <c r="AR16" i="3"/>
  <c r="BF14" i="3"/>
  <c r="BG14" i="3" s="1"/>
  <c r="BF31" i="3"/>
  <c r="BG31" i="3" s="1"/>
  <c r="CJ13" i="3"/>
  <c r="CI14" i="3" s="1"/>
  <c r="CQ12" i="3" l="1"/>
  <c r="AC17" i="3"/>
  <c r="BH15" i="3"/>
  <c r="BK15" i="3" s="1"/>
  <c r="AA17" i="3"/>
  <c r="AB17" i="3" s="1"/>
  <c r="BF15" i="3"/>
  <c r="BG15" i="3" s="1"/>
  <c r="BE15" i="3"/>
  <c r="CN13" i="3"/>
  <c r="CO13" i="3" s="1"/>
  <c r="CL13" i="3"/>
  <c r="CM13" i="3" s="1"/>
  <c r="BH32" i="3"/>
  <c r="BI32" i="3" s="1"/>
  <c r="CK13" i="3"/>
  <c r="BF32" i="3"/>
  <c r="BG32" i="3" s="1"/>
  <c r="B17" i="4"/>
  <c r="C16" i="4"/>
  <c r="D16" i="4"/>
  <c r="E16" i="4"/>
  <c r="F16" i="4"/>
  <c r="G16" i="4"/>
  <c r="AR17" i="3"/>
  <c r="N14" i="3"/>
  <c r="P14" i="3"/>
  <c r="BY14" i="3"/>
  <c r="CA14" i="3"/>
  <c r="AP17" i="3"/>
  <c r="I16" i="3"/>
  <c r="H17" i="3" s="1"/>
  <c r="AS16" i="3"/>
  <c r="AU16" i="3"/>
  <c r="BE32" i="3"/>
  <c r="J15" i="3"/>
  <c r="BT16" i="3"/>
  <c r="BS17" i="3" s="1"/>
  <c r="K15" i="3"/>
  <c r="L15" i="3" s="1"/>
  <c r="BU15" i="3"/>
  <c r="CJ14" i="3"/>
  <c r="CI15" i="3" s="1"/>
  <c r="BD16" i="3"/>
  <c r="BC17" i="3" s="1"/>
  <c r="M15" i="3"/>
  <c r="BD33" i="3"/>
  <c r="BC34" i="3" s="1"/>
  <c r="BI14" i="3"/>
  <c r="BK14" i="3"/>
  <c r="BV15" i="3"/>
  <c r="BW15" i="3" s="1"/>
  <c r="BX15" i="3"/>
  <c r="AE17" i="3" l="1"/>
  <c r="AF17" i="3" s="1"/>
  <c r="AT17" i="3"/>
  <c r="AU17" i="3" s="1"/>
  <c r="CN14" i="3"/>
  <c r="CQ14" i="3" s="1"/>
  <c r="CK14" i="3"/>
  <c r="CQ13" i="3"/>
  <c r="BI15" i="3"/>
  <c r="BH33" i="3"/>
  <c r="BF33" i="3"/>
  <c r="BG33" i="3" s="1"/>
  <c r="CL14" i="3"/>
  <c r="CM14" i="3" s="1"/>
  <c r="K16" i="3"/>
  <c r="L16" i="3" s="1"/>
  <c r="M16" i="3"/>
  <c r="N16" i="3" s="1"/>
  <c r="BT17" i="3"/>
  <c r="BX17" i="3" s="1"/>
  <c r="BX16" i="3"/>
  <c r="BE33" i="3"/>
  <c r="BD17" i="3"/>
  <c r="BF17" i="3" s="1"/>
  <c r="BU16" i="3"/>
  <c r="BD34" i="3"/>
  <c r="BE34" i="3" s="1"/>
  <c r="BV16" i="3"/>
  <c r="BW16" i="3" s="1"/>
  <c r="BH16" i="3"/>
  <c r="BK16" i="3" s="1"/>
  <c r="BF16" i="3"/>
  <c r="BG16" i="3" s="1"/>
  <c r="BE16" i="3"/>
  <c r="BY15" i="3"/>
  <c r="CA15" i="3"/>
  <c r="CJ15" i="3"/>
  <c r="CI16" i="3" s="1"/>
  <c r="J16" i="3"/>
  <c r="N15" i="3"/>
  <c r="P15" i="3"/>
  <c r="I17" i="3"/>
  <c r="J17" i="3" s="1"/>
  <c r="C17" i="4"/>
  <c r="D17" i="4"/>
  <c r="E17" i="4"/>
  <c r="F17" i="4"/>
  <c r="G17" i="4"/>
  <c r="B18" i="4"/>
  <c r="BI33" i="3" l="1"/>
  <c r="BJ33" i="3"/>
  <c r="CO14" i="3"/>
  <c r="BG17" i="3"/>
  <c r="M17" i="3"/>
  <c r="K17" i="3"/>
  <c r="L17" i="3" s="1"/>
  <c r="BH17" i="3"/>
  <c r="BE17" i="3"/>
  <c r="BF34" i="3"/>
  <c r="P16" i="3"/>
  <c r="BH34" i="3"/>
  <c r="BV17" i="3"/>
  <c r="BW17" i="3" s="1"/>
  <c r="CN15" i="3"/>
  <c r="CK15" i="3"/>
  <c r="CL15" i="3"/>
  <c r="CM15" i="3" s="1"/>
  <c r="C18" i="4"/>
  <c r="D18" i="4"/>
  <c r="E18" i="4"/>
  <c r="F18" i="4"/>
  <c r="G18" i="4"/>
  <c r="B19" i="4"/>
  <c r="BY16" i="3"/>
  <c r="CA16" i="3"/>
  <c r="BZ17" i="3" s="1"/>
  <c r="CA17" i="3" s="1"/>
  <c r="CJ16" i="3"/>
  <c r="CI17" i="3" s="1"/>
  <c r="BI16" i="3"/>
  <c r="BU17" i="3"/>
  <c r="O17" i="3" l="1"/>
  <c r="BJ17" i="3"/>
  <c r="BK17" i="3" s="1"/>
  <c r="P17" i="3"/>
  <c r="N17" i="3"/>
  <c r="CN16" i="3"/>
  <c r="F19" i="4"/>
  <c r="G19" i="4"/>
  <c r="B20" i="4"/>
  <c r="C19" i="4"/>
  <c r="D19" i="4"/>
  <c r="E19" i="4"/>
  <c r="CJ17" i="3"/>
  <c r="CK17" i="3" s="1"/>
  <c r="CL16" i="3"/>
  <c r="CM16" i="3" s="1"/>
  <c r="CK16" i="3"/>
  <c r="CO15" i="3"/>
  <c r="CQ15" i="3"/>
  <c r="CL17" i="3" l="1"/>
  <c r="CM17" i="3" s="1"/>
  <c r="CN17" i="3"/>
  <c r="C20" i="4"/>
  <c r="D20" i="4"/>
  <c r="E20" i="4"/>
  <c r="F20" i="4"/>
  <c r="G20" i="4"/>
  <c r="B21" i="4"/>
  <c r="CO16" i="3"/>
  <c r="CQ16" i="3"/>
  <c r="CP17" i="3" l="1"/>
  <c r="CQ17" i="3" s="1"/>
  <c r="C21" i="4"/>
  <c r="D21" i="4"/>
  <c r="E21" i="4"/>
  <c r="F21" i="4"/>
  <c r="G21" i="4"/>
  <c r="B22" i="4"/>
  <c r="D22" i="4" l="1"/>
  <c r="E22" i="4"/>
  <c r="F22" i="4"/>
  <c r="G22" i="4"/>
  <c r="B23" i="4"/>
  <c r="C22" i="4"/>
  <c r="C23" i="4" l="1"/>
  <c r="D23" i="4"/>
  <c r="E23" i="4"/>
  <c r="F23" i="4"/>
  <c r="G23" i="4"/>
  <c r="B24" i="4"/>
  <c r="B25" i="4" l="1"/>
  <c r="C24" i="4"/>
  <c r="D24" i="4"/>
  <c r="E24" i="4"/>
  <c r="F24" i="4"/>
  <c r="G24" i="4"/>
  <c r="C25" i="4" l="1"/>
  <c r="D25" i="4"/>
  <c r="E25" i="4"/>
  <c r="F25" i="4"/>
  <c r="G25" i="4"/>
  <c r="B26" i="4"/>
  <c r="C26" i="4" l="1"/>
  <c r="D26" i="4"/>
  <c r="E26" i="4"/>
  <c r="F26" i="4"/>
  <c r="G26" i="4"/>
  <c r="B27" i="4"/>
  <c r="F27" i="4" l="1"/>
  <c r="G27" i="4"/>
  <c r="B28" i="4"/>
  <c r="C27" i="4"/>
  <c r="D27" i="4"/>
  <c r="E27" i="4"/>
  <c r="C28" i="4" l="1"/>
  <c r="D28" i="4"/>
  <c r="E28" i="4"/>
  <c r="F28" i="4"/>
  <c r="G28" i="4"/>
  <c r="B29" i="4"/>
  <c r="C29" i="4" l="1"/>
  <c r="D29" i="4"/>
  <c r="E29" i="4"/>
  <c r="F29" i="4"/>
  <c r="G29" i="4"/>
  <c r="B30" i="4"/>
  <c r="D30" i="4" l="1"/>
  <c r="E30" i="4"/>
  <c r="F30" i="4"/>
  <c r="G30" i="4"/>
  <c r="B31" i="4"/>
  <c r="C30" i="4"/>
  <c r="C31" i="4" l="1"/>
  <c r="D31" i="4"/>
  <c r="E31" i="4"/>
  <c r="F31" i="4"/>
  <c r="G31" i="4"/>
  <c r="B32" i="4"/>
  <c r="B33" i="4" l="1"/>
  <c r="C32" i="4"/>
  <c r="D32" i="4"/>
  <c r="E32" i="4"/>
  <c r="F32" i="4"/>
  <c r="G32" i="4"/>
  <c r="C33" i="4" l="1"/>
  <c r="D33" i="4"/>
  <c r="E33" i="4"/>
  <c r="F33" i="4"/>
  <c r="G33" i="4"/>
  <c r="B34" i="4"/>
  <c r="C34" i="4" l="1"/>
  <c r="D34" i="4"/>
  <c r="E34" i="4"/>
  <c r="F34" i="4"/>
  <c r="G34" i="4"/>
  <c r="B35" i="4"/>
  <c r="F35" i="4" l="1"/>
  <c r="G35" i="4"/>
  <c r="B36" i="4"/>
  <c r="C35" i="4"/>
  <c r="D35" i="4"/>
  <c r="E35" i="4"/>
  <c r="C36" i="4" l="1"/>
  <c r="D36" i="4"/>
  <c r="E36" i="4"/>
  <c r="F36" i="4"/>
  <c r="G36" i="4"/>
  <c r="B37" i="4"/>
  <c r="C37" i="4" l="1"/>
  <c r="D37" i="4"/>
  <c r="E37" i="4"/>
  <c r="F37" i="4"/>
  <c r="G37" i="4"/>
  <c r="B38" i="4"/>
  <c r="D38" i="4" l="1"/>
  <c r="E38" i="4"/>
  <c r="F38" i="4"/>
  <c r="G38" i="4"/>
  <c r="B39" i="4"/>
  <c r="C38" i="4"/>
  <c r="C39" i="4" l="1"/>
  <c r="D39" i="4"/>
  <c r="E39" i="4"/>
  <c r="F39" i="4"/>
  <c r="G39" i="4"/>
  <c r="B40" i="4"/>
  <c r="B41" i="4" l="1"/>
  <c r="C40" i="4"/>
  <c r="D40" i="4"/>
  <c r="E40" i="4"/>
  <c r="F40" i="4"/>
  <c r="G40" i="4"/>
  <c r="C41" i="4" l="1"/>
  <c r="D41" i="4"/>
  <c r="E41" i="4"/>
  <c r="F41" i="4"/>
  <c r="G41" i="4"/>
  <c r="B42" i="4"/>
  <c r="C42" i="4" l="1"/>
  <c r="D42" i="4"/>
  <c r="E42" i="4"/>
  <c r="F42" i="4"/>
  <c r="G42" i="4"/>
  <c r="B43" i="4"/>
  <c r="F43" i="4" l="1"/>
  <c r="G43" i="4"/>
  <c r="B44" i="4"/>
  <c r="C43" i="4"/>
  <c r="D43" i="4"/>
  <c r="E43" i="4"/>
  <c r="C44" i="4" l="1"/>
  <c r="D44" i="4"/>
  <c r="E44" i="4"/>
  <c r="F44" i="4"/>
  <c r="G44" i="4"/>
  <c r="B45" i="4"/>
  <c r="C45" i="4" l="1"/>
  <c r="D45" i="4"/>
  <c r="E45" i="4"/>
  <c r="F45" i="4"/>
  <c r="G45" i="4"/>
  <c r="B46" i="4"/>
  <c r="D46" i="4" l="1"/>
  <c r="E46" i="4"/>
  <c r="F46" i="4"/>
  <c r="G46" i="4"/>
  <c r="B47" i="4"/>
  <c r="C46" i="4"/>
  <c r="C47" i="4" l="1"/>
  <c r="D47" i="4"/>
  <c r="E47" i="4"/>
  <c r="F47" i="4"/>
  <c r="G47" i="4"/>
  <c r="B48" i="4"/>
  <c r="B49" i="4" l="1"/>
  <c r="C48" i="4"/>
  <c r="D48" i="4"/>
  <c r="E48" i="4"/>
  <c r="F48" i="4"/>
  <c r="G48" i="4"/>
  <c r="C49" i="4" l="1"/>
  <c r="D49" i="4"/>
  <c r="E49" i="4"/>
  <c r="F49" i="4"/>
  <c r="G49" i="4"/>
  <c r="B50" i="4"/>
  <c r="C50" i="4" l="1"/>
  <c r="D50" i="4"/>
  <c r="E50" i="4"/>
  <c r="F50" i="4"/>
  <c r="G50" i="4"/>
  <c r="B51" i="4"/>
  <c r="F51" i="4" l="1"/>
  <c r="G51" i="4"/>
  <c r="B52" i="4"/>
  <c r="C51" i="4"/>
  <c r="D51" i="4"/>
  <c r="E51" i="4"/>
  <c r="C52" i="4" l="1"/>
  <c r="D52" i="4"/>
  <c r="E52" i="4"/>
  <c r="F52" i="4"/>
  <c r="G52" i="4"/>
  <c r="B53" i="4"/>
  <c r="C53" i="4" l="1"/>
  <c r="D53" i="4"/>
  <c r="E53" i="4"/>
  <c r="F53" i="4"/>
  <c r="G53" i="4"/>
  <c r="B54" i="4"/>
  <c r="D54" i="4" l="1"/>
  <c r="E54" i="4"/>
  <c r="F54" i="4"/>
  <c r="G54" i="4"/>
  <c r="B55" i="4"/>
  <c r="C54" i="4"/>
  <c r="C55" i="4" l="1"/>
  <c r="D55" i="4"/>
  <c r="E55" i="4"/>
  <c r="F55" i="4"/>
  <c r="G55" i="4"/>
  <c r="B56" i="4"/>
  <c r="B57" i="4" l="1"/>
  <c r="C56" i="4"/>
  <c r="D56" i="4"/>
  <c r="E56" i="4"/>
  <c r="F56" i="4"/>
  <c r="G56" i="4"/>
  <c r="C57" i="4" l="1"/>
  <c r="D57" i="4"/>
  <c r="E57" i="4"/>
  <c r="F57" i="4"/>
  <c r="G57" i="4"/>
  <c r="B58" i="4"/>
  <c r="C58" i="4" l="1"/>
  <c r="D58" i="4"/>
  <c r="E58" i="4"/>
  <c r="F58" i="4"/>
  <c r="G58" i="4"/>
  <c r="B59" i="4"/>
  <c r="F59" i="4" l="1"/>
  <c r="G59" i="4"/>
  <c r="B60" i="4"/>
  <c r="C59" i="4"/>
  <c r="D59" i="4"/>
  <c r="E59" i="4"/>
  <c r="C60" i="4" l="1"/>
  <c r="D60" i="4"/>
  <c r="E60" i="4"/>
  <c r="F60" i="4"/>
  <c r="G60" i="4"/>
  <c r="B61" i="4"/>
  <c r="C61" i="4" l="1"/>
  <c r="D61" i="4"/>
  <c r="E61" i="4"/>
  <c r="F61" i="4"/>
  <c r="G61" i="4"/>
  <c r="B62" i="4"/>
  <c r="D62" i="4" l="1"/>
  <c r="E62" i="4"/>
  <c r="F62" i="4"/>
  <c r="G62" i="4"/>
  <c r="B63" i="4"/>
  <c r="C62" i="4"/>
  <c r="C63" i="4" l="1"/>
  <c r="D63" i="4"/>
  <c r="E63" i="4"/>
  <c r="F63" i="4"/>
  <c r="G63" i="4"/>
  <c r="B64" i="4"/>
  <c r="B65" i="4" l="1"/>
  <c r="C64" i="4"/>
  <c r="D64" i="4"/>
  <c r="E64" i="4"/>
  <c r="F64" i="4"/>
  <c r="G64" i="4"/>
  <c r="C65" i="4" l="1"/>
  <c r="D65" i="4"/>
  <c r="E65" i="4"/>
  <c r="F65" i="4"/>
  <c r="G65" i="4"/>
  <c r="B66" i="4"/>
  <c r="C66" i="4" l="1"/>
  <c r="D66" i="4"/>
  <c r="E66" i="4"/>
  <c r="F66" i="4"/>
  <c r="G66" i="4"/>
  <c r="B67" i="4"/>
  <c r="F67" i="4" l="1"/>
  <c r="G67" i="4"/>
  <c r="B68" i="4"/>
  <c r="C67" i="4"/>
  <c r="D67" i="4"/>
  <c r="E67" i="4"/>
  <c r="C68" i="4" l="1"/>
  <c r="D68" i="4"/>
  <c r="E68" i="4"/>
  <c r="F68" i="4"/>
  <c r="G68" i="4"/>
  <c r="B69" i="4"/>
  <c r="C69" i="4" l="1"/>
  <c r="D69" i="4"/>
  <c r="E69" i="4"/>
  <c r="F69" i="4"/>
  <c r="G69" i="4"/>
  <c r="B70" i="4"/>
  <c r="D70" i="4" l="1"/>
  <c r="E70" i="4"/>
  <c r="F70" i="4"/>
  <c r="G70" i="4"/>
  <c r="B71" i="4"/>
  <c r="C70" i="4"/>
  <c r="C71" i="4" l="1"/>
  <c r="D71" i="4"/>
  <c r="E71" i="4"/>
  <c r="F71" i="4"/>
  <c r="G71" i="4"/>
  <c r="B72" i="4"/>
  <c r="B73" i="4" l="1"/>
  <c r="C72" i="4"/>
  <c r="D72" i="4"/>
  <c r="E72" i="4"/>
  <c r="F72" i="4"/>
  <c r="G72" i="4"/>
  <c r="C73" i="4" l="1"/>
  <c r="D73" i="4"/>
  <c r="E73" i="4"/>
  <c r="F73" i="4"/>
  <c r="G73" i="4"/>
  <c r="B74" i="4"/>
  <c r="C74" i="4" l="1"/>
  <c r="D74" i="4"/>
  <c r="E74" i="4"/>
  <c r="F74" i="4"/>
  <c r="G74" i="4"/>
  <c r="B75" i="4"/>
  <c r="F75" i="4" l="1"/>
  <c r="G75" i="4"/>
  <c r="B76" i="4"/>
  <c r="C75" i="4"/>
  <c r="D75" i="4"/>
  <c r="E75" i="4"/>
  <c r="C76" i="4" l="1"/>
  <c r="D76" i="4"/>
  <c r="E76" i="4"/>
  <c r="F76" i="4"/>
  <c r="G76" i="4"/>
  <c r="B77" i="4"/>
  <c r="C77" i="4" l="1"/>
  <c r="D77" i="4"/>
  <c r="E77" i="4"/>
  <c r="F77" i="4"/>
  <c r="G77" i="4"/>
  <c r="B78" i="4"/>
  <c r="D78" i="4" l="1"/>
  <c r="E78" i="4"/>
  <c r="F78" i="4"/>
  <c r="G78" i="4"/>
  <c r="B79" i="4"/>
  <c r="C78" i="4"/>
  <c r="C79" i="4" l="1"/>
  <c r="D79" i="4"/>
  <c r="E79" i="4"/>
  <c r="F79" i="4"/>
  <c r="G79" i="4"/>
  <c r="B80" i="4"/>
  <c r="B81" i="4" l="1"/>
  <c r="C80" i="4"/>
  <c r="D80" i="4"/>
  <c r="E80" i="4"/>
  <c r="F80" i="4"/>
  <c r="G80" i="4"/>
  <c r="C81" i="4" l="1"/>
  <c r="D81" i="4"/>
  <c r="E81" i="4"/>
  <c r="F81" i="4"/>
  <c r="G81" i="4"/>
  <c r="B82" i="4"/>
  <c r="C82" i="4" l="1"/>
  <c r="D82" i="4"/>
  <c r="E82" i="4"/>
  <c r="F82" i="4"/>
  <c r="G82" i="4"/>
  <c r="B83" i="4"/>
  <c r="F83" i="4" l="1"/>
  <c r="G83" i="4"/>
  <c r="B84" i="4"/>
  <c r="C83" i="4"/>
  <c r="D83" i="4"/>
  <c r="E83" i="4"/>
  <c r="C84" i="4" l="1"/>
  <c r="D84" i="4"/>
  <c r="E84" i="4"/>
  <c r="F84" i="4"/>
  <c r="G84" i="4"/>
  <c r="B85" i="4"/>
  <c r="C85" i="4" l="1"/>
  <c r="D85" i="4"/>
  <c r="E85" i="4"/>
  <c r="F85" i="4"/>
  <c r="G85" i="4"/>
  <c r="B86" i="4"/>
  <c r="D86" i="4" l="1"/>
  <c r="E86" i="4"/>
  <c r="F86" i="4"/>
  <c r="G86" i="4"/>
  <c r="B87" i="4"/>
  <c r="C86" i="4"/>
  <c r="C87" i="4" l="1"/>
  <c r="D87" i="4"/>
  <c r="E87" i="4"/>
  <c r="F87" i="4"/>
  <c r="G87" i="4"/>
  <c r="B88" i="4"/>
  <c r="B89" i="4" l="1"/>
  <c r="C88" i="4"/>
  <c r="D88" i="4"/>
  <c r="E88" i="4"/>
  <c r="F88" i="4"/>
  <c r="G88" i="4"/>
  <c r="C89" i="4" l="1"/>
  <c r="D89" i="4"/>
  <c r="E89" i="4"/>
  <c r="F89" i="4"/>
  <c r="G89" i="4"/>
  <c r="B90" i="4"/>
  <c r="C90" i="4" l="1"/>
  <c r="D90" i="4"/>
  <c r="E90" i="4"/>
  <c r="F90" i="4"/>
  <c r="G90" i="4"/>
  <c r="B91" i="4"/>
  <c r="F91" i="4" l="1"/>
  <c r="G91" i="4"/>
  <c r="B92" i="4"/>
  <c r="C91" i="4"/>
  <c r="D91" i="4"/>
  <c r="E91" i="4"/>
  <c r="C92" i="4" l="1"/>
  <c r="D92" i="4"/>
  <c r="E92" i="4"/>
  <c r="F92" i="4"/>
  <c r="G92" i="4"/>
  <c r="B93" i="4"/>
  <c r="C93" i="4" l="1"/>
  <c r="D93" i="4"/>
  <c r="E93" i="4"/>
  <c r="F93" i="4"/>
  <c r="G93" i="4"/>
  <c r="B94" i="4"/>
  <c r="D94" i="4" l="1"/>
  <c r="E94" i="4"/>
  <c r="F94" i="4"/>
  <c r="G94" i="4"/>
  <c r="B95" i="4"/>
  <c r="C94" i="4"/>
  <c r="C95" i="4" l="1"/>
  <c r="D95" i="4"/>
  <c r="E95" i="4"/>
  <c r="F95" i="4"/>
  <c r="G95" i="4"/>
  <c r="B96" i="4"/>
  <c r="B97" i="4" l="1"/>
  <c r="C96" i="4"/>
  <c r="D96" i="4"/>
  <c r="E96" i="4"/>
  <c r="F96" i="4"/>
  <c r="G96" i="4"/>
  <c r="C97" i="4" l="1"/>
  <c r="D97" i="4"/>
  <c r="E97" i="4"/>
  <c r="F97" i="4"/>
  <c r="G97" i="4"/>
  <c r="B98" i="4"/>
  <c r="C98" i="4" l="1"/>
  <c r="D98" i="4"/>
  <c r="E98" i="4"/>
  <c r="F98" i="4"/>
  <c r="G98" i="4"/>
  <c r="B99" i="4"/>
  <c r="F99" i="4" l="1"/>
  <c r="G99" i="4"/>
  <c r="B100" i="4"/>
  <c r="C99" i="4"/>
  <c r="D99" i="4"/>
  <c r="E99" i="4"/>
  <c r="C100" i="4" l="1"/>
  <c r="D100" i="4"/>
  <c r="E100" i="4"/>
  <c r="F100" i="4"/>
  <c r="G100" i="4"/>
  <c r="B101" i="4"/>
  <c r="C101" i="4" l="1"/>
  <c r="D101" i="4"/>
  <c r="E101" i="4"/>
  <c r="G101" i="4"/>
  <c r="B102" i="4"/>
  <c r="F101" i="4"/>
  <c r="D102" i="4" l="1"/>
  <c r="E102" i="4"/>
  <c r="F102" i="4"/>
  <c r="G102" i="4"/>
  <c r="B103" i="4"/>
  <c r="C102" i="4"/>
  <c r="C103" i="4" l="1"/>
  <c r="D103" i="4"/>
  <c r="E103" i="4"/>
  <c r="F103" i="4"/>
  <c r="G103" i="4"/>
  <c r="B104" i="4"/>
  <c r="B105" i="4" l="1"/>
  <c r="C104" i="4"/>
  <c r="E104" i="4"/>
  <c r="F104" i="4"/>
  <c r="D104" i="4"/>
  <c r="G104" i="4"/>
  <c r="C105" i="4" l="1"/>
  <c r="D105" i="4"/>
  <c r="E105" i="4"/>
  <c r="F105" i="4"/>
  <c r="G105" i="4"/>
  <c r="B106" i="4"/>
  <c r="C106" i="4" l="1"/>
  <c r="D106" i="4"/>
  <c r="E106" i="4"/>
  <c r="F106" i="4"/>
  <c r="G106" i="4"/>
  <c r="B107" i="4"/>
  <c r="F107" i="4" l="1"/>
  <c r="G107" i="4"/>
  <c r="B108" i="4"/>
  <c r="C107" i="4"/>
  <c r="D107" i="4"/>
  <c r="E107" i="4"/>
  <c r="C108" i="4" l="1"/>
  <c r="D108" i="4"/>
  <c r="E108" i="4"/>
  <c r="F108" i="4"/>
  <c r="G108" i="4"/>
  <c r="B109" i="4"/>
  <c r="C109" i="4" l="1"/>
  <c r="D109" i="4"/>
  <c r="E109" i="4"/>
  <c r="G109" i="4"/>
  <c r="B110" i="4"/>
  <c r="F109" i="4"/>
  <c r="D110" i="4" l="1"/>
  <c r="E110" i="4"/>
  <c r="F110" i="4"/>
  <c r="G110" i="4"/>
  <c r="B111" i="4"/>
  <c r="C110" i="4"/>
  <c r="C111" i="4" l="1"/>
  <c r="D111" i="4"/>
  <c r="E111" i="4"/>
  <c r="F111" i="4"/>
  <c r="G111" i="4"/>
  <c r="B112" i="4"/>
  <c r="B113" i="4" l="1"/>
  <c r="C112" i="4"/>
  <c r="E112" i="4"/>
  <c r="F112" i="4"/>
  <c r="D112" i="4"/>
  <c r="G112" i="4"/>
  <c r="C113" i="4" l="1"/>
  <c r="D113" i="4"/>
  <c r="E113" i="4"/>
  <c r="F113" i="4"/>
  <c r="G113" i="4"/>
  <c r="B114" i="4"/>
  <c r="C114" i="4" l="1"/>
  <c r="D114" i="4"/>
  <c r="E114" i="4"/>
  <c r="F114" i="4"/>
  <c r="G114" i="4"/>
  <c r="B115" i="4"/>
  <c r="F115" i="4" l="1"/>
  <c r="G115" i="4"/>
  <c r="B116" i="4"/>
  <c r="C115" i="4"/>
  <c r="D115" i="4"/>
  <c r="E115" i="4"/>
  <c r="C116" i="4" l="1"/>
  <c r="D116" i="4"/>
  <c r="E116" i="4"/>
  <c r="F116" i="4"/>
  <c r="G116" i="4"/>
  <c r="B117" i="4"/>
  <c r="C117" i="4" l="1"/>
  <c r="D117" i="4"/>
  <c r="E117" i="4"/>
  <c r="G117" i="4"/>
  <c r="B118" i="4"/>
  <c r="F117" i="4"/>
  <c r="D118" i="4" l="1"/>
  <c r="E118" i="4"/>
  <c r="F118" i="4"/>
  <c r="G118" i="4"/>
  <c r="B119" i="4"/>
  <c r="C118" i="4"/>
  <c r="C119" i="4" l="1"/>
  <c r="D119" i="4"/>
  <c r="E119" i="4"/>
  <c r="F119" i="4"/>
  <c r="G119" i="4"/>
  <c r="B120" i="4"/>
  <c r="B121" i="4" l="1"/>
  <c r="C120" i="4"/>
  <c r="F120" i="4"/>
  <c r="E120" i="4"/>
  <c r="G120" i="4"/>
  <c r="D120" i="4"/>
  <c r="C121" i="4" l="1"/>
  <c r="D121" i="4"/>
  <c r="E121" i="4"/>
  <c r="F121" i="4"/>
  <c r="G121" i="4"/>
  <c r="B122" i="4"/>
  <c r="C122" i="4" l="1"/>
  <c r="D122" i="4"/>
  <c r="E122" i="4"/>
  <c r="F122" i="4"/>
  <c r="G122" i="4"/>
  <c r="B123" i="4"/>
  <c r="F123" i="4" l="1"/>
  <c r="G123" i="4"/>
  <c r="B124" i="4"/>
  <c r="D123" i="4"/>
  <c r="C123" i="4"/>
  <c r="E123" i="4"/>
  <c r="C124" i="4" l="1"/>
  <c r="D124" i="4"/>
  <c r="E124" i="4"/>
  <c r="F124" i="4"/>
  <c r="G124" i="4"/>
  <c r="B125" i="4"/>
  <c r="C125" i="4" l="1"/>
  <c r="D125" i="4"/>
  <c r="E125" i="4"/>
  <c r="B126" i="4"/>
  <c r="F125" i="4"/>
  <c r="G125" i="4"/>
  <c r="D126" i="4" l="1"/>
  <c r="E126" i="4"/>
  <c r="F126" i="4"/>
  <c r="G126" i="4"/>
  <c r="B127" i="4"/>
  <c r="C126" i="4"/>
  <c r="C127" i="4" l="1"/>
  <c r="D127" i="4"/>
  <c r="E127" i="4"/>
  <c r="F127" i="4"/>
  <c r="G127" i="4"/>
  <c r="B128" i="4"/>
  <c r="B129" i="4" l="1"/>
  <c r="C128" i="4"/>
  <c r="F128" i="4"/>
  <c r="D128" i="4"/>
  <c r="E128" i="4"/>
  <c r="G128" i="4"/>
  <c r="C129" i="4" l="1"/>
  <c r="D129" i="4"/>
  <c r="E129" i="4"/>
  <c r="F129" i="4"/>
  <c r="G129" i="4"/>
  <c r="B130" i="4"/>
  <c r="C130" i="4" l="1"/>
  <c r="D130" i="4"/>
  <c r="E130" i="4"/>
  <c r="F130" i="4"/>
  <c r="G130" i="4"/>
  <c r="B131" i="4"/>
  <c r="F131" i="4" l="1"/>
  <c r="G131" i="4"/>
  <c r="B132" i="4"/>
  <c r="D131" i="4"/>
  <c r="E131" i="4"/>
  <c r="C131" i="4"/>
  <c r="C132" i="4" l="1"/>
  <c r="D132" i="4"/>
  <c r="E132" i="4"/>
  <c r="F132" i="4"/>
  <c r="G132" i="4"/>
  <c r="B133" i="4"/>
  <c r="C133" i="4" l="1"/>
  <c r="D133" i="4"/>
  <c r="E133" i="4"/>
  <c r="B134" i="4"/>
  <c r="F133" i="4"/>
  <c r="G133" i="4"/>
  <c r="D134" i="4" l="1"/>
  <c r="E134" i="4"/>
  <c r="F134" i="4"/>
  <c r="G134" i="4"/>
  <c r="B135" i="4"/>
  <c r="C134" i="4"/>
  <c r="C135" i="4" l="1"/>
  <c r="D135" i="4"/>
  <c r="E135" i="4"/>
  <c r="F135" i="4"/>
  <c r="G135" i="4"/>
  <c r="B136" i="4"/>
  <c r="B137" i="4" l="1"/>
  <c r="C136" i="4"/>
  <c r="F136" i="4"/>
  <c r="D136" i="4"/>
  <c r="E136" i="4"/>
  <c r="G136" i="4"/>
  <c r="C137" i="4" l="1"/>
  <c r="D137" i="4"/>
  <c r="E137" i="4"/>
  <c r="F137" i="4"/>
  <c r="G137" i="4"/>
  <c r="B138" i="4"/>
  <c r="C138" i="4" l="1"/>
  <c r="D138" i="4"/>
  <c r="E138" i="4"/>
  <c r="F138" i="4"/>
  <c r="G138" i="4"/>
  <c r="B139" i="4"/>
  <c r="F139" i="4" l="1"/>
  <c r="G139" i="4"/>
  <c r="B140" i="4"/>
  <c r="D139" i="4"/>
  <c r="C139" i="4"/>
  <c r="E139" i="4"/>
  <c r="C140" i="4" l="1"/>
  <c r="D140" i="4"/>
  <c r="E140" i="4"/>
  <c r="F140" i="4"/>
  <c r="G140" i="4"/>
  <c r="B141" i="4"/>
  <c r="C141" i="4" l="1"/>
  <c r="D141" i="4"/>
  <c r="E141" i="4"/>
  <c r="B142" i="4"/>
  <c r="F141" i="4"/>
  <c r="G141" i="4"/>
  <c r="D142" i="4" l="1"/>
  <c r="E142" i="4"/>
  <c r="F142" i="4"/>
  <c r="G142" i="4"/>
  <c r="B143" i="4"/>
  <c r="C142" i="4"/>
  <c r="C143" i="4" l="1"/>
  <c r="D143" i="4"/>
  <c r="E143" i="4"/>
  <c r="F143" i="4"/>
  <c r="G143" i="4"/>
  <c r="B144" i="4"/>
  <c r="B145" i="4" l="1"/>
  <c r="C144" i="4"/>
  <c r="F144" i="4"/>
  <c r="D144" i="4"/>
  <c r="E144" i="4"/>
  <c r="G144" i="4"/>
  <c r="C145" i="4" l="1"/>
  <c r="D145" i="4"/>
  <c r="E145" i="4"/>
  <c r="F145" i="4"/>
  <c r="G145" i="4"/>
  <c r="B146" i="4"/>
  <c r="C146" i="4" l="1"/>
  <c r="D146" i="4"/>
  <c r="E146" i="4"/>
  <c r="F146" i="4"/>
  <c r="G146" i="4"/>
  <c r="B147" i="4"/>
  <c r="F147" i="4" l="1"/>
  <c r="G147" i="4"/>
  <c r="B148" i="4"/>
  <c r="D147" i="4"/>
  <c r="C147" i="4"/>
  <c r="E147" i="4"/>
  <c r="C148" i="4" l="1"/>
  <c r="D148" i="4"/>
  <c r="E148" i="4"/>
  <c r="F148" i="4"/>
  <c r="G148" i="4"/>
  <c r="B149" i="4"/>
  <c r="C149" i="4" l="1"/>
  <c r="D149" i="4"/>
  <c r="E149" i="4"/>
  <c r="B150" i="4"/>
  <c r="F149" i="4"/>
  <c r="G149" i="4"/>
  <c r="D150" i="4" l="1"/>
  <c r="E150" i="4"/>
  <c r="F150" i="4"/>
  <c r="G150" i="4"/>
  <c r="B151" i="4"/>
  <c r="C150" i="4"/>
  <c r="C151" i="4" l="1"/>
  <c r="D151" i="4"/>
  <c r="E151" i="4"/>
  <c r="F151" i="4"/>
  <c r="G151" i="4"/>
  <c r="B152" i="4"/>
  <c r="B153" i="4" l="1"/>
  <c r="C152" i="4"/>
  <c r="D152" i="4"/>
  <c r="E152" i="4"/>
  <c r="F152" i="4"/>
  <c r="G152" i="4"/>
  <c r="C153" i="4" l="1"/>
  <c r="D153" i="4"/>
  <c r="E153" i="4"/>
  <c r="F153" i="4"/>
  <c r="G153" i="4"/>
  <c r="B154" i="4"/>
  <c r="C154" i="4" l="1"/>
  <c r="D154" i="4"/>
  <c r="E154" i="4"/>
  <c r="F154" i="4"/>
  <c r="G154" i="4"/>
  <c r="B155" i="4"/>
  <c r="F155" i="4" l="1"/>
  <c r="G155" i="4"/>
  <c r="B156" i="4"/>
  <c r="C155" i="4"/>
  <c r="D155" i="4"/>
  <c r="E155" i="4"/>
  <c r="C156" i="4" l="1"/>
  <c r="D156" i="4"/>
  <c r="E156" i="4"/>
  <c r="F156" i="4"/>
  <c r="G156" i="4"/>
  <c r="B157" i="4"/>
  <c r="C157" i="4" l="1"/>
  <c r="D157" i="4"/>
  <c r="E157" i="4"/>
  <c r="F157" i="4"/>
  <c r="B158" i="4"/>
  <c r="G157" i="4"/>
  <c r="D158" i="4" l="1"/>
  <c r="E158" i="4"/>
  <c r="F158" i="4"/>
  <c r="G158" i="4"/>
  <c r="B159" i="4"/>
  <c r="C158" i="4"/>
  <c r="C159" i="4" l="1"/>
  <c r="D159" i="4"/>
  <c r="E159" i="4"/>
  <c r="F159" i="4"/>
  <c r="G159" i="4"/>
  <c r="B160" i="4"/>
  <c r="B161" i="4" l="1"/>
  <c r="C160" i="4"/>
  <c r="E160" i="4"/>
  <c r="F160" i="4"/>
  <c r="G160" i="4"/>
  <c r="D160" i="4"/>
  <c r="C161" i="4" l="1"/>
  <c r="D161" i="4"/>
  <c r="E161" i="4"/>
  <c r="F161" i="4"/>
  <c r="G161" i="4"/>
  <c r="B162" i="4"/>
  <c r="C162" i="4" l="1"/>
  <c r="D162" i="4"/>
  <c r="E162" i="4"/>
  <c r="F162" i="4"/>
  <c r="G162" i="4"/>
  <c r="B163" i="4"/>
  <c r="F163" i="4" l="1"/>
  <c r="G163" i="4"/>
  <c r="B164" i="4"/>
  <c r="C163" i="4"/>
  <c r="D163" i="4"/>
  <c r="E163" i="4"/>
  <c r="C164" i="4" l="1"/>
  <c r="D164" i="4"/>
  <c r="E164" i="4"/>
  <c r="F164" i="4"/>
  <c r="G164" i="4"/>
  <c r="B165" i="4"/>
  <c r="C165" i="4" l="1"/>
  <c r="D165" i="4"/>
  <c r="E165" i="4"/>
  <c r="F165" i="4"/>
  <c r="G165" i="4"/>
  <c r="B166" i="4"/>
  <c r="D166" i="4" l="1"/>
  <c r="E166" i="4"/>
  <c r="F166" i="4"/>
  <c r="G166" i="4"/>
  <c r="B167" i="4"/>
  <c r="C166" i="4"/>
  <c r="C167" i="4" l="1"/>
  <c r="D167" i="4"/>
  <c r="E167" i="4"/>
  <c r="F167" i="4"/>
  <c r="G167" i="4"/>
  <c r="B168" i="4"/>
  <c r="B169" i="4" l="1"/>
  <c r="C168" i="4"/>
  <c r="D168" i="4"/>
  <c r="F168" i="4"/>
  <c r="G168" i="4"/>
  <c r="E168" i="4"/>
  <c r="C169" i="4" l="1"/>
  <c r="D169" i="4"/>
  <c r="E169" i="4"/>
  <c r="F169" i="4"/>
  <c r="G169" i="4"/>
  <c r="B170" i="4"/>
  <c r="C170" i="4" l="1"/>
  <c r="D170" i="4"/>
  <c r="E170" i="4"/>
  <c r="F170" i="4"/>
  <c r="G170" i="4"/>
  <c r="B171" i="4"/>
  <c r="F171" i="4" l="1"/>
  <c r="G171" i="4"/>
  <c r="B172" i="4"/>
  <c r="C171" i="4"/>
  <c r="D171" i="4"/>
  <c r="E171" i="4"/>
  <c r="C172" i="4" l="1"/>
  <c r="D172" i="4"/>
  <c r="E172" i="4"/>
  <c r="F172" i="4"/>
  <c r="G172" i="4"/>
  <c r="B173" i="4"/>
  <c r="C173" i="4" l="1"/>
  <c r="D173" i="4"/>
  <c r="E173" i="4"/>
  <c r="F173" i="4"/>
  <c r="G173" i="4"/>
  <c r="B174" i="4"/>
  <c r="D174" i="4" l="1"/>
  <c r="E174" i="4"/>
  <c r="F174" i="4"/>
  <c r="G174" i="4"/>
  <c r="B175" i="4"/>
  <c r="C174" i="4"/>
  <c r="C175" i="4" l="1"/>
  <c r="D175" i="4"/>
  <c r="E175" i="4"/>
  <c r="F175" i="4"/>
  <c r="G175" i="4"/>
  <c r="B176" i="4"/>
  <c r="B177" i="4" l="1"/>
  <c r="C176" i="4"/>
  <c r="D176" i="4"/>
  <c r="E176" i="4"/>
  <c r="F176" i="4"/>
  <c r="G176" i="4"/>
  <c r="C177" i="4" l="1"/>
  <c r="E177" i="4"/>
  <c r="F177" i="4"/>
  <c r="G177" i="4"/>
  <c r="B178" i="4"/>
  <c r="D177" i="4"/>
  <c r="C178" i="4" l="1"/>
  <c r="D178" i="4"/>
  <c r="E178" i="4"/>
  <c r="F178" i="4"/>
  <c r="G178" i="4"/>
  <c r="B179" i="4"/>
  <c r="F179" i="4" l="1"/>
  <c r="G179" i="4"/>
  <c r="B180" i="4"/>
  <c r="C179" i="4"/>
  <c r="D179" i="4"/>
  <c r="E179" i="4"/>
  <c r="C180" i="4" l="1"/>
  <c r="D180" i="4"/>
  <c r="E180" i="4"/>
  <c r="F180" i="4"/>
  <c r="G180" i="4"/>
  <c r="B181" i="4"/>
  <c r="C181" i="4" l="1"/>
  <c r="D181" i="4"/>
  <c r="E181" i="4"/>
  <c r="F181" i="4"/>
  <c r="G181" i="4"/>
  <c r="B182" i="4"/>
  <c r="D182" i="4" l="1"/>
  <c r="E182" i="4"/>
  <c r="G182" i="4"/>
  <c r="B183" i="4"/>
  <c r="C182" i="4"/>
  <c r="F182" i="4"/>
  <c r="C183" i="4" l="1"/>
  <c r="D183" i="4"/>
  <c r="E183" i="4"/>
  <c r="G183" i="4"/>
  <c r="B184" i="4"/>
  <c r="F183" i="4"/>
  <c r="B185" i="4" l="1"/>
  <c r="C184" i="4"/>
  <c r="D184" i="4"/>
  <c r="E184" i="4"/>
  <c r="F184" i="4"/>
  <c r="G184" i="4"/>
  <c r="C185" i="4" l="1"/>
  <c r="E185" i="4"/>
  <c r="F185" i="4"/>
  <c r="G185" i="4"/>
  <c r="B186" i="4"/>
  <c r="D185" i="4"/>
  <c r="C186" i="4" l="1"/>
  <c r="E186" i="4"/>
  <c r="F186" i="4"/>
  <c r="G186" i="4"/>
  <c r="D186" i="4"/>
  <c r="B187" i="4"/>
  <c r="F187" i="4" l="1"/>
  <c r="G187" i="4"/>
  <c r="D187" i="4"/>
  <c r="E187" i="4"/>
  <c r="B188" i="4"/>
  <c r="C187" i="4"/>
  <c r="C188" i="4" l="1"/>
  <c r="D188" i="4"/>
  <c r="E188" i="4"/>
  <c r="F188" i="4"/>
  <c r="G188" i="4"/>
  <c r="B189" i="4"/>
  <c r="C189" i="4" l="1"/>
  <c r="D189" i="4"/>
  <c r="E189" i="4"/>
  <c r="F189" i="4"/>
  <c r="G189" i="4"/>
  <c r="B190" i="4"/>
  <c r="D190" i="4" l="1"/>
  <c r="E190" i="4"/>
  <c r="G190" i="4"/>
  <c r="B191" i="4"/>
  <c r="C190" i="4"/>
  <c r="F190" i="4"/>
  <c r="C191" i="4" l="1"/>
  <c r="D191" i="4"/>
  <c r="G191" i="4"/>
  <c r="B192" i="4"/>
  <c r="E191" i="4"/>
  <c r="F191" i="4"/>
  <c r="B193" i="4" l="1"/>
  <c r="C192" i="4"/>
  <c r="D192" i="4"/>
  <c r="F192" i="4"/>
  <c r="E192" i="4"/>
  <c r="G192" i="4"/>
  <c r="C193" i="4" l="1"/>
  <c r="E193" i="4"/>
  <c r="G193" i="4"/>
  <c r="B194" i="4"/>
  <c r="F193" i="4"/>
  <c r="D193" i="4"/>
  <c r="E194" i="4" l="1"/>
  <c r="F194" i="4"/>
  <c r="G194" i="4"/>
  <c r="C194" i="4"/>
  <c r="D194" i="4"/>
  <c r="B195" i="4"/>
  <c r="F195" i="4" l="1"/>
  <c r="G195" i="4"/>
  <c r="C195" i="4"/>
  <c r="D195" i="4"/>
  <c r="E195" i="4"/>
  <c r="B196" i="4"/>
  <c r="C196" i="4" l="1"/>
  <c r="E196" i="4"/>
  <c r="F196" i="4"/>
  <c r="D196" i="4"/>
  <c r="G196" i="4"/>
  <c r="B197" i="4"/>
  <c r="C197" i="4" l="1"/>
  <c r="D197" i="4"/>
  <c r="E197" i="4"/>
  <c r="F197" i="4"/>
  <c r="B198" i="4"/>
  <c r="G197" i="4"/>
  <c r="D198" i="4" l="1"/>
  <c r="E198" i="4"/>
  <c r="G198" i="4"/>
  <c r="B199" i="4"/>
  <c r="F198" i="4"/>
  <c r="C198" i="4"/>
  <c r="C199" i="4" l="1"/>
  <c r="D199" i="4"/>
  <c r="G199" i="4"/>
  <c r="B200" i="4"/>
  <c r="E199" i="4"/>
  <c r="F199" i="4"/>
  <c r="B201" i="4" l="1"/>
  <c r="C200" i="4"/>
  <c r="D200" i="4"/>
  <c r="E200" i="4"/>
  <c r="F200" i="4"/>
  <c r="G200" i="4"/>
  <c r="C201" i="4" l="1"/>
  <c r="E201" i="4"/>
  <c r="G201" i="4"/>
  <c r="B202" i="4"/>
  <c r="D201" i="4"/>
  <c r="F201" i="4"/>
  <c r="E202" i="4" l="1"/>
  <c r="F202" i="4"/>
  <c r="G202" i="4"/>
  <c r="C202" i="4"/>
  <c r="D202" i="4"/>
  <c r="B203" i="4"/>
  <c r="F203" i="4" l="1"/>
  <c r="G203" i="4"/>
  <c r="D203" i="4"/>
  <c r="B204" i="4"/>
  <c r="C203" i="4"/>
  <c r="E203" i="4"/>
  <c r="C204" i="4" l="1"/>
  <c r="E204" i="4"/>
  <c r="F204" i="4"/>
  <c r="D204" i="4"/>
  <c r="G204" i="4"/>
  <c r="B205" i="4"/>
  <c r="C205" i="4" l="1"/>
  <c r="D205" i="4"/>
  <c r="E205" i="4"/>
  <c r="F205" i="4"/>
  <c r="G205" i="4"/>
  <c r="B206" i="4"/>
  <c r="D206" i="4" l="1"/>
  <c r="E206" i="4"/>
  <c r="G206" i="4"/>
  <c r="C206" i="4"/>
  <c r="F206" i="4"/>
  <c r="B207" i="4"/>
  <c r="C207" i="4" l="1"/>
  <c r="D207" i="4"/>
  <c r="G207" i="4"/>
  <c r="B208" i="4"/>
  <c r="E207" i="4"/>
  <c r="F207" i="4"/>
  <c r="B209" i="4" l="1"/>
  <c r="E208" i="4"/>
  <c r="C208" i="4"/>
  <c r="D208" i="4"/>
  <c r="F208" i="4"/>
  <c r="G208" i="4"/>
  <c r="C209" i="4" l="1"/>
  <c r="E209" i="4"/>
  <c r="G209" i="4"/>
  <c r="B210" i="4"/>
  <c r="D209" i="4"/>
  <c r="F209" i="4"/>
  <c r="E210" i="4" l="1"/>
  <c r="F210" i="4"/>
  <c r="C210" i="4"/>
  <c r="D210" i="4"/>
  <c r="G210" i="4"/>
  <c r="B211" i="4"/>
  <c r="F211" i="4" l="1"/>
  <c r="G211" i="4"/>
  <c r="C211" i="4"/>
  <c r="D211" i="4"/>
  <c r="E211" i="4"/>
  <c r="B212" i="4"/>
  <c r="C212" i="4" l="1"/>
  <c r="E212" i="4"/>
  <c r="F212" i="4"/>
  <c r="D212" i="4"/>
  <c r="G212" i="4"/>
  <c r="B213" i="4"/>
  <c r="C213" i="4" l="1"/>
  <c r="D213" i="4"/>
  <c r="B214" i="4"/>
  <c r="E213" i="4"/>
  <c r="F213" i="4"/>
  <c r="G213" i="4"/>
  <c r="D214" i="4" l="1"/>
  <c r="E214" i="4"/>
  <c r="G214" i="4"/>
  <c r="C214" i="4"/>
  <c r="F214" i="4"/>
  <c r="B215" i="4"/>
  <c r="C215" i="4" l="1"/>
  <c r="D215" i="4"/>
  <c r="G215" i="4"/>
  <c r="B216" i="4"/>
  <c r="E215" i="4"/>
  <c r="F215" i="4"/>
  <c r="B217" i="4" l="1"/>
  <c r="C216" i="4"/>
  <c r="D216" i="4"/>
  <c r="E216" i="4"/>
  <c r="F216" i="4"/>
  <c r="G216" i="4"/>
  <c r="C217" i="4" l="1"/>
  <c r="E217" i="4"/>
  <c r="G217" i="4"/>
  <c r="B218" i="4"/>
  <c r="D217" i="4"/>
  <c r="F217" i="4"/>
  <c r="E218" i="4" l="1"/>
  <c r="F218" i="4"/>
  <c r="B219" i="4"/>
  <c r="C218" i="4"/>
  <c r="D218" i="4"/>
  <c r="G218" i="4"/>
  <c r="F219" i="4" l="1"/>
  <c r="G219" i="4"/>
  <c r="C219" i="4"/>
  <c r="D219" i="4"/>
  <c r="E219" i="4"/>
  <c r="B220" i="4"/>
  <c r="C220" i="4" l="1"/>
  <c r="E220" i="4"/>
  <c r="F220" i="4"/>
  <c r="D220" i="4"/>
  <c r="G220" i="4"/>
  <c r="B221" i="4"/>
  <c r="C221" i="4" l="1"/>
  <c r="D221" i="4"/>
  <c r="E221" i="4"/>
  <c r="F221" i="4"/>
  <c r="G221" i="4"/>
  <c r="B222" i="4"/>
  <c r="D222" i="4" l="1"/>
  <c r="E222" i="4"/>
  <c r="G222" i="4"/>
  <c r="C222" i="4"/>
  <c r="B223" i="4"/>
  <c r="F222" i="4"/>
  <c r="C223" i="4" l="1"/>
  <c r="D223" i="4"/>
  <c r="G223" i="4"/>
  <c r="E223" i="4"/>
  <c r="F223" i="4"/>
  <c r="B224" i="4"/>
  <c r="B225" i="4" l="1"/>
  <c r="C224" i="4"/>
  <c r="D224" i="4"/>
  <c r="E224" i="4"/>
  <c r="F224" i="4"/>
  <c r="G224" i="4"/>
  <c r="C225" i="4" l="1"/>
  <c r="E225" i="4"/>
  <c r="G225" i="4"/>
  <c r="B226" i="4"/>
  <c r="D225" i="4"/>
  <c r="F225" i="4"/>
  <c r="E226" i="4" l="1"/>
  <c r="C226" i="4"/>
  <c r="G226" i="4"/>
  <c r="D226" i="4"/>
  <c r="F226" i="4"/>
  <c r="B227" i="4"/>
  <c r="F227" i="4" l="1"/>
  <c r="G227" i="4"/>
  <c r="D227" i="4"/>
  <c r="E227" i="4"/>
  <c r="B228" i="4"/>
  <c r="C227" i="4"/>
  <c r="C228" i="4" l="1"/>
  <c r="E228" i="4"/>
  <c r="F228" i="4"/>
  <c r="D228" i="4"/>
  <c r="G228" i="4"/>
  <c r="B229" i="4"/>
  <c r="C229" i="4" l="1"/>
  <c r="D229" i="4"/>
  <c r="E229" i="4"/>
  <c r="F229" i="4"/>
  <c r="G229" i="4"/>
  <c r="B230" i="4"/>
  <c r="D230" i="4" l="1"/>
  <c r="E230" i="4"/>
  <c r="G230" i="4"/>
  <c r="B231" i="4"/>
  <c r="C230" i="4"/>
  <c r="F230" i="4"/>
  <c r="C231" i="4" l="1"/>
  <c r="D231" i="4"/>
  <c r="G231" i="4"/>
  <c r="B232" i="4"/>
  <c r="E231" i="4"/>
  <c r="F231" i="4"/>
  <c r="B233" i="4" l="1"/>
  <c r="C232" i="4"/>
  <c r="D232" i="4"/>
  <c r="E232" i="4"/>
  <c r="F232" i="4"/>
  <c r="G232" i="4"/>
  <c r="C233" i="4" l="1"/>
  <c r="E233" i="4"/>
  <c r="G233" i="4"/>
  <c r="B234" i="4"/>
  <c r="D233" i="4"/>
  <c r="F233" i="4"/>
  <c r="C234" i="4" l="1"/>
  <c r="D234" i="4"/>
  <c r="E234" i="4"/>
  <c r="B235" i="4"/>
  <c r="F234" i="4"/>
  <c r="G234" i="4"/>
  <c r="E235" i="4" l="1"/>
  <c r="F235" i="4"/>
  <c r="G235" i="4"/>
  <c r="B236" i="4"/>
  <c r="C235" i="4"/>
  <c r="D235" i="4"/>
  <c r="C236" i="4" l="1"/>
  <c r="D236" i="4"/>
  <c r="E236" i="4"/>
  <c r="F236" i="4"/>
  <c r="G236" i="4"/>
  <c r="B237" i="4"/>
  <c r="C237" i="4" l="1"/>
  <c r="F237" i="4"/>
  <c r="B238" i="4"/>
  <c r="D237" i="4"/>
  <c r="E237" i="4"/>
  <c r="G237" i="4"/>
  <c r="C238" i="4" l="1"/>
  <c r="D238" i="4"/>
  <c r="E238" i="4"/>
  <c r="F238" i="4"/>
  <c r="G238" i="4"/>
  <c r="B239" i="4"/>
  <c r="C239" i="4" l="1"/>
  <c r="D239" i="4"/>
  <c r="E239" i="4"/>
  <c r="F239" i="4"/>
  <c r="G239" i="4"/>
  <c r="B240" i="4"/>
  <c r="G240" i="4" l="1"/>
  <c r="B241" i="4"/>
  <c r="C240" i="4"/>
  <c r="D240" i="4"/>
  <c r="E240" i="4"/>
  <c r="F240" i="4"/>
  <c r="C241" i="4" l="1"/>
  <c r="D241" i="4"/>
  <c r="E241" i="4"/>
  <c r="F241" i="4"/>
  <c r="G241" i="4"/>
  <c r="B242" i="4"/>
  <c r="C242" i="4" l="1"/>
  <c r="D242" i="4"/>
  <c r="E242" i="4"/>
  <c r="F242" i="4"/>
  <c r="G242" i="4"/>
  <c r="B243" i="4"/>
  <c r="E243" i="4" l="1"/>
  <c r="F243" i="4"/>
  <c r="G243" i="4"/>
  <c r="B244" i="4"/>
  <c r="C243" i="4"/>
  <c r="D243" i="4"/>
  <c r="C244" i="4" l="1"/>
  <c r="D244" i="4"/>
  <c r="E244" i="4"/>
  <c r="F244" i="4"/>
  <c r="G244" i="4"/>
  <c r="B245" i="4"/>
  <c r="C245" i="4" l="1"/>
  <c r="D245" i="4"/>
  <c r="E245" i="4"/>
  <c r="F245" i="4"/>
  <c r="G245" i="4"/>
  <c r="B246" i="4"/>
  <c r="C246" i="4" l="1"/>
  <c r="D246" i="4"/>
  <c r="E246" i="4"/>
  <c r="F246" i="4"/>
  <c r="G246" i="4"/>
  <c r="B247" i="4"/>
  <c r="C247" i="4" l="1"/>
  <c r="D247" i="4"/>
  <c r="E247" i="4"/>
  <c r="F247" i="4"/>
  <c r="G247" i="4"/>
  <c r="B248" i="4"/>
  <c r="G248" i="4" l="1"/>
  <c r="B249" i="4"/>
  <c r="C248" i="4"/>
  <c r="D248" i="4"/>
  <c r="E248" i="4"/>
  <c r="F248" i="4"/>
  <c r="C249" i="4" l="1"/>
  <c r="D249" i="4"/>
  <c r="E249" i="4"/>
  <c r="F249" i="4"/>
  <c r="G249" i="4"/>
  <c r="B250" i="4"/>
  <c r="C250" i="4" l="1"/>
  <c r="D250" i="4"/>
  <c r="E250" i="4"/>
  <c r="F250" i="4"/>
  <c r="G250" i="4"/>
  <c r="B251" i="4"/>
  <c r="E251" i="4" l="1"/>
  <c r="F251" i="4"/>
  <c r="G251" i="4"/>
  <c r="B252" i="4"/>
  <c r="C251" i="4"/>
  <c r="D251" i="4"/>
  <c r="C252" i="4" l="1"/>
  <c r="D252" i="4"/>
  <c r="E252" i="4"/>
  <c r="F252" i="4"/>
  <c r="G252" i="4"/>
  <c r="B253" i="4"/>
  <c r="B254" i="4" l="1"/>
  <c r="D253" i="4"/>
  <c r="E253" i="4"/>
  <c r="F253" i="4"/>
  <c r="G253" i="4"/>
  <c r="C253" i="4"/>
  <c r="C254" i="4" l="1"/>
  <c r="D254" i="4"/>
  <c r="E254" i="4"/>
  <c r="F254" i="4"/>
  <c r="G254" i="4"/>
  <c r="B255" i="4"/>
  <c r="C255" i="4" l="1"/>
  <c r="D255" i="4"/>
  <c r="E255" i="4"/>
  <c r="F255" i="4"/>
  <c r="G255" i="4"/>
  <c r="B256" i="4"/>
  <c r="G256" i="4" l="1"/>
  <c r="B257" i="4"/>
  <c r="C256" i="4"/>
  <c r="D256" i="4"/>
  <c r="E256" i="4"/>
  <c r="F256" i="4"/>
  <c r="C257" i="4" l="1"/>
  <c r="D257" i="4"/>
  <c r="E257" i="4"/>
  <c r="F257" i="4"/>
  <c r="G257" i="4"/>
  <c r="B258" i="4"/>
  <c r="C258" i="4" l="1"/>
  <c r="D258" i="4"/>
  <c r="E258" i="4"/>
  <c r="F258" i="4"/>
  <c r="G258" i="4"/>
  <c r="B259" i="4"/>
  <c r="E259" i="4" l="1"/>
  <c r="F259" i="4"/>
  <c r="G259" i="4"/>
  <c r="B260" i="4"/>
  <c r="C259" i="4"/>
  <c r="D259" i="4"/>
  <c r="C260" i="4" l="1"/>
  <c r="D260" i="4"/>
  <c r="E260" i="4"/>
  <c r="F260" i="4"/>
  <c r="G260" i="4"/>
  <c r="B261" i="4"/>
  <c r="F261" i="4" l="1"/>
  <c r="G261" i="4"/>
  <c r="B262" i="4"/>
  <c r="C261" i="4"/>
  <c r="D261" i="4"/>
  <c r="E261" i="4"/>
  <c r="C262" i="4" l="1"/>
  <c r="D262" i="4"/>
  <c r="E262" i="4"/>
  <c r="F262" i="4"/>
  <c r="G262" i="4"/>
  <c r="B263" i="4"/>
  <c r="C263" i="4" l="1"/>
  <c r="D263" i="4"/>
  <c r="E263" i="4"/>
  <c r="F263" i="4"/>
  <c r="G263" i="4"/>
  <c r="B264" i="4"/>
  <c r="G264" i="4" l="1"/>
  <c r="B265" i="4"/>
  <c r="C264" i="4"/>
  <c r="D264" i="4"/>
  <c r="E264" i="4"/>
  <c r="F264" i="4"/>
  <c r="C265" i="4" l="1"/>
  <c r="D265" i="4"/>
  <c r="E265" i="4"/>
  <c r="F265" i="4"/>
  <c r="G265" i="4"/>
  <c r="B266" i="4"/>
  <c r="C266" i="4" l="1"/>
  <c r="D266" i="4"/>
  <c r="E266" i="4"/>
  <c r="F266" i="4"/>
  <c r="G266" i="4"/>
  <c r="B267" i="4"/>
  <c r="E267" i="4" l="1"/>
  <c r="F267" i="4"/>
  <c r="G267" i="4"/>
  <c r="B268" i="4"/>
  <c r="C267" i="4"/>
  <c r="D267" i="4"/>
  <c r="C268" i="4" l="1"/>
  <c r="D268" i="4"/>
  <c r="E268" i="4"/>
  <c r="F268" i="4"/>
  <c r="G268" i="4"/>
  <c r="B269" i="4"/>
  <c r="D269" i="4" l="1"/>
  <c r="E269" i="4"/>
  <c r="F269" i="4"/>
  <c r="G269" i="4"/>
  <c r="B270" i="4"/>
  <c r="C269" i="4"/>
  <c r="C270" i="4" l="1"/>
  <c r="D270" i="4"/>
  <c r="E270" i="4"/>
  <c r="F270" i="4"/>
  <c r="G270" i="4"/>
  <c r="B271" i="4"/>
  <c r="C271" i="4" l="1"/>
  <c r="D271" i="4"/>
  <c r="E271" i="4"/>
  <c r="F271" i="4"/>
  <c r="G271" i="4"/>
  <c r="B272" i="4"/>
  <c r="G272" i="4" l="1"/>
  <c r="B273" i="4"/>
  <c r="C272" i="4"/>
  <c r="D272" i="4"/>
  <c r="E272" i="4"/>
  <c r="F272" i="4"/>
  <c r="C273" i="4" l="1"/>
  <c r="D273" i="4"/>
  <c r="E273" i="4"/>
  <c r="F273" i="4"/>
  <c r="G273" i="4"/>
  <c r="B274" i="4"/>
  <c r="C274" i="4" l="1"/>
  <c r="D274" i="4"/>
  <c r="G274" i="4"/>
  <c r="B275" i="4"/>
  <c r="F274" i="4"/>
  <c r="E274" i="4"/>
  <c r="E275" i="4" l="1"/>
  <c r="F275" i="4"/>
  <c r="G275" i="4"/>
  <c r="B276" i="4"/>
  <c r="D275" i="4"/>
  <c r="C275" i="4"/>
  <c r="C276" i="4" l="1"/>
  <c r="D276" i="4"/>
  <c r="E276" i="4"/>
  <c r="F276" i="4"/>
  <c r="G276" i="4"/>
  <c r="B277" i="4"/>
  <c r="C277" i="4" l="1"/>
  <c r="D277" i="4"/>
  <c r="E277" i="4"/>
  <c r="F277" i="4"/>
  <c r="G277" i="4"/>
  <c r="B278" i="4"/>
  <c r="C278" i="4" l="1"/>
  <c r="D278" i="4"/>
  <c r="E278" i="4"/>
  <c r="F278" i="4"/>
  <c r="G278" i="4"/>
  <c r="B279" i="4"/>
  <c r="C279" i="4" l="1"/>
  <c r="D279" i="4"/>
  <c r="E279" i="4"/>
  <c r="F279" i="4"/>
  <c r="G279" i="4"/>
  <c r="B280" i="4"/>
  <c r="G280" i="4" l="1"/>
  <c r="B281" i="4"/>
  <c r="C280" i="4"/>
  <c r="D280" i="4"/>
  <c r="E280" i="4"/>
  <c r="F280" i="4"/>
  <c r="C281" i="4" l="1"/>
  <c r="D281" i="4"/>
  <c r="E281" i="4"/>
  <c r="F281" i="4"/>
  <c r="G281" i="4"/>
  <c r="B282" i="4"/>
  <c r="C282" i="4" l="1"/>
  <c r="D282" i="4"/>
  <c r="B283" i="4"/>
  <c r="E282" i="4"/>
  <c r="F282" i="4"/>
  <c r="G282" i="4"/>
  <c r="E283" i="4" l="1"/>
  <c r="F283" i="4"/>
  <c r="G283" i="4"/>
  <c r="B284" i="4"/>
  <c r="C283" i="4"/>
  <c r="D283" i="4"/>
  <c r="C284" i="4" l="1"/>
  <c r="D284" i="4"/>
  <c r="E284" i="4"/>
  <c r="F284" i="4"/>
  <c r="G284" i="4"/>
  <c r="B285" i="4"/>
  <c r="C285" i="4" l="1"/>
  <c r="D285" i="4"/>
  <c r="E285" i="4"/>
  <c r="F285" i="4"/>
  <c r="G285" i="4"/>
  <c r="B286" i="4"/>
  <c r="C286" i="4" l="1"/>
  <c r="D286" i="4"/>
  <c r="E286" i="4"/>
  <c r="F286" i="4"/>
  <c r="B287" i="4"/>
  <c r="G286" i="4"/>
  <c r="C287" i="4" l="1"/>
  <c r="D287" i="4"/>
  <c r="E287" i="4"/>
  <c r="F287" i="4"/>
  <c r="G287" i="4"/>
  <c r="B288" i="4"/>
  <c r="G288" i="4" l="1"/>
  <c r="B289" i="4"/>
  <c r="F288" i="4"/>
  <c r="C288" i="4"/>
  <c r="D288" i="4"/>
  <c r="E288" i="4"/>
  <c r="C289" i="4" l="1"/>
  <c r="D289" i="4"/>
  <c r="F289" i="4"/>
  <c r="G289" i="4"/>
  <c r="B290" i="4"/>
  <c r="E289" i="4"/>
  <c r="C290" i="4" l="1"/>
  <c r="D290" i="4"/>
  <c r="E290" i="4"/>
  <c r="F290" i="4"/>
  <c r="G290" i="4"/>
  <c r="B291" i="4"/>
  <c r="E291" i="4" l="1"/>
  <c r="F291" i="4"/>
  <c r="G291" i="4"/>
  <c r="B292" i="4"/>
  <c r="C291" i="4"/>
  <c r="D291" i="4"/>
  <c r="D292" i="4" l="1"/>
  <c r="E292" i="4"/>
  <c r="F292" i="4"/>
  <c r="G292" i="4"/>
  <c r="C292" i="4"/>
  <c r="B293" i="4"/>
  <c r="B294" i="4" l="1"/>
  <c r="F293" i="4"/>
  <c r="G293" i="4"/>
  <c r="E293" i="4"/>
  <c r="C293" i="4"/>
  <c r="D293" i="4"/>
  <c r="C294" i="4" l="1"/>
  <c r="D294" i="4"/>
  <c r="E294" i="4"/>
  <c r="F294" i="4"/>
  <c r="B295" i="4"/>
  <c r="G294" i="4"/>
  <c r="C295" i="4" l="1"/>
  <c r="D295" i="4"/>
  <c r="E295" i="4"/>
  <c r="F295" i="4"/>
  <c r="G295" i="4"/>
  <c r="B296" i="4"/>
  <c r="G296" i="4" l="1"/>
  <c r="B297" i="4"/>
  <c r="C296" i="4"/>
  <c r="D296" i="4"/>
  <c r="E296" i="4"/>
  <c r="F296" i="4"/>
  <c r="C297" i="4" l="1"/>
  <c r="D297" i="4"/>
  <c r="F297" i="4"/>
  <c r="G297" i="4"/>
  <c r="B298" i="4"/>
  <c r="E297" i="4"/>
  <c r="C298" i="4" l="1"/>
  <c r="D298" i="4"/>
  <c r="E298" i="4"/>
  <c r="F298" i="4"/>
  <c r="G298" i="4"/>
  <c r="B299" i="4"/>
  <c r="E299" i="4" l="1"/>
  <c r="F299" i="4"/>
  <c r="G299" i="4"/>
  <c r="B300" i="4"/>
  <c r="D299" i="4"/>
  <c r="C299" i="4"/>
  <c r="D300" i="4" l="1"/>
  <c r="E300" i="4"/>
  <c r="F300" i="4"/>
  <c r="G300" i="4"/>
  <c r="C300" i="4"/>
  <c r="B301" i="4"/>
  <c r="C301" i="4" l="1"/>
  <c r="D301" i="4"/>
  <c r="E301" i="4"/>
  <c r="F301" i="4"/>
  <c r="G301" i="4"/>
  <c r="B302" i="4"/>
  <c r="C302" i="4" l="1"/>
  <c r="D302" i="4"/>
  <c r="E302" i="4"/>
  <c r="F302" i="4"/>
  <c r="B303" i="4"/>
  <c r="G302" i="4"/>
  <c r="C303" i="4" l="1"/>
  <c r="D303" i="4"/>
  <c r="E303" i="4"/>
  <c r="F303" i="4"/>
  <c r="G303" i="4"/>
  <c r="B304" i="4"/>
  <c r="G304" i="4" l="1"/>
  <c r="B305" i="4"/>
  <c r="F304" i="4"/>
  <c r="C304" i="4"/>
  <c r="D304" i="4"/>
  <c r="E304" i="4"/>
  <c r="C305" i="4" l="1"/>
  <c r="D305" i="4"/>
  <c r="F305" i="4"/>
  <c r="B306" i="4"/>
  <c r="E305" i="4"/>
  <c r="G305" i="4"/>
  <c r="C306" i="4" l="1"/>
  <c r="D306" i="4"/>
  <c r="E306" i="4"/>
  <c r="F306" i="4"/>
  <c r="G306" i="4"/>
  <c r="B307" i="4"/>
  <c r="E307" i="4" l="1"/>
  <c r="F307" i="4"/>
  <c r="G307" i="4"/>
  <c r="B308" i="4"/>
  <c r="C307" i="4"/>
  <c r="D307" i="4"/>
  <c r="D308" i="4" l="1"/>
  <c r="F308" i="4"/>
  <c r="G308" i="4"/>
  <c r="C308" i="4"/>
  <c r="E308" i="4"/>
  <c r="B309" i="4"/>
  <c r="F309" i="4" l="1"/>
  <c r="G309" i="4"/>
  <c r="B310" i="4"/>
  <c r="E309" i="4"/>
  <c r="D309" i="4"/>
  <c r="C309" i="4"/>
  <c r="C310" i="4" l="1"/>
  <c r="D310" i="4"/>
  <c r="E310" i="4"/>
  <c r="F310" i="4"/>
  <c r="B311" i="4"/>
  <c r="G310" i="4"/>
  <c r="D311" i="4" l="1"/>
  <c r="E311" i="4"/>
  <c r="C311" i="4"/>
  <c r="F311" i="4"/>
  <c r="G311" i="4"/>
  <c r="B312" i="4"/>
  <c r="G312" i="4" l="1"/>
  <c r="B313" i="4"/>
  <c r="C312" i="4"/>
  <c r="D312" i="4"/>
  <c r="E312" i="4"/>
  <c r="F312" i="4"/>
  <c r="C313" i="4" l="1"/>
  <c r="D313" i="4"/>
  <c r="F313" i="4"/>
  <c r="B314" i="4"/>
  <c r="E313" i="4"/>
  <c r="G313" i="4"/>
  <c r="C314" i="4" l="1"/>
  <c r="F314" i="4"/>
  <c r="G314" i="4"/>
  <c r="B315" i="4"/>
  <c r="D314" i="4"/>
  <c r="E314" i="4"/>
  <c r="E315" i="4" l="1"/>
  <c r="F315" i="4"/>
  <c r="G315" i="4"/>
  <c r="B316" i="4"/>
  <c r="C315" i="4"/>
  <c r="D315" i="4"/>
  <c r="D316" i="4" l="1"/>
  <c r="F316" i="4"/>
  <c r="C316" i="4"/>
  <c r="E316" i="4"/>
  <c r="G316" i="4"/>
  <c r="B317" i="4"/>
  <c r="C317" i="4" l="1"/>
  <c r="D317" i="4"/>
  <c r="E317" i="4"/>
  <c r="F317" i="4"/>
  <c r="G317" i="4"/>
  <c r="B318" i="4"/>
  <c r="C318" i="4" l="1"/>
  <c r="D318" i="4"/>
  <c r="E318" i="4"/>
  <c r="F318" i="4"/>
  <c r="B319" i="4"/>
  <c r="G318" i="4"/>
  <c r="D319" i="4" l="1"/>
  <c r="C319" i="4"/>
  <c r="E319" i="4"/>
  <c r="F319" i="4"/>
  <c r="G319" i="4"/>
  <c r="B320" i="4"/>
  <c r="G320" i="4" l="1"/>
  <c r="B321" i="4"/>
  <c r="C320" i="4"/>
  <c r="D320" i="4"/>
  <c r="E320" i="4"/>
  <c r="F320" i="4"/>
  <c r="C321" i="4" l="1"/>
  <c r="D321" i="4"/>
  <c r="F321" i="4"/>
  <c r="B322" i="4"/>
  <c r="E321" i="4"/>
  <c r="G321" i="4"/>
  <c r="B323" i="4" l="1"/>
  <c r="E322" i="4"/>
  <c r="F322" i="4"/>
  <c r="G322" i="4"/>
  <c r="D322" i="4"/>
  <c r="C322" i="4"/>
  <c r="E323" i="4" l="1"/>
  <c r="F323" i="4"/>
  <c r="G323" i="4"/>
  <c r="B324" i="4"/>
  <c r="C323" i="4"/>
  <c r="D323" i="4"/>
  <c r="D324" i="4" l="1"/>
  <c r="F324" i="4"/>
  <c r="C324" i="4"/>
  <c r="E324" i="4"/>
  <c r="G324" i="4"/>
  <c r="B325" i="4"/>
  <c r="C325" i="4" l="1"/>
  <c r="D325" i="4"/>
  <c r="E325" i="4"/>
  <c r="F325" i="4"/>
  <c r="G325" i="4"/>
  <c r="B326" i="4"/>
  <c r="C326" i="4" l="1"/>
  <c r="D326" i="4"/>
  <c r="E326" i="4"/>
  <c r="F326" i="4"/>
  <c r="B327" i="4"/>
  <c r="G326" i="4"/>
  <c r="D327" i="4" l="1"/>
  <c r="F327" i="4"/>
  <c r="G327" i="4"/>
  <c r="B328" i="4"/>
  <c r="C327" i="4"/>
  <c r="E327" i="4"/>
  <c r="G328" i="4" l="1"/>
  <c r="B329" i="4"/>
  <c r="C328" i="4"/>
  <c r="D328" i="4"/>
  <c r="E328" i="4"/>
  <c r="F328" i="4"/>
  <c r="C329" i="4" l="1"/>
  <c r="D329" i="4"/>
  <c r="F329" i="4"/>
  <c r="B330" i="4"/>
  <c r="E329" i="4"/>
  <c r="G329" i="4"/>
  <c r="C330" i="4" l="1"/>
  <c r="D330" i="4"/>
  <c r="E330" i="4"/>
  <c r="F330" i="4"/>
  <c r="G330" i="4"/>
  <c r="B331" i="4"/>
  <c r="E331" i="4" l="1"/>
  <c r="F331" i="4"/>
  <c r="G331" i="4"/>
  <c r="B332" i="4"/>
  <c r="D331" i="4"/>
  <c r="C331" i="4"/>
  <c r="D332" i="4" l="1"/>
  <c r="F332" i="4"/>
  <c r="C332" i="4"/>
  <c r="E332" i="4"/>
  <c r="G332" i="4"/>
  <c r="B333" i="4"/>
  <c r="C333" i="4" l="1"/>
  <c r="D333" i="4"/>
  <c r="E333" i="4"/>
  <c r="F333" i="4"/>
  <c r="B334" i="4"/>
  <c r="G333" i="4"/>
  <c r="C334" i="4" l="1"/>
  <c r="D334" i="4"/>
  <c r="E334" i="4"/>
  <c r="F334" i="4"/>
  <c r="B335" i="4"/>
  <c r="G334" i="4"/>
  <c r="D335" i="4" l="1"/>
  <c r="B336" i="4"/>
  <c r="C335" i="4"/>
  <c r="E335" i="4"/>
  <c r="F335" i="4"/>
  <c r="G335" i="4"/>
  <c r="G336" i="4" l="1"/>
  <c r="B337" i="4"/>
  <c r="C336" i="4"/>
  <c r="D336" i="4"/>
  <c r="E336" i="4"/>
  <c r="F336" i="4"/>
  <c r="C337" i="4" l="1"/>
  <c r="D337" i="4"/>
  <c r="F337" i="4"/>
  <c r="B338" i="4"/>
  <c r="E337" i="4"/>
  <c r="G337" i="4"/>
  <c r="C338" i="4" l="1"/>
  <c r="D338" i="4"/>
  <c r="E338" i="4"/>
  <c r="F338" i="4"/>
  <c r="G338" i="4"/>
  <c r="B339" i="4"/>
  <c r="E339" i="4" l="1"/>
  <c r="F339" i="4"/>
  <c r="G339" i="4"/>
  <c r="B340" i="4"/>
  <c r="C339" i="4"/>
  <c r="D339" i="4"/>
  <c r="D340" i="4" l="1"/>
  <c r="E340" i="4"/>
  <c r="F340" i="4"/>
  <c r="G340" i="4"/>
  <c r="B341" i="4"/>
  <c r="C340" i="4"/>
  <c r="C341" i="4" l="1"/>
  <c r="D341" i="4"/>
  <c r="E341" i="4"/>
  <c r="F341" i="4"/>
  <c r="G341" i="4"/>
  <c r="B342" i="4"/>
  <c r="C342" i="4" l="1"/>
  <c r="D342" i="4"/>
  <c r="E342" i="4"/>
  <c r="F342" i="4"/>
  <c r="B343" i="4"/>
  <c r="G342" i="4"/>
  <c r="F343" i="4" l="1"/>
  <c r="G343" i="4"/>
  <c r="B344" i="4"/>
  <c r="C343" i="4"/>
  <c r="D343" i="4"/>
  <c r="E343" i="4"/>
  <c r="G344" i="4" l="1"/>
  <c r="B345" i="4"/>
  <c r="C344" i="4"/>
  <c r="D344" i="4"/>
  <c r="E344" i="4"/>
  <c r="F344" i="4"/>
  <c r="C345" i="4" l="1"/>
  <c r="D345" i="4"/>
  <c r="E345" i="4"/>
  <c r="F345" i="4"/>
  <c r="G345" i="4"/>
  <c r="B346" i="4"/>
  <c r="B347" i="4" l="1"/>
  <c r="C346" i="4"/>
  <c r="D346" i="4"/>
  <c r="E346" i="4"/>
  <c r="F346" i="4"/>
  <c r="G346" i="4"/>
  <c r="E347" i="4" l="1"/>
  <c r="F347" i="4"/>
  <c r="G347" i="4"/>
  <c r="B348" i="4"/>
  <c r="C347" i="4"/>
  <c r="D347" i="4"/>
  <c r="C348" i="4" l="1"/>
  <c r="D348" i="4"/>
  <c r="E348" i="4"/>
  <c r="F348" i="4"/>
  <c r="G348" i="4"/>
  <c r="B349" i="4"/>
  <c r="B350" i="4" l="1"/>
  <c r="C349" i="4"/>
  <c r="D349" i="4"/>
  <c r="G349" i="4"/>
  <c r="F349" i="4"/>
  <c r="E349" i="4"/>
  <c r="C350" i="4" l="1"/>
  <c r="D350" i="4"/>
  <c r="E350" i="4"/>
  <c r="F350" i="4"/>
  <c r="B351" i="4"/>
  <c r="G350" i="4"/>
  <c r="C351" i="4" l="1"/>
  <c r="D351" i="4"/>
  <c r="E351" i="4"/>
  <c r="F351" i="4"/>
  <c r="G351" i="4"/>
  <c r="B352" i="4"/>
  <c r="G352" i="4" l="1"/>
  <c r="B353" i="4"/>
  <c r="C352" i="4"/>
  <c r="D352" i="4"/>
  <c r="E352" i="4"/>
  <c r="F352" i="4"/>
  <c r="C353" i="4" l="1"/>
  <c r="D353" i="4"/>
  <c r="E353" i="4"/>
  <c r="F353" i="4"/>
  <c r="G353" i="4"/>
  <c r="B354" i="4"/>
  <c r="D354" i="4" l="1"/>
  <c r="E354" i="4"/>
  <c r="F354" i="4"/>
  <c r="G354" i="4"/>
  <c r="B355" i="4"/>
  <c r="C354" i="4"/>
  <c r="E355" i="4" l="1"/>
  <c r="F355" i="4"/>
  <c r="G355" i="4"/>
  <c r="B356" i="4"/>
  <c r="C355" i="4"/>
  <c r="D355" i="4"/>
  <c r="C356" i="4" l="1"/>
  <c r="D356" i="4"/>
  <c r="E356" i="4"/>
  <c r="F356" i="4"/>
  <c r="G356" i="4"/>
  <c r="B357" i="4"/>
  <c r="F357" i="4" l="1"/>
  <c r="G357" i="4"/>
  <c r="B358" i="4"/>
  <c r="E357" i="4"/>
  <c r="C357" i="4"/>
  <c r="D357" i="4"/>
  <c r="C358" i="4" l="1"/>
  <c r="D358" i="4"/>
  <c r="E358" i="4"/>
  <c r="F358" i="4"/>
  <c r="G358" i="4"/>
  <c r="B359" i="4"/>
  <c r="C359" i="4" l="1"/>
  <c r="D359" i="4"/>
  <c r="E359" i="4"/>
  <c r="F359" i="4"/>
  <c r="G359" i="4"/>
  <c r="B360" i="4"/>
  <c r="G360" i="4" l="1"/>
  <c r="B361" i="4"/>
  <c r="C360" i="4"/>
  <c r="D360" i="4"/>
  <c r="E360" i="4"/>
  <c r="F360" i="4"/>
  <c r="C361" i="4" l="1"/>
  <c r="D361" i="4"/>
  <c r="F361" i="4"/>
  <c r="G361" i="4"/>
  <c r="B362" i="4"/>
  <c r="E361" i="4"/>
  <c r="C362" i="4" l="1"/>
  <c r="D362" i="4"/>
  <c r="E362" i="4"/>
  <c r="F362" i="4"/>
  <c r="G362" i="4"/>
  <c r="B363" i="4"/>
  <c r="E363" i="4" l="1"/>
  <c r="F363" i="4"/>
  <c r="G363" i="4"/>
  <c r="B364" i="4"/>
  <c r="C363" i="4"/>
  <c r="D363" i="4"/>
  <c r="B365" i="4" l="1"/>
  <c r="C364" i="4"/>
  <c r="D364" i="4"/>
  <c r="E364" i="4"/>
  <c r="F364" i="4"/>
  <c r="G364" i="4"/>
  <c r="C365" i="4" l="1"/>
  <c r="D365" i="4"/>
  <c r="E365" i="4"/>
  <c r="F365" i="4"/>
  <c r="G365" i="4"/>
  <c r="B366" i="4"/>
  <c r="C366" i="4" l="1"/>
  <c r="D366" i="4"/>
  <c r="E366" i="4"/>
  <c r="F366" i="4"/>
  <c r="G366" i="4"/>
  <c r="B367" i="4"/>
  <c r="E367" i="4" l="1"/>
  <c r="F367" i="4"/>
  <c r="G367" i="4"/>
  <c r="B368" i="4"/>
  <c r="D367" i="4"/>
  <c r="C367" i="4"/>
  <c r="G368" i="4" l="1"/>
  <c r="B369" i="4"/>
  <c r="D368" i="4"/>
  <c r="E368" i="4"/>
  <c r="F368" i="4"/>
  <c r="C368" i="4"/>
  <c r="C369" i="4" l="1"/>
  <c r="D369" i="4"/>
  <c r="E369" i="4"/>
  <c r="F369" i="4"/>
  <c r="G369" i="4"/>
  <c r="B370" i="4"/>
  <c r="C370" i="4" l="1"/>
  <c r="D370" i="4"/>
  <c r="E370" i="4"/>
  <c r="F370" i="4"/>
  <c r="G370" i="4"/>
  <c r="B371" i="4"/>
  <c r="E371" i="4" l="1"/>
  <c r="F371" i="4"/>
  <c r="G371" i="4"/>
  <c r="B372" i="4"/>
  <c r="C371" i="4"/>
  <c r="D371" i="4"/>
  <c r="D372" i="4" l="1"/>
  <c r="E372" i="4"/>
  <c r="F372" i="4"/>
  <c r="G372" i="4"/>
  <c r="B373" i="4"/>
  <c r="C372" i="4"/>
  <c r="C373" i="4" l="1"/>
  <c r="D373" i="4"/>
  <c r="E373" i="4"/>
  <c r="F373" i="4"/>
  <c r="G373" i="4"/>
  <c r="B374" i="4"/>
  <c r="C374" i="4" l="1"/>
  <c r="D374" i="4"/>
  <c r="E374" i="4"/>
  <c r="F374" i="4"/>
  <c r="B375" i="4"/>
  <c r="G374" i="4"/>
  <c r="F375" i="4" l="1"/>
  <c r="G375" i="4"/>
  <c r="B376" i="4"/>
  <c r="C375" i="4"/>
  <c r="D375" i="4"/>
  <c r="E375" i="4"/>
  <c r="G376" i="4" l="1"/>
  <c r="B377" i="4"/>
  <c r="C376" i="4"/>
  <c r="D376" i="4"/>
  <c r="E376" i="4"/>
  <c r="F376" i="4"/>
  <c r="C377" i="4" l="1"/>
  <c r="D377" i="4"/>
  <c r="E377" i="4"/>
  <c r="F377" i="4"/>
  <c r="G377" i="4"/>
  <c r="B378" i="4"/>
  <c r="B379" i="4" l="1"/>
  <c r="C378" i="4"/>
  <c r="D378" i="4"/>
  <c r="E378" i="4"/>
  <c r="F378" i="4"/>
  <c r="G378" i="4"/>
  <c r="E379" i="4" l="1"/>
  <c r="F379" i="4"/>
  <c r="G379" i="4"/>
  <c r="B380" i="4"/>
  <c r="C379" i="4"/>
  <c r="D379" i="4"/>
  <c r="C380" i="4" l="1"/>
  <c r="D380" i="4"/>
  <c r="E380" i="4"/>
  <c r="F380" i="4"/>
  <c r="G380" i="4"/>
  <c r="B381" i="4"/>
  <c r="C381" i="4" l="1"/>
  <c r="D381" i="4"/>
  <c r="E381" i="4"/>
  <c r="B382" i="4"/>
  <c r="F381" i="4"/>
  <c r="G381" i="4"/>
  <c r="C382" i="4" l="1"/>
  <c r="D382" i="4"/>
  <c r="E382" i="4"/>
  <c r="F382" i="4"/>
  <c r="B383" i="4"/>
  <c r="G382" i="4"/>
  <c r="C383" i="4" l="1"/>
  <c r="D383" i="4"/>
  <c r="E383" i="4"/>
  <c r="F383" i="4"/>
  <c r="G383" i="4"/>
  <c r="B384" i="4"/>
  <c r="G384" i="4" l="1"/>
  <c r="B385" i="4"/>
  <c r="C384" i="4"/>
  <c r="D384" i="4"/>
  <c r="E384" i="4"/>
  <c r="F384" i="4"/>
  <c r="C385" i="4" l="1"/>
  <c r="D385" i="4"/>
  <c r="E385" i="4"/>
  <c r="F385" i="4"/>
  <c r="G385" i="4"/>
  <c r="B386" i="4"/>
  <c r="D386" i="4" l="1"/>
  <c r="E386" i="4"/>
  <c r="F386" i="4"/>
  <c r="G386" i="4"/>
  <c r="B387" i="4"/>
  <c r="C386" i="4"/>
  <c r="E387" i="4" l="1"/>
  <c r="F387" i="4"/>
  <c r="G387" i="4"/>
  <c r="B388" i="4"/>
  <c r="C387" i="4"/>
  <c r="D387" i="4"/>
  <c r="C388" i="4" l="1"/>
  <c r="D388" i="4"/>
  <c r="E388" i="4"/>
  <c r="F388" i="4"/>
  <c r="G388" i="4"/>
  <c r="B389" i="4"/>
  <c r="F389" i="4" l="1"/>
  <c r="G389" i="4"/>
  <c r="B390" i="4"/>
  <c r="C389" i="4"/>
  <c r="D389" i="4"/>
  <c r="E389" i="4"/>
  <c r="C390" i="4" l="1"/>
  <c r="D390" i="4"/>
  <c r="E390" i="4"/>
  <c r="F390" i="4"/>
  <c r="G390" i="4"/>
  <c r="B391" i="4"/>
  <c r="C391" i="4" l="1"/>
  <c r="D391" i="4"/>
  <c r="E391" i="4"/>
  <c r="G391" i="4"/>
  <c r="B392" i="4"/>
  <c r="F391" i="4"/>
  <c r="G392" i="4" l="1"/>
  <c r="B393" i="4"/>
  <c r="C392" i="4"/>
  <c r="D392" i="4"/>
  <c r="E392" i="4"/>
  <c r="F392" i="4"/>
  <c r="C393" i="4" l="1"/>
  <c r="D393" i="4"/>
  <c r="F393" i="4"/>
  <c r="G393" i="4"/>
  <c r="B394" i="4"/>
  <c r="E393" i="4"/>
  <c r="C394" i="4" l="1"/>
  <c r="D394" i="4"/>
  <c r="E394" i="4"/>
  <c r="F394" i="4"/>
  <c r="G394" i="4"/>
  <c r="B395" i="4"/>
  <c r="E395" i="4" l="1"/>
  <c r="F395" i="4"/>
  <c r="G395" i="4"/>
  <c r="B396" i="4"/>
  <c r="C395" i="4"/>
  <c r="D395" i="4"/>
  <c r="B397" i="4" l="1"/>
  <c r="C396" i="4"/>
  <c r="D396" i="4"/>
  <c r="E396" i="4"/>
  <c r="F396" i="4"/>
  <c r="G396" i="4"/>
  <c r="C397" i="4" l="1"/>
  <c r="D397" i="4"/>
  <c r="E397" i="4"/>
  <c r="F397" i="4"/>
  <c r="G397" i="4"/>
  <c r="B398" i="4"/>
  <c r="C398" i="4" l="1"/>
  <c r="D398" i="4"/>
  <c r="E398" i="4"/>
  <c r="F398" i="4"/>
  <c r="G398" i="4"/>
  <c r="B399" i="4"/>
  <c r="C399" i="4" l="1"/>
  <c r="D399" i="4"/>
  <c r="E399" i="4"/>
  <c r="F399" i="4"/>
  <c r="G399" i="4"/>
  <c r="B400" i="4"/>
  <c r="G400" i="4" l="1"/>
  <c r="B401" i="4"/>
  <c r="D400" i="4"/>
  <c r="E400" i="4"/>
  <c r="F400" i="4"/>
  <c r="C400" i="4"/>
  <c r="C401" i="4" l="1"/>
  <c r="D401" i="4"/>
  <c r="E401" i="4"/>
  <c r="F401" i="4"/>
  <c r="G401" i="4"/>
  <c r="B402" i="4"/>
  <c r="C402" i="4" l="1"/>
  <c r="D402" i="4"/>
  <c r="E402" i="4"/>
  <c r="F402" i="4"/>
  <c r="G402" i="4"/>
  <c r="B403" i="4"/>
  <c r="E403" i="4" l="1"/>
  <c r="F403" i="4"/>
  <c r="G403" i="4"/>
  <c r="B404" i="4"/>
  <c r="C403" i="4"/>
  <c r="D403" i="4"/>
  <c r="D404" i="4" l="1"/>
  <c r="E404" i="4"/>
  <c r="F404" i="4"/>
  <c r="G404" i="4"/>
  <c r="B405" i="4"/>
  <c r="C404" i="4"/>
  <c r="C405" i="4" l="1"/>
  <c r="D405" i="4"/>
  <c r="E405" i="4"/>
  <c r="G405" i="4"/>
  <c r="B406" i="4"/>
  <c r="F405" i="4"/>
  <c r="C406" i="4" l="1"/>
  <c r="D406" i="4"/>
  <c r="E406" i="4"/>
  <c r="F406" i="4"/>
  <c r="G406" i="4"/>
  <c r="B407" i="4"/>
  <c r="F407" i="4" l="1"/>
  <c r="G407" i="4"/>
  <c r="B408" i="4"/>
  <c r="C407" i="4"/>
  <c r="D407" i="4"/>
  <c r="E407" i="4"/>
  <c r="G408" i="4" l="1"/>
  <c r="B409" i="4"/>
  <c r="C408" i="4"/>
  <c r="D408" i="4"/>
  <c r="E408" i="4"/>
  <c r="F408" i="4"/>
  <c r="C409" i="4" l="1"/>
  <c r="D409" i="4"/>
  <c r="E409" i="4"/>
  <c r="F409" i="4"/>
  <c r="G409" i="4"/>
  <c r="B410" i="4"/>
  <c r="B411" i="4" l="1"/>
  <c r="C410" i="4"/>
  <c r="D410" i="4"/>
  <c r="F410" i="4"/>
  <c r="G410" i="4"/>
  <c r="E410" i="4"/>
  <c r="F411" i="4" l="1"/>
  <c r="C411" i="4"/>
  <c r="D411" i="4"/>
  <c r="E411" i="4"/>
  <c r="G411" i="4"/>
  <c r="B412" i="4"/>
  <c r="D412" i="4" l="1"/>
  <c r="C412" i="4"/>
  <c r="E412" i="4"/>
  <c r="F412" i="4"/>
  <c r="G412" i="4"/>
  <c r="B413" i="4"/>
  <c r="G413" i="4" l="1"/>
  <c r="B414" i="4"/>
  <c r="C413" i="4"/>
  <c r="D413" i="4"/>
  <c r="E413" i="4"/>
  <c r="F413" i="4"/>
  <c r="C414" i="4" l="1"/>
  <c r="D414" i="4"/>
  <c r="E414" i="4"/>
  <c r="F414" i="4"/>
  <c r="B415" i="4"/>
  <c r="G414" i="4"/>
  <c r="C415" i="4" l="1"/>
  <c r="D415" i="4"/>
  <c r="E415" i="4"/>
  <c r="F415" i="4"/>
  <c r="G415" i="4"/>
  <c r="B416" i="4"/>
  <c r="E416" i="4" l="1"/>
  <c r="F416" i="4"/>
  <c r="G416" i="4"/>
  <c r="B417" i="4"/>
  <c r="C416" i="4"/>
  <c r="D416" i="4"/>
  <c r="C417" i="4" l="1"/>
  <c r="D417" i="4"/>
  <c r="F417" i="4"/>
  <c r="E417" i="4"/>
  <c r="G417" i="4"/>
  <c r="B418" i="4"/>
  <c r="C418" i="4" l="1"/>
  <c r="D418" i="4"/>
  <c r="E418" i="4"/>
  <c r="F418" i="4"/>
  <c r="G418" i="4"/>
  <c r="B419" i="4"/>
  <c r="C419" i="4" l="1"/>
  <c r="D419" i="4"/>
  <c r="E419" i="4"/>
  <c r="F419" i="4"/>
  <c r="G419" i="4"/>
  <c r="B420" i="4"/>
  <c r="B421" i="4" l="1"/>
  <c r="C420" i="4"/>
  <c r="D420" i="4"/>
  <c r="E420" i="4"/>
  <c r="F420" i="4"/>
  <c r="G420" i="4"/>
  <c r="G421" i="4" l="1"/>
  <c r="B422" i="4"/>
  <c r="C421" i="4"/>
  <c r="D421" i="4"/>
  <c r="E421" i="4"/>
  <c r="F421" i="4"/>
  <c r="C422" i="4" l="1"/>
  <c r="D422" i="4"/>
  <c r="E422" i="4"/>
  <c r="F422" i="4"/>
  <c r="G422" i="4"/>
  <c r="B423" i="4"/>
  <c r="C423" i="4" l="1"/>
  <c r="D423" i="4"/>
  <c r="E423" i="4"/>
  <c r="F423" i="4"/>
  <c r="G423" i="4"/>
  <c r="B424" i="4"/>
  <c r="E424" i="4" l="1"/>
  <c r="F424" i="4"/>
  <c r="G424" i="4"/>
  <c r="B425" i="4"/>
  <c r="C424" i="4"/>
  <c r="D424" i="4"/>
  <c r="C425" i="4" l="1"/>
  <c r="D425" i="4"/>
  <c r="F425" i="4"/>
  <c r="G425" i="4"/>
  <c r="B426" i="4"/>
  <c r="E425" i="4"/>
  <c r="C426" i="4" l="1"/>
  <c r="D426" i="4"/>
  <c r="E426" i="4"/>
  <c r="F426" i="4"/>
  <c r="G426" i="4"/>
  <c r="B427" i="4"/>
  <c r="C427" i="4" l="1"/>
  <c r="D427" i="4"/>
  <c r="E427" i="4"/>
  <c r="F427" i="4"/>
  <c r="G427" i="4"/>
  <c r="B428" i="4"/>
  <c r="C428" i="4" l="1"/>
  <c r="D428" i="4"/>
  <c r="E428" i="4"/>
  <c r="F428" i="4"/>
  <c r="G428" i="4"/>
  <c r="B429" i="4"/>
  <c r="G429" i="4" l="1"/>
  <c r="B430" i="4"/>
  <c r="D429" i="4"/>
  <c r="E429" i="4"/>
  <c r="F429" i="4"/>
  <c r="C429" i="4"/>
  <c r="C430" i="4" l="1"/>
  <c r="D430" i="4"/>
  <c r="E430" i="4"/>
  <c r="F430" i="4"/>
  <c r="G430" i="4"/>
  <c r="B431" i="4"/>
  <c r="C431" i="4" l="1"/>
  <c r="D431" i="4"/>
  <c r="E431" i="4"/>
  <c r="F431" i="4"/>
  <c r="G431" i="4"/>
  <c r="B432" i="4"/>
  <c r="E432" i="4" l="1"/>
  <c r="F432" i="4"/>
  <c r="G432" i="4"/>
  <c r="B433" i="4"/>
  <c r="C432" i="4"/>
  <c r="D432" i="4"/>
  <c r="C433" i="4" l="1"/>
  <c r="D433" i="4"/>
  <c r="B434" i="4"/>
  <c r="G433" i="4"/>
  <c r="F433" i="4"/>
  <c r="E433" i="4"/>
  <c r="C434" i="4" l="1"/>
  <c r="D434" i="4"/>
  <c r="E434" i="4"/>
  <c r="F434" i="4"/>
  <c r="G434" i="4"/>
  <c r="B435" i="4"/>
  <c r="C435" i="4" l="1"/>
  <c r="D435" i="4"/>
  <c r="E435" i="4"/>
  <c r="F435" i="4"/>
  <c r="G435" i="4"/>
  <c r="B436" i="4"/>
  <c r="C436" i="4" l="1"/>
  <c r="D436" i="4"/>
  <c r="E436" i="4"/>
  <c r="F436" i="4"/>
  <c r="G436" i="4"/>
  <c r="B437" i="4"/>
  <c r="G437" i="4" l="1"/>
  <c r="B438" i="4"/>
  <c r="F437" i="4"/>
  <c r="C437" i="4"/>
  <c r="D437" i="4"/>
  <c r="E437" i="4"/>
  <c r="C438" i="4" l="1"/>
  <c r="D438" i="4"/>
  <c r="E438" i="4"/>
  <c r="F438" i="4"/>
  <c r="G438" i="4"/>
  <c r="B439" i="4"/>
  <c r="C439" i="4" l="1"/>
  <c r="D439" i="4"/>
  <c r="E439" i="4"/>
  <c r="F439" i="4"/>
  <c r="G439" i="4"/>
  <c r="B440" i="4"/>
  <c r="E440" i="4" l="1"/>
  <c r="F440" i="4"/>
  <c r="G440" i="4"/>
  <c r="B441" i="4"/>
  <c r="C440" i="4"/>
  <c r="D440" i="4"/>
  <c r="C441" i="4" l="1"/>
  <c r="D441" i="4"/>
  <c r="E441" i="4"/>
  <c r="F441" i="4"/>
  <c r="G441" i="4"/>
  <c r="B442" i="4"/>
  <c r="D442" i="4" l="1"/>
  <c r="E442" i="4"/>
  <c r="F442" i="4"/>
  <c r="G442" i="4"/>
  <c r="B443" i="4"/>
  <c r="C442" i="4"/>
  <c r="C443" i="4" l="1"/>
  <c r="D443" i="4"/>
  <c r="E443" i="4"/>
  <c r="F443" i="4"/>
  <c r="G443" i="4"/>
  <c r="B444" i="4"/>
  <c r="C444" i="4" l="1"/>
  <c r="D444" i="4"/>
  <c r="E444" i="4"/>
  <c r="F444" i="4"/>
  <c r="G444" i="4"/>
  <c r="B445" i="4"/>
  <c r="G445" i="4" l="1"/>
  <c r="B446" i="4"/>
  <c r="C445" i="4"/>
  <c r="D445" i="4"/>
  <c r="E445" i="4"/>
  <c r="F445" i="4"/>
  <c r="C446" i="4" l="1"/>
  <c r="D446" i="4"/>
  <c r="E446" i="4"/>
  <c r="F446" i="4"/>
  <c r="B447" i="4"/>
  <c r="G446" i="4"/>
  <c r="C447" i="4" l="1"/>
  <c r="D447" i="4"/>
  <c r="E447" i="4"/>
  <c r="F447" i="4"/>
  <c r="G447" i="4"/>
  <c r="B448" i="4"/>
  <c r="E448" i="4" l="1"/>
  <c r="F448" i="4"/>
  <c r="G448" i="4"/>
  <c r="B449" i="4"/>
  <c r="C448" i="4"/>
  <c r="D448" i="4"/>
  <c r="C449" i="4" l="1"/>
  <c r="D449" i="4"/>
  <c r="E449" i="4"/>
  <c r="F449" i="4"/>
  <c r="G449" i="4"/>
  <c r="B450" i="4"/>
  <c r="F450" i="4" l="1"/>
  <c r="G450" i="4"/>
  <c r="B451" i="4"/>
  <c r="C450" i="4"/>
  <c r="D450" i="4"/>
  <c r="E450" i="4"/>
  <c r="C451" i="4" l="1"/>
  <c r="D451" i="4"/>
  <c r="E451" i="4"/>
  <c r="F451" i="4"/>
  <c r="G451" i="4"/>
  <c r="B452" i="4"/>
  <c r="C452" i="4" l="1"/>
  <c r="D452" i="4"/>
  <c r="E452" i="4"/>
  <c r="F452" i="4"/>
  <c r="G452" i="4"/>
  <c r="B453" i="4"/>
  <c r="G453" i="4" l="1"/>
  <c r="B454" i="4"/>
  <c r="C453" i="4"/>
  <c r="D453" i="4"/>
  <c r="E453" i="4"/>
  <c r="F453" i="4"/>
  <c r="C454" i="4" l="1"/>
  <c r="D454" i="4"/>
  <c r="E454" i="4"/>
  <c r="B455" i="4"/>
  <c r="G454" i="4"/>
  <c r="F454" i="4"/>
  <c r="C455" i="4" l="1"/>
  <c r="D455" i="4"/>
  <c r="E455" i="4"/>
  <c r="F455" i="4"/>
  <c r="G455" i="4"/>
  <c r="B456" i="4"/>
  <c r="E456" i="4" l="1"/>
  <c r="F456" i="4"/>
  <c r="G456" i="4"/>
  <c r="B457" i="4"/>
  <c r="C456" i="4"/>
  <c r="D456" i="4"/>
  <c r="C457" i="4" l="1"/>
  <c r="D457" i="4"/>
  <c r="E457" i="4"/>
  <c r="F457" i="4"/>
  <c r="G457" i="4"/>
  <c r="B458" i="4"/>
  <c r="E458" i="4" l="1"/>
  <c r="F458" i="4"/>
  <c r="G458" i="4"/>
  <c r="B459" i="4"/>
  <c r="C458" i="4"/>
  <c r="D458" i="4"/>
  <c r="C459" i="4" l="1"/>
  <c r="D459" i="4"/>
  <c r="E459" i="4"/>
  <c r="F459" i="4"/>
  <c r="G459" i="4"/>
  <c r="B460" i="4"/>
  <c r="C460" i="4" l="1"/>
  <c r="D460" i="4"/>
  <c r="E460" i="4"/>
  <c r="F460" i="4"/>
  <c r="G460" i="4"/>
  <c r="B461" i="4"/>
  <c r="G461" i="4" l="1"/>
  <c r="B462" i="4"/>
  <c r="C461" i="4"/>
  <c r="D461" i="4"/>
  <c r="E461" i="4"/>
  <c r="F461" i="4"/>
  <c r="C462" i="4" l="1"/>
  <c r="E462" i="4"/>
  <c r="F462" i="4"/>
  <c r="G462" i="4"/>
  <c r="B463" i="4"/>
  <c r="D462" i="4"/>
  <c r="C463" i="4" l="1"/>
  <c r="D463" i="4"/>
  <c r="E463" i="4"/>
  <c r="F463" i="4"/>
  <c r="G463" i="4"/>
  <c r="B464" i="4"/>
  <c r="E464" i="4" l="1"/>
  <c r="F464" i="4"/>
  <c r="G464" i="4"/>
  <c r="C464" i="4"/>
  <c r="D464" i="4"/>
  <c r="B465" i="4"/>
  <c r="F465" i="4" l="1"/>
  <c r="G465" i="4"/>
  <c r="B466" i="4"/>
  <c r="C465" i="4"/>
  <c r="D465" i="4"/>
  <c r="E465" i="4"/>
  <c r="C466" i="4" l="1"/>
  <c r="D466" i="4"/>
  <c r="E466" i="4"/>
  <c r="F466" i="4"/>
  <c r="G466" i="4"/>
  <c r="B467" i="4"/>
  <c r="C467" i="4" l="1"/>
  <c r="D467" i="4"/>
  <c r="E467" i="4"/>
  <c r="F467" i="4"/>
  <c r="G467" i="4"/>
  <c r="B468" i="4"/>
  <c r="G468" i="4" l="1"/>
  <c r="B469" i="4"/>
  <c r="C468" i="4"/>
  <c r="D468" i="4"/>
  <c r="E468" i="4"/>
  <c r="F468" i="4"/>
  <c r="G469" i="4" l="1"/>
  <c r="B470" i="4"/>
  <c r="C469" i="4"/>
  <c r="D469" i="4"/>
  <c r="E469" i="4"/>
  <c r="F469" i="4"/>
  <c r="C470" i="4" l="1"/>
  <c r="D470" i="4"/>
  <c r="E470" i="4"/>
  <c r="F470" i="4"/>
  <c r="G470" i="4"/>
  <c r="B471" i="4"/>
  <c r="B472" i="4" l="1"/>
  <c r="C471" i="4"/>
  <c r="E471" i="4"/>
  <c r="F471" i="4"/>
  <c r="G471" i="4"/>
  <c r="D471" i="4"/>
  <c r="E472" i="4" l="1"/>
  <c r="F472" i="4"/>
  <c r="G472" i="4"/>
  <c r="C472" i="4"/>
  <c r="D472" i="4"/>
  <c r="B473" i="4"/>
  <c r="C473" i="4" l="1"/>
  <c r="D473" i="4"/>
  <c r="E473" i="4"/>
  <c r="F473" i="4"/>
  <c r="G473" i="4"/>
  <c r="B474" i="4"/>
  <c r="C474" i="4" l="1"/>
  <c r="D474" i="4"/>
  <c r="E474" i="4"/>
  <c r="F474" i="4"/>
  <c r="G474" i="4"/>
  <c r="B475" i="4"/>
  <c r="C475" i="4" l="1"/>
  <c r="D475" i="4"/>
  <c r="E475" i="4"/>
  <c r="F475" i="4"/>
  <c r="G475" i="4"/>
  <c r="B476" i="4"/>
  <c r="C476" i="4" l="1"/>
  <c r="D476" i="4"/>
  <c r="E476" i="4"/>
  <c r="F476" i="4"/>
  <c r="G476" i="4"/>
  <c r="B477" i="4"/>
  <c r="G477" i="4" l="1"/>
  <c r="B478" i="4"/>
  <c r="C477" i="4"/>
  <c r="D477" i="4"/>
  <c r="E477" i="4"/>
  <c r="F477" i="4"/>
  <c r="C478" i="4" l="1"/>
  <c r="G478" i="4"/>
  <c r="B479" i="4"/>
  <c r="D478" i="4"/>
  <c r="E478" i="4"/>
  <c r="F478" i="4"/>
  <c r="C479" i="4" l="1"/>
  <c r="D479" i="4"/>
  <c r="E479" i="4"/>
  <c r="F479" i="4"/>
  <c r="G479" i="4"/>
  <c r="B480" i="4"/>
  <c r="E480" i="4" l="1"/>
  <c r="F480" i="4"/>
  <c r="G480" i="4"/>
  <c r="C480" i="4"/>
  <c r="D480" i="4"/>
  <c r="B481" i="4"/>
  <c r="B482" i="4" l="1"/>
  <c r="G481" i="4"/>
  <c r="C481" i="4"/>
  <c r="D481" i="4"/>
  <c r="E481" i="4"/>
  <c r="F481" i="4"/>
  <c r="C482" i="4" l="1"/>
  <c r="D482" i="4"/>
  <c r="E482" i="4"/>
  <c r="F482" i="4"/>
  <c r="G482" i="4"/>
  <c r="B483" i="4"/>
  <c r="C483" i="4" l="1"/>
  <c r="D483" i="4"/>
  <c r="E483" i="4"/>
  <c r="F483" i="4"/>
  <c r="G483" i="4"/>
  <c r="B484" i="4"/>
  <c r="C484" i="4" l="1"/>
  <c r="D484" i="4"/>
  <c r="E484" i="4"/>
  <c r="F484" i="4"/>
  <c r="G484" i="4"/>
  <c r="B485" i="4"/>
  <c r="G485" i="4" l="1"/>
  <c r="B486" i="4"/>
  <c r="C485" i="4"/>
  <c r="D485" i="4"/>
  <c r="E485" i="4"/>
  <c r="F485" i="4"/>
  <c r="C486" i="4" l="1"/>
  <c r="D486" i="4"/>
  <c r="E486" i="4"/>
  <c r="F486" i="4"/>
  <c r="G486" i="4"/>
  <c r="B487" i="4"/>
  <c r="C487" i="4" l="1"/>
  <c r="D487" i="4"/>
  <c r="E487" i="4"/>
  <c r="F487" i="4"/>
  <c r="G487" i="4"/>
  <c r="B488" i="4"/>
  <c r="E488" i="4" l="1"/>
  <c r="F488" i="4"/>
  <c r="G488" i="4"/>
  <c r="D488" i="4"/>
  <c r="B489" i="4"/>
  <c r="C488" i="4"/>
  <c r="C489" i="4" l="1"/>
  <c r="D489" i="4"/>
  <c r="E489" i="4"/>
  <c r="F489" i="4"/>
  <c r="G489" i="4"/>
  <c r="B490" i="4"/>
  <c r="C490" i="4" l="1"/>
  <c r="D490" i="4"/>
  <c r="E490" i="4"/>
  <c r="F490" i="4"/>
  <c r="G490" i="4"/>
  <c r="B491" i="4"/>
  <c r="C491" i="4" l="1"/>
  <c r="D491" i="4"/>
  <c r="E491" i="4"/>
  <c r="B492" i="4"/>
  <c r="F491" i="4"/>
  <c r="G491" i="4"/>
  <c r="C492" i="4" l="1"/>
  <c r="D492" i="4"/>
  <c r="E492" i="4"/>
  <c r="F492" i="4"/>
  <c r="G492" i="4"/>
  <c r="B493" i="4"/>
  <c r="G493" i="4" l="1"/>
  <c r="B494" i="4"/>
  <c r="C493" i="4"/>
  <c r="D493" i="4"/>
  <c r="E493" i="4"/>
  <c r="F493" i="4"/>
  <c r="C494" i="4" l="1"/>
  <c r="D494" i="4"/>
  <c r="E494" i="4"/>
  <c r="F494" i="4"/>
  <c r="G494" i="4"/>
  <c r="B495" i="4"/>
  <c r="C495" i="4" l="1"/>
  <c r="D495" i="4"/>
  <c r="E495" i="4"/>
  <c r="F495" i="4"/>
  <c r="G495" i="4"/>
  <c r="B496" i="4"/>
  <c r="E496" i="4" l="1"/>
  <c r="F496" i="4"/>
  <c r="G496" i="4"/>
  <c r="C496" i="4"/>
  <c r="D496" i="4"/>
  <c r="B497" i="4"/>
  <c r="C497" i="4" l="1"/>
  <c r="D497" i="4"/>
  <c r="E497" i="4"/>
  <c r="F497" i="4"/>
  <c r="G497" i="4"/>
  <c r="B498" i="4"/>
  <c r="D498" i="4" l="1"/>
  <c r="E498" i="4"/>
  <c r="F498" i="4"/>
  <c r="G498" i="4"/>
  <c r="B499" i="4"/>
  <c r="C498" i="4"/>
  <c r="C499" i="4" l="1"/>
  <c r="D499" i="4"/>
  <c r="E499" i="4"/>
  <c r="F499" i="4"/>
  <c r="G499" i="4"/>
  <c r="B500" i="4"/>
  <c r="C500" i="4" l="1"/>
  <c r="D500" i="4"/>
  <c r="E500" i="4"/>
  <c r="F500" i="4"/>
  <c r="G500" i="4"/>
  <c r="B501" i="4"/>
  <c r="G501" i="4" l="1"/>
  <c r="B502" i="4"/>
  <c r="E501" i="4"/>
  <c r="F501" i="4"/>
  <c r="C501" i="4"/>
  <c r="D501" i="4"/>
  <c r="C502" i="4" l="1"/>
  <c r="D502" i="4"/>
  <c r="E502" i="4"/>
  <c r="F502" i="4"/>
  <c r="G502" i="4"/>
  <c r="B503" i="4"/>
  <c r="C503" i="4" l="1"/>
  <c r="D503" i="4"/>
  <c r="E503" i="4"/>
  <c r="F503" i="4"/>
  <c r="B504" i="4"/>
  <c r="G503" i="4"/>
  <c r="E504" i="4" l="1"/>
  <c r="F504" i="4"/>
  <c r="G504" i="4"/>
  <c r="C504" i="4"/>
  <c r="D504" i="4"/>
  <c r="B505" i="4"/>
  <c r="C505" i="4" l="1"/>
  <c r="D505" i="4"/>
  <c r="E505" i="4"/>
  <c r="F505" i="4"/>
  <c r="G505" i="4"/>
  <c r="B506" i="4"/>
  <c r="C506" i="4" l="1"/>
  <c r="D506" i="4"/>
  <c r="E506" i="4"/>
  <c r="F506" i="4"/>
  <c r="G506" i="4"/>
  <c r="B507" i="4"/>
  <c r="C507" i="4" l="1"/>
  <c r="D507" i="4"/>
  <c r="E507" i="4"/>
  <c r="F507" i="4"/>
  <c r="G507" i="4"/>
  <c r="B508" i="4"/>
  <c r="C508" i="4" l="1"/>
  <c r="D508" i="4"/>
  <c r="E508" i="4"/>
  <c r="F508" i="4"/>
  <c r="G508" i="4"/>
  <c r="B509" i="4"/>
  <c r="G509" i="4" l="1"/>
  <c r="B510" i="4"/>
  <c r="C509" i="4"/>
  <c r="D509" i="4"/>
  <c r="E509" i="4"/>
  <c r="F509" i="4"/>
  <c r="C510" i="4" l="1"/>
  <c r="D510" i="4"/>
  <c r="E510" i="4"/>
  <c r="F510" i="4"/>
  <c r="G510" i="4"/>
  <c r="B511" i="4"/>
  <c r="C511" i="4" l="1"/>
  <c r="D511" i="4"/>
  <c r="E511" i="4"/>
  <c r="F511" i="4"/>
  <c r="G511" i="4"/>
  <c r="B512" i="4"/>
  <c r="E512" i="4" l="1"/>
  <c r="F512" i="4"/>
  <c r="C512" i="4"/>
  <c r="D512" i="4"/>
  <c r="G512" i="4"/>
  <c r="B513" i="4"/>
  <c r="C513" i="4" l="1"/>
  <c r="F513" i="4"/>
  <c r="G513" i="4"/>
  <c r="B514" i="4"/>
  <c r="D513" i="4"/>
  <c r="E513" i="4"/>
  <c r="C514" i="4" l="1"/>
  <c r="D514" i="4"/>
  <c r="E514" i="4"/>
  <c r="F514" i="4"/>
  <c r="G514" i="4"/>
  <c r="B515" i="4"/>
  <c r="C515" i="4" l="1"/>
  <c r="D515" i="4"/>
  <c r="E515" i="4"/>
  <c r="F515" i="4"/>
  <c r="G515" i="4"/>
  <c r="B516" i="4"/>
  <c r="B517" i="4" l="1"/>
  <c r="C516" i="4"/>
  <c r="D516" i="4"/>
  <c r="E516" i="4"/>
  <c r="F516" i="4"/>
  <c r="G516" i="4"/>
  <c r="G517" i="4" l="1"/>
  <c r="C517" i="4"/>
  <c r="D517" i="4"/>
  <c r="E517" i="4"/>
  <c r="F517" i="4"/>
  <c r="B518" i="4"/>
  <c r="C518" i="4" l="1"/>
  <c r="D518" i="4"/>
  <c r="E518" i="4"/>
  <c r="F518" i="4"/>
  <c r="G518" i="4"/>
  <c r="B519" i="4"/>
  <c r="G519" i="4" l="1"/>
  <c r="B520" i="4"/>
  <c r="C519" i="4"/>
  <c r="D519" i="4"/>
  <c r="E519" i="4"/>
  <c r="F519" i="4"/>
  <c r="E520" i="4" l="1"/>
  <c r="C520" i="4"/>
  <c r="D520" i="4"/>
  <c r="F520" i="4"/>
  <c r="G520" i="4"/>
  <c r="B521" i="4"/>
  <c r="C521" i="4" l="1"/>
  <c r="D521" i="4"/>
  <c r="E521" i="4"/>
  <c r="G521" i="4"/>
  <c r="B522" i="4"/>
  <c r="F521" i="4"/>
  <c r="F522" i="4" l="1"/>
  <c r="G522" i="4"/>
  <c r="B523" i="4"/>
  <c r="C522" i="4"/>
  <c r="D522" i="4"/>
  <c r="E522" i="4"/>
  <c r="C523" i="4" l="1"/>
  <c r="D523" i="4"/>
  <c r="E523" i="4"/>
  <c r="F523" i="4"/>
  <c r="G523" i="4"/>
  <c r="B524" i="4"/>
  <c r="C524" i="4" l="1"/>
  <c r="D524" i="4"/>
  <c r="E524" i="4"/>
  <c r="F524" i="4"/>
  <c r="G524" i="4"/>
  <c r="B525" i="4"/>
  <c r="E525" i="4" l="1"/>
  <c r="F525" i="4"/>
  <c r="G525" i="4"/>
  <c r="B526" i="4"/>
  <c r="C525" i="4"/>
  <c r="D525" i="4"/>
  <c r="C526" i="4" l="1"/>
  <c r="D526" i="4"/>
  <c r="E526" i="4"/>
  <c r="F526" i="4"/>
  <c r="G526" i="4"/>
  <c r="B527" i="4"/>
  <c r="B528" i="4" l="1"/>
  <c r="C527" i="4"/>
  <c r="D527" i="4"/>
  <c r="E527" i="4"/>
  <c r="F527" i="4"/>
  <c r="G527" i="4"/>
  <c r="C528" i="4" l="1"/>
  <c r="D528" i="4"/>
  <c r="E528" i="4"/>
  <c r="F528" i="4"/>
  <c r="G528" i="4"/>
  <c r="B529" i="4"/>
  <c r="C529" i="4" l="1"/>
  <c r="D529" i="4"/>
  <c r="E529" i="4"/>
  <c r="F529" i="4"/>
  <c r="G529" i="4"/>
  <c r="B530" i="4"/>
  <c r="G530" i="4" l="1"/>
  <c r="B531" i="4"/>
  <c r="C530" i="4"/>
  <c r="D530" i="4"/>
  <c r="E530" i="4"/>
  <c r="F530" i="4"/>
  <c r="C531" i="4" l="1"/>
  <c r="D531" i="4"/>
  <c r="E531" i="4"/>
  <c r="F531" i="4"/>
  <c r="G531" i="4"/>
  <c r="B532" i="4"/>
  <c r="C532" i="4" l="1"/>
  <c r="D532" i="4"/>
  <c r="E532" i="4"/>
  <c r="F532" i="4"/>
  <c r="G532" i="4"/>
  <c r="B533" i="4"/>
  <c r="E533" i="4" l="1"/>
  <c r="F533" i="4"/>
  <c r="G533" i="4"/>
  <c r="B534" i="4"/>
  <c r="C533" i="4"/>
  <c r="D533" i="4"/>
  <c r="C534" i="4" l="1"/>
  <c r="D534" i="4"/>
  <c r="E534" i="4"/>
  <c r="F534" i="4"/>
  <c r="G534" i="4"/>
  <c r="B535" i="4"/>
  <c r="F535" i="4" l="1"/>
  <c r="G535" i="4"/>
  <c r="B536" i="4"/>
  <c r="D535" i="4"/>
  <c r="C535" i="4"/>
  <c r="E535" i="4"/>
  <c r="C536" i="4" l="1"/>
  <c r="D536" i="4"/>
  <c r="E536" i="4"/>
  <c r="F536" i="4"/>
  <c r="G536" i="4"/>
  <c r="B537" i="4"/>
  <c r="C537" i="4" l="1"/>
  <c r="D537" i="4"/>
  <c r="E537" i="4"/>
  <c r="F537" i="4"/>
  <c r="G537" i="4"/>
  <c r="B538" i="4"/>
  <c r="G538" i="4" l="1"/>
  <c r="B539" i="4"/>
  <c r="C538" i="4"/>
  <c r="D538" i="4"/>
  <c r="E538" i="4"/>
  <c r="F538" i="4"/>
  <c r="C539" i="4" l="1"/>
  <c r="D539" i="4"/>
  <c r="E539" i="4"/>
  <c r="F539" i="4"/>
  <c r="G539" i="4"/>
  <c r="B540" i="4"/>
  <c r="C540" i="4" l="1"/>
  <c r="D540" i="4"/>
  <c r="E540" i="4"/>
  <c r="F540" i="4"/>
  <c r="G540" i="4"/>
  <c r="B541" i="4"/>
  <c r="E541" i="4" l="1"/>
  <c r="F541" i="4"/>
  <c r="G541" i="4"/>
  <c r="B542" i="4"/>
  <c r="D541" i="4"/>
  <c r="C541" i="4"/>
  <c r="C542" i="4" l="1"/>
  <c r="D542" i="4"/>
  <c r="E542" i="4"/>
  <c r="F542" i="4"/>
  <c r="G542" i="4"/>
  <c r="B543" i="4"/>
  <c r="D543" i="4" l="1"/>
  <c r="E543" i="4"/>
  <c r="F543" i="4"/>
  <c r="G543" i="4"/>
  <c r="B544" i="4"/>
  <c r="C543" i="4"/>
  <c r="C544" i="4" l="1"/>
  <c r="D544" i="4"/>
  <c r="E544" i="4"/>
  <c r="F544" i="4"/>
  <c r="G544" i="4"/>
  <c r="B545" i="4"/>
  <c r="C545" i="4" l="1"/>
  <c r="D545" i="4"/>
  <c r="E545" i="4"/>
  <c r="F545" i="4"/>
  <c r="G545" i="4"/>
  <c r="B546" i="4"/>
  <c r="G546" i="4" l="1"/>
  <c r="B547" i="4"/>
  <c r="C546" i="4"/>
  <c r="D546" i="4"/>
  <c r="E546" i="4"/>
  <c r="F546" i="4"/>
  <c r="C547" i="4" l="1"/>
  <c r="D547" i="4"/>
  <c r="E547" i="4"/>
  <c r="F547" i="4"/>
  <c r="G547" i="4"/>
  <c r="B548" i="4"/>
  <c r="F548" i="4" l="1"/>
  <c r="G548" i="4"/>
  <c r="B549" i="4"/>
  <c r="C548" i="4"/>
  <c r="D548" i="4"/>
  <c r="E548" i="4"/>
  <c r="E549" i="4" l="1"/>
  <c r="F549" i="4"/>
  <c r="G549" i="4"/>
  <c r="B550" i="4"/>
  <c r="C549" i="4"/>
  <c r="D549" i="4"/>
  <c r="C550" i="4" l="1"/>
  <c r="D550" i="4"/>
  <c r="E550" i="4"/>
  <c r="F550" i="4"/>
  <c r="G550" i="4"/>
  <c r="B551" i="4"/>
  <c r="C551" i="4" l="1"/>
  <c r="D551" i="4"/>
  <c r="E551" i="4"/>
  <c r="F551" i="4"/>
  <c r="G551" i="4"/>
  <c r="B552" i="4"/>
  <c r="C552" i="4" l="1"/>
  <c r="D552" i="4"/>
  <c r="E552" i="4"/>
  <c r="F552" i="4"/>
  <c r="G552" i="4"/>
  <c r="B553" i="4"/>
  <c r="C553" i="4" l="1"/>
  <c r="D553" i="4"/>
  <c r="B554" i="4"/>
  <c r="E553" i="4"/>
  <c r="F553" i="4"/>
  <c r="G553" i="4"/>
  <c r="G554" i="4" l="1"/>
  <c r="B555" i="4"/>
  <c r="C554" i="4"/>
  <c r="D554" i="4"/>
  <c r="E554" i="4"/>
  <c r="F554" i="4"/>
  <c r="C555" i="4" l="1"/>
  <c r="D555" i="4"/>
  <c r="E555" i="4"/>
  <c r="F555" i="4"/>
  <c r="G555" i="4"/>
  <c r="B556" i="4"/>
  <c r="C556" i="4" l="1"/>
  <c r="D556" i="4"/>
  <c r="E556" i="4"/>
  <c r="F556" i="4"/>
  <c r="G556" i="4"/>
  <c r="B557" i="4"/>
  <c r="E557" i="4" l="1"/>
  <c r="F557" i="4"/>
  <c r="G557" i="4"/>
  <c r="B558" i="4"/>
  <c r="C557" i="4"/>
  <c r="D557" i="4"/>
  <c r="C558" i="4" l="1"/>
  <c r="D558" i="4"/>
  <c r="E558" i="4"/>
  <c r="F558" i="4"/>
  <c r="G558" i="4"/>
  <c r="B559" i="4"/>
  <c r="D559" i="4" l="1"/>
  <c r="E559" i="4"/>
  <c r="F559" i="4"/>
  <c r="G559" i="4"/>
  <c r="B560" i="4"/>
  <c r="C559" i="4"/>
  <c r="C560" i="4" l="1"/>
  <c r="D560" i="4"/>
  <c r="E560" i="4"/>
  <c r="F560" i="4"/>
  <c r="G560" i="4"/>
  <c r="B561" i="4"/>
  <c r="C561" i="4" l="1"/>
  <c r="D561" i="4"/>
  <c r="E561" i="4"/>
  <c r="F561" i="4"/>
  <c r="G561" i="4"/>
  <c r="B562" i="4"/>
  <c r="G562" i="4" l="1"/>
  <c r="B563" i="4"/>
  <c r="C562" i="4"/>
  <c r="D562" i="4"/>
  <c r="E562" i="4"/>
  <c r="F562" i="4"/>
  <c r="C563" i="4" l="1"/>
  <c r="D563" i="4"/>
  <c r="E563" i="4"/>
  <c r="F563" i="4"/>
  <c r="G563" i="4"/>
  <c r="B564" i="4"/>
  <c r="D564" i="4" l="1"/>
  <c r="E564" i="4"/>
  <c r="F564" i="4"/>
  <c r="G564" i="4"/>
  <c r="B565" i="4"/>
  <c r="C564" i="4"/>
  <c r="E565" i="4" l="1"/>
  <c r="F565" i="4"/>
  <c r="G565" i="4"/>
  <c r="B566" i="4"/>
  <c r="C565" i="4"/>
  <c r="D565" i="4"/>
  <c r="C566" i="4" l="1"/>
  <c r="D566" i="4"/>
  <c r="E566" i="4"/>
  <c r="F566" i="4"/>
  <c r="G566" i="4"/>
  <c r="B567" i="4"/>
  <c r="G567" i="4" l="1"/>
  <c r="B568" i="4"/>
  <c r="C567" i="4"/>
  <c r="F567" i="4"/>
  <c r="D567" i="4"/>
  <c r="E567" i="4"/>
  <c r="C568" i="4" l="1"/>
  <c r="D568" i="4"/>
  <c r="E568" i="4"/>
  <c r="F568" i="4"/>
  <c r="G568" i="4"/>
  <c r="B569" i="4"/>
  <c r="C569" i="4" l="1"/>
  <c r="D569" i="4"/>
  <c r="E569" i="4"/>
  <c r="F569" i="4"/>
  <c r="G569" i="4"/>
  <c r="B570" i="4"/>
  <c r="G570" i="4" l="1"/>
  <c r="B571" i="4"/>
  <c r="C570" i="4"/>
  <c r="D570" i="4"/>
  <c r="E570" i="4"/>
  <c r="F570" i="4"/>
  <c r="C571" i="4" l="1"/>
  <c r="D571" i="4"/>
  <c r="E571" i="4"/>
  <c r="F571" i="4"/>
  <c r="G571" i="4"/>
  <c r="B572" i="4"/>
  <c r="C572" i="4" l="1"/>
  <c r="D572" i="4"/>
  <c r="E572" i="4"/>
  <c r="F572" i="4"/>
  <c r="G572" i="4"/>
  <c r="B573" i="4"/>
  <c r="E573" i="4" l="1"/>
  <c r="F573" i="4"/>
  <c r="G573" i="4"/>
  <c r="B574" i="4"/>
  <c r="C573" i="4"/>
  <c r="D573" i="4"/>
  <c r="C574" i="4" l="1"/>
  <c r="D574" i="4"/>
  <c r="E574" i="4"/>
  <c r="F574" i="4"/>
  <c r="G574" i="4"/>
  <c r="B575" i="4"/>
  <c r="F575" i="4" l="1"/>
  <c r="G575" i="4"/>
  <c r="B576" i="4"/>
  <c r="C575" i="4"/>
  <c r="D575" i="4"/>
  <c r="E575" i="4"/>
  <c r="C576" i="4" l="1"/>
  <c r="D576" i="4"/>
  <c r="E576" i="4"/>
  <c r="F576" i="4"/>
  <c r="G576" i="4"/>
  <c r="B577" i="4"/>
  <c r="C577" i="4" l="1"/>
  <c r="D577" i="4"/>
  <c r="E577" i="4"/>
  <c r="F577" i="4"/>
  <c r="G577" i="4"/>
  <c r="B578" i="4"/>
  <c r="G578" i="4" l="1"/>
  <c r="B579" i="4"/>
  <c r="C578" i="4"/>
  <c r="D578" i="4"/>
  <c r="E578" i="4"/>
  <c r="F578" i="4"/>
  <c r="C579" i="4" l="1"/>
  <c r="D579" i="4"/>
  <c r="E579" i="4"/>
  <c r="B580" i="4"/>
  <c r="F579" i="4"/>
  <c r="G579" i="4"/>
  <c r="C580" i="4" l="1"/>
  <c r="D580" i="4"/>
  <c r="E580" i="4"/>
  <c r="F580" i="4"/>
  <c r="G580" i="4"/>
  <c r="B581" i="4"/>
  <c r="E581" i="4" l="1"/>
  <c r="F581" i="4"/>
  <c r="G581" i="4"/>
  <c r="B582" i="4"/>
  <c r="C581" i="4"/>
  <c r="D581" i="4"/>
  <c r="C582" i="4" l="1"/>
  <c r="D582" i="4"/>
  <c r="E582" i="4"/>
  <c r="F582" i="4"/>
  <c r="G582" i="4"/>
  <c r="B583" i="4"/>
  <c r="E583" i="4" l="1"/>
  <c r="F583" i="4"/>
  <c r="G583" i="4"/>
  <c r="B584" i="4"/>
  <c r="C583" i="4"/>
  <c r="D583" i="4"/>
  <c r="C584" i="4" l="1"/>
  <c r="D584" i="4"/>
  <c r="E584" i="4"/>
  <c r="F584" i="4"/>
  <c r="G584" i="4"/>
  <c r="B585" i="4"/>
  <c r="C585" i="4" l="1"/>
  <c r="D585" i="4"/>
  <c r="E585" i="4"/>
  <c r="F585" i="4"/>
  <c r="G585" i="4"/>
  <c r="B586" i="4"/>
  <c r="G586" i="4" l="1"/>
  <c r="B587" i="4"/>
  <c r="C586" i="4"/>
  <c r="D586" i="4"/>
  <c r="E586" i="4"/>
  <c r="F586" i="4"/>
  <c r="C587" i="4" l="1"/>
  <c r="D587" i="4"/>
  <c r="E587" i="4"/>
  <c r="G587" i="4"/>
  <c r="B588" i="4"/>
  <c r="F587" i="4"/>
  <c r="C588" i="4" l="1"/>
  <c r="D588" i="4"/>
  <c r="E588" i="4"/>
  <c r="F588" i="4"/>
  <c r="G588" i="4"/>
  <c r="B589" i="4"/>
  <c r="E589" i="4" l="1"/>
  <c r="F589" i="4"/>
  <c r="G589" i="4"/>
  <c r="B590" i="4"/>
  <c r="C589" i="4"/>
  <c r="D589" i="4"/>
  <c r="C590" i="4" l="1"/>
  <c r="D590" i="4"/>
  <c r="E590" i="4"/>
  <c r="F590" i="4"/>
  <c r="G590" i="4"/>
  <c r="B591" i="4"/>
  <c r="D591" i="4" l="1"/>
  <c r="E591" i="4"/>
  <c r="F591" i="4"/>
  <c r="G591" i="4"/>
  <c r="B592" i="4"/>
  <c r="C591" i="4"/>
  <c r="C592" i="4" l="1"/>
  <c r="D592" i="4"/>
  <c r="E592" i="4"/>
  <c r="F592" i="4"/>
  <c r="G592" i="4"/>
  <c r="B593" i="4"/>
  <c r="C593" i="4" l="1"/>
  <c r="D593" i="4"/>
  <c r="E593" i="4"/>
  <c r="F593" i="4"/>
  <c r="G593" i="4"/>
  <c r="B594" i="4"/>
  <c r="G594" i="4" l="1"/>
  <c r="B595" i="4"/>
  <c r="C594" i="4"/>
  <c r="D594" i="4"/>
  <c r="E594" i="4"/>
  <c r="F594" i="4"/>
  <c r="C595" i="4" l="1"/>
  <c r="D595" i="4"/>
  <c r="E595" i="4"/>
  <c r="F595" i="4"/>
  <c r="G595" i="4"/>
  <c r="B596" i="4"/>
  <c r="C596" i="4" l="1"/>
  <c r="D596" i="4"/>
  <c r="E596" i="4"/>
  <c r="F596" i="4"/>
  <c r="G596" i="4"/>
  <c r="B597" i="4"/>
  <c r="E597" i="4" l="1"/>
  <c r="F597" i="4"/>
  <c r="G597" i="4"/>
  <c r="B598" i="4"/>
  <c r="C597" i="4"/>
  <c r="D597" i="4"/>
  <c r="C598" i="4" l="1"/>
  <c r="D598" i="4"/>
  <c r="E598" i="4"/>
  <c r="F598" i="4"/>
  <c r="G598" i="4"/>
  <c r="B599" i="4"/>
  <c r="C599" i="4" l="1"/>
  <c r="D599" i="4"/>
  <c r="E599" i="4"/>
  <c r="F599" i="4"/>
  <c r="G599" i="4"/>
  <c r="B600" i="4"/>
  <c r="C600" i="4" l="1"/>
  <c r="D600" i="4"/>
  <c r="E600" i="4"/>
  <c r="F600" i="4"/>
  <c r="G600" i="4"/>
  <c r="B601" i="4"/>
  <c r="C601" i="4" l="1"/>
  <c r="D601" i="4"/>
  <c r="E601" i="4"/>
  <c r="F601" i="4"/>
  <c r="G601" i="4"/>
  <c r="B602" i="4"/>
  <c r="G602" i="4" l="1"/>
  <c r="B603" i="4"/>
  <c r="F602" i="4"/>
  <c r="C602" i="4"/>
  <c r="D602" i="4"/>
  <c r="E602" i="4"/>
  <c r="C603" i="4" l="1"/>
  <c r="D603" i="4"/>
  <c r="E603" i="4"/>
  <c r="F603" i="4"/>
  <c r="G603" i="4"/>
  <c r="B604" i="4"/>
  <c r="C604" i="4" l="1"/>
  <c r="D604" i="4"/>
  <c r="E604" i="4"/>
  <c r="F604" i="4"/>
  <c r="G604" i="4"/>
  <c r="B605" i="4"/>
  <c r="E605" i="4" l="1"/>
  <c r="F605" i="4"/>
  <c r="G605" i="4"/>
  <c r="B606" i="4"/>
  <c r="C605" i="4"/>
  <c r="D605" i="4"/>
  <c r="C606" i="4" l="1"/>
  <c r="B607" i="4"/>
  <c r="D606" i="4"/>
  <c r="F606" i="4"/>
  <c r="G606" i="4"/>
  <c r="E606" i="4"/>
  <c r="C607" i="4" l="1"/>
  <c r="D607" i="4"/>
  <c r="E607" i="4"/>
  <c r="F607" i="4"/>
  <c r="G607" i="4"/>
  <c r="B608" i="4"/>
  <c r="C608" i="4" l="1"/>
  <c r="D608" i="4"/>
  <c r="E608" i="4"/>
  <c r="F608" i="4"/>
  <c r="G608" i="4"/>
  <c r="B609" i="4"/>
  <c r="C609" i="4" l="1"/>
  <c r="D609" i="4"/>
  <c r="E609" i="4"/>
  <c r="F609" i="4"/>
  <c r="G609" i="4"/>
  <c r="B610" i="4"/>
  <c r="G610" i="4" l="1"/>
  <c r="B611" i="4"/>
  <c r="E610" i="4"/>
  <c r="F610" i="4"/>
  <c r="C610" i="4"/>
  <c r="D610" i="4"/>
  <c r="C611" i="4" l="1"/>
  <c r="D611" i="4"/>
  <c r="E611" i="4"/>
  <c r="F611" i="4"/>
  <c r="G611" i="4"/>
  <c r="B612" i="4"/>
  <c r="C612" i="4" l="1"/>
  <c r="D612" i="4"/>
  <c r="E612" i="4"/>
  <c r="F612" i="4"/>
  <c r="G612" i="4"/>
  <c r="B613" i="4"/>
  <c r="E613" i="4" l="1"/>
  <c r="F613" i="4"/>
  <c r="G613" i="4"/>
  <c r="B614" i="4"/>
  <c r="C613" i="4"/>
  <c r="D613" i="4"/>
  <c r="C614" i="4" l="1"/>
  <c r="G614" i="4"/>
  <c r="B615" i="4"/>
  <c r="D614" i="4"/>
  <c r="E614" i="4"/>
  <c r="F614" i="4"/>
  <c r="C615" i="4" l="1"/>
  <c r="D615" i="4"/>
  <c r="E615" i="4"/>
  <c r="F615" i="4"/>
  <c r="G615" i="4"/>
  <c r="B616" i="4"/>
  <c r="C616" i="4" l="1"/>
  <c r="D616" i="4"/>
  <c r="E616" i="4"/>
  <c r="F616" i="4"/>
  <c r="G616" i="4"/>
  <c r="B617" i="4"/>
  <c r="C617" i="4" l="1"/>
  <c r="D617" i="4"/>
  <c r="E617" i="4"/>
  <c r="F617" i="4"/>
  <c r="G617" i="4"/>
  <c r="B618" i="4"/>
  <c r="G618" i="4" l="1"/>
  <c r="B619" i="4"/>
  <c r="D618" i="4"/>
  <c r="E618" i="4"/>
  <c r="F618" i="4"/>
  <c r="C618" i="4"/>
  <c r="C619" i="4" l="1"/>
  <c r="D619" i="4"/>
  <c r="E619" i="4"/>
  <c r="F619" i="4"/>
  <c r="G619" i="4"/>
  <c r="B620" i="4"/>
  <c r="C620" i="4" l="1"/>
  <c r="D620" i="4"/>
  <c r="E620" i="4"/>
  <c r="F620" i="4"/>
  <c r="G620" i="4"/>
  <c r="B621" i="4"/>
  <c r="E621" i="4" l="1"/>
  <c r="F621" i="4"/>
  <c r="G621" i="4"/>
  <c r="B622" i="4"/>
  <c r="C621" i="4"/>
  <c r="D621" i="4"/>
  <c r="C622" i="4" l="1"/>
  <c r="F622" i="4"/>
  <c r="G622" i="4"/>
  <c r="B623" i="4"/>
  <c r="D622" i="4"/>
  <c r="E622" i="4"/>
  <c r="C623" i="4" l="1"/>
  <c r="D623" i="4"/>
  <c r="E623" i="4"/>
  <c r="F623" i="4"/>
  <c r="G623" i="4"/>
  <c r="B624" i="4"/>
  <c r="C624" i="4" l="1"/>
  <c r="D624" i="4"/>
  <c r="E624" i="4"/>
  <c r="F624" i="4"/>
  <c r="G624" i="4"/>
  <c r="B625" i="4"/>
  <c r="B626" i="4" l="1"/>
  <c r="C625" i="4"/>
  <c r="D625" i="4"/>
  <c r="E625" i="4"/>
  <c r="G625" i="4"/>
  <c r="F625" i="4"/>
  <c r="G626" i="4" l="1"/>
  <c r="B627" i="4"/>
  <c r="C626" i="4"/>
  <c r="D626" i="4"/>
  <c r="E626" i="4"/>
  <c r="F626" i="4"/>
  <c r="C627" i="4" l="1"/>
  <c r="D627" i="4"/>
  <c r="E627" i="4"/>
  <c r="F627" i="4"/>
  <c r="G627" i="4"/>
  <c r="B628" i="4"/>
  <c r="C628" i="4" l="1"/>
  <c r="D628" i="4"/>
  <c r="E628" i="4"/>
  <c r="F628" i="4"/>
  <c r="G628" i="4"/>
  <c r="B629" i="4"/>
  <c r="E629" i="4" l="1"/>
  <c r="F629" i="4"/>
  <c r="G629" i="4"/>
  <c r="B630" i="4"/>
  <c r="D629" i="4"/>
  <c r="C629" i="4"/>
  <c r="C630" i="4" l="1"/>
  <c r="D630" i="4"/>
  <c r="E630" i="4"/>
  <c r="F630" i="4"/>
  <c r="G630" i="4"/>
  <c r="B631" i="4"/>
  <c r="C631" i="4" l="1"/>
  <c r="D631" i="4"/>
  <c r="E631" i="4"/>
  <c r="F631" i="4"/>
  <c r="G631" i="4"/>
  <c r="B632" i="4"/>
  <c r="C632" i="4" l="1"/>
  <c r="D632" i="4"/>
  <c r="E632" i="4"/>
  <c r="F632" i="4"/>
  <c r="G632" i="4"/>
  <c r="B633" i="4"/>
  <c r="D633" i="4" l="1"/>
  <c r="E633" i="4"/>
  <c r="F633" i="4"/>
  <c r="G633" i="4"/>
  <c r="B634" i="4"/>
  <c r="C633" i="4"/>
  <c r="G634" i="4" l="1"/>
  <c r="B635" i="4"/>
  <c r="C634" i="4"/>
  <c r="D634" i="4"/>
  <c r="E634" i="4"/>
  <c r="F634" i="4"/>
  <c r="C635" i="4" l="1"/>
  <c r="D635" i="4"/>
  <c r="E635" i="4"/>
  <c r="F635" i="4"/>
  <c r="G635" i="4"/>
  <c r="B636" i="4"/>
  <c r="F636" i="4" l="1"/>
  <c r="G636" i="4"/>
  <c r="B637" i="4"/>
  <c r="C636" i="4"/>
  <c r="D636" i="4"/>
  <c r="E636" i="4"/>
  <c r="E637" i="4" l="1"/>
  <c r="F637" i="4"/>
  <c r="G637" i="4"/>
  <c r="B638" i="4"/>
  <c r="C637" i="4"/>
  <c r="D637" i="4"/>
  <c r="C638" i="4" l="1"/>
  <c r="D638" i="4"/>
  <c r="E638" i="4"/>
  <c r="F638" i="4"/>
  <c r="G638" i="4"/>
  <c r="B639" i="4"/>
  <c r="B640" i="4" l="1"/>
  <c r="C639" i="4"/>
  <c r="D639" i="4"/>
  <c r="E639" i="4"/>
  <c r="F639" i="4"/>
  <c r="G639" i="4"/>
  <c r="C640" i="4" l="1"/>
  <c r="D640" i="4"/>
  <c r="E640" i="4"/>
  <c r="F640" i="4"/>
  <c r="G640" i="4"/>
  <c r="B641" i="4"/>
  <c r="C641" i="4" l="1"/>
  <c r="D641" i="4"/>
  <c r="E641" i="4"/>
  <c r="F641" i="4"/>
  <c r="G641" i="4"/>
  <c r="B642" i="4"/>
  <c r="G642" i="4" l="1"/>
  <c r="B643" i="4"/>
  <c r="C642" i="4"/>
  <c r="D642" i="4"/>
  <c r="E642" i="4"/>
  <c r="F642" i="4"/>
  <c r="C643" i="4" l="1"/>
  <c r="D643" i="4"/>
  <c r="B644" i="4"/>
  <c r="E643" i="4"/>
  <c r="F643" i="4"/>
  <c r="G643" i="4"/>
  <c r="C644" i="4" l="1"/>
  <c r="D644" i="4"/>
  <c r="E644" i="4"/>
  <c r="F644" i="4"/>
  <c r="G644" i="4"/>
  <c r="B645" i="4"/>
  <c r="F645" i="4" l="1"/>
  <c r="G645" i="4"/>
  <c r="B646" i="4"/>
  <c r="C645" i="4"/>
  <c r="D645" i="4"/>
  <c r="E645" i="4"/>
  <c r="C646" i="4" l="1"/>
  <c r="D646" i="4"/>
  <c r="E646" i="4"/>
  <c r="F646" i="4"/>
  <c r="G646" i="4"/>
  <c r="B647" i="4"/>
  <c r="C647" i="4" l="1"/>
  <c r="D647" i="4"/>
  <c r="E647" i="4"/>
  <c r="F647" i="4"/>
  <c r="G647" i="4"/>
  <c r="B648" i="4"/>
  <c r="C648" i="4" l="1"/>
  <c r="D648" i="4"/>
  <c r="E648" i="4"/>
  <c r="F648" i="4"/>
  <c r="G648" i="4"/>
  <c r="B649" i="4"/>
  <c r="G649" i="4" l="1"/>
  <c r="B650" i="4"/>
  <c r="C649" i="4"/>
  <c r="D649" i="4"/>
  <c r="E649" i="4"/>
  <c r="F649" i="4"/>
  <c r="C650" i="4" l="1"/>
  <c r="D650" i="4"/>
  <c r="E650" i="4"/>
  <c r="F650" i="4"/>
  <c r="G650" i="4"/>
  <c r="B651" i="4"/>
  <c r="C651" i="4" l="1"/>
  <c r="D651" i="4"/>
  <c r="E651" i="4"/>
  <c r="F651" i="4"/>
  <c r="G651" i="4"/>
  <c r="B652" i="4"/>
  <c r="E652" i="4" l="1"/>
  <c r="F652" i="4"/>
  <c r="G652" i="4"/>
  <c r="B653" i="4"/>
  <c r="C652" i="4"/>
  <c r="D652" i="4"/>
  <c r="C653" i="4" l="1"/>
  <c r="D653" i="4"/>
  <c r="E653" i="4"/>
  <c r="F653" i="4"/>
  <c r="G653" i="4"/>
  <c r="B654" i="4"/>
  <c r="C654" i="4" l="1"/>
  <c r="D654" i="4"/>
  <c r="F654" i="4"/>
  <c r="E654" i="4"/>
  <c r="G654" i="4"/>
  <c r="B655" i="4"/>
  <c r="C655" i="4" l="1"/>
  <c r="D655" i="4"/>
  <c r="E655" i="4"/>
  <c r="F655" i="4"/>
  <c r="G655" i="4"/>
  <c r="B656" i="4"/>
  <c r="C656" i="4" l="1"/>
  <c r="D656" i="4"/>
  <c r="E656" i="4"/>
  <c r="F656" i="4"/>
  <c r="G656" i="4"/>
  <c r="B657" i="4"/>
  <c r="G657" i="4" l="1"/>
  <c r="B658" i="4"/>
  <c r="C657" i="4"/>
  <c r="D657" i="4"/>
  <c r="E657" i="4"/>
  <c r="F657" i="4"/>
  <c r="C658" i="4" l="1"/>
  <c r="D658" i="4"/>
  <c r="E658" i="4"/>
  <c r="F658" i="4"/>
  <c r="G658" i="4"/>
  <c r="B659" i="4"/>
  <c r="C659" i="4" l="1"/>
  <c r="D659" i="4"/>
  <c r="E659" i="4"/>
  <c r="F659" i="4"/>
  <c r="G659" i="4"/>
  <c r="B660" i="4"/>
  <c r="E660" i="4" l="1"/>
  <c r="F660" i="4"/>
  <c r="G660" i="4"/>
  <c r="B661" i="4"/>
  <c r="C660" i="4"/>
  <c r="D660" i="4"/>
  <c r="C661" i="4" l="1"/>
  <c r="D661" i="4"/>
  <c r="E661" i="4"/>
  <c r="F661" i="4"/>
  <c r="G661" i="4"/>
  <c r="B662" i="4"/>
  <c r="C662" i="4" l="1"/>
  <c r="D662" i="4"/>
  <c r="E662" i="4"/>
  <c r="F662" i="4"/>
  <c r="G662" i="4"/>
  <c r="B663" i="4"/>
  <c r="C663" i="4" l="1"/>
  <c r="D663" i="4"/>
  <c r="E663" i="4"/>
  <c r="F663" i="4"/>
  <c r="G663" i="4"/>
  <c r="B664" i="4"/>
  <c r="C664" i="4" l="1"/>
  <c r="D664" i="4"/>
  <c r="E664" i="4"/>
  <c r="F664" i="4"/>
  <c r="G664" i="4"/>
  <c r="B665" i="4"/>
  <c r="G665" i="4" l="1"/>
  <c r="B666" i="4"/>
  <c r="D665" i="4"/>
  <c r="C665" i="4"/>
  <c r="E665" i="4"/>
  <c r="F665" i="4"/>
  <c r="C666" i="4" l="1"/>
  <c r="D666" i="4"/>
  <c r="E666" i="4"/>
  <c r="F666" i="4"/>
  <c r="G666" i="4"/>
  <c r="B667" i="4"/>
  <c r="C667" i="4" l="1"/>
  <c r="D667" i="4"/>
  <c r="E667" i="4"/>
  <c r="F667" i="4"/>
  <c r="G667" i="4"/>
  <c r="B668" i="4"/>
  <c r="E668" i="4" l="1"/>
  <c r="F668" i="4"/>
  <c r="G668" i="4"/>
  <c r="B669" i="4"/>
  <c r="C668" i="4"/>
  <c r="D668" i="4"/>
  <c r="C669" i="4" l="1"/>
  <c r="D669" i="4"/>
  <c r="E669" i="4"/>
  <c r="F669" i="4"/>
  <c r="G669" i="4"/>
  <c r="B670" i="4"/>
  <c r="C670" i="4" l="1"/>
  <c r="D670" i="4"/>
  <c r="E670" i="4"/>
  <c r="F670" i="4"/>
  <c r="G670" i="4"/>
  <c r="B671" i="4"/>
  <c r="C671" i="4" l="1"/>
  <c r="D671" i="4"/>
  <c r="E671" i="4"/>
  <c r="F671" i="4"/>
  <c r="G671" i="4"/>
  <c r="B672" i="4"/>
  <c r="C672" i="4" l="1"/>
  <c r="D672" i="4"/>
  <c r="E672" i="4"/>
  <c r="F672" i="4"/>
  <c r="G672" i="4"/>
  <c r="B673" i="4"/>
  <c r="G673" i="4" l="1"/>
  <c r="B674" i="4"/>
  <c r="C673" i="4"/>
  <c r="D673" i="4"/>
  <c r="E673" i="4"/>
  <c r="F673" i="4"/>
  <c r="C674" i="4" l="1"/>
  <c r="D674" i="4"/>
  <c r="E674" i="4"/>
  <c r="F674" i="4"/>
  <c r="G674" i="4"/>
  <c r="B675" i="4"/>
  <c r="C675" i="4" l="1"/>
  <c r="D675" i="4"/>
  <c r="E675" i="4"/>
  <c r="F675" i="4"/>
  <c r="B676" i="4"/>
  <c r="G675" i="4"/>
  <c r="E676" i="4" l="1"/>
  <c r="F676" i="4"/>
  <c r="G676" i="4"/>
  <c r="B677" i="4"/>
  <c r="D676" i="4"/>
  <c r="C676" i="4"/>
  <c r="C677" i="4" l="1"/>
  <c r="D677" i="4"/>
  <c r="E677" i="4"/>
  <c r="F677" i="4"/>
  <c r="G677" i="4"/>
  <c r="B678" i="4"/>
  <c r="C678" i="4" l="1"/>
  <c r="D678" i="4"/>
  <c r="E678" i="4"/>
  <c r="F678" i="4"/>
  <c r="G678" i="4"/>
  <c r="B679" i="4"/>
  <c r="C679" i="4" l="1"/>
  <c r="D679" i="4"/>
  <c r="E679" i="4"/>
  <c r="F679" i="4"/>
  <c r="G679" i="4"/>
  <c r="B680" i="4"/>
  <c r="C680" i="4" l="1"/>
  <c r="D680" i="4"/>
  <c r="E680" i="4"/>
  <c r="F680" i="4"/>
  <c r="G680" i="4"/>
  <c r="B681" i="4"/>
  <c r="G681" i="4" l="1"/>
  <c r="B682" i="4"/>
  <c r="C681" i="4"/>
  <c r="D681" i="4"/>
  <c r="E681" i="4"/>
  <c r="F681" i="4"/>
  <c r="C682" i="4" l="1"/>
  <c r="D682" i="4"/>
  <c r="E682" i="4"/>
  <c r="F682" i="4"/>
  <c r="G682" i="4"/>
  <c r="B683" i="4"/>
  <c r="C683" i="4" l="1"/>
  <c r="D683" i="4"/>
  <c r="E683" i="4"/>
  <c r="F683" i="4"/>
  <c r="G683" i="4"/>
  <c r="B684" i="4"/>
  <c r="E684" i="4" l="1"/>
  <c r="F684" i="4"/>
  <c r="G684" i="4"/>
  <c r="B685" i="4"/>
  <c r="C684" i="4"/>
  <c r="D684" i="4"/>
  <c r="C685" i="4" l="1"/>
  <c r="D685" i="4"/>
  <c r="E685" i="4"/>
  <c r="F685" i="4"/>
  <c r="G685" i="4"/>
  <c r="B686" i="4"/>
  <c r="C686" i="4" l="1"/>
  <c r="D686" i="4"/>
  <c r="F686" i="4"/>
  <c r="B687" i="4"/>
  <c r="E686" i="4"/>
  <c r="G686" i="4"/>
  <c r="C687" i="4" l="1"/>
  <c r="D687" i="4"/>
  <c r="E687" i="4"/>
  <c r="F687" i="4"/>
  <c r="G687" i="4"/>
  <c r="B688" i="4"/>
  <c r="C688" i="4" l="1"/>
  <c r="D688" i="4"/>
  <c r="E688" i="4"/>
  <c r="F688" i="4"/>
  <c r="G688" i="4"/>
  <c r="B689" i="4"/>
  <c r="G689" i="4" l="1"/>
  <c r="B690" i="4"/>
  <c r="C689" i="4"/>
  <c r="D689" i="4"/>
  <c r="E689" i="4"/>
  <c r="F689" i="4"/>
  <c r="C690" i="4" l="1"/>
  <c r="D690" i="4"/>
  <c r="E690" i="4"/>
  <c r="F690" i="4"/>
  <c r="G690" i="4"/>
  <c r="B691" i="4"/>
  <c r="C691" i="4" l="1"/>
  <c r="D691" i="4"/>
  <c r="E691" i="4"/>
  <c r="F691" i="4"/>
  <c r="G691" i="4"/>
  <c r="B692" i="4"/>
  <c r="E692" i="4" l="1"/>
  <c r="F692" i="4"/>
  <c r="G692" i="4"/>
  <c r="B693" i="4"/>
  <c r="C692" i="4"/>
  <c r="D692" i="4"/>
  <c r="C693" i="4" l="1"/>
  <c r="D693" i="4"/>
  <c r="E693" i="4"/>
  <c r="F693" i="4"/>
  <c r="G693" i="4"/>
  <c r="B694" i="4"/>
  <c r="G694" i="4" l="1"/>
  <c r="B695" i="4"/>
  <c r="D694" i="4"/>
  <c r="C694" i="4"/>
  <c r="E694" i="4"/>
  <c r="F694" i="4"/>
  <c r="C695" i="4" l="1"/>
  <c r="D695" i="4"/>
  <c r="E695" i="4"/>
  <c r="F695" i="4"/>
  <c r="G695" i="4"/>
  <c r="B696" i="4"/>
  <c r="C696" i="4" l="1"/>
  <c r="D696" i="4"/>
  <c r="E696" i="4"/>
  <c r="F696" i="4"/>
  <c r="G696" i="4"/>
  <c r="B697" i="4"/>
  <c r="G697" i="4" l="1"/>
  <c r="B698" i="4"/>
  <c r="C697" i="4"/>
  <c r="D697" i="4"/>
  <c r="E697" i="4"/>
  <c r="F697" i="4"/>
  <c r="C698" i="4" l="1"/>
  <c r="D698" i="4"/>
  <c r="E698" i="4"/>
  <c r="F698" i="4"/>
  <c r="G698" i="4"/>
  <c r="B699" i="4"/>
  <c r="C699" i="4" l="1"/>
  <c r="D699" i="4"/>
  <c r="E699" i="4"/>
  <c r="F699" i="4"/>
  <c r="G699" i="4"/>
  <c r="B700" i="4"/>
  <c r="E700" i="4" l="1"/>
  <c r="F700" i="4"/>
  <c r="G700" i="4"/>
  <c r="B701" i="4"/>
  <c r="D700" i="4"/>
  <c r="C700" i="4"/>
  <c r="C701" i="4" l="1"/>
  <c r="D701" i="4"/>
  <c r="E701" i="4"/>
  <c r="F701" i="4"/>
  <c r="G701" i="4"/>
  <c r="B702" i="4"/>
  <c r="E702" i="4" l="1"/>
  <c r="F702" i="4"/>
  <c r="G702" i="4"/>
  <c r="B703" i="4"/>
  <c r="C702" i="4"/>
  <c r="D702" i="4"/>
  <c r="C703" i="4" l="1"/>
  <c r="D703" i="4"/>
  <c r="E703" i="4"/>
  <c r="F703" i="4"/>
  <c r="G703" i="4"/>
  <c r="B704" i="4"/>
  <c r="C704" i="4" l="1"/>
  <c r="D704" i="4"/>
  <c r="E704" i="4"/>
  <c r="F704" i="4"/>
  <c r="G704" i="4"/>
  <c r="B705" i="4"/>
  <c r="G705" i="4" l="1"/>
  <c r="B706" i="4"/>
  <c r="C705" i="4"/>
  <c r="D705" i="4"/>
  <c r="E705" i="4"/>
  <c r="F705" i="4"/>
  <c r="C706" i="4" l="1"/>
  <c r="D706" i="4"/>
  <c r="E706" i="4"/>
  <c r="F706" i="4"/>
  <c r="G706" i="4"/>
  <c r="B707" i="4"/>
  <c r="C707" i="4" l="1"/>
  <c r="D707" i="4"/>
  <c r="E707" i="4"/>
  <c r="G707" i="4"/>
  <c r="F707" i="4"/>
  <c r="B708" i="4"/>
  <c r="E708" i="4" l="1"/>
  <c r="F708" i="4"/>
  <c r="G708" i="4"/>
  <c r="B709" i="4"/>
  <c r="D708" i="4"/>
  <c r="C708" i="4"/>
  <c r="C709" i="4" l="1"/>
  <c r="D709" i="4"/>
  <c r="E709" i="4"/>
  <c r="G709" i="4"/>
  <c r="B710" i="4"/>
  <c r="F709" i="4"/>
  <c r="C710" i="4" l="1"/>
  <c r="D710" i="4"/>
  <c r="E710" i="4"/>
  <c r="F710" i="4"/>
  <c r="G710" i="4"/>
  <c r="B711" i="4"/>
  <c r="C711" i="4" l="1"/>
  <c r="D711" i="4"/>
  <c r="E711" i="4"/>
  <c r="F711" i="4"/>
  <c r="G711" i="4"/>
  <c r="B712" i="4"/>
  <c r="C712" i="4" l="1"/>
  <c r="E712" i="4"/>
  <c r="F712" i="4"/>
  <c r="D712" i="4"/>
  <c r="G712" i="4"/>
  <c r="B713" i="4"/>
  <c r="G713" i="4" l="1"/>
  <c r="B714" i="4"/>
  <c r="C713" i="4"/>
  <c r="E713" i="4"/>
  <c r="D713" i="4"/>
  <c r="F713" i="4"/>
  <c r="C714" i="4" l="1"/>
  <c r="D714" i="4"/>
  <c r="E714" i="4"/>
  <c r="F714" i="4"/>
  <c r="G714" i="4"/>
  <c r="B715" i="4"/>
  <c r="C715" i="4" l="1"/>
  <c r="D715" i="4"/>
  <c r="E715" i="4"/>
  <c r="F715" i="4"/>
  <c r="G715" i="4"/>
  <c r="B716" i="4"/>
  <c r="E716" i="4" l="1"/>
  <c r="F716" i="4"/>
  <c r="G716" i="4"/>
  <c r="B717" i="4"/>
  <c r="C716" i="4"/>
  <c r="D716" i="4"/>
  <c r="C717" i="4" l="1"/>
  <c r="D717" i="4"/>
  <c r="E717" i="4"/>
  <c r="G717" i="4"/>
  <c r="B718" i="4"/>
  <c r="F717" i="4"/>
  <c r="C718" i="4" l="1"/>
  <c r="D718" i="4"/>
  <c r="E718" i="4"/>
  <c r="F718" i="4"/>
  <c r="G718" i="4"/>
  <c r="B719" i="4"/>
  <c r="C719" i="4" l="1"/>
  <c r="D719" i="4"/>
  <c r="E719" i="4"/>
  <c r="F719" i="4"/>
  <c r="G719" i="4"/>
  <c r="B720" i="4"/>
  <c r="C720" i="4" l="1"/>
  <c r="E720" i="4"/>
  <c r="F720" i="4"/>
  <c r="D720" i="4"/>
  <c r="G720" i="4"/>
  <c r="B721" i="4"/>
  <c r="G721" i="4" l="1"/>
  <c r="B722" i="4"/>
  <c r="C721" i="4"/>
  <c r="D721" i="4"/>
  <c r="E721" i="4"/>
  <c r="F721" i="4"/>
  <c r="C722" i="4" l="1"/>
  <c r="D722" i="4"/>
  <c r="E722" i="4"/>
  <c r="F722" i="4"/>
  <c r="G722" i="4"/>
  <c r="B723" i="4"/>
  <c r="C723" i="4" l="1"/>
  <c r="D723" i="4"/>
  <c r="E723" i="4"/>
  <c r="F723" i="4"/>
  <c r="G723" i="4"/>
  <c r="B724" i="4"/>
  <c r="E724" i="4" l="1"/>
  <c r="F724" i="4"/>
  <c r="G724" i="4"/>
  <c r="B725" i="4"/>
  <c r="C724" i="4"/>
  <c r="D724" i="4"/>
  <c r="C725" i="4" l="1"/>
  <c r="D725" i="4"/>
  <c r="E725" i="4"/>
  <c r="G725" i="4"/>
  <c r="B726" i="4"/>
  <c r="F725" i="4"/>
  <c r="G726" i="4" l="1"/>
  <c r="B727" i="4"/>
  <c r="D726" i="4"/>
  <c r="C726" i="4"/>
  <c r="E726" i="4"/>
  <c r="F726" i="4"/>
  <c r="C727" i="4" l="1"/>
  <c r="D727" i="4"/>
  <c r="E727" i="4"/>
  <c r="F727" i="4"/>
  <c r="G727" i="4"/>
  <c r="B728" i="4"/>
  <c r="C728" i="4" l="1"/>
  <c r="E728" i="4"/>
  <c r="F728" i="4"/>
  <c r="D728" i="4"/>
  <c r="G728" i="4"/>
  <c r="B729" i="4"/>
  <c r="G729" i="4" l="1"/>
  <c r="B730" i="4"/>
  <c r="C729" i="4"/>
  <c r="D729" i="4"/>
  <c r="E729" i="4"/>
  <c r="F729" i="4"/>
  <c r="C730" i="4" l="1"/>
  <c r="D730" i="4"/>
  <c r="E730" i="4"/>
  <c r="F730" i="4"/>
  <c r="G730" i="4"/>
  <c r="B731" i="4"/>
  <c r="C731" i="4" l="1"/>
  <c r="D731" i="4"/>
  <c r="E731" i="4"/>
  <c r="F731" i="4"/>
  <c r="B732" i="4"/>
  <c r="G731" i="4"/>
  <c r="E732" i="4" l="1"/>
  <c r="F732" i="4"/>
  <c r="G732" i="4"/>
  <c r="B733" i="4"/>
  <c r="C732" i="4"/>
  <c r="D732" i="4"/>
  <c r="C733" i="4" l="1"/>
  <c r="D733" i="4"/>
  <c r="E733" i="4"/>
  <c r="G733" i="4"/>
  <c r="B734" i="4"/>
  <c r="F733" i="4"/>
  <c r="C734" i="4" l="1"/>
  <c r="D734" i="4"/>
  <c r="E734" i="4"/>
  <c r="F734" i="4"/>
  <c r="G734" i="4"/>
  <c r="B735" i="4"/>
  <c r="C735" i="4" l="1"/>
  <c r="D735" i="4"/>
  <c r="E735" i="4"/>
  <c r="F735" i="4"/>
  <c r="G735" i="4"/>
  <c r="B736" i="4"/>
  <c r="C736" i="4" l="1"/>
  <c r="E736" i="4"/>
  <c r="F736" i="4"/>
  <c r="D736" i="4"/>
  <c r="G736" i="4"/>
  <c r="B737" i="4"/>
  <c r="G737" i="4" l="1"/>
  <c r="B738" i="4"/>
  <c r="C737" i="4"/>
  <c r="D737" i="4"/>
  <c r="F737" i="4"/>
  <c r="E737" i="4"/>
  <c r="C738" i="4" l="1"/>
  <c r="D738" i="4"/>
  <c r="E738" i="4"/>
  <c r="F738" i="4"/>
  <c r="G738" i="4"/>
  <c r="B739" i="4"/>
  <c r="C739" i="4" l="1"/>
  <c r="E739" i="4"/>
  <c r="F739" i="4"/>
  <c r="G739" i="4"/>
  <c r="B740" i="4"/>
  <c r="D739" i="4"/>
  <c r="E740" i="4" l="1"/>
  <c r="F740" i="4"/>
  <c r="G740" i="4"/>
  <c r="B741" i="4"/>
  <c r="C740" i="4"/>
  <c r="D740" i="4"/>
  <c r="C741" i="4" l="1"/>
  <c r="D741" i="4"/>
  <c r="E741" i="4"/>
  <c r="G741" i="4"/>
  <c r="F741" i="4"/>
  <c r="B742" i="4"/>
  <c r="C742" i="4" l="1"/>
  <c r="D742" i="4"/>
  <c r="E742" i="4"/>
  <c r="F742" i="4"/>
  <c r="B743" i="4"/>
  <c r="G742" i="4"/>
  <c r="C743" i="4" l="1"/>
  <c r="D743" i="4"/>
  <c r="E743" i="4"/>
  <c r="F743" i="4"/>
  <c r="G743" i="4"/>
  <c r="B744" i="4"/>
  <c r="C744" i="4" l="1"/>
  <c r="E744" i="4"/>
  <c r="G744" i="4"/>
  <c r="B745" i="4"/>
  <c r="D744" i="4"/>
  <c r="F744" i="4"/>
  <c r="G745" i="4" l="1"/>
  <c r="B746" i="4"/>
  <c r="C745" i="4"/>
  <c r="D745" i="4"/>
  <c r="E745" i="4"/>
  <c r="F745" i="4"/>
  <c r="C746" i="4" l="1"/>
  <c r="D746" i="4"/>
  <c r="E746" i="4"/>
  <c r="F746" i="4"/>
  <c r="G746" i="4"/>
  <c r="B747" i="4"/>
  <c r="C747" i="4" l="1"/>
  <c r="D747" i="4"/>
  <c r="E747" i="4"/>
  <c r="F747" i="4"/>
  <c r="G747" i="4"/>
  <c r="B748" i="4"/>
  <c r="E748" i="4" l="1"/>
  <c r="F748" i="4"/>
  <c r="G748" i="4"/>
  <c r="B749" i="4"/>
  <c r="D748" i="4"/>
  <c r="C748" i="4"/>
  <c r="C749" i="4" l="1"/>
  <c r="D749" i="4"/>
  <c r="E749" i="4"/>
  <c r="G749" i="4"/>
  <c r="F749" i="4"/>
  <c r="B750" i="4"/>
  <c r="C750" i="4" l="1"/>
  <c r="D750" i="4"/>
  <c r="E750" i="4"/>
  <c r="F750" i="4"/>
  <c r="G750" i="4"/>
  <c r="B751" i="4"/>
  <c r="C751" i="4" l="1"/>
  <c r="D751" i="4"/>
  <c r="E751" i="4"/>
  <c r="F751" i="4"/>
  <c r="G751" i="4"/>
  <c r="B752" i="4"/>
  <c r="C752" i="4" l="1"/>
  <c r="E752" i="4"/>
  <c r="D752" i="4"/>
  <c r="F752" i="4"/>
  <c r="G752" i="4"/>
  <c r="B753" i="4"/>
  <c r="G753" i="4" l="1"/>
  <c r="B754" i="4"/>
  <c r="C753" i="4"/>
  <c r="D753" i="4"/>
  <c r="F753" i="4"/>
  <c r="E753" i="4"/>
  <c r="C754" i="4" l="1"/>
  <c r="D754" i="4"/>
  <c r="E754" i="4"/>
  <c r="F754" i="4"/>
  <c r="G754" i="4"/>
  <c r="B755" i="4"/>
  <c r="C755" i="4" l="1"/>
  <c r="E755" i="4"/>
  <c r="F755" i="4"/>
  <c r="G755" i="4"/>
  <c r="B756" i="4"/>
  <c r="D755" i="4"/>
  <c r="E756" i="4" l="1"/>
  <c r="F756" i="4"/>
  <c r="G756" i="4"/>
  <c r="B757" i="4"/>
  <c r="C756" i="4"/>
  <c r="D756" i="4"/>
  <c r="C757" i="4" l="1"/>
  <c r="D757" i="4"/>
  <c r="E757" i="4"/>
  <c r="G757" i="4"/>
  <c r="F757" i="4"/>
  <c r="B758" i="4"/>
  <c r="C758" i="4" l="1"/>
  <c r="D758" i="4"/>
  <c r="E758" i="4"/>
  <c r="F758" i="4"/>
  <c r="B759" i="4"/>
  <c r="G758" i="4"/>
  <c r="C759" i="4" l="1"/>
  <c r="D759" i="4"/>
  <c r="E759" i="4"/>
  <c r="F759" i="4"/>
  <c r="G759" i="4"/>
  <c r="B760" i="4"/>
  <c r="C760" i="4" l="1"/>
  <c r="E760" i="4"/>
  <c r="G760" i="4"/>
  <c r="B761" i="4"/>
  <c r="D760" i="4"/>
  <c r="F760" i="4"/>
  <c r="G761" i="4" l="1"/>
  <c r="B762" i="4"/>
  <c r="C761" i="4"/>
  <c r="D761" i="4"/>
  <c r="E761" i="4"/>
  <c r="F761" i="4"/>
  <c r="C762" i="4" l="1"/>
  <c r="D762" i="4"/>
  <c r="E762" i="4"/>
  <c r="F762" i="4"/>
  <c r="G762" i="4"/>
  <c r="B763" i="4"/>
  <c r="C763" i="4" l="1"/>
  <c r="D763" i="4"/>
  <c r="E763" i="4"/>
  <c r="F763" i="4"/>
  <c r="G763" i="4"/>
  <c r="B764" i="4"/>
  <c r="E764" i="4" l="1"/>
  <c r="F764" i="4"/>
  <c r="G764" i="4"/>
  <c r="B765" i="4"/>
  <c r="D764" i="4"/>
  <c r="C764" i="4"/>
  <c r="C765" i="4" l="1"/>
  <c r="D765" i="4"/>
  <c r="E765" i="4"/>
  <c r="G765" i="4"/>
  <c r="F765" i="4"/>
  <c r="B766" i="4"/>
  <c r="C766" i="4" l="1"/>
  <c r="D766" i="4"/>
  <c r="E766" i="4"/>
  <c r="F766" i="4"/>
  <c r="G766" i="4"/>
  <c r="B767" i="4"/>
  <c r="C767" i="4" l="1"/>
  <c r="D767" i="4"/>
  <c r="E767" i="4"/>
  <c r="F767" i="4"/>
  <c r="G767" i="4"/>
  <c r="B768" i="4"/>
  <c r="C768" i="4" l="1"/>
  <c r="E768" i="4"/>
  <c r="D768" i="4"/>
  <c r="F768" i="4"/>
  <c r="G768" i="4"/>
  <c r="B769" i="4"/>
  <c r="G769" i="4" l="1"/>
  <c r="B770" i="4"/>
  <c r="C769" i="4"/>
  <c r="D769" i="4"/>
  <c r="F769" i="4"/>
  <c r="E769" i="4"/>
  <c r="C770" i="4" l="1"/>
  <c r="D770" i="4"/>
  <c r="E770" i="4"/>
  <c r="F770" i="4"/>
  <c r="G770" i="4"/>
  <c r="B771" i="4"/>
  <c r="D771" i="4" l="1"/>
  <c r="E771" i="4"/>
  <c r="F771" i="4"/>
  <c r="G771" i="4"/>
  <c r="B772" i="4"/>
  <c r="C771" i="4"/>
  <c r="E772" i="4" l="1"/>
  <c r="F772" i="4"/>
  <c r="G772" i="4"/>
  <c r="B773" i="4"/>
  <c r="C772" i="4"/>
  <c r="D772" i="4"/>
  <c r="C773" i="4" l="1"/>
  <c r="D773" i="4"/>
  <c r="E773" i="4"/>
  <c r="F773" i="4"/>
  <c r="G773" i="4"/>
  <c r="B774" i="4"/>
  <c r="C774" i="4" l="1"/>
  <c r="D774" i="4"/>
  <c r="F774" i="4"/>
  <c r="E774" i="4"/>
  <c r="B775" i="4"/>
  <c r="G774" i="4"/>
  <c r="C775" i="4" l="1"/>
  <c r="D775" i="4"/>
  <c r="E775" i="4"/>
  <c r="F775" i="4"/>
  <c r="G775" i="4"/>
  <c r="B776" i="4"/>
  <c r="C776" i="4" l="1"/>
  <c r="D776" i="4"/>
  <c r="E776" i="4"/>
  <c r="F776" i="4"/>
  <c r="G776" i="4"/>
  <c r="B777" i="4"/>
  <c r="G777" i="4" l="1"/>
  <c r="B778" i="4"/>
  <c r="C777" i="4"/>
  <c r="D777" i="4"/>
  <c r="E777" i="4"/>
  <c r="F777" i="4"/>
  <c r="C778" i="4" l="1"/>
  <c r="D778" i="4"/>
  <c r="E778" i="4"/>
  <c r="F778" i="4"/>
  <c r="G778" i="4"/>
  <c r="B779" i="4"/>
  <c r="G779" i="4" l="1"/>
  <c r="B780" i="4"/>
  <c r="D779" i="4"/>
  <c r="F779" i="4"/>
  <c r="C779" i="4"/>
  <c r="E779" i="4"/>
  <c r="E780" i="4" l="1"/>
  <c r="F780" i="4"/>
  <c r="G780" i="4"/>
  <c r="B781" i="4"/>
  <c r="C780" i="4"/>
  <c r="D780" i="4"/>
  <c r="C781" i="4" l="1"/>
  <c r="D781" i="4"/>
  <c r="E781" i="4"/>
  <c r="F781" i="4"/>
  <c r="G781" i="4"/>
  <c r="B782" i="4"/>
  <c r="C782" i="4" l="1"/>
  <c r="D782" i="4"/>
  <c r="E782" i="4"/>
  <c r="F782" i="4"/>
  <c r="B783" i="4"/>
  <c r="G782" i="4"/>
  <c r="C783" i="4" l="1"/>
  <c r="D783" i="4"/>
  <c r="E783" i="4"/>
  <c r="F783" i="4"/>
  <c r="G783" i="4"/>
  <c r="B784" i="4"/>
  <c r="E784" i="4" l="1"/>
  <c r="F784" i="4"/>
  <c r="G784" i="4"/>
  <c r="B785" i="4"/>
  <c r="C784" i="4"/>
  <c r="D784" i="4"/>
  <c r="G785" i="4" l="1"/>
  <c r="B786" i="4"/>
  <c r="C785" i="4"/>
  <c r="D785" i="4"/>
  <c r="E785" i="4"/>
  <c r="F785" i="4"/>
  <c r="C786" i="4" l="1"/>
  <c r="D786" i="4"/>
  <c r="E786" i="4"/>
  <c r="F786" i="4"/>
  <c r="G786" i="4"/>
  <c r="B787" i="4"/>
  <c r="C787" i="4" l="1"/>
  <c r="D787" i="4"/>
  <c r="F787" i="4"/>
  <c r="E787" i="4"/>
  <c r="G787" i="4"/>
  <c r="B788" i="4"/>
  <c r="E788" i="4" l="1"/>
  <c r="F788" i="4"/>
  <c r="G788" i="4"/>
  <c r="B789" i="4"/>
  <c r="C788" i="4"/>
  <c r="D788" i="4"/>
  <c r="C789" i="4" l="1"/>
  <c r="D789" i="4"/>
  <c r="E789" i="4"/>
  <c r="F789" i="4"/>
  <c r="G789" i="4"/>
  <c r="B790" i="4"/>
  <c r="C790" i="4" l="1"/>
  <c r="D790" i="4"/>
  <c r="E790" i="4"/>
  <c r="F790" i="4"/>
  <c r="G790" i="4"/>
  <c r="B791" i="4"/>
  <c r="C791" i="4" l="1"/>
  <c r="D791" i="4"/>
  <c r="E791" i="4"/>
  <c r="F791" i="4"/>
  <c r="G791" i="4"/>
  <c r="B792" i="4"/>
  <c r="G792" i="4" l="1"/>
  <c r="B793" i="4"/>
  <c r="D792" i="4"/>
  <c r="C792" i="4"/>
  <c r="E792" i="4"/>
  <c r="F792" i="4"/>
  <c r="G793" i="4" l="1"/>
  <c r="B794" i="4"/>
  <c r="C793" i="4"/>
  <c r="D793" i="4"/>
  <c r="E793" i="4"/>
  <c r="F793" i="4"/>
  <c r="C794" i="4" l="1"/>
  <c r="D794" i="4"/>
  <c r="E794" i="4"/>
  <c r="F794" i="4"/>
  <c r="G794" i="4"/>
  <c r="B795" i="4"/>
  <c r="C795" i="4" l="1"/>
  <c r="D795" i="4"/>
  <c r="E795" i="4"/>
  <c r="F795" i="4"/>
  <c r="B796" i="4"/>
  <c r="G795" i="4"/>
  <c r="E796" i="4" l="1"/>
  <c r="F796" i="4"/>
  <c r="G796" i="4"/>
  <c r="B797" i="4"/>
  <c r="C796" i="4"/>
  <c r="D796" i="4"/>
  <c r="C797" i="4" l="1"/>
  <c r="D797" i="4"/>
  <c r="E797" i="4"/>
  <c r="F797" i="4"/>
  <c r="G797" i="4"/>
  <c r="B798" i="4"/>
  <c r="C798" i="4" l="1"/>
  <c r="D798" i="4"/>
  <c r="E798" i="4"/>
  <c r="F798" i="4"/>
  <c r="G798" i="4"/>
  <c r="B799" i="4"/>
  <c r="C799" i="4" l="1"/>
  <c r="D799" i="4"/>
  <c r="E799" i="4"/>
  <c r="F799" i="4"/>
  <c r="G799" i="4"/>
  <c r="B800" i="4"/>
  <c r="C800" i="4" l="1"/>
  <c r="D800" i="4"/>
  <c r="F800" i="4"/>
  <c r="E800" i="4"/>
  <c r="G800" i="4"/>
  <c r="B801" i="4"/>
  <c r="G801" i="4" l="1"/>
  <c r="B802" i="4"/>
  <c r="C801" i="4"/>
  <c r="D801" i="4"/>
  <c r="E801" i="4"/>
  <c r="F801" i="4"/>
  <c r="C802" i="4" l="1"/>
  <c r="D802" i="4"/>
  <c r="E802" i="4"/>
  <c r="F802" i="4"/>
  <c r="G802" i="4"/>
  <c r="B803" i="4"/>
  <c r="C803" i="4" l="1"/>
  <c r="D803" i="4"/>
  <c r="E803" i="4"/>
  <c r="F803" i="4"/>
  <c r="B804" i="4"/>
  <c r="G803" i="4"/>
  <c r="E804" i="4" l="1"/>
  <c r="F804" i="4"/>
  <c r="G804" i="4"/>
  <c r="B805" i="4"/>
  <c r="D804" i="4"/>
  <c r="C804" i="4"/>
  <c r="C805" i="4" l="1"/>
  <c r="D805" i="4"/>
  <c r="G805" i="4"/>
  <c r="B806" i="4"/>
  <c r="E805" i="4"/>
  <c r="F805" i="4"/>
  <c r="C806" i="4" l="1"/>
  <c r="D806" i="4"/>
  <c r="E806" i="4"/>
  <c r="F806" i="4"/>
  <c r="G806" i="4"/>
  <c r="B807" i="4"/>
  <c r="C807" i="4" l="1"/>
  <c r="D807" i="4"/>
  <c r="E807" i="4"/>
  <c r="F807" i="4"/>
  <c r="G807" i="4"/>
  <c r="B808" i="4"/>
  <c r="C808" i="4" l="1"/>
  <c r="D808" i="4"/>
  <c r="F808" i="4"/>
  <c r="B809" i="4"/>
  <c r="E808" i="4"/>
  <c r="G808" i="4"/>
  <c r="G809" i="4" l="1"/>
  <c r="B810" i="4"/>
  <c r="E809" i="4"/>
  <c r="F809" i="4"/>
  <c r="C809" i="4"/>
  <c r="D809" i="4"/>
  <c r="C810" i="4" l="1"/>
  <c r="D810" i="4"/>
  <c r="E810" i="4"/>
  <c r="F810" i="4"/>
  <c r="G810" i="4"/>
  <c r="B811" i="4"/>
  <c r="C811" i="4" l="1"/>
  <c r="D811" i="4"/>
  <c r="E811" i="4"/>
  <c r="F811" i="4"/>
  <c r="G811" i="4"/>
  <c r="B812" i="4"/>
  <c r="E812" i="4" l="1"/>
  <c r="F812" i="4"/>
  <c r="G812" i="4"/>
  <c r="B813" i="4"/>
  <c r="D812" i="4"/>
  <c r="C812" i="4"/>
  <c r="C813" i="4" l="1"/>
  <c r="D813" i="4"/>
  <c r="F813" i="4"/>
  <c r="E813" i="4"/>
  <c r="G813" i="4"/>
  <c r="B814" i="4"/>
  <c r="C814" i="4" l="1"/>
  <c r="D814" i="4"/>
  <c r="E814" i="4"/>
  <c r="F814" i="4"/>
  <c r="G814" i="4"/>
  <c r="B815" i="4"/>
  <c r="C815" i="4" l="1"/>
  <c r="D815" i="4"/>
  <c r="E815" i="4"/>
  <c r="F815" i="4"/>
  <c r="G815" i="4"/>
  <c r="B816" i="4"/>
  <c r="C816" i="4" l="1"/>
  <c r="D816" i="4"/>
  <c r="E816" i="4"/>
  <c r="F816" i="4"/>
  <c r="B817" i="4"/>
  <c r="G816" i="4"/>
  <c r="G817" i="4" l="1"/>
  <c r="B818" i="4"/>
  <c r="D817" i="4"/>
  <c r="C817" i="4"/>
  <c r="E817" i="4"/>
  <c r="F817" i="4"/>
  <c r="C818" i="4" l="1"/>
  <c r="D818" i="4"/>
  <c r="E818" i="4"/>
  <c r="F818" i="4"/>
  <c r="G818" i="4"/>
  <c r="B819" i="4"/>
  <c r="C819" i="4" l="1"/>
  <c r="D819" i="4"/>
  <c r="E819" i="4"/>
  <c r="F819" i="4"/>
  <c r="G819" i="4"/>
  <c r="B820" i="4"/>
  <c r="E820" i="4" l="1"/>
  <c r="F820" i="4"/>
  <c r="G820" i="4"/>
  <c r="B821" i="4"/>
  <c r="C820" i="4"/>
  <c r="D820" i="4"/>
  <c r="C821" i="4" l="1"/>
  <c r="D821" i="4"/>
  <c r="F821" i="4"/>
  <c r="B822" i="4"/>
  <c r="E821" i="4"/>
  <c r="G821" i="4"/>
  <c r="E822" i="4" l="1"/>
  <c r="F822" i="4"/>
  <c r="G822" i="4"/>
  <c r="B823" i="4"/>
  <c r="C822" i="4"/>
  <c r="D822" i="4"/>
  <c r="C823" i="4" l="1"/>
  <c r="D823" i="4"/>
  <c r="E823" i="4"/>
  <c r="F823" i="4"/>
  <c r="G823" i="4"/>
  <c r="B824" i="4"/>
  <c r="C824" i="4" l="1"/>
  <c r="D824" i="4"/>
  <c r="E824" i="4"/>
  <c r="F824" i="4"/>
  <c r="G824" i="4"/>
  <c r="B825" i="4"/>
  <c r="G825" i="4" l="1"/>
  <c r="B826" i="4"/>
  <c r="D825" i="4"/>
  <c r="F825" i="4"/>
  <c r="C825" i="4"/>
  <c r="E825" i="4"/>
  <c r="C826" i="4" l="1"/>
  <c r="D826" i="4"/>
  <c r="G826" i="4"/>
  <c r="B827" i="4"/>
  <c r="E826" i="4"/>
  <c r="F826" i="4"/>
  <c r="C827" i="4" l="1"/>
  <c r="D827" i="4"/>
  <c r="E827" i="4"/>
  <c r="F827" i="4"/>
  <c r="G827" i="4"/>
  <c r="B828" i="4"/>
  <c r="E828" i="4" l="1"/>
  <c r="F828" i="4"/>
  <c r="G828" i="4"/>
  <c r="B829" i="4"/>
  <c r="C828" i="4"/>
  <c r="D828" i="4"/>
  <c r="D829" i="4" l="1"/>
  <c r="F829" i="4"/>
  <c r="C829" i="4"/>
  <c r="E829" i="4"/>
  <c r="G829" i="4"/>
  <c r="B830" i="4"/>
  <c r="C830" i="4" l="1"/>
  <c r="D830" i="4"/>
  <c r="E830" i="4"/>
  <c r="F830" i="4"/>
  <c r="G830" i="4"/>
  <c r="B831" i="4"/>
  <c r="C831" i="4" l="1"/>
  <c r="D831" i="4"/>
  <c r="E831" i="4"/>
  <c r="F831" i="4"/>
  <c r="G831" i="4"/>
  <c r="B832" i="4"/>
  <c r="C832" i="4" l="1"/>
  <c r="D832" i="4"/>
  <c r="F832" i="4"/>
  <c r="B833" i="4"/>
  <c r="G832" i="4"/>
  <c r="E832" i="4"/>
  <c r="G833" i="4" l="1"/>
  <c r="B834" i="4"/>
  <c r="E833" i="4"/>
  <c r="F833" i="4"/>
  <c r="C833" i="4"/>
  <c r="D833" i="4"/>
  <c r="C834" i="4" l="1"/>
  <c r="D834" i="4"/>
  <c r="E834" i="4"/>
  <c r="F834" i="4"/>
  <c r="G834" i="4"/>
  <c r="B835" i="4"/>
  <c r="C835" i="4" l="1"/>
  <c r="D835" i="4"/>
  <c r="E835" i="4"/>
  <c r="F835" i="4"/>
  <c r="B836" i="4"/>
  <c r="G835" i="4"/>
  <c r="E836" i="4" l="1"/>
  <c r="F836" i="4"/>
  <c r="G836" i="4"/>
  <c r="B837" i="4"/>
  <c r="D836" i="4"/>
  <c r="C836" i="4"/>
  <c r="E837" i="4" l="1"/>
  <c r="F837" i="4"/>
  <c r="G837" i="4"/>
  <c r="B838" i="4"/>
  <c r="C837" i="4"/>
  <c r="D837" i="4"/>
  <c r="C838" i="4" l="1"/>
  <c r="D838" i="4"/>
  <c r="E838" i="4"/>
  <c r="F838" i="4"/>
  <c r="G838" i="4"/>
  <c r="B839" i="4"/>
  <c r="C839" i="4" l="1"/>
  <c r="D839" i="4"/>
  <c r="E839" i="4"/>
  <c r="F839" i="4"/>
  <c r="B840" i="4"/>
  <c r="G839" i="4"/>
  <c r="G840" i="4" l="1"/>
  <c r="B841" i="4"/>
  <c r="D840" i="4"/>
  <c r="C840" i="4"/>
  <c r="E840" i="4"/>
  <c r="F840" i="4"/>
  <c r="G841" i="4" l="1"/>
  <c r="B842" i="4"/>
  <c r="C841" i="4"/>
  <c r="D841" i="4"/>
  <c r="E841" i="4"/>
  <c r="F841" i="4"/>
  <c r="C842" i="4" l="1"/>
  <c r="D842" i="4"/>
  <c r="E842" i="4"/>
  <c r="F842" i="4"/>
  <c r="G842" i="4"/>
  <c r="B843" i="4"/>
  <c r="D843" i="4" l="1"/>
  <c r="F843" i="4"/>
  <c r="C843" i="4"/>
  <c r="E843" i="4"/>
  <c r="G843" i="4"/>
  <c r="B844" i="4"/>
  <c r="E844" i="4" l="1"/>
  <c r="F844" i="4"/>
  <c r="G844" i="4"/>
  <c r="B845" i="4"/>
  <c r="C844" i="4"/>
  <c r="D844" i="4"/>
  <c r="C845" i="4" l="1"/>
  <c r="D845" i="4"/>
  <c r="E845" i="4"/>
  <c r="F845" i="4"/>
  <c r="G845" i="4"/>
  <c r="B846" i="4"/>
  <c r="C846" i="4" l="1"/>
  <c r="D846" i="4"/>
  <c r="F846" i="4"/>
  <c r="B847" i="4"/>
  <c r="G846" i="4"/>
  <c r="E846" i="4"/>
  <c r="C847" i="4" l="1"/>
  <c r="D847" i="4"/>
  <c r="E847" i="4"/>
  <c r="F847" i="4"/>
  <c r="G847" i="4"/>
  <c r="B848" i="4"/>
  <c r="C848" i="4" l="1"/>
  <c r="D848" i="4"/>
  <c r="E848" i="4"/>
  <c r="F848" i="4"/>
  <c r="G848" i="4"/>
  <c r="B849" i="4"/>
  <c r="G849" i="4" l="1"/>
  <c r="B850" i="4"/>
  <c r="C849" i="4"/>
  <c r="D849" i="4"/>
  <c r="E849" i="4"/>
  <c r="F849" i="4"/>
  <c r="C850" i="4" l="1"/>
  <c r="D850" i="4"/>
  <c r="F850" i="4"/>
  <c r="B851" i="4"/>
  <c r="E850" i="4"/>
  <c r="G850" i="4"/>
  <c r="E851" i="4" l="1"/>
  <c r="F851" i="4"/>
  <c r="G851" i="4"/>
  <c r="B852" i="4"/>
  <c r="C851" i="4"/>
  <c r="D851" i="4"/>
  <c r="E852" i="4" l="1"/>
  <c r="F852" i="4"/>
  <c r="G852" i="4"/>
  <c r="B853" i="4"/>
  <c r="C852" i="4"/>
  <c r="D852" i="4"/>
  <c r="C853" i="4" l="1"/>
  <c r="D853" i="4"/>
  <c r="E853" i="4"/>
  <c r="F853" i="4"/>
  <c r="B854" i="4"/>
  <c r="G853" i="4"/>
  <c r="G854" i="4" l="1"/>
  <c r="B855" i="4"/>
  <c r="D854" i="4"/>
  <c r="C854" i="4"/>
  <c r="E854" i="4"/>
  <c r="F854" i="4"/>
  <c r="C855" i="4" l="1"/>
  <c r="E855" i="4"/>
  <c r="F855" i="4"/>
  <c r="D855" i="4"/>
  <c r="G855" i="4"/>
  <c r="B856" i="4"/>
  <c r="C856" i="4" l="1"/>
  <c r="D856" i="4"/>
  <c r="E856" i="4"/>
  <c r="F856" i="4"/>
  <c r="G856" i="4"/>
  <c r="B857" i="4"/>
  <c r="B858" i="4" l="1"/>
  <c r="C857" i="4"/>
  <c r="E857" i="4"/>
  <c r="D857" i="4"/>
  <c r="F857" i="4"/>
  <c r="G857" i="4"/>
  <c r="C858" i="4" l="1"/>
  <c r="D858" i="4"/>
  <c r="E858" i="4"/>
  <c r="F858" i="4"/>
  <c r="G858" i="4"/>
  <c r="B859" i="4"/>
  <c r="C859" i="4" l="1"/>
  <c r="D859" i="4"/>
  <c r="E859" i="4"/>
  <c r="G859" i="4"/>
  <c r="B860" i="4"/>
  <c r="F859" i="4"/>
  <c r="F860" i="4" l="1"/>
  <c r="G860" i="4"/>
  <c r="B861" i="4"/>
  <c r="C860" i="4"/>
  <c r="D860" i="4"/>
  <c r="E860" i="4"/>
  <c r="C861" i="4" l="1"/>
  <c r="D861" i="4"/>
  <c r="E861" i="4"/>
  <c r="F861" i="4"/>
  <c r="G861" i="4"/>
  <c r="B862" i="4"/>
  <c r="C862" i="4" l="1"/>
  <c r="E862" i="4"/>
  <c r="G862" i="4"/>
  <c r="D862" i="4"/>
  <c r="F862" i="4"/>
  <c r="B863" i="4"/>
  <c r="D863" i="4" l="1"/>
  <c r="E863" i="4"/>
  <c r="F863" i="4"/>
  <c r="G863" i="4"/>
  <c r="B864" i="4"/>
  <c r="C863" i="4"/>
  <c r="C864" i="4" l="1"/>
  <c r="D864" i="4"/>
  <c r="E864" i="4"/>
  <c r="F864" i="4"/>
  <c r="G864" i="4"/>
  <c r="B865" i="4"/>
  <c r="B866" i="4" l="1"/>
  <c r="C865" i="4"/>
  <c r="E865" i="4"/>
  <c r="D865" i="4"/>
  <c r="F865" i="4"/>
  <c r="G865" i="4"/>
  <c r="C866" i="4" l="1"/>
  <c r="D866" i="4"/>
  <c r="E866" i="4"/>
  <c r="F866" i="4"/>
  <c r="G866" i="4"/>
  <c r="B867" i="4"/>
  <c r="C867" i="4" l="1"/>
  <c r="D867" i="4"/>
  <c r="E867" i="4"/>
  <c r="G867" i="4"/>
  <c r="F867" i="4"/>
  <c r="B868" i="4"/>
  <c r="F868" i="4" l="1"/>
  <c r="G868" i="4"/>
  <c r="B869" i="4"/>
  <c r="C868" i="4"/>
  <c r="D868" i="4"/>
  <c r="E868" i="4"/>
  <c r="C869" i="4" l="1"/>
  <c r="D869" i="4"/>
  <c r="E869" i="4"/>
  <c r="F869" i="4"/>
  <c r="G869" i="4"/>
  <c r="B870" i="4"/>
  <c r="C870" i="4" l="1"/>
  <c r="E870" i="4"/>
  <c r="G870" i="4"/>
  <c r="F870" i="4"/>
  <c r="B871" i="4"/>
  <c r="D870" i="4"/>
  <c r="D871" i="4" l="1"/>
  <c r="E871" i="4"/>
  <c r="F871" i="4"/>
  <c r="G871" i="4"/>
  <c r="B872" i="4"/>
  <c r="C871" i="4"/>
  <c r="C872" i="4" l="1"/>
  <c r="D872" i="4"/>
  <c r="E872" i="4"/>
  <c r="F872" i="4"/>
  <c r="G872" i="4"/>
  <c r="B873" i="4"/>
  <c r="B874" i="4" l="1"/>
  <c r="C873" i="4"/>
  <c r="E873" i="4"/>
  <c r="D873" i="4"/>
  <c r="F873" i="4"/>
  <c r="G873" i="4"/>
  <c r="C874" i="4" l="1"/>
  <c r="D874" i="4"/>
  <c r="E874" i="4"/>
  <c r="F874" i="4"/>
  <c r="G874" i="4"/>
  <c r="B875" i="4"/>
  <c r="C875" i="4" l="1"/>
  <c r="D875" i="4"/>
  <c r="E875" i="4"/>
  <c r="G875" i="4"/>
  <c r="F875" i="4"/>
  <c r="B876" i="4"/>
  <c r="F876" i="4" l="1"/>
  <c r="G876" i="4"/>
  <c r="B877" i="4"/>
  <c r="C876" i="4"/>
  <c r="D876" i="4"/>
  <c r="E876" i="4"/>
  <c r="C877" i="4" l="1"/>
  <c r="D877" i="4"/>
  <c r="E877" i="4"/>
  <c r="F877" i="4"/>
  <c r="G877" i="4"/>
  <c r="B878" i="4"/>
  <c r="C878" i="4" l="1"/>
  <c r="E878" i="4"/>
  <c r="G878" i="4"/>
  <c r="D878" i="4"/>
  <c r="F878" i="4"/>
  <c r="B879" i="4"/>
  <c r="D879" i="4" l="1"/>
  <c r="E879" i="4"/>
  <c r="F879" i="4"/>
  <c r="G879" i="4"/>
  <c r="B880" i="4"/>
  <c r="C879" i="4"/>
  <c r="C880" i="4" l="1"/>
  <c r="D880" i="4"/>
  <c r="E880" i="4"/>
  <c r="F880" i="4"/>
  <c r="G880" i="4"/>
  <c r="B881" i="4"/>
  <c r="B882" i="4" l="1"/>
  <c r="C881" i="4"/>
  <c r="E881" i="4"/>
  <c r="D881" i="4"/>
  <c r="F881" i="4"/>
  <c r="G881" i="4"/>
  <c r="C882" i="4" l="1"/>
  <c r="D882" i="4"/>
  <c r="E882" i="4"/>
  <c r="F882" i="4"/>
  <c r="G882" i="4"/>
  <c r="B883" i="4"/>
  <c r="C883" i="4" l="1"/>
  <c r="D883" i="4"/>
  <c r="E883" i="4"/>
  <c r="F883" i="4"/>
  <c r="G883" i="4"/>
  <c r="B884" i="4"/>
  <c r="F884" i="4" l="1"/>
  <c r="G884" i="4"/>
  <c r="B885" i="4"/>
  <c r="C884" i="4"/>
  <c r="D884" i="4"/>
  <c r="E884" i="4"/>
  <c r="C885" i="4" l="1"/>
  <c r="D885" i="4"/>
  <c r="E885" i="4"/>
  <c r="F885" i="4"/>
  <c r="G885" i="4"/>
  <c r="B886" i="4"/>
  <c r="C886" i="4" l="1"/>
  <c r="D886" i="4"/>
  <c r="E886" i="4"/>
  <c r="F886" i="4"/>
  <c r="G886" i="4"/>
  <c r="B887" i="4"/>
  <c r="D887" i="4" l="1"/>
  <c r="E887" i="4"/>
  <c r="F887" i="4"/>
  <c r="G887" i="4"/>
  <c r="B888" i="4"/>
  <c r="C887" i="4"/>
  <c r="C888" i="4" l="1"/>
  <c r="D888" i="4"/>
  <c r="E888" i="4"/>
  <c r="F888" i="4"/>
  <c r="G888" i="4"/>
  <c r="B889" i="4"/>
  <c r="B890" i="4" l="1"/>
  <c r="C889" i="4"/>
  <c r="D889" i="4"/>
  <c r="E889" i="4"/>
  <c r="F889" i="4"/>
  <c r="G889" i="4"/>
  <c r="C890" i="4" l="1"/>
  <c r="D890" i="4"/>
  <c r="E890" i="4"/>
  <c r="F890" i="4"/>
  <c r="G890" i="4"/>
  <c r="B891" i="4"/>
  <c r="C891" i="4" l="1"/>
  <c r="D891" i="4"/>
  <c r="E891" i="4"/>
  <c r="F891" i="4"/>
  <c r="G891" i="4"/>
  <c r="B892" i="4"/>
  <c r="F892" i="4" l="1"/>
  <c r="G892" i="4"/>
  <c r="B893" i="4"/>
  <c r="C892" i="4"/>
  <c r="D892" i="4"/>
  <c r="E892" i="4"/>
  <c r="C893" i="4" l="1"/>
  <c r="D893" i="4"/>
  <c r="E893" i="4"/>
  <c r="F893" i="4"/>
  <c r="G893" i="4"/>
  <c r="B894" i="4"/>
  <c r="G894" i="4" l="1"/>
  <c r="B895" i="4"/>
  <c r="D894" i="4"/>
  <c r="E894" i="4"/>
  <c r="C894" i="4"/>
  <c r="F894" i="4"/>
  <c r="D895" i="4" l="1"/>
  <c r="E895" i="4"/>
  <c r="F895" i="4"/>
  <c r="G895" i="4"/>
  <c r="B896" i="4"/>
  <c r="C895" i="4"/>
  <c r="C896" i="4" l="1"/>
  <c r="D896" i="4"/>
  <c r="E896" i="4"/>
  <c r="F896" i="4"/>
  <c r="G896" i="4"/>
  <c r="B897" i="4"/>
  <c r="B898" i="4" l="1"/>
  <c r="C897" i="4"/>
  <c r="D897" i="4"/>
  <c r="E897" i="4"/>
  <c r="F897" i="4"/>
  <c r="G897" i="4"/>
  <c r="C898" i="4" l="1"/>
  <c r="D898" i="4"/>
  <c r="E898" i="4"/>
  <c r="F898" i="4"/>
  <c r="G898" i="4"/>
  <c r="B899" i="4"/>
  <c r="C899" i="4" l="1"/>
  <c r="D899" i="4"/>
  <c r="E899" i="4"/>
  <c r="F899" i="4"/>
  <c r="B900" i="4"/>
  <c r="G899" i="4"/>
  <c r="F900" i="4" l="1"/>
  <c r="G900" i="4"/>
  <c r="B901" i="4"/>
  <c r="E900" i="4"/>
  <c r="C900" i="4"/>
  <c r="D900" i="4"/>
  <c r="C901" i="4" l="1"/>
  <c r="D901" i="4"/>
  <c r="E901" i="4"/>
  <c r="F901" i="4"/>
  <c r="G901" i="4"/>
  <c r="B902" i="4"/>
  <c r="C902" i="4" l="1"/>
  <c r="D902" i="4"/>
  <c r="E902" i="4"/>
  <c r="F902" i="4"/>
  <c r="G902" i="4"/>
  <c r="B903" i="4"/>
  <c r="D903" i="4" l="1"/>
  <c r="E903" i="4"/>
  <c r="F903" i="4"/>
  <c r="G903" i="4"/>
  <c r="B904" i="4"/>
  <c r="C903" i="4"/>
  <c r="C904" i="4" l="1"/>
  <c r="D904" i="4"/>
  <c r="E904" i="4"/>
  <c r="F904" i="4"/>
  <c r="G904" i="4"/>
  <c r="B905" i="4"/>
  <c r="B906" i="4" l="1"/>
  <c r="C905" i="4"/>
  <c r="D905" i="4"/>
  <c r="F905" i="4"/>
  <c r="G905" i="4"/>
  <c r="E905" i="4"/>
  <c r="C906" i="4" l="1"/>
  <c r="D906" i="4"/>
  <c r="E906" i="4"/>
  <c r="F906" i="4"/>
  <c r="G906" i="4"/>
  <c r="B907" i="4"/>
  <c r="C907" i="4" l="1"/>
  <c r="D907" i="4"/>
  <c r="F907" i="4"/>
  <c r="G907" i="4"/>
  <c r="B908" i="4"/>
  <c r="E907" i="4"/>
  <c r="F908" i="4" l="1"/>
  <c r="G908" i="4"/>
  <c r="B909" i="4"/>
  <c r="C908" i="4"/>
  <c r="D908" i="4"/>
  <c r="E908" i="4"/>
  <c r="C909" i="4" l="1"/>
  <c r="D909" i="4"/>
  <c r="E909" i="4"/>
  <c r="F909" i="4"/>
  <c r="G909" i="4"/>
  <c r="B910" i="4"/>
  <c r="C910" i="4" l="1"/>
  <c r="D910" i="4"/>
  <c r="E910" i="4"/>
  <c r="F910" i="4"/>
  <c r="G910" i="4"/>
  <c r="B911" i="4"/>
  <c r="D911" i="4" l="1"/>
  <c r="E911" i="4"/>
  <c r="F911" i="4"/>
  <c r="G911" i="4"/>
  <c r="B912" i="4"/>
  <c r="C911" i="4"/>
  <c r="C912" i="4" l="1"/>
  <c r="D912" i="4"/>
  <c r="E912" i="4"/>
  <c r="F912" i="4"/>
  <c r="G912" i="4"/>
  <c r="B913" i="4"/>
  <c r="B914" i="4" l="1"/>
  <c r="D913" i="4"/>
  <c r="E913" i="4"/>
  <c r="F913" i="4"/>
  <c r="G913" i="4"/>
  <c r="C913" i="4"/>
  <c r="C914" i="4" l="1"/>
  <c r="D914" i="4"/>
  <c r="E914" i="4"/>
  <c r="F914" i="4"/>
  <c r="G914" i="4"/>
  <c r="B915" i="4"/>
  <c r="C915" i="4" l="1"/>
  <c r="D915" i="4"/>
  <c r="E915" i="4"/>
  <c r="F915" i="4"/>
  <c r="G915" i="4"/>
  <c r="B916" i="4"/>
  <c r="F916" i="4" l="1"/>
  <c r="G916" i="4"/>
  <c r="B917" i="4"/>
  <c r="C916" i="4"/>
  <c r="D916" i="4"/>
  <c r="E916" i="4"/>
  <c r="C917" i="4" l="1"/>
  <c r="D917" i="4"/>
  <c r="E917" i="4"/>
  <c r="F917" i="4"/>
  <c r="G917" i="4"/>
  <c r="B918" i="4"/>
  <c r="B919" i="4" l="1"/>
  <c r="C918" i="4"/>
  <c r="E918" i="4"/>
  <c r="F918" i="4"/>
  <c r="D918" i="4"/>
  <c r="G918" i="4"/>
  <c r="D919" i="4" l="1"/>
  <c r="E919" i="4"/>
  <c r="F919" i="4"/>
  <c r="G919" i="4"/>
  <c r="B920" i="4"/>
  <c r="C919" i="4"/>
  <c r="C920" i="4" l="1"/>
  <c r="D920" i="4"/>
  <c r="E920" i="4"/>
  <c r="F920" i="4"/>
  <c r="G920" i="4"/>
  <c r="B921" i="4"/>
  <c r="B922" i="4" l="1"/>
  <c r="C921" i="4"/>
  <c r="D921" i="4"/>
  <c r="E921" i="4"/>
  <c r="F921" i="4"/>
  <c r="G921" i="4"/>
  <c r="C922" i="4" l="1"/>
  <c r="D922" i="4"/>
  <c r="E922" i="4"/>
  <c r="F922" i="4"/>
  <c r="G922" i="4"/>
  <c r="B923" i="4"/>
  <c r="C923" i="4" l="1"/>
  <c r="D923" i="4"/>
  <c r="E923" i="4"/>
  <c r="F923" i="4"/>
  <c r="G923" i="4"/>
  <c r="B924" i="4"/>
  <c r="F924" i="4" l="1"/>
  <c r="G924" i="4"/>
  <c r="B925" i="4"/>
  <c r="C924" i="4"/>
  <c r="D924" i="4"/>
  <c r="E924" i="4"/>
  <c r="C925" i="4" l="1"/>
  <c r="D925" i="4"/>
  <c r="E925" i="4"/>
  <c r="F925" i="4"/>
  <c r="G925" i="4"/>
  <c r="B926" i="4"/>
  <c r="C926" i="4" l="1"/>
  <c r="D926" i="4"/>
  <c r="E926" i="4"/>
  <c r="F926" i="4"/>
  <c r="G926" i="4"/>
  <c r="B927" i="4"/>
  <c r="D927" i="4" l="1"/>
  <c r="E927" i="4"/>
  <c r="F927" i="4"/>
  <c r="G927" i="4"/>
  <c r="B928" i="4"/>
  <c r="C927" i="4"/>
  <c r="C928" i="4" l="1"/>
  <c r="D928" i="4"/>
  <c r="E928" i="4"/>
  <c r="F928" i="4"/>
  <c r="G928" i="4"/>
  <c r="B929" i="4"/>
  <c r="B930" i="4" l="1"/>
  <c r="C929" i="4"/>
  <c r="D929" i="4"/>
  <c r="E929" i="4"/>
  <c r="G929" i="4"/>
  <c r="F929" i="4"/>
  <c r="C930" i="4" l="1"/>
  <c r="D930" i="4"/>
  <c r="E930" i="4"/>
  <c r="F930" i="4"/>
  <c r="G930" i="4"/>
  <c r="B931" i="4"/>
  <c r="C931" i="4" l="1"/>
  <c r="D931" i="4"/>
  <c r="G931" i="4"/>
  <c r="B932" i="4"/>
  <c r="E931" i="4"/>
  <c r="F931" i="4"/>
  <c r="F932" i="4" l="1"/>
  <c r="G932" i="4"/>
  <c r="B933" i="4"/>
  <c r="C932" i="4"/>
  <c r="D932" i="4"/>
  <c r="E932" i="4"/>
  <c r="C933" i="4" l="1"/>
  <c r="D933" i="4"/>
  <c r="E933" i="4"/>
  <c r="F933" i="4"/>
  <c r="G933" i="4"/>
  <c r="B934" i="4"/>
  <c r="C934" i="4" l="1"/>
  <c r="D934" i="4"/>
  <c r="E934" i="4"/>
  <c r="F934" i="4"/>
  <c r="G934" i="4"/>
  <c r="B935" i="4"/>
  <c r="D935" i="4" l="1"/>
  <c r="E935" i="4"/>
  <c r="F935" i="4"/>
  <c r="G935" i="4"/>
  <c r="B936" i="4"/>
  <c r="C935" i="4"/>
  <c r="C936" i="4" l="1"/>
  <c r="D936" i="4"/>
  <c r="E936" i="4"/>
  <c r="G936" i="4"/>
  <c r="B937" i="4"/>
  <c r="F936" i="4"/>
  <c r="B938" i="4" l="1"/>
  <c r="D937" i="4"/>
  <c r="E937" i="4"/>
  <c r="F937" i="4"/>
  <c r="G937" i="4"/>
  <c r="C937" i="4"/>
  <c r="C938" i="4" l="1"/>
  <c r="D938" i="4"/>
  <c r="E938" i="4"/>
  <c r="F938" i="4"/>
  <c r="G938" i="4"/>
  <c r="B939" i="4"/>
  <c r="C939" i="4" l="1"/>
  <c r="D939" i="4"/>
  <c r="E939" i="4"/>
  <c r="F939" i="4"/>
  <c r="G939" i="4"/>
  <c r="B940" i="4"/>
  <c r="F940" i="4" l="1"/>
  <c r="G940" i="4"/>
  <c r="B941" i="4"/>
  <c r="C940" i="4"/>
  <c r="D940" i="4"/>
  <c r="E940" i="4"/>
  <c r="C941" i="4" l="1"/>
  <c r="D941" i="4"/>
  <c r="E941" i="4"/>
  <c r="F941" i="4"/>
  <c r="G941" i="4"/>
  <c r="B942" i="4"/>
  <c r="F942" i="4" l="1"/>
  <c r="G942" i="4"/>
  <c r="B943" i="4"/>
  <c r="C942" i="4"/>
  <c r="D942" i="4"/>
  <c r="E942" i="4"/>
  <c r="D943" i="4" l="1"/>
  <c r="E943" i="4"/>
  <c r="F943" i="4"/>
  <c r="G943" i="4"/>
  <c r="B944" i="4"/>
  <c r="C943" i="4"/>
  <c r="C944" i="4" l="1"/>
  <c r="D944" i="4"/>
  <c r="E944" i="4"/>
  <c r="F944" i="4"/>
  <c r="G944" i="4"/>
  <c r="B945" i="4"/>
  <c r="B946" i="4" l="1"/>
  <c r="C945" i="4"/>
  <c r="D945" i="4"/>
  <c r="E945" i="4"/>
  <c r="F945" i="4"/>
  <c r="G945" i="4"/>
  <c r="C946" i="4" l="1"/>
  <c r="D946" i="4"/>
  <c r="E946" i="4"/>
  <c r="F946" i="4"/>
  <c r="G946" i="4"/>
  <c r="B947" i="4"/>
  <c r="C947" i="4" l="1"/>
  <c r="B948" i="4"/>
  <c r="E947" i="4"/>
  <c r="F947" i="4"/>
  <c r="D947" i="4"/>
  <c r="G947" i="4"/>
  <c r="F948" i="4" l="1"/>
  <c r="G948" i="4"/>
  <c r="B949" i="4"/>
  <c r="C948" i="4"/>
  <c r="D948" i="4"/>
  <c r="E948" i="4"/>
  <c r="C949" i="4" l="1"/>
  <c r="D949" i="4"/>
  <c r="E949" i="4"/>
  <c r="F949" i="4"/>
  <c r="G949" i="4"/>
  <c r="B950" i="4"/>
  <c r="C950" i="4" l="1"/>
  <c r="D950" i="4"/>
  <c r="E950" i="4"/>
  <c r="F950" i="4"/>
  <c r="G950" i="4"/>
  <c r="B951" i="4"/>
  <c r="D951" i="4" l="1"/>
  <c r="E951" i="4"/>
  <c r="F951" i="4"/>
  <c r="G951" i="4"/>
  <c r="B952" i="4"/>
  <c r="C951" i="4"/>
  <c r="C952" i="4" l="1"/>
  <c r="D952" i="4"/>
  <c r="E952" i="4"/>
  <c r="G952" i="4"/>
  <c r="B953" i="4"/>
  <c r="F952" i="4"/>
  <c r="B954" i="4" l="1"/>
  <c r="D953" i="4"/>
  <c r="E953" i="4"/>
  <c r="F953" i="4"/>
  <c r="G953" i="4"/>
  <c r="C953" i="4"/>
  <c r="C954" i="4" l="1"/>
  <c r="D954" i="4"/>
  <c r="E954" i="4"/>
  <c r="F954" i="4"/>
  <c r="G954" i="4"/>
  <c r="B955" i="4"/>
  <c r="C955" i="4" l="1"/>
  <c r="D955" i="4"/>
  <c r="E955" i="4"/>
  <c r="F955" i="4"/>
  <c r="G955" i="4"/>
  <c r="B956" i="4"/>
  <c r="F956" i="4" l="1"/>
  <c r="G956" i="4"/>
  <c r="B957" i="4"/>
  <c r="C956" i="4"/>
  <c r="D956" i="4"/>
  <c r="E956" i="4"/>
  <c r="C957" i="4" l="1"/>
  <c r="D957" i="4"/>
  <c r="E957" i="4"/>
  <c r="F957" i="4"/>
  <c r="G957" i="4"/>
  <c r="B958" i="4"/>
  <c r="F958" i="4" l="1"/>
  <c r="G958" i="4"/>
  <c r="B959" i="4"/>
  <c r="C958" i="4"/>
  <c r="D958" i="4"/>
  <c r="E958" i="4"/>
  <c r="D959" i="4" l="1"/>
  <c r="E959" i="4"/>
  <c r="F959" i="4"/>
  <c r="G959" i="4"/>
  <c r="B960" i="4"/>
  <c r="C959" i="4"/>
  <c r="C960" i="4" l="1"/>
  <c r="D960" i="4"/>
  <c r="E960" i="4"/>
  <c r="F960" i="4"/>
  <c r="G960" i="4"/>
  <c r="B961" i="4"/>
  <c r="B962" i="4" l="1"/>
  <c r="C961" i="4"/>
  <c r="D961" i="4"/>
  <c r="E961" i="4"/>
  <c r="F961" i="4"/>
  <c r="G961" i="4"/>
  <c r="C962" i="4" l="1"/>
  <c r="D962" i="4"/>
  <c r="E962" i="4"/>
  <c r="F962" i="4"/>
  <c r="G962" i="4"/>
  <c r="B963" i="4"/>
  <c r="F963" i="4" l="1"/>
  <c r="G963" i="4"/>
  <c r="B964" i="4"/>
  <c r="C963" i="4"/>
  <c r="D963" i="4"/>
  <c r="E963" i="4"/>
  <c r="F964" i="4" l="1"/>
  <c r="G964" i="4"/>
  <c r="B965" i="4"/>
  <c r="C964" i="4"/>
  <c r="D964" i="4"/>
  <c r="E964" i="4"/>
  <c r="C965" i="4" l="1"/>
  <c r="D965" i="4"/>
  <c r="E965" i="4"/>
  <c r="F965" i="4"/>
  <c r="G965" i="4"/>
  <c r="B966" i="4"/>
  <c r="C966" i="4" l="1"/>
  <c r="D966" i="4"/>
  <c r="E966" i="4"/>
  <c r="F966" i="4"/>
  <c r="B967" i="4"/>
  <c r="G966" i="4"/>
  <c r="D967" i="4" l="1"/>
  <c r="E967" i="4"/>
  <c r="F967" i="4"/>
  <c r="G967" i="4"/>
  <c r="B968" i="4"/>
  <c r="C967" i="4"/>
  <c r="C968" i="4" l="1"/>
  <c r="D968" i="4"/>
  <c r="F968" i="4"/>
  <c r="G968" i="4"/>
  <c r="B969" i="4"/>
  <c r="E968" i="4"/>
  <c r="B970" i="4" l="1"/>
  <c r="C969" i="4"/>
  <c r="D969" i="4"/>
  <c r="E969" i="4"/>
  <c r="F969" i="4"/>
  <c r="G969" i="4"/>
  <c r="C970" i="4" l="1"/>
  <c r="D970" i="4"/>
  <c r="E970" i="4"/>
  <c r="F970" i="4"/>
  <c r="G970" i="4"/>
  <c r="B971" i="4"/>
  <c r="C971" i="4" l="1"/>
  <c r="D971" i="4"/>
  <c r="E971" i="4"/>
  <c r="F971" i="4"/>
  <c r="B972" i="4"/>
  <c r="G971" i="4"/>
  <c r="F972" i="4" l="1"/>
  <c r="G972" i="4"/>
  <c r="B973" i="4"/>
  <c r="E972" i="4"/>
  <c r="C972" i="4"/>
  <c r="D972" i="4"/>
  <c r="C973" i="4" l="1"/>
  <c r="D973" i="4"/>
  <c r="E973" i="4"/>
  <c r="F973" i="4"/>
  <c r="G973" i="4"/>
  <c r="B974" i="4"/>
  <c r="C974" i="4" l="1"/>
  <c r="D974" i="4"/>
  <c r="E974" i="4"/>
  <c r="F974" i="4"/>
  <c r="G974" i="4"/>
  <c r="B975" i="4"/>
  <c r="D975" i="4" l="1"/>
  <c r="E975" i="4"/>
  <c r="F975" i="4"/>
  <c r="G975" i="4"/>
  <c r="B976" i="4"/>
  <c r="C975" i="4"/>
  <c r="C976" i="4" l="1"/>
  <c r="D976" i="4"/>
  <c r="E976" i="4"/>
  <c r="F976" i="4"/>
  <c r="B977" i="4"/>
  <c r="G976" i="4"/>
  <c r="B978" i="4" l="1"/>
  <c r="E977" i="4"/>
  <c r="F977" i="4"/>
  <c r="G977" i="4"/>
  <c r="C977" i="4"/>
  <c r="D977" i="4"/>
  <c r="C978" i="4" l="1"/>
  <c r="D978" i="4"/>
  <c r="E978" i="4"/>
  <c r="F978" i="4"/>
  <c r="G978" i="4"/>
  <c r="B979" i="4"/>
  <c r="C979" i="4" l="1"/>
  <c r="D979" i="4"/>
  <c r="E979" i="4"/>
  <c r="F979" i="4"/>
  <c r="G979" i="4"/>
  <c r="B980" i="4"/>
  <c r="F980" i="4" l="1"/>
  <c r="G980" i="4"/>
  <c r="B981" i="4"/>
  <c r="C980" i="4"/>
  <c r="D980" i="4"/>
  <c r="E980" i="4"/>
  <c r="C981" i="4" l="1"/>
  <c r="D981" i="4"/>
  <c r="E981" i="4"/>
  <c r="F981" i="4"/>
  <c r="B982" i="4"/>
  <c r="G981" i="4"/>
  <c r="E982" i="4" l="1"/>
  <c r="F982" i="4"/>
  <c r="G982" i="4"/>
  <c r="B983" i="4"/>
  <c r="C982" i="4"/>
  <c r="D982" i="4"/>
  <c r="D983" i="4" l="1"/>
  <c r="E983" i="4"/>
  <c r="F983" i="4"/>
  <c r="G983" i="4"/>
  <c r="B984" i="4"/>
  <c r="C983" i="4"/>
  <c r="C984" i="4" l="1"/>
  <c r="D984" i="4"/>
  <c r="E984" i="4"/>
  <c r="F984" i="4"/>
  <c r="G984" i="4"/>
  <c r="B985" i="4"/>
  <c r="B986" i="4" l="1"/>
  <c r="C985" i="4"/>
  <c r="D985" i="4"/>
  <c r="E985" i="4"/>
  <c r="G985" i="4"/>
  <c r="F985" i="4"/>
  <c r="C986" i="4" l="1"/>
  <c r="D986" i="4"/>
  <c r="E986" i="4"/>
  <c r="F986" i="4"/>
  <c r="G986" i="4"/>
  <c r="B987" i="4"/>
  <c r="D987" i="4" l="1"/>
  <c r="E987" i="4"/>
  <c r="F987" i="4"/>
  <c r="G987" i="4"/>
  <c r="B988" i="4"/>
  <c r="C987" i="4"/>
  <c r="F988" i="4" l="1"/>
  <c r="G988" i="4"/>
  <c r="B989" i="4"/>
  <c r="C988" i="4"/>
  <c r="D988" i="4"/>
  <c r="E988" i="4"/>
  <c r="C989" i="4" l="1"/>
  <c r="D989" i="4"/>
  <c r="E989" i="4"/>
  <c r="F989" i="4"/>
  <c r="G989" i="4"/>
  <c r="B990" i="4"/>
  <c r="B991" i="4" l="1"/>
  <c r="C990" i="4"/>
  <c r="E990" i="4"/>
  <c r="F990" i="4"/>
  <c r="D990" i="4"/>
  <c r="G990" i="4"/>
  <c r="D991" i="4" l="1"/>
  <c r="E991" i="4"/>
  <c r="F991" i="4"/>
  <c r="G991" i="4"/>
  <c r="B992" i="4"/>
  <c r="C991" i="4"/>
  <c r="C992" i="4" l="1"/>
  <c r="D992" i="4"/>
  <c r="E992" i="4"/>
  <c r="F992" i="4"/>
  <c r="G992" i="4"/>
  <c r="B993" i="4"/>
  <c r="B994" i="4" l="1"/>
  <c r="C993" i="4"/>
  <c r="D993" i="4"/>
  <c r="E993" i="4"/>
  <c r="F993" i="4"/>
  <c r="G993" i="4"/>
  <c r="C994" i="4" l="1"/>
  <c r="D994" i="4"/>
  <c r="E994" i="4"/>
  <c r="F994" i="4"/>
  <c r="G994" i="4"/>
  <c r="B995" i="4"/>
  <c r="F995" i="4" l="1"/>
  <c r="G995" i="4"/>
  <c r="B996" i="4"/>
  <c r="C995" i="4"/>
  <c r="D995" i="4"/>
  <c r="E995" i="4"/>
  <c r="F996" i="4" l="1"/>
  <c r="G996" i="4"/>
  <c r="B997" i="4"/>
  <c r="C996" i="4"/>
  <c r="D996" i="4"/>
  <c r="E996" i="4"/>
  <c r="C997" i="4" l="1"/>
  <c r="D997" i="4"/>
  <c r="E997" i="4"/>
  <c r="F997" i="4"/>
  <c r="G997" i="4"/>
  <c r="B998" i="4"/>
  <c r="C998" i="4" l="1"/>
  <c r="D998" i="4"/>
  <c r="E998" i="4"/>
  <c r="G998" i="4"/>
  <c r="B999" i="4"/>
  <c r="F998" i="4"/>
  <c r="D999" i="4" l="1"/>
  <c r="E999" i="4"/>
  <c r="F999" i="4"/>
  <c r="G999" i="4"/>
  <c r="B1000" i="4"/>
  <c r="C999" i="4"/>
  <c r="C1000" i="4" l="1"/>
  <c r="D1000" i="4"/>
  <c r="E1000" i="4"/>
  <c r="F1000" i="4"/>
  <c r="G1000" i="4"/>
  <c r="B1001" i="4"/>
  <c r="B1002" i="4" l="1"/>
  <c r="C1001" i="4"/>
  <c r="D1001" i="4"/>
  <c r="E1001" i="4"/>
  <c r="F1001" i="4"/>
  <c r="G1001" i="4"/>
  <c r="C1002" i="4" l="1"/>
  <c r="D1002" i="4"/>
  <c r="E1002" i="4"/>
  <c r="F1002" i="4"/>
  <c r="G1002" i="4"/>
  <c r="B1003" i="4"/>
  <c r="F1003" i="4" l="1"/>
  <c r="G1003" i="4"/>
  <c r="B1004" i="4"/>
  <c r="C1003" i="4"/>
  <c r="D1003" i="4"/>
  <c r="E1003" i="4"/>
  <c r="F1004" i="4" l="1"/>
  <c r="G1004" i="4"/>
  <c r="B1005" i="4"/>
  <c r="C1004" i="4"/>
  <c r="D1004" i="4"/>
  <c r="E1004" i="4"/>
  <c r="C1005" i="4" l="1"/>
  <c r="D1005" i="4"/>
  <c r="E1005" i="4"/>
  <c r="F1005" i="4"/>
  <c r="G1005" i="4"/>
  <c r="B1006" i="4"/>
  <c r="C1006" i="4" l="1"/>
  <c r="D1006" i="4"/>
  <c r="F1006" i="4"/>
  <c r="G1006" i="4"/>
  <c r="E1006" i="4"/>
  <c r="B1007" i="4"/>
  <c r="D1007" i="4" l="1"/>
  <c r="E1007" i="4"/>
  <c r="F1007" i="4"/>
  <c r="G1007" i="4"/>
  <c r="B1008" i="4"/>
  <c r="C1007" i="4"/>
  <c r="C1008" i="4" l="1"/>
  <c r="D1008" i="4"/>
  <c r="E1008" i="4"/>
  <c r="F1008" i="4"/>
  <c r="G1008" i="4"/>
  <c r="B1009" i="4"/>
  <c r="B1010" i="4" l="1"/>
  <c r="C1009" i="4"/>
  <c r="D1009" i="4"/>
  <c r="E1009" i="4"/>
  <c r="F1009" i="4"/>
  <c r="G1009" i="4"/>
  <c r="C1010" i="4" l="1"/>
  <c r="D1010" i="4"/>
  <c r="E1010" i="4"/>
  <c r="F1010" i="4"/>
  <c r="B1011" i="4"/>
  <c r="G1010" i="4"/>
  <c r="E1011" i="4" l="1"/>
  <c r="F1011" i="4"/>
  <c r="G1011" i="4"/>
  <c r="B1012" i="4"/>
  <c r="C1011" i="4"/>
  <c r="D1011" i="4"/>
  <c r="F1012" i="4" l="1"/>
  <c r="G1012" i="4"/>
  <c r="B1013" i="4"/>
  <c r="C1012" i="4"/>
  <c r="D1012" i="4"/>
  <c r="E1012" i="4"/>
  <c r="C1013" i="4" l="1"/>
  <c r="D1013" i="4"/>
  <c r="E1013" i="4"/>
  <c r="F1013" i="4"/>
  <c r="G1013" i="4"/>
  <c r="B1014" i="4"/>
  <c r="B1015" i="4" l="1"/>
  <c r="C1014" i="4"/>
  <c r="E1014" i="4"/>
  <c r="F1014" i="4"/>
  <c r="D1014" i="4"/>
  <c r="G1014" i="4"/>
  <c r="D1015" i="4" l="1"/>
  <c r="E1015" i="4"/>
  <c r="F1015" i="4"/>
  <c r="G1015" i="4"/>
  <c r="B1016" i="4"/>
  <c r="C1015" i="4"/>
  <c r="C1016" i="4" l="1"/>
  <c r="D1016" i="4"/>
  <c r="E1016" i="4"/>
  <c r="F1016" i="4"/>
  <c r="G1016" i="4"/>
  <c r="B1017" i="4"/>
  <c r="C1017" i="4" l="1"/>
  <c r="D1017" i="4"/>
  <c r="E1017" i="4"/>
  <c r="F1017" i="4"/>
  <c r="B1018" i="4"/>
  <c r="G1017" i="4"/>
  <c r="E1018" i="4" l="1"/>
  <c r="F1018" i="4"/>
  <c r="G1018" i="4"/>
  <c r="B1019" i="4"/>
  <c r="C1018" i="4"/>
  <c r="D1018" i="4"/>
  <c r="C1019" i="4" l="1"/>
  <c r="D1019" i="4"/>
  <c r="E1019" i="4"/>
  <c r="F1019" i="4"/>
  <c r="G1019" i="4"/>
  <c r="B1020" i="4"/>
  <c r="C1020" i="4" l="1"/>
  <c r="D1020" i="4"/>
  <c r="F1020" i="4"/>
  <c r="G1020" i="4"/>
  <c r="E1020" i="4"/>
  <c r="B1021" i="4"/>
  <c r="C1021" i="4" l="1"/>
  <c r="D1021" i="4"/>
  <c r="E1021" i="4"/>
  <c r="F1021" i="4"/>
  <c r="G1021" i="4"/>
  <c r="B1022" i="4"/>
  <c r="C1022" i="4" l="1"/>
  <c r="D1022" i="4"/>
  <c r="E1022" i="4"/>
  <c r="F1022" i="4"/>
  <c r="G1022" i="4"/>
  <c r="B1023" i="4"/>
  <c r="G1023" i="4" l="1"/>
  <c r="B1024" i="4"/>
  <c r="D1023" i="4"/>
  <c r="E1023" i="4"/>
  <c r="F1023" i="4"/>
  <c r="C1023" i="4"/>
  <c r="C1024" i="4" l="1"/>
  <c r="D1024" i="4"/>
  <c r="E1024" i="4"/>
  <c r="F1024" i="4"/>
  <c r="G1024" i="4"/>
  <c r="B1025" i="4"/>
  <c r="C1025" i="4" l="1"/>
  <c r="D1025" i="4"/>
  <c r="E1025" i="4"/>
  <c r="F1025" i="4"/>
  <c r="B1026" i="4"/>
  <c r="G1025" i="4"/>
  <c r="E1026" i="4" l="1"/>
  <c r="F1026" i="4"/>
  <c r="G1026" i="4"/>
  <c r="B1027" i="4"/>
  <c r="C1026" i="4"/>
  <c r="D1026" i="4"/>
  <c r="C1027" i="4" l="1"/>
  <c r="D1027" i="4"/>
  <c r="E1027" i="4"/>
  <c r="F1027" i="4"/>
  <c r="G1027" i="4"/>
  <c r="B1028" i="4"/>
  <c r="C1028" i="4" l="1"/>
  <c r="D1028" i="4"/>
  <c r="F1028" i="4"/>
  <c r="G1028" i="4"/>
  <c r="E1028" i="4"/>
  <c r="B1029" i="4"/>
  <c r="C1029" i="4" l="1"/>
  <c r="D1029" i="4"/>
  <c r="E1029" i="4"/>
  <c r="F1029" i="4"/>
  <c r="G1029" i="4"/>
  <c r="B1030" i="4"/>
  <c r="C1030" i="4" l="1"/>
  <c r="D1030" i="4"/>
  <c r="E1030" i="4"/>
  <c r="F1030" i="4"/>
  <c r="G1030" i="4"/>
  <c r="B1031" i="4"/>
  <c r="G1031" i="4" l="1"/>
  <c r="B1032" i="4"/>
  <c r="D1031" i="4"/>
  <c r="E1031" i="4"/>
  <c r="C1031" i="4"/>
  <c r="F1031" i="4"/>
  <c r="C1032" i="4" l="1"/>
  <c r="D1032" i="4"/>
  <c r="E1032" i="4"/>
  <c r="F1032" i="4"/>
  <c r="G1032" i="4"/>
  <c r="B1033" i="4"/>
  <c r="C1033" i="4" l="1"/>
  <c r="D1033" i="4"/>
  <c r="E1033" i="4"/>
  <c r="F1033" i="4"/>
  <c r="B1034" i="4"/>
  <c r="G1033" i="4"/>
  <c r="E1034" i="4" l="1"/>
  <c r="F1034" i="4"/>
  <c r="G1034" i="4"/>
  <c r="B1035" i="4"/>
  <c r="C1034" i="4"/>
  <c r="D1034" i="4"/>
  <c r="C1035" i="4" l="1"/>
  <c r="D1035" i="4"/>
  <c r="E1035" i="4"/>
  <c r="F1035" i="4"/>
  <c r="G1035" i="4"/>
  <c r="B1036" i="4"/>
  <c r="C1036" i="4" l="1"/>
  <c r="D1036" i="4"/>
  <c r="F1036" i="4"/>
  <c r="G1036" i="4"/>
  <c r="E1036" i="4"/>
  <c r="B1037" i="4"/>
  <c r="C1037" i="4" l="1"/>
  <c r="D1037" i="4"/>
  <c r="E1037" i="4"/>
  <c r="F1037" i="4"/>
  <c r="G1037" i="4"/>
  <c r="B1038" i="4"/>
  <c r="C1038" i="4" l="1"/>
  <c r="D1038" i="4"/>
  <c r="E1038" i="4"/>
  <c r="F1038" i="4"/>
  <c r="G1038" i="4"/>
  <c r="B1039" i="4"/>
  <c r="G1039" i="4" l="1"/>
  <c r="B1040" i="4"/>
  <c r="D1039" i="4"/>
  <c r="E1039" i="4"/>
  <c r="C1039" i="4"/>
  <c r="F1039" i="4"/>
  <c r="C1040" i="4" l="1"/>
  <c r="D1040" i="4"/>
  <c r="E1040" i="4"/>
  <c r="F1040" i="4"/>
  <c r="G1040" i="4"/>
  <c r="B1041" i="4"/>
  <c r="C1041" i="4" l="1"/>
  <c r="D1041" i="4"/>
  <c r="E1041" i="4"/>
  <c r="F1041" i="4"/>
  <c r="B1042" i="4"/>
  <c r="G1041" i="4"/>
  <c r="E1042" i="4" l="1"/>
  <c r="F1042" i="4"/>
  <c r="G1042" i="4"/>
  <c r="B1043" i="4"/>
  <c r="C1042" i="4"/>
  <c r="D1042" i="4"/>
  <c r="C1043" i="4" l="1"/>
  <c r="D1043" i="4"/>
  <c r="E1043" i="4"/>
  <c r="F1043" i="4"/>
  <c r="G1043" i="4"/>
  <c r="B1044" i="4"/>
  <c r="C1044" i="4" l="1"/>
  <c r="D1044" i="4"/>
  <c r="F1044" i="4"/>
  <c r="G1044" i="4"/>
  <c r="B1045" i="4"/>
  <c r="E1044" i="4"/>
  <c r="C1045" i="4" l="1"/>
  <c r="D1045" i="4"/>
  <c r="E1045" i="4"/>
  <c r="F1045" i="4"/>
  <c r="G1045" i="4"/>
  <c r="B1046" i="4"/>
  <c r="C1046" i="4" l="1"/>
  <c r="D1046" i="4"/>
  <c r="E1046" i="4"/>
  <c r="F1046" i="4"/>
  <c r="G1046" i="4"/>
  <c r="B1047" i="4"/>
  <c r="G1047" i="4" l="1"/>
  <c r="B1048" i="4"/>
  <c r="D1047" i="4"/>
  <c r="E1047" i="4"/>
  <c r="C1047" i="4"/>
  <c r="F1047" i="4"/>
  <c r="C1048" i="4" l="1"/>
  <c r="D1048" i="4"/>
  <c r="E1048" i="4"/>
  <c r="F1048" i="4"/>
  <c r="G1048" i="4"/>
  <c r="B1049" i="4"/>
  <c r="C1049" i="4" l="1"/>
  <c r="D1049" i="4"/>
  <c r="E1049" i="4"/>
  <c r="F1049" i="4"/>
  <c r="B1050" i="4"/>
  <c r="G1049" i="4"/>
  <c r="E1050" i="4" l="1"/>
  <c r="F1050" i="4"/>
  <c r="G1050" i="4"/>
  <c r="B1051" i="4"/>
  <c r="C1050" i="4"/>
  <c r="D1050" i="4"/>
  <c r="C1051" i="4" l="1"/>
  <c r="D1051" i="4"/>
  <c r="E1051" i="4"/>
  <c r="F1051" i="4"/>
  <c r="G1051" i="4"/>
  <c r="B1052" i="4"/>
  <c r="C1052" i="4" l="1"/>
  <c r="D1052" i="4"/>
  <c r="F1052" i="4"/>
  <c r="G1052" i="4"/>
  <c r="E1052" i="4"/>
  <c r="B1053" i="4"/>
  <c r="C1053" i="4" l="1"/>
  <c r="D1053" i="4"/>
  <c r="E1053" i="4"/>
  <c r="F1053" i="4"/>
  <c r="G1053" i="4"/>
  <c r="B1054" i="4"/>
  <c r="C1054" i="4" l="1"/>
  <c r="D1054" i="4"/>
  <c r="E1054" i="4"/>
  <c r="F1054" i="4"/>
  <c r="G1054" i="4"/>
  <c r="B1055" i="4"/>
  <c r="G1055" i="4" l="1"/>
  <c r="B1056" i="4"/>
  <c r="D1055" i="4"/>
  <c r="E1055" i="4"/>
  <c r="C1055" i="4"/>
  <c r="F1055" i="4"/>
  <c r="C1056" i="4" l="1"/>
  <c r="D1056" i="4"/>
  <c r="E1056" i="4"/>
  <c r="F1056" i="4"/>
  <c r="G1056" i="4"/>
  <c r="B1057" i="4"/>
  <c r="C1057" i="4" l="1"/>
  <c r="D1057" i="4"/>
  <c r="E1057" i="4"/>
  <c r="B1058" i="4"/>
  <c r="F1057" i="4"/>
  <c r="G1057" i="4"/>
  <c r="E1058" i="4" l="1"/>
  <c r="F1058" i="4"/>
  <c r="G1058" i="4"/>
  <c r="B1059" i="4"/>
  <c r="C1058" i="4"/>
  <c r="D1058" i="4"/>
  <c r="C1059" i="4" l="1"/>
  <c r="D1059" i="4"/>
  <c r="E1059" i="4"/>
  <c r="F1059" i="4"/>
  <c r="G1059" i="4"/>
  <c r="B1060" i="4"/>
  <c r="C1060" i="4" l="1"/>
  <c r="F1060" i="4"/>
  <c r="G1060" i="4"/>
  <c r="E1060" i="4"/>
  <c r="D1060" i="4"/>
  <c r="B1061" i="4"/>
  <c r="C1061" i="4" l="1"/>
  <c r="D1061" i="4"/>
  <c r="E1061" i="4"/>
  <c r="F1061" i="4"/>
  <c r="G1061" i="4"/>
  <c r="B1062" i="4"/>
  <c r="C1062" i="4" l="1"/>
  <c r="D1062" i="4"/>
  <c r="E1062" i="4"/>
  <c r="F1062" i="4"/>
  <c r="G1062" i="4"/>
  <c r="B1063" i="4"/>
  <c r="G1063" i="4" l="1"/>
  <c r="B1064" i="4"/>
  <c r="D1063" i="4"/>
  <c r="E1063" i="4"/>
  <c r="C1063" i="4"/>
  <c r="F1063" i="4"/>
  <c r="C1064" i="4" l="1"/>
  <c r="D1064" i="4"/>
  <c r="E1064" i="4"/>
  <c r="F1064" i="4"/>
  <c r="G1064" i="4"/>
  <c r="B1065" i="4"/>
  <c r="C1065" i="4" l="1"/>
  <c r="D1065" i="4"/>
  <c r="E1065" i="4"/>
  <c r="B1066" i="4"/>
  <c r="F1065" i="4"/>
  <c r="G1065" i="4"/>
  <c r="E1066" i="4" l="1"/>
  <c r="F1066" i="4"/>
  <c r="G1066" i="4"/>
  <c r="B1067" i="4"/>
  <c r="C1066" i="4"/>
  <c r="D1066" i="4"/>
  <c r="C1067" i="4" l="1"/>
  <c r="D1067" i="4"/>
  <c r="E1067" i="4"/>
  <c r="F1067" i="4"/>
  <c r="G1067" i="4"/>
  <c r="B1068" i="4"/>
  <c r="C1068" i="4" l="1"/>
  <c r="F1068" i="4"/>
  <c r="G1068" i="4"/>
  <c r="D1068" i="4"/>
  <c r="E1068" i="4"/>
  <c r="B1069" i="4"/>
  <c r="C1069" i="4" l="1"/>
  <c r="D1069" i="4"/>
  <c r="E1069" i="4"/>
  <c r="F1069" i="4"/>
  <c r="G1069" i="4"/>
  <c r="B1070" i="4"/>
  <c r="C1070" i="4" l="1"/>
  <c r="D1070" i="4"/>
  <c r="E1070" i="4"/>
  <c r="F1070" i="4"/>
  <c r="G1070" i="4"/>
  <c r="B1071" i="4"/>
  <c r="G1071" i="4" l="1"/>
  <c r="B1072" i="4"/>
  <c r="D1071" i="4"/>
  <c r="E1071" i="4"/>
  <c r="C1071" i="4"/>
  <c r="F1071" i="4"/>
  <c r="C1072" i="4" l="1"/>
  <c r="D1072" i="4"/>
  <c r="E1072" i="4"/>
  <c r="F1072" i="4"/>
  <c r="G1072" i="4"/>
  <c r="B1073" i="4"/>
  <c r="C1073" i="4" l="1"/>
  <c r="D1073" i="4"/>
  <c r="E1073" i="4"/>
  <c r="B1074" i="4"/>
  <c r="F1073" i="4"/>
  <c r="G1073" i="4"/>
  <c r="E1074" i="4" l="1"/>
  <c r="F1074" i="4"/>
  <c r="G1074" i="4"/>
  <c r="B1075" i="4"/>
  <c r="C1074" i="4"/>
  <c r="D1074" i="4"/>
  <c r="C1075" i="4" l="1"/>
  <c r="D1075" i="4"/>
  <c r="E1075" i="4"/>
  <c r="F1075" i="4"/>
  <c r="G1075" i="4"/>
  <c r="B1076" i="4"/>
  <c r="C1076" i="4" l="1"/>
  <c r="F1076" i="4"/>
  <c r="G1076" i="4"/>
  <c r="B1077" i="4"/>
  <c r="D1076" i="4"/>
  <c r="E1076" i="4"/>
  <c r="C1077" i="4" l="1"/>
  <c r="D1077" i="4"/>
  <c r="E1077" i="4"/>
  <c r="F1077" i="4"/>
  <c r="G1077" i="4"/>
  <c r="B1078" i="4"/>
  <c r="C1078" i="4" l="1"/>
  <c r="D1078" i="4"/>
  <c r="E1078" i="4"/>
  <c r="F1078" i="4"/>
  <c r="G1078" i="4"/>
  <c r="B1079" i="4"/>
  <c r="G1079" i="4" l="1"/>
  <c r="B1080" i="4"/>
  <c r="D1079" i="4"/>
  <c r="E1079" i="4"/>
  <c r="C1079" i="4"/>
  <c r="F1079" i="4"/>
  <c r="C1080" i="4" l="1"/>
  <c r="D1080" i="4"/>
  <c r="E1080" i="4"/>
  <c r="F1080" i="4"/>
  <c r="G1080" i="4"/>
  <c r="B1081" i="4"/>
  <c r="C1081" i="4" l="1"/>
  <c r="D1081" i="4"/>
  <c r="E1081" i="4"/>
  <c r="B1082" i="4"/>
  <c r="F1081" i="4"/>
  <c r="G1081" i="4"/>
  <c r="E1082" i="4" l="1"/>
  <c r="F1082" i="4"/>
  <c r="G1082" i="4"/>
  <c r="B1083" i="4"/>
  <c r="C1082" i="4"/>
  <c r="D1082" i="4"/>
  <c r="C1083" i="4" l="1"/>
  <c r="D1083" i="4"/>
  <c r="E1083" i="4"/>
  <c r="F1083" i="4"/>
  <c r="G1083" i="4"/>
  <c r="B1084" i="4"/>
  <c r="C1084" i="4" l="1"/>
  <c r="F1084" i="4"/>
  <c r="G1084" i="4"/>
  <c r="D1084" i="4"/>
  <c r="E1084" i="4"/>
  <c r="B1085" i="4"/>
  <c r="C1085" i="4" l="1"/>
  <c r="D1085" i="4"/>
  <c r="E1085" i="4"/>
  <c r="F1085" i="4"/>
  <c r="G1085" i="4"/>
  <c r="B1086" i="4"/>
  <c r="C1086" i="4" l="1"/>
  <c r="D1086" i="4"/>
  <c r="E1086" i="4"/>
  <c r="F1086" i="4"/>
  <c r="G1086" i="4"/>
  <c r="B1087" i="4"/>
  <c r="G1087" i="4" l="1"/>
  <c r="B1088" i="4"/>
  <c r="D1087" i="4"/>
  <c r="E1087" i="4"/>
  <c r="F1087" i="4"/>
  <c r="C1087" i="4"/>
  <c r="C1088" i="4" l="1"/>
  <c r="D1088" i="4"/>
  <c r="E1088" i="4"/>
  <c r="F1088" i="4"/>
  <c r="G1088" i="4"/>
  <c r="B1089" i="4"/>
  <c r="C1089" i="4" l="1"/>
  <c r="D1089" i="4"/>
  <c r="B1090" i="4"/>
  <c r="G1089" i="4"/>
  <c r="E1089" i="4"/>
  <c r="F1089" i="4"/>
  <c r="E1090" i="4" l="1"/>
  <c r="F1090" i="4"/>
  <c r="G1090" i="4"/>
  <c r="B1091" i="4"/>
  <c r="C1090" i="4"/>
  <c r="D1090" i="4"/>
  <c r="C1091" i="4" l="1"/>
  <c r="D1091" i="4"/>
  <c r="E1091" i="4"/>
  <c r="F1091" i="4"/>
  <c r="G1091" i="4"/>
  <c r="B1092" i="4"/>
  <c r="F1092" i="4" l="1"/>
  <c r="G1092" i="4"/>
  <c r="C1092" i="4"/>
  <c r="D1092" i="4"/>
  <c r="E1092" i="4"/>
  <c r="B1093" i="4"/>
  <c r="C1093" i="4" l="1"/>
  <c r="D1093" i="4"/>
  <c r="E1093" i="4"/>
  <c r="F1093" i="4"/>
  <c r="G1093" i="4"/>
  <c r="B1094" i="4"/>
  <c r="C1094" i="4" l="1"/>
  <c r="D1094" i="4"/>
  <c r="E1094" i="4"/>
  <c r="F1094" i="4"/>
  <c r="G1094" i="4"/>
  <c r="B1095" i="4"/>
  <c r="G1095" i="4" l="1"/>
  <c r="B1096" i="4"/>
  <c r="D1095" i="4"/>
  <c r="E1095" i="4"/>
  <c r="C1095" i="4"/>
  <c r="F1095" i="4"/>
  <c r="C1096" i="4" l="1"/>
  <c r="D1096" i="4"/>
  <c r="E1096" i="4"/>
  <c r="F1096" i="4"/>
  <c r="G1096" i="4"/>
  <c r="B1097" i="4"/>
  <c r="C1097" i="4" l="1"/>
  <c r="D1097" i="4"/>
  <c r="B1098" i="4"/>
  <c r="E1097" i="4"/>
  <c r="F1097" i="4"/>
  <c r="G1097" i="4"/>
  <c r="E1098" i="4" l="1"/>
  <c r="F1098" i="4"/>
  <c r="G1098" i="4"/>
  <c r="B1099" i="4"/>
  <c r="C1098" i="4"/>
  <c r="D1098" i="4"/>
  <c r="C1099" i="4" l="1"/>
  <c r="D1099" i="4"/>
  <c r="E1099" i="4"/>
  <c r="F1099" i="4"/>
  <c r="G1099" i="4"/>
  <c r="B1100" i="4"/>
  <c r="F1100" i="4" l="1"/>
  <c r="G1100" i="4"/>
  <c r="E1100" i="4"/>
  <c r="B1101" i="4"/>
  <c r="C1100" i="4"/>
  <c r="D1100" i="4"/>
  <c r="C1101" i="4" l="1"/>
  <c r="D1101" i="4"/>
  <c r="E1101" i="4"/>
  <c r="F1101" i="4"/>
  <c r="G1101" i="4"/>
  <c r="B1102" i="4"/>
  <c r="C1102" i="4" l="1"/>
  <c r="D1102" i="4"/>
  <c r="E1102" i="4"/>
  <c r="F1102" i="4"/>
  <c r="G1102" i="4"/>
  <c r="B1103" i="4"/>
  <c r="G1103" i="4" l="1"/>
  <c r="B1104" i="4"/>
  <c r="D1103" i="4"/>
  <c r="E1103" i="4"/>
  <c r="C1103" i="4"/>
  <c r="F1103" i="4"/>
  <c r="C1104" i="4" l="1"/>
  <c r="D1104" i="4"/>
  <c r="E1104" i="4"/>
  <c r="F1104" i="4"/>
  <c r="G1104" i="4"/>
  <c r="B1105" i="4"/>
  <c r="C1105" i="4" l="1"/>
  <c r="D1105" i="4"/>
  <c r="B1106" i="4"/>
  <c r="E1105" i="4"/>
  <c r="F1105" i="4"/>
  <c r="G1105" i="4"/>
  <c r="E1106" i="4" l="1"/>
  <c r="F1106" i="4"/>
  <c r="G1106" i="4"/>
  <c r="B1107" i="4"/>
  <c r="C1106" i="4"/>
  <c r="D1106" i="4"/>
  <c r="C1107" i="4" l="1"/>
  <c r="D1107" i="4"/>
  <c r="E1107" i="4"/>
  <c r="F1107" i="4"/>
  <c r="G1107" i="4"/>
  <c r="B1108" i="4"/>
  <c r="F1108" i="4" l="1"/>
  <c r="C1108" i="4"/>
  <c r="E1108" i="4"/>
  <c r="D1108" i="4"/>
  <c r="G1108" i="4"/>
  <c r="B1109" i="4"/>
  <c r="C1109" i="4" l="1"/>
  <c r="D1109" i="4"/>
  <c r="E1109" i="4"/>
  <c r="F1109" i="4"/>
  <c r="G1109" i="4"/>
  <c r="B1110" i="4"/>
  <c r="C1110" i="4" l="1"/>
  <c r="D1110" i="4"/>
  <c r="E1110" i="4"/>
  <c r="F1110" i="4"/>
  <c r="G1110" i="4"/>
  <c r="B1111" i="4"/>
  <c r="G1111" i="4" l="1"/>
  <c r="B1112" i="4"/>
  <c r="D1111" i="4"/>
  <c r="C1111" i="4"/>
  <c r="E1111" i="4"/>
  <c r="F1111" i="4"/>
  <c r="C1112" i="4" l="1"/>
  <c r="D1112" i="4"/>
  <c r="E1112" i="4"/>
  <c r="F1112" i="4"/>
  <c r="G1112" i="4"/>
  <c r="B1113" i="4"/>
  <c r="C1113" i="4" l="1"/>
  <c r="D1113" i="4"/>
  <c r="B1114" i="4"/>
  <c r="E1113" i="4"/>
  <c r="F1113" i="4"/>
  <c r="G1113" i="4"/>
  <c r="E1114" i="4" l="1"/>
  <c r="F1114" i="4"/>
  <c r="G1114" i="4"/>
  <c r="B1115" i="4"/>
  <c r="C1114" i="4"/>
  <c r="D1114" i="4"/>
  <c r="C1115" i="4" l="1"/>
  <c r="D1115" i="4"/>
  <c r="E1115" i="4"/>
  <c r="F1115" i="4"/>
  <c r="G1115" i="4"/>
  <c r="B1116" i="4"/>
  <c r="C1116" i="4" l="1"/>
  <c r="D1116" i="4"/>
  <c r="F1116" i="4"/>
  <c r="G1116" i="4"/>
  <c r="B1117" i="4"/>
  <c r="E1116" i="4"/>
  <c r="C1117" i="4" l="1"/>
  <c r="D1117" i="4"/>
  <c r="E1117" i="4"/>
  <c r="F1117" i="4"/>
  <c r="G1117" i="4"/>
  <c r="B1118" i="4"/>
  <c r="C1118" i="4" l="1"/>
  <c r="D1118" i="4"/>
  <c r="E1118" i="4"/>
  <c r="F1118" i="4"/>
  <c r="G1118" i="4"/>
  <c r="B1119" i="4"/>
  <c r="G1119" i="4" l="1"/>
  <c r="B1120" i="4"/>
  <c r="C1119" i="4"/>
  <c r="D1119" i="4"/>
  <c r="E1119" i="4"/>
  <c r="F1119" i="4"/>
  <c r="C1120" i="4" l="1"/>
  <c r="D1120" i="4"/>
  <c r="E1120" i="4"/>
  <c r="F1120" i="4"/>
  <c r="G1120" i="4"/>
  <c r="B1121" i="4"/>
  <c r="C1121" i="4" l="1"/>
  <c r="D1121" i="4"/>
  <c r="E1121" i="4"/>
  <c r="F1121" i="4"/>
  <c r="G1121" i="4"/>
  <c r="B1122" i="4"/>
  <c r="E1122" i="4" l="1"/>
  <c r="F1122" i="4"/>
  <c r="G1122" i="4"/>
  <c r="B1123" i="4"/>
  <c r="C1122" i="4"/>
  <c r="D1122" i="4"/>
  <c r="C1123" i="4" l="1"/>
  <c r="D1123" i="4"/>
  <c r="E1123" i="4"/>
  <c r="F1123" i="4"/>
  <c r="G1123" i="4"/>
  <c r="B1124" i="4"/>
  <c r="G1124" i="4" l="1"/>
  <c r="B1125" i="4"/>
  <c r="D1124" i="4"/>
  <c r="C1124" i="4"/>
  <c r="E1124" i="4"/>
  <c r="F1124" i="4"/>
  <c r="C1125" i="4" l="1"/>
  <c r="D1125" i="4"/>
  <c r="E1125" i="4"/>
  <c r="F1125" i="4"/>
  <c r="G1125" i="4"/>
  <c r="B1126" i="4"/>
  <c r="C1126" i="4" l="1"/>
  <c r="D1126" i="4"/>
  <c r="E1126" i="4"/>
  <c r="F1126" i="4"/>
  <c r="G1126" i="4"/>
  <c r="B1127" i="4"/>
  <c r="G1127" i="4" l="1"/>
  <c r="B1128" i="4"/>
  <c r="C1127" i="4"/>
  <c r="D1127" i="4"/>
  <c r="E1127" i="4"/>
  <c r="F1127" i="4"/>
  <c r="C1128" i="4" l="1"/>
  <c r="D1128" i="4"/>
  <c r="E1128" i="4"/>
  <c r="F1128" i="4"/>
  <c r="G1128" i="4"/>
  <c r="B1129" i="4"/>
  <c r="C1129" i="4" l="1"/>
  <c r="D1129" i="4"/>
  <c r="E1129" i="4"/>
  <c r="F1129" i="4"/>
  <c r="G1129" i="4"/>
  <c r="B1130" i="4"/>
  <c r="E1130" i="4" l="1"/>
  <c r="F1130" i="4"/>
  <c r="G1130" i="4"/>
  <c r="B1131" i="4"/>
  <c r="D1130" i="4"/>
  <c r="C1130" i="4"/>
  <c r="C1131" i="4" l="1"/>
  <c r="D1131" i="4"/>
  <c r="E1131" i="4"/>
  <c r="F1131" i="4"/>
  <c r="G1131" i="4"/>
  <c r="B1132" i="4"/>
  <c r="E1132" i="4" l="1"/>
  <c r="F1132" i="4"/>
  <c r="G1132" i="4"/>
  <c r="B1133" i="4"/>
  <c r="C1132" i="4"/>
  <c r="D1132" i="4"/>
  <c r="C1133" i="4" l="1"/>
  <c r="D1133" i="4"/>
  <c r="E1133" i="4"/>
  <c r="F1133" i="4"/>
  <c r="G1133" i="4"/>
  <c r="B1134" i="4"/>
  <c r="C1134" i="4" l="1"/>
  <c r="D1134" i="4"/>
  <c r="E1134" i="4"/>
  <c r="F1134" i="4"/>
  <c r="G1134" i="4"/>
  <c r="B1135" i="4"/>
  <c r="G1135" i="4" l="1"/>
  <c r="B1136" i="4"/>
  <c r="C1135" i="4"/>
  <c r="D1135" i="4"/>
  <c r="E1135" i="4"/>
  <c r="F1135" i="4"/>
  <c r="C1136" i="4" l="1"/>
  <c r="D1136" i="4"/>
  <c r="E1136" i="4"/>
  <c r="F1136" i="4"/>
  <c r="G1136" i="4"/>
  <c r="B1137" i="4"/>
  <c r="C1137" i="4" l="1"/>
  <c r="D1137" i="4"/>
  <c r="E1137" i="4"/>
  <c r="F1137" i="4"/>
  <c r="B1138" i="4"/>
  <c r="G1137" i="4"/>
  <c r="E1138" i="4" l="1"/>
  <c r="F1138" i="4"/>
  <c r="G1138" i="4"/>
  <c r="B1139" i="4"/>
  <c r="C1138" i="4"/>
  <c r="D1138" i="4"/>
  <c r="C1139" i="4" l="1"/>
  <c r="D1139" i="4"/>
  <c r="E1139" i="4"/>
  <c r="F1139" i="4"/>
  <c r="G1139" i="4"/>
  <c r="B1140" i="4"/>
  <c r="C1140" i="4" l="1"/>
  <c r="D1140" i="4"/>
  <c r="E1140" i="4"/>
  <c r="F1140" i="4"/>
  <c r="G1140" i="4"/>
  <c r="B1141" i="4"/>
  <c r="C1141" i="4" l="1"/>
  <c r="D1141" i="4"/>
  <c r="E1141" i="4"/>
  <c r="F1141" i="4"/>
  <c r="G1141" i="4"/>
  <c r="B1142" i="4"/>
  <c r="C1142" i="4" l="1"/>
  <c r="D1142" i="4"/>
  <c r="E1142" i="4"/>
  <c r="F1142" i="4"/>
  <c r="G1142" i="4"/>
  <c r="B1143" i="4"/>
  <c r="G1143" i="4" l="1"/>
  <c r="C1143" i="4"/>
  <c r="D1143" i="4"/>
  <c r="E1143" i="4"/>
  <c r="B1144" i="4"/>
  <c r="F1143" i="4"/>
  <c r="C1144" i="4" l="1"/>
  <c r="D1144" i="4"/>
  <c r="E1144" i="4"/>
  <c r="F1144" i="4"/>
  <c r="G1144" i="4"/>
  <c r="B1145" i="4"/>
  <c r="C1145" i="4" l="1"/>
  <c r="F1145" i="4"/>
  <c r="G1145" i="4"/>
  <c r="B1146" i="4"/>
  <c r="D1145" i="4"/>
  <c r="E1145" i="4"/>
  <c r="E1146" i="4" l="1"/>
  <c r="G1146" i="4"/>
  <c r="B1147" i="4"/>
  <c r="C1146" i="4"/>
  <c r="D1146" i="4"/>
  <c r="F1146" i="4"/>
  <c r="C1147" i="4" l="1"/>
  <c r="D1147" i="4"/>
  <c r="E1147" i="4"/>
  <c r="F1147" i="4"/>
  <c r="G1147" i="4"/>
  <c r="B1148" i="4"/>
  <c r="C1148" i="4" l="1"/>
  <c r="D1148" i="4"/>
  <c r="E1148" i="4"/>
  <c r="F1148" i="4"/>
  <c r="G1148" i="4"/>
  <c r="B1149" i="4"/>
  <c r="C1149" i="4" l="1"/>
  <c r="E1149" i="4"/>
  <c r="F1149" i="4"/>
  <c r="G1149" i="4"/>
  <c r="B1150" i="4"/>
  <c r="D1149" i="4"/>
  <c r="C1150" i="4" l="1"/>
  <c r="E1150" i="4"/>
  <c r="G1150" i="4"/>
  <c r="B1151" i="4"/>
  <c r="F1150" i="4"/>
  <c r="D1150" i="4"/>
  <c r="G1151" i="4" l="1"/>
  <c r="C1151" i="4"/>
  <c r="D1151" i="4"/>
  <c r="E1151" i="4"/>
  <c r="F1151" i="4"/>
  <c r="B1152" i="4"/>
  <c r="C1152" i="4" l="1"/>
  <c r="D1152" i="4"/>
  <c r="E1152" i="4"/>
  <c r="F1152" i="4"/>
  <c r="G1152" i="4"/>
  <c r="B1153" i="4"/>
  <c r="C1153" i="4" l="1"/>
  <c r="D1153" i="4"/>
  <c r="E1153" i="4"/>
  <c r="F1153" i="4"/>
  <c r="G1153" i="4"/>
  <c r="B1154" i="4"/>
  <c r="E1154" i="4" l="1"/>
  <c r="G1154" i="4"/>
  <c r="B1155" i="4"/>
  <c r="C1154" i="4"/>
  <c r="D1154" i="4"/>
  <c r="F1154" i="4"/>
  <c r="C1155" i="4" l="1"/>
  <c r="D1155" i="4"/>
  <c r="E1155" i="4"/>
  <c r="G1155" i="4"/>
  <c r="F1155" i="4"/>
  <c r="B1156" i="4"/>
  <c r="C1156" i="4" l="1"/>
  <c r="D1156" i="4"/>
  <c r="E1156" i="4"/>
  <c r="F1156" i="4"/>
  <c r="G1156" i="4"/>
  <c r="B1157" i="4"/>
  <c r="C1157" i="4" l="1"/>
  <c r="E1157" i="4"/>
  <c r="F1157" i="4"/>
  <c r="G1157" i="4"/>
  <c r="B1158" i="4"/>
  <c r="D1157" i="4"/>
  <c r="C1158" i="4" l="1"/>
  <c r="D1158" i="4"/>
  <c r="E1158" i="4"/>
  <c r="F1158" i="4"/>
  <c r="B1159" i="4"/>
  <c r="G1158" i="4"/>
  <c r="G1159" i="4" l="1"/>
  <c r="E1159" i="4"/>
  <c r="F1159" i="4"/>
  <c r="B1160" i="4"/>
  <c r="C1159" i="4"/>
  <c r="D1159" i="4"/>
  <c r="C1160" i="4" l="1"/>
  <c r="D1160" i="4"/>
  <c r="E1160" i="4"/>
  <c r="F1160" i="4"/>
  <c r="G1160" i="4"/>
  <c r="B1161" i="4"/>
  <c r="C1161" i="4" l="1"/>
  <c r="D1161" i="4"/>
  <c r="E1161" i="4"/>
  <c r="F1161" i="4"/>
  <c r="G1161" i="4"/>
  <c r="B1162" i="4"/>
  <c r="E1162" i="4" l="1"/>
  <c r="G1162" i="4"/>
  <c r="B1163" i="4"/>
  <c r="C1162" i="4"/>
  <c r="D1162" i="4"/>
  <c r="F1162" i="4"/>
  <c r="C1163" i="4" l="1"/>
  <c r="D1163" i="4"/>
  <c r="E1163" i="4"/>
  <c r="F1163" i="4"/>
  <c r="G1163" i="4"/>
  <c r="B1164" i="4"/>
  <c r="C1164" i="4" l="1"/>
  <c r="D1164" i="4"/>
  <c r="E1164" i="4"/>
  <c r="F1164" i="4"/>
  <c r="G1164" i="4"/>
  <c r="B1165" i="4"/>
  <c r="C1165" i="4" l="1"/>
  <c r="E1165" i="4"/>
  <c r="F1165" i="4"/>
  <c r="G1165" i="4"/>
  <c r="B1166" i="4"/>
  <c r="D1165" i="4"/>
  <c r="C1166" i="4" l="1"/>
  <c r="D1166" i="4"/>
  <c r="E1166" i="4"/>
  <c r="F1166" i="4"/>
  <c r="G1166" i="4"/>
  <c r="B1167" i="4"/>
  <c r="G1167" i="4" l="1"/>
  <c r="B1168" i="4"/>
  <c r="D1167" i="4"/>
  <c r="C1167" i="4"/>
  <c r="E1167" i="4"/>
  <c r="F1167" i="4"/>
  <c r="C1168" i="4" l="1"/>
  <c r="D1168" i="4"/>
  <c r="E1168" i="4"/>
  <c r="F1168" i="4"/>
  <c r="G1168" i="4"/>
  <c r="B1169" i="4"/>
  <c r="C1169" i="4" l="1"/>
  <c r="D1169" i="4"/>
  <c r="E1169" i="4"/>
  <c r="F1169" i="4"/>
  <c r="G1169" i="4"/>
  <c r="B1170" i="4"/>
  <c r="E1170" i="4" l="1"/>
  <c r="G1170" i="4"/>
  <c r="B1171" i="4"/>
  <c r="C1170" i="4"/>
  <c r="D1170" i="4"/>
  <c r="F1170" i="4"/>
  <c r="C1171" i="4" l="1"/>
  <c r="D1171" i="4"/>
  <c r="E1171" i="4"/>
  <c r="F1171" i="4"/>
  <c r="B1172" i="4"/>
  <c r="G1171" i="4"/>
  <c r="E1172" i="4" l="1"/>
  <c r="F1172" i="4"/>
  <c r="G1172" i="4"/>
  <c r="B1173" i="4"/>
  <c r="C1172" i="4"/>
  <c r="D1172" i="4"/>
  <c r="C1173" i="4" l="1"/>
  <c r="E1173" i="4"/>
  <c r="F1173" i="4"/>
  <c r="G1173" i="4"/>
  <c r="B1174" i="4"/>
  <c r="D1173" i="4"/>
  <c r="C1174" i="4" l="1"/>
  <c r="D1174" i="4"/>
  <c r="E1174" i="4"/>
  <c r="F1174" i="4"/>
  <c r="G1174" i="4"/>
  <c r="B1175" i="4"/>
  <c r="G1175" i="4" l="1"/>
  <c r="C1175" i="4"/>
  <c r="D1175" i="4"/>
  <c r="F1175" i="4"/>
  <c r="E1175" i="4"/>
  <c r="B1176" i="4"/>
  <c r="C1176" i="4" l="1"/>
  <c r="D1176" i="4"/>
  <c r="E1176" i="4"/>
  <c r="F1176" i="4"/>
  <c r="G1176" i="4"/>
  <c r="B1177" i="4"/>
  <c r="C1177" i="4" l="1"/>
  <c r="D1177" i="4"/>
  <c r="E1177" i="4"/>
  <c r="F1177" i="4"/>
  <c r="G1177" i="4"/>
  <c r="B1178" i="4"/>
  <c r="E1178" i="4" l="1"/>
  <c r="G1178" i="4"/>
  <c r="B1179" i="4"/>
  <c r="C1178" i="4"/>
  <c r="D1178" i="4"/>
  <c r="F1178" i="4"/>
  <c r="C1179" i="4" l="1"/>
  <c r="D1179" i="4"/>
  <c r="E1179" i="4"/>
  <c r="F1179" i="4"/>
  <c r="G1179" i="4"/>
  <c r="B1180" i="4"/>
  <c r="G1180" i="4" l="1"/>
  <c r="B1181" i="4"/>
  <c r="D1180" i="4"/>
  <c r="C1180" i="4"/>
  <c r="E1180" i="4"/>
  <c r="F1180" i="4"/>
  <c r="C1181" i="4" l="1"/>
  <c r="E1181" i="4"/>
  <c r="F1181" i="4"/>
  <c r="G1181" i="4"/>
  <c r="B1182" i="4"/>
  <c r="D1181" i="4"/>
  <c r="C1182" i="4" l="1"/>
  <c r="D1182" i="4"/>
  <c r="E1182" i="4"/>
  <c r="F1182" i="4"/>
  <c r="G1182" i="4"/>
  <c r="B1183" i="4"/>
  <c r="G1183" i="4" l="1"/>
  <c r="C1183" i="4"/>
  <c r="D1183" i="4"/>
  <c r="E1183" i="4"/>
  <c r="F1183" i="4"/>
  <c r="B1184" i="4"/>
  <c r="C1184" i="4" l="1"/>
  <c r="D1184" i="4"/>
  <c r="E1184" i="4"/>
  <c r="F1184" i="4"/>
  <c r="G1184" i="4"/>
  <c r="B1185" i="4"/>
  <c r="E1185" i="4" l="1"/>
  <c r="F1185" i="4"/>
  <c r="G1185" i="4"/>
  <c r="B1186" i="4"/>
  <c r="C1185" i="4"/>
  <c r="D1185" i="4"/>
  <c r="E1186" i="4" l="1"/>
  <c r="G1186" i="4"/>
  <c r="B1187" i="4"/>
  <c r="C1186" i="4"/>
  <c r="D1186" i="4"/>
  <c r="F1186" i="4"/>
  <c r="C1187" i="4" l="1"/>
  <c r="D1187" i="4"/>
  <c r="E1187" i="4"/>
  <c r="F1187" i="4"/>
  <c r="G1187" i="4"/>
  <c r="B1188" i="4"/>
  <c r="C1188" i="4" l="1"/>
  <c r="D1188" i="4"/>
  <c r="F1188" i="4"/>
  <c r="E1188" i="4"/>
  <c r="G1188" i="4"/>
  <c r="B1189" i="4"/>
  <c r="C1189" i="4" l="1"/>
  <c r="E1189" i="4"/>
  <c r="F1189" i="4"/>
  <c r="G1189" i="4"/>
  <c r="B1190" i="4"/>
  <c r="D1189" i="4"/>
  <c r="C1190" i="4" l="1"/>
  <c r="D1190" i="4"/>
  <c r="E1190" i="4"/>
  <c r="F1190" i="4"/>
  <c r="G1190" i="4"/>
  <c r="B1191" i="4"/>
  <c r="G1191" i="4" l="1"/>
  <c r="C1191" i="4"/>
  <c r="D1191" i="4"/>
  <c r="E1191" i="4"/>
  <c r="F1191" i="4"/>
  <c r="B1192" i="4"/>
  <c r="C1192" i="4" l="1"/>
  <c r="D1192" i="4"/>
  <c r="E1192" i="4"/>
  <c r="F1192" i="4"/>
  <c r="G1192" i="4"/>
  <c r="B1193" i="4"/>
  <c r="F1193" i="4" l="1"/>
  <c r="G1193" i="4"/>
  <c r="B1194" i="4"/>
  <c r="C1193" i="4"/>
  <c r="D1193" i="4"/>
  <c r="E1193" i="4"/>
  <c r="E1194" i="4" l="1"/>
  <c r="G1194" i="4"/>
  <c r="B1195" i="4"/>
  <c r="C1194" i="4"/>
  <c r="D1194" i="4"/>
  <c r="F1194" i="4"/>
  <c r="C1195" i="4" l="1"/>
  <c r="D1195" i="4"/>
  <c r="E1195" i="4"/>
  <c r="F1195" i="4"/>
  <c r="G1195" i="4"/>
  <c r="B1196" i="4"/>
  <c r="C1196" i="4" l="1"/>
  <c r="D1196" i="4"/>
  <c r="F1196" i="4"/>
  <c r="G1196" i="4"/>
  <c r="B1197" i="4"/>
  <c r="E1196" i="4"/>
  <c r="C1197" i="4" l="1"/>
  <c r="E1197" i="4"/>
  <c r="F1197" i="4"/>
  <c r="G1197" i="4"/>
  <c r="B1198" i="4"/>
  <c r="D1197" i="4"/>
  <c r="C1198" i="4" l="1"/>
  <c r="D1198" i="4"/>
  <c r="E1198" i="4"/>
  <c r="F1198" i="4"/>
  <c r="G1198" i="4"/>
  <c r="B1199" i="4"/>
  <c r="G1199" i="4" l="1"/>
  <c r="C1199" i="4"/>
  <c r="D1199" i="4"/>
  <c r="E1199" i="4"/>
  <c r="F1199" i="4"/>
  <c r="B1200" i="4"/>
  <c r="C1200" i="4" l="1"/>
  <c r="D1200" i="4"/>
  <c r="E1200" i="4"/>
  <c r="F1200" i="4"/>
  <c r="B1201" i="4"/>
  <c r="G1200" i="4"/>
  <c r="E1201" i="4" l="1"/>
  <c r="F1201" i="4"/>
  <c r="G1201" i="4"/>
  <c r="B1202" i="4"/>
  <c r="C1201" i="4"/>
  <c r="D1201" i="4"/>
  <c r="E1202" i="4" l="1"/>
  <c r="G1202" i="4"/>
  <c r="B1203" i="4"/>
  <c r="C1202" i="4"/>
  <c r="D1202" i="4"/>
  <c r="F1202" i="4"/>
  <c r="C1203" i="4" l="1"/>
  <c r="D1203" i="4"/>
  <c r="E1203" i="4"/>
  <c r="F1203" i="4"/>
  <c r="G1203" i="4"/>
  <c r="B1204" i="4"/>
  <c r="B1205" i="4" l="1"/>
  <c r="C1204" i="4"/>
  <c r="E1204" i="4"/>
  <c r="D1204" i="4"/>
  <c r="F1204" i="4"/>
  <c r="G1204" i="4"/>
  <c r="C1205" i="4" l="1"/>
  <c r="E1205" i="4"/>
  <c r="F1205" i="4"/>
  <c r="G1205" i="4"/>
  <c r="B1206" i="4"/>
  <c r="D1205" i="4"/>
  <c r="C1206" i="4" l="1"/>
  <c r="D1206" i="4"/>
  <c r="E1206" i="4"/>
  <c r="F1206" i="4"/>
  <c r="G1206" i="4"/>
  <c r="B1207" i="4"/>
  <c r="G1207" i="4" l="1"/>
  <c r="C1207" i="4"/>
  <c r="D1207" i="4"/>
  <c r="E1207" i="4"/>
  <c r="F1207" i="4"/>
  <c r="B1208" i="4"/>
  <c r="C1208" i="4" l="1"/>
  <c r="D1208" i="4"/>
  <c r="F1208" i="4"/>
  <c r="E1208" i="4"/>
  <c r="G1208" i="4"/>
  <c r="B1209" i="4"/>
  <c r="C1209" i="4" l="1"/>
  <c r="D1209" i="4"/>
  <c r="E1209" i="4"/>
  <c r="F1209" i="4"/>
  <c r="G1209" i="4"/>
  <c r="B1210" i="4"/>
  <c r="E1210" i="4" l="1"/>
  <c r="G1210" i="4"/>
  <c r="B1211" i="4"/>
  <c r="C1210" i="4"/>
  <c r="D1210" i="4"/>
  <c r="F1210" i="4"/>
  <c r="C1211" i="4" l="1"/>
  <c r="D1211" i="4"/>
  <c r="E1211" i="4"/>
  <c r="G1211" i="4"/>
  <c r="F1211" i="4"/>
  <c r="B1212" i="4"/>
  <c r="D1212" i="4" l="1"/>
  <c r="E1212" i="4"/>
  <c r="F1212" i="4"/>
  <c r="G1212" i="4"/>
  <c r="B1213" i="4"/>
  <c r="C1212" i="4"/>
  <c r="C1213" i="4" l="1"/>
  <c r="E1213" i="4"/>
  <c r="F1213" i="4"/>
  <c r="D1213" i="4"/>
  <c r="G1213" i="4"/>
  <c r="B1214" i="4"/>
  <c r="C1214" i="4" l="1"/>
  <c r="D1214" i="4"/>
  <c r="E1214" i="4"/>
  <c r="F1214" i="4"/>
  <c r="B1215" i="4"/>
  <c r="G1214" i="4"/>
  <c r="G1215" i="4" l="1"/>
  <c r="E1215" i="4"/>
  <c r="F1215" i="4"/>
  <c r="B1216" i="4"/>
  <c r="D1215" i="4"/>
  <c r="C1215" i="4"/>
  <c r="C1216" i="4" l="1"/>
  <c r="D1216" i="4"/>
  <c r="E1216" i="4"/>
  <c r="F1216" i="4"/>
  <c r="G1216" i="4"/>
  <c r="B1217" i="4"/>
  <c r="C1217" i="4" l="1"/>
  <c r="D1217" i="4"/>
  <c r="E1217" i="4"/>
  <c r="F1217" i="4"/>
  <c r="G1217" i="4"/>
  <c r="B1218" i="4"/>
  <c r="E1218" i="4" l="1"/>
  <c r="G1218" i="4"/>
  <c r="B1219" i="4"/>
  <c r="C1218" i="4"/>
  <c r="D1218" i="4"/>
  <c r="F1218" i="4"/>
  <c r="C1219" i="4" l="1"/>
  <c r="D1219" i="4"/>
  <c r="E1219" i="4"/>
  <c r="F1219" i="4"/>
  <c r="G1219" i="4"/>
  <c r="B1220" i="4"/>
  <c r="C1220" i="4" l="1"/>
  <c r="D1220" i="4"/>
  <c r="E1220" i="4"/>
  <c r="F1220" i="4"/>
  <c r="G1220" i="4"/>
  <c r="B1221" i="4"/>
  <c r="C1221" i="4" l="1"/>
  <c r="E1221" i="4"/>
  <c r="F1221" i="4"/>
  <c r="G1221" i="4"/>
  <c r="D1221" i="4"/>
  <c r="B1222" i="4"/>
  <c r="D1222" i="4" l="1"/>
  <c r="E1222" i="4"/>
  <c r="F1222" i="4"/>
  <c r="G1222" i="4"/>
  <c r="B1223" i="4"/>
  <c r="C1222" i="4"/>
  <c r="C1223" i="4" l="1"/>
  <c r="D1223" i="4"/>
  <c r="E1223" i="4"/>
  <c r="F1223" i="4"/>
  <c r="G1223" i="4"/>
  <c r="B1224" i="4"/>
  <c r="B1225" i="4" l="1"/>
  <c r="C1224" i="4"/>
  <c r="E1224" i="4"/>
  <c r="D1224" i="4"/>
  <c r="F1224" i="4"/>
  <c r="G1224" i="4"/>
  <c r="C1225" i="4" l="1"/>
  <c r="D1225" i="4"/>
  <c r="E1225" i="4"/>
  <c r="F1225" i="4"/>
  <c r="G1225" i="4"/>
  <c r="B1226" i="4"/>
  <c r="C1226" i="4" l="1"/>
  <c r="D1226" i="4"/>
  <c r="E1226" i="4"/>
  <c r="F1226" i="4"/>
  <c r="G1226" i="4"/>
  <c r="B1227" i="4"/>
  <c r="F1227" i="4" l="1"/>
  <c r="G1227" i="4"/>
  <c r="B1228" i="4"/>
  <c r="C1227" i="4"/>
  <c r="D1227" i="4"/>
  <c r="E1227" i="4"/>
  <c r="C1228" i="4" l="1"/>
  <c r="D1228" i="4"/>
  <c r="E1228" i="4"/>
  <c r="F1228" i="4"/>
  <c r="G1228" i="4"/>
  <c r="B1229" i="4"/>
  <c r="C1229" i="4" l="1"/>
  <c r="D1229" i="4"/>
  <c r="E1229" i="4"/>
  <c r="G1229" i="4"/>
  <c r="F1229" i="4"/>
  <c r="B1230" i="4"/>
  <c r="D1230" i="4" l="1"/>
  <c r="E1230" i="4"/>
  <c r="F1230" i="4"/>
  <c r="G1230" i="4"/>
  <c r="B1231" i="4"/>
  <c r="C1230" i="4"/>
  <c r="C1231" i="4" l="1"/>
  <c r="D1231" i="4"/>
  <c r="E1231" i="4"/>
  <c r="F1231" i="4"/>
  <c r="G1231" i="4"/>
  <c r="B1232" i="4"/>
  <c r="B1233" i="4" l="1"/>
  <c r="C1232" i="4"/>
  <c r="E1232" i="4"/>
  <c r="D1232" i="4"/>
  <c r="F1232" i="4"/>
  <c r="G1232" i="4"/>
  <c r="C1233" i="4" l="1"/>
  <c r="D1233" i="4"/>
  <c r="E1233" i="4"/>
  <c r="F1233" i="4"/>
  <c r="G1233" i="4"/>
  <c r="B1234" i="4"/>
  <c r="C1234" i="4" l="1"/>
  <c r="D1234" i="4"/>
  <c r="E1234" i="4"/>
  <c r="F1234" i="4"/>
  <c r="G1234" i="4"/>
  <c r="B1235" i="4"/>
  <c r="F1235" i="4" l="1"/>
  <c r="G1235" i="4"/>
  <c r="B1236" i="4"/>
  <c r="C1235" i="4"/>
  <c r="D1235" i="4"/>
  <c r="E1235" i="4"/>
  <c r="C1236" i="4" l="1"/>
  <c r="D1236" i="4"/>
  <c r="E1236" i="4"/>
  <c r="F1236" i="4"/>
  <c r="G1236" i="4"/>
  <c r="B1237" i="4"/>
  <c r="C1237" i="4" l="1"/>
  <c r="D1237" i="4"/>
  <c r="E1237" i="4"/>
  <c r="G1237" i="4"/>
  <c r="F1237" i="4"/>
  <c r="B1238" i="4"/>
  <c r="D1238" i="4" l="1"/>
  <c r="E1238" i="4"/>
  <c r="F1238" i="4"/>
  <c r="G1238" i="4"/>
  <c r="B1239" i="4"/>
  <c r="C1238" i="4"/>
  <c r="C1239" i="4" l="1"/>
  <c r="D1239" i="4"/>
  <c r="E1239" i="4"/>
  <c r="F1239" i="4"/>
  <c r="G1239" i="4"/>
  <c r="B1240" i="4"/>
  <c r="B1241" i="4" l="1"/>
  <c r="C1240" i="4"/>
  <c r="E1240" i="4"/>
  <c r="D1240" i="4"/>
  <c r="F1240" i="4"/>
  <c r="G1240" i="4"/>
  <c r="C1241" i="4" l="1"/>
  <c r="D1241" i="4"/>
  <c r="E1241" i="4"/>
  <c r="F1241" i="4"/>
  <c r="G1241" i="4"/>
  <c r="B1242" i="4"/>
  <c r="C1242" i="4" l="1"/>
  <c r="D1242" i="4"/>
  <c r="E1242" i="4"/>
  <c r="F1242" i="4"/>
  <c r="G1242" i="4"/>
  <c r="B1243" i="4"/>
  <c r="F1243" i="4" l="1"/>
  <c r="G1243" i="4"/>
  <c r="B1244" i="4"/>
  <c r="C1243" i="4"/>
  <c r="D1243" i="4"/>
  <c r="E1243" i="4"/>
  <c r="C1244" i="4" l="1"/>
  <c r="D1244" i="4"/>
  <c r="E1244" i="4"/>
  <c r="F1244" i="4"/>
  <c r="G1244" i="4"/>
  <c r="B1245" i="4"/>
  <c r="C1245" i="4" l="1"/>
  <c r="D1245" i="4"/>
  <c r="E1245" i="4"/>
  <c r="G1245" i="4"/>
  <c r="B1246" i="4"/>
  <c r="F1245" i="4"/>
  <c r="D1246" i="4" l="1"/>
  <c r="E1246" i="4"/>
  <c r="F1246" i="4"/>
  <c r="G1246" i="4"/>
  <c r="B1247" i="4"/>
  <c r="C1246" i="4"/>
  <c r="C1247" i="4" l="1"/>
  <c r="D1247" i="4"/>
  <c r="E1247" i="4"/>
  <c r="F1247" i="4"/>
  <c r="G1247" i="4"/>
  <c r="B1248" i="4"/>
  <c r="B1249" i="4" l="1"/>
  <c r="C1248" i="4"/>
  <c r="E1248" i="4"/>
  <c r="D1248" i="4"/>
  <c r="F1248" i="4"/>
  <c r="G1248" i="4"/>
  <c r="C1249" i="4" l="1"/>
  <c r="D1249" i="4"/>
  <c r="E1249" i="4"/>
  <c r="F1249" i="4"/>
  <c r="G1249" i="4"/>
  <c r="B1250" i="4"/>
  <c r="C1250" i="4" l="1"/>
  <c r="D1250" i="4"/>
  <c r="E1250" i="4"/>
  <c r="F1250" i="4"/>
  <c r="G1250" i="4"/>
  <c r="B1251" i="4"/>
  <c r="F1251" i="4" l="1"/>
  <c r="G1251" i="4"/>
  <c r="B1252" i="4"/>
  <c r="C1251" i="4"/>
  <c r="D1251" i="4"/>
  <c r="E1251" i="4"/>
  <c r="C1252" i="4" l="1"/>
  <c r="D1252" i="4"/>
  <c r="E1252" i="4"/>
  <c r="F1252" i="4"/>
  <c r="G1252" i="4"/>
  <c r="B1253" i="4"/>
  <c r="C1253" i="4" l="1"/>
  <c r="D1253" i="4"/>
  <c r="E1253" i="4"/>
  <c r="G1253" i="4"/>
  <c r="F1253" i="4"/>
  <c r="B1254" i="4"/>
  <c r="D1254" i="4" l="1"/>
  <c r="E1254" i="4"/>
  <c r="F1254" i="4"/>
  <c r="G1254" i="4"/>
  <c r="B1255" i="4"/>
  <c r="C1254" i="4"/>
  <c r="C1255" i="4" l="1"/>
  <c r="D1255" i="4"/>
  <c r="E1255" i="4"/>
  <c r="F1255" i="4"/>
  <c r="G1255" i="4"/>
  <c r="B1256" i="4"/>
  <c r="B1257" i="4" l="1"/>
  <c r="C1256" i="4"/>
  <c r="E1256" i="4"/>
  <c r="D1256" i="4"/>
  <c r="F1256" i="4"/>
  <c r="G1256" i="4"/>
  <c r="C1257" i="4" l="1"/>
  <c r="D1257" i="4"/>
  <c r="E1257" i="4"/>
  <c r="F1257" i="4"/>
  <c r="G1257" i="4"/>
  <c r="B1258" i="4"/>
  <c r="C1258" i="4" l="1"/>
  <c r="D1258" i="4"/>
  <c r="E1258" i="4"/>
  <c r="F1258" i="4"/>
  <c r="G1258" i="4"/>
  <c r="B1259" i="4"/>
  <c r="F1259" i="4" l="1"/>
  <c r="G1259" i="4"/>
  <c r="B1260" i="4"/>
  <c r="C1259" i="4"/>
  <c r="E1259" i="4"/>
  <c r="D1259" i="4"/>
  <c r="C1260" i="4" l="1"/>
  <c r="D1260" i="4"/>
  <c r="E1260" i="4"/>
  <c r="F1260" i="4"/>
  <c r="G1260" i="4"/>
  <c r="B1261" i="4"/>
  <c r="C1261" i="4" l="1"/>
  <c r="D1261" i="4"/>
  <c r="E1261" i="4"/>
  <c r="G1261" i="4"/>
  <c r="F1261" i="4"/>
  <c r="B1262" i="4"/>
  <c r="D1262" i="4" l="1"/>
  <c r="E1262" i="4"/>
  <c r="F1262" i="4"/>
  <c r="G1262" i="4"/>
  <c r="B1263" i="4"/>
  <c r="C1262" i="4"/>
  <c r="C1263" i="4" l="1"/>
  <c r="D1263" i="4"/>
  <c r="E1263" i="4"/>
  <c r="F1263" i="4"/>
  <c r="G1263" i="4"/>
  <c r="B1264" i="4"/>
  <c r="B1265" i="4" l="1"/>
  <c r="C1264" i="4"/>
  <c r="E1264" i="4"/>
  <c r="D1264" i="4"/>
  <c r="F1264" i="4"/>
  <c r="G1264" i="4"/>
  <c r="C1265" i="4" l="1"/>
  <c r="D1265" i="4"/>
  <c r="E1265" i="4"/>
  <c r="F1265" i="4"/>
  <c r="G1265" i="4"/>
  <c r="B1266" i="4"/>
  <c r="C1266" i="4" l="1"/>
  <c r="D1266" i="4"/>
  <c r="E1266" i="4"/>
  <c r="F1266" i="4"/>
  <c r="G1266" i="4"/>
  <c r="B1267" i="4"/>
  <c r="F1267" i="4" l="1"/>
  <c r="G1267" i="4"/>
  <c r="B1268" i="4"/>
  <c r="C1267" i="4"/>
  <c r="D1267" i="4"/>
  <c r="E1267" i="4"/>
  <c r="C1268" i="4" l="1"/>
  <c r="D1268" i="4"/>
  <c r="E1268" i="4"/>
  <c r="F1268" i="4"/>
  <c r="G1268" i="4"/>
  <c r="B1269" i="4"/>
  <c r="C1269" i="4" l="1"/>
  <c r="D1269" i="4"/>
  <c r="E1269" i="4"/>
  <c r="G1269" i="4"/>
  <c r="F1269" i="4"/>
  <c r="B1270" i="4"/>
  <c r="D1270" i="4" l="1"/>
  <c r="E1270" i="4"/>
  <c r="F1270" i="4"/>
  <c r="G1270" i="4"/>
  <c r="B1271" i="4"/>
  <c r="C1270" i="4"/>
  <c r="C1271" i="4" l="1"/>
  <c r="D1271" i="4"/>
  <c r="E1271" i="4"/>
  <c r="F1271" i="4"/>
  <c r="G1271" i="4"/>
  <c r="B1272" i="4"/>
  <c r="B1273" i="4" l="1"/>
  <c r="C1272" i="4"/>
  <c r="E1272" i="4"/>
  <c r="D1272" i="4"/>
  <c r="F1272" i="4"/>
  <c r="G1272" i="4"/>
  <c r="C1273" i="4" l="1"/>
  <c r="D1273" i="4"/>
  <c r="E1273" i="4"/>
  <c r="F1273" i="4"/>
  <c r="G1273" i="4"/>
  <c r="B1274" i="4"/>
  <c r="C1274" i="4" l="1"/>
  <c r="D1274" i="4"/>
  <c r="E1274" i="4"/>
  <c r="F1274" i="4"/>
  <c r="G1274" i="4"/>
  <c r="B1275" i="4"/>
  <c r="F1275" i="4" l="1"/>
  <c r="G1275" i="4"/>
  <c r="B1276" i="4"/>
  <c r="C1275" i="4"/>
  <c r="D1275" i="4"/>
  <c r="E1275" i="4"/>
  <c r="C1276" i="4" l="1"/>
  <c r="D1276" i="4"/>
  <c r="E1276" i="4"/>
  <c r="F1276" i="4"/>
  <c r="G1276" i="4"/>
  <c r="B1277" i="4"/>
  <c r="C1277" i="4" l="1"/>
  <c r="D1277" i="4"/>
  <c r="E1277" i="4"/>
  <c r="G1277" i="4"/>
  <c r="F1277" i="4"/>
  <c r="B1278" i="4"/>
  <c r="D1278" i="4" l="1"/>
  <c r="E1278" i="4"/>
  <c r="F1278" i="4"/>
  <c r="G1278" i="4"/>
  <c r="B1279" i="4"/>
  <c r="C1278" i="4"/>
  <c r="C1279" i="4" l="1"/>
  <c r="D1279" i="4"/>
  <c r="E1279" i="4"/>
  <c r="F1279" i="4"/>
  <c r="G1279" i="4"/>
  <c r="B1280" i="4"/>
  <c r="B1281" i="4" l="1"/>
  <c r="C1280" i="4"/>
  <c r="E1280" i="4"/>
  <c r="D1280" i="4"/>
  <c r="F1280" i="4"/>
  <c r="G1280" i="4"/>
  <c r="C1281" i="4" l="1"/>
  <c r="D1281" i="4"/>
  <c r="E1281" i="4"/>
  <c r="F1281" i="4"/>
  <c r="G1281" i="4"/>
  <c r="B1282" i="4"/>
  <c r="C1282" i="4" l="1"/>
  <c r="D1282" i="4"/>
  <c r="E1282" i="4"/>
  <c r="F1282" i="4"/>
  <c r="G1282" i="4"/>
  <c r="B1283" i="4"/>
  <c r="F1283" i="4" l="1"/>
  <c r="G1283" i="4"/>
  <c r="B1284" i="4"/>
  <c r="C1283" i="4"/>
  <c r="D1283" i="4"/>
  <c r="E1283" i="4"/>
  <c r="C1284" i="4" l="1"/>
  <c r="D1284" i="4"/>
  <c r="E1284" i="4"/>
  <c r="F1284" i="4"/>
  <c r="G1284" i="4"/>
  <c r="B1285" i="4"/>
  <c r="C1285" i="4" l="1"/>
  <c r="D1285" i="4"/>
  <c r="E1285" i="4"/>
  <c r="G1285" i="4"/>
  <c r="F1285" i="4"/>
  <c r="B1286" i="4"/>
  <c r="D1286" i="4" l="1"/>
  <c r="E1286" i="4"/>
  <c r="F1286" i="4"/>
  <c r="G1286" i="4"/>
  <c r="B1287" i="4"/>
  <c r="C1286" i="4"/>
  <c r="C1287" i="4" l="1"/>
  <c r="D1287" i="4"/>
  <c r="E1287" i="4"/>
  <c r="F1287" i="4"/>
  <c r="G1287" i="4"/>
  <c r="B1288" i="4"/>
  <c r="B1289" i="4" l="1"/>
  <c r="C1288" i="4"/>
  <c r="E1288" i="4"/>
  <c r="F1288" i="4"/>
  <c r="G1288" i="4"/>
  <c r="D1288" i="4"/>
  <c r="C1289" i="4" l="1"/>
  <c r="D1289" i="4"/>
  <c r="E1289" i="4"/>
  <c r="F1289" i="4"/>
  <c r="G1289" i="4"/>
  <c r="B1290" i="4"/>
  <c r="C1290" i="4" l="1"/>
  <c r="D1290" i="4"/>
  <c r="E1290" i="4"/>
  <c r="F1290" i="4"/>
  <c r="G1290" i="4"/>
  <c r="B1291" i="4"/>
  <c r="F1291" i="4" l="1"/>
  <c r="G1291" i="4"/>
  <c r="B1292" i="4"/>
  <c r="C1291" i="4"/>
  <c r="D1291" i="4"/>
  <c r="E1291" i="4"/>
  <c r="C1292" i="4" l="1"/>
  <c r="D1292" i="4"/>
  <c r="E1292" i="4"/>
  <c r="F1292" i="4"/>
  <c r="G1292" i="4"/>
  <c r="B1293" i="4"/>
  <c r="C1293" i="4" l="1"/>
  <c r="D1293" i="4"/>
  <c r="E1293" i="4"/>
  <c r="F1293" i="4"/>
  <c r="G1293" i="4"/>
  <c r="B1294" i="4"/>
  <c r="D1294" i="4" l="1"/>
  <c r="E1294" i="4"/>
  <c r="F1294" i="4"/>
  <c r="G1294" i="4"/>
  <c r="B1295" i="4"/>
  <c r="C1294" i="4"/>
  <c r="C1295" i="4" l="1"/>
  <c r="D1295" i="4"/>
  <c r="E1295" i="4"/>
  <c r="F1295" i="4"/>
  <c r="G1295" i="4"/>
  <c r="B1296" i="4"/>
  <c r="B1297" i="4" l="1"/>
  <c r="C1296" i="4"/>
  <c r="D1296" i="4"/>
  <c r="E1296" i="4"/>
  <c r="F1296" i="4"/>
  <c r="G1296" i="4"/>
  <c r="C1297" i="4" l="1"/>
  <c r="D1297" i="4"/>
  <c r="E1297" i="4"/>
  <c r="F1297" i="4"/>
  <c r="G1297" i="4"/>
  <c r="B1298" i="4"/>
  <c r="C1298" i="4" l="1"/>
  <c r="D1298" i="4"/>
  <c r="E1298" i="4"/>
  <c r="F1298" i="4"/>
  <c r="G1298" i="4"/>
  <c r="B1299" i="4"/>
  <c r="F1299" i="4" l="1"/>
  <c r="G1299" i="4"/>
  <c r="B1300" i="4"/>
  <c r="C1299" i="4"/>
  <c r="D1299" i="4"/>
  <c r="E1299" i="4"/>
  <c r="C1300" i="4" l="1"/>
  <c r="D1300" i="4"/>
  <c r="E1300" i="4"/>
  <c r="F1300" i="4"/>
  <c r="G1300" i="4"/>
  <c r="B1301" i="4"/>
  <c r="C1301" i="4" l="1"/>
  <c r="D1301" i="4"/>
  <c r="E1301" i="4"/>
  <c r="F1301" i="4"/>
  <c r="G1301" i="4"/>
  <c r="B1302" i="4"/>
  <c r="D1302" i="4" l="1"/>
  <c r="E1302" i="4"/>
  <c r="F1302" i="4"/>
  <c r="G1302" i="4"/>
  <c r="B1303" i="4"/>
  <c r="C1302" i="4"/>
  <c r="C1303" i="4" l="1"/>
  <c r="D1303" i="4"/>
  <c r="E1303" i="4"/>
  <c r="F1303" i="4"/>
  <c r="G1303" i="4"/>
  <c r="B1304" i="4"/>
  <c r="B1305" i="4" l="1"/>
  <c r="C1304" i="4"/>
  <c r="D1304" i="4"/>
  <c r="E1304" i="4"/>
  <c r="F1304" i="4"/>
  <c r="G1304" i="4"/>
  <c r="C1305" i="4" l="1"/>
  <c r="D1305" i="4"/>
  <c r="E1305" i="4"/>
  <c r="F1305" i="4"/>
  <c r="G1305" i="4"/>
  <c r="B1306" i="4"/>
  <c r="C1306" i="4" l="1"/>
  <c r="D1306" i="4"/>
  <c r="E1306" i="4"/>
  <c r="F1306" i="4"/>
  <c r="G1306" i="4"/>
  <c r="B1307" i="4"/>
  <c r="F1307" i="4" l="1"/>
  <c r="G1307" i="4"/>
  <c r="B1308" i="4"/>
  <c r="C1307" i="4"/>
  <c r="D1307" i="4"/>
  <c r="E1307" i="4"/>
  <c r="C1308" i="4" l="1"/>
  <c r="D1308" i="4"/>
  <c r="E1308" i="4"/>
  <c r="F1308" i="4"/>
  <c r="G1308" i="4"/>
  <c r="B1309" i="4"/>
  <c r="C1309" i="4" l="1"/>
  <c r="D1309" i="4"/>
  <c r="E1309" i="4"/>
  <c r="F1309" i="4"/>
  <c r="G1309" i="4"/>
  <c r="B1310" i="4"/>
  <c r="D1310" i="4" l="1"/>
  <c r="E1310" i="4"/>
  <c r="F1310" i="4"/>
  <c r="G1310" i="4"/>
  <c r="B1311" i="4"/>
  <c r="C1310" i="4"/>
  <c r="C1311" i="4" l="1"/>
  <c r="D1311" i="4"/>
  <c r="E1311" i="4"/>
  <c r="F1311" i="4"/>
  <c r="G1311" i="4"/>
  <c r="B1312" i="4"/>
  <c r="B1313" i="4" l="1"/>
  <c r="C1312" i="4"/>
  <c r="D1312" i="4"/>
  <c r="E1312" i="4"/>
  <c r="F1312" i="4"/>
  <c r="G1312" i="4"/>
  <c r="C1313" i="4" l="1"/>
  <c r="D1313" i="4"/>
  <c r="E1313" i="4"/>
  <c r="F1313" i="4"/>
  <c r="G1313" i="4"/>
  <c r="B1314" i="4"/>
  <c r="C1314" i="4" l="1"/>
  <c r="D1314" i="4"/>
  <c r="E1314" i="4"/>
  <c r="F1314" i="4"/>
  <c r="G1314" i="4"/>
  <c r="B1315" i="4"/>
  <c r="F1315" i="4" l="1"/>
  <c r="G1315" i="4"/>
  <c r="B1316" i="4"/>
  <c r="C1315" i="4"/>
  <c r="D1315" i="4"/>
  <c r="E1315" i="4"/>
  <c r="C1316" i="4" l="1"/>
  <c r="D1316" i="4"/>
  <c r="E1316" i="4"/>
  <c r="F1316" i="4"/>
  <c r="G1316" i="4"/>
  <c r="B1317" i="4"/>
  <c r="C1317" i="4" l="1"/>
  <c r="D1317" i="4"/>
  <c r="F1317" i="4"/>
  <c r="G1317" i="4"/>
  <c r="B1318" i="4"/>
  <c r="E1317" i="4"/>
  <c r="D1318" i="4" l="1"/>
  <c r="E1318" i="4"/>
  <c r="F1318" i="4"/>
  <c r="G1318" i="4"/>
  <c r="B1319" i="4"/>
  <c r="C1318" i="4"/>
  <c r="C1319" i="4" l="1"/>
  <c r="D1319" i="4"/>
  <c r="E1319" i="4"/>
  <c r="F1319" i="4"/>
  <c r="G1319" i="4"/>
  <c r="B1320" i="4"/>
  <c r="B1321" i="4" l="1"/>
  <c r="C1320" i="4"/>
  <c r="D1320" i="4"/>
  <c r="E1320" i="4"/>
  <c r="F1320" i="4"/>
  <c r="G1320" i="4"/>
  <c r="C1321" i="4" l="1"/>
  <c r="D1321" i="4"/>
  <c r="E1321" i="4"/>
  <c r="F1321" i="4"/>
  <c r="G1321" i="4"/>
  <c r="B1322" i="4"/>
  <c r="C1322" i="4" l="1"/>
  <c r="D1322" i="4"/>
  <c r="F1322" i="4"/>
  <c r="E1322" i="4"/>
  <c r="G1322" i="4"/>
  <c r="B1323" i="4"/>
  <c r="F1323" i="4" l="1"/>
  <c r="G1323" i="4"/>
  <c r="B1324" i="4"/>
  <c r="C1323" i="4"/>
  <c r="D1323" i="4"/>
  <c r="E1323" i="4"/>
  <c r="C1324" i="4" l="1"/>
  <c r="D1324" i="4"/>
  <c r="E1324" i="4"/>
  <c r="F1324" i="4"/>
  <c r="B1325" i="4"/>
  <c r="G1324" i="4"/>
  <c r="D1325" i="4" l="1"/>
  <c r="C1325" i="4"/>
  <c r="E1325" i="4"/>
  <c r="F1325" i="4"/>
  <c r="G1325" i="4"/>
  <c r="B1326" i="4"/>
  <c r="D1326" i="4" l="1"/>
  <c r="E1326" i="4"/>
  <c r="F1326" i="4"/>
  <c r="G1326" i="4"/>
  <c r="B1327" i="4"/>
  <c r="C1326" i="4"/>
  <c r="C1327" i="4" l="1"/>
  <c r="D1327" i="4"/>
  <c r="F1327" i="4"/>
  <c r="B1328" i="4"/>
  <c r="E1327" i="4"/>
  <c r="G1327" i="4"/>
  <c r="B1329" i="4" l="1"/>
  <c r="C1328" i="4"/>
  <c r="D1328" i="4"/>
  <c r="E1328" i="4"/>
  <c r="F1328" i="4"/>
  <c r="G1328" i="4"/>
  <c r="C1329" i="4" l="1"/>
  <c r="D1329" i="4"/>
  <c r="E1329" i="4"/>
  <c r="F1329" i="4"/>
  <c r="G1329" i="4"/>
  <c r="B1330" i="4"/>
  <c r="D1330" i="4" l="1"/>
  <c r="F1330" i="4"/>
  <c r="B1331" i="4"/>
  <c r="C1330" i="4"/>
  <c r="E1330" i="4"/>
  <c r="G1330" i="4"/>
  <c r="F1331" i="4" l="1"/>
  <c r="G1331" i="4"/>
  <c r="B1332" i="4"/>
  <c r="C1331" i="4"/>
  <c r="D1331" i="4"/>
  <c r="E1331" i="4"/>
  <c r="C1332" i="4" l="1"/>
  <c r="D1332" i="4"/>
  <c r="E1332" i="4"/>
  <c r="F1332" i="4"/>
  <c r="B1333" i="4"/>
  <c r="G1332" i="4"/>
  <c r="D1333" i="4" l="1"/>
  <c r="C1333" i="4"/>
  <c r="E1333" i="4"/>
  <c r="F1333" i="4"/>
  <c r="G1333" i="4"/>
  <c r="B1334" i="4"/>
  <c r="D1334" i="4" l="1"/>
  <c r="E1334" i="4"/>
  <c r="F1334" i="4"/>
  <c r="G1334" i="4"/>
  <c r="B1335" i="4"/>
  <c r="C1334" i="4"/>
  <c r="C1335" i="4" l="1"/>
  <c r="D1335" i="4"/>
  <c r="F1335" i="4"/>
  <c r="B1336" i="4"/>
  <c r="E1335" i="4"/>
  <c r="G1335" i="4"/>
  <c r="B1337" i="4" l="1"/>
  <c r="F1336" i="4"/>
  <c r="G1336" i="4"/>
  <c r="C1336" i="4"/>
  <c r="D1336" i="4"/>
  <c r="E1336" i="4"/>
  <c r="C1337" i="4" l="1"/>
  <c r="D1337" i="4"/>
  <c r="E1337" i="4"/>
  <c r="F1337" i="4"/>
  <c r="G1337" i="4"/>
  <c r="B1338" i="4"/>
  <c r="D1338" i="4" l="1"/>
  <c r="F1338" i="4"/>
  <c r="C1338" i="4"/>
  <c r="E1338" i="4"/>
  <c r="G1338" i="4"/>
  <c r="B1339" i="4"/>
  <c r="F1339" i="4" l="1"/>
  <c r="G1339" i="4"/>
  <c r="B1340" i="4"/>
  <c r="C1339" i="4"/>
  <c r="D1339" i="4"/>
  <c r="E1339" i="4"/>
  <c r="C1340" i="4" l="1"/>
  <c r="D1340" i="4"/>
  <c r="E1340" i="4"/>
  <c r="F1340" i="4"/>
  <c r="B1341" i="4"/>
  <c r="G1340" i="4"/>
  <c r="D1341" i="4" l="1"/>
  <c r="C1341" i="4"/>
  <c r="E1341" i="4"/>
  <c r="F1341" i="4"/>
  <c r="G1341" i="4"/>
  <c r="B1342" i="4"/>
  <c r="D1342" i="4" l="1"/>
  <c r="E1342" i="4"/>
  <c r="F1342" i="4"/>
  <c r="G1342" i="4"/>
  <c r="B1343" i="4"/>
  <c r="C1342" i="4"/>
  <c r="C1343" i="4" l="1"/>
  <c r="D1343" i="4"/>
  <c r="F1343" i="4"/>
  <c r="B1344" i="4"/>
  <c r="E1343" i="4"/>
  <c r="G1343" i="4"/>
  <c r="B1345" i="4" l="1"/>
  <c r="C1344" i="4"/>
  <c r="D1344" i="4"/>
  <c r="E1344" i="4"/>
  <c r="F1344" i="4"/>
  <c r="G1344" i="4"/>
  <c r="C1345" i="4" l="1"/>
  <c r="D1345" i="4"/>
  <c r="E1345" i="4"/>
  <c r="F1345" i="4"/>
  <c r="G1345" i="4"/>
  <c r="B1346" i="4"/>
  <c r="F1346" i="4" l="1"/>
  <c r="C1346" i="4"/>
  <c r="D1346" i="4"/>
  <c r="E1346" i="4"/>
  <c r="G1346" i="4"/>
  <c r="B1347" i="4"/>
  <c r="F1347" i="4" l="1"/>
  <c r="G1347" i="4"/>
  <c r="B1348" i="4"/>
  <c r="C1347" i="4"/>
  <c r="D1347" i="4"/>
  <c r="E1347" i="4"/>
  <c r="C1348" i="4" l="1"/>
  <c r="D1348" i="4"/>
  <c r="E1348" i="4"/>
  <c r="F1348" i="4"/>
  <c r="B1349" i="4"/>
  <c r="G1348" i="4"/>
  <c r="D1349" i="4" l="1"/>
  <c r="C1349" i="4"/>
  <c r="E1349" i="4"/>
  <c r="F1349" i="4"/>
  <c r="G1349" i="4"/>
  <c r="B1350" i="4"/>
  <c r="D1350" i="4" l="1"/>
  <c r="E1350" i="4"/>
  <c r="F1350" i="4"/>
  <c r="G1350" i="4"/>
  <c r="B1351" i="4"/>
  <c r="C1350" i="4"/>
  <c r="C1351" i="4" l="1"/>
  <c r="D1351" i="4"/>
  <c r="B1352" i="4"/>
  <c r="E1351" i="4"/>
  <c r="F1351" i="4"/>
  <c r="G1351" i="4"/>
  <c r="B1353" i="4" l="1"/>
  <c r="C1352" i="4"/>
  <c r="D1352" i="4"/>
  <c r="E1352" i="4"/>
  <c r="F1352" i="4"/>
  <c r="G1352" i="4"/>
  <c r="C1353" i="4" l="1"/>
  <c r="D1353" i="4"/>
  <c r="E1353" i="4"/>
  <c r="F1353" i="4"/>
  <c r="G1353" i="4"/>
  <c r="B1354" i="4"/>
  <c r="F1354" i="4" l="1"/>
  <c r="D1354" i="4"/>
  <c r="E1354" i="4"/>
  <c r="G1354" i="4"/>
  <c r="B1355" i="4"/>
  <c r="C1354" i="4"/>
  <c r="F1355" i="4" l="1"/>
  <c r="G1355" i="4"/>
  <c r="B1356" i="4"/>
  <c r="C1355" i="4"/>
  <c r="D1355" i="4"/>
  <c r="E1355" i="4"/>
  <c r="C1356" i="4" l="1"/>
  <c r="D1356" i="4"/>
  <c r="E1356" i="4"/>
  <c r="F1356" i="4"/>
  <c r="G1356" i="4"/>
  <c r="B1357" i="4"/>
  <c r="C1357" i="4" l="1"/>
  <c r="D1357" i="4"/>
  <c r="E1357" i="4"/>
  <c r="F1357" i="4"/>
  <c r="G1357" i="4"/>
  <c r="B1358" i="4"/>
  <c r="D1358" i="4" l="1"/>
  <c r="E1358" i="4"/>
  <c r="F1358" i="4"/>
  <c r="G1358" i="4"/>
  <c r="B1359" i="4"/>
  <c r="C1358" i="4"/>
  <c r="C1359" i="4" l="1"/>
  <c r="D1359" i="4"/>
  <c r="E1359" i="4"/>
  <c r="F1359" i="4"/>
  <c r="G1359" i="4"/>
  <c r="B1360" i="4"/>
  <c r="B1361" i="4" l="1"/>
  <c r="C1360" i="4"/>
  <c r="D1360" i="4"/>
  <c r="E1360" i="4"/>
  <c r="F1360" i="4"/>
  <c r="G1360" i="4"/>
  <c r="C1361" i="4" l="1"/>
  <c r="D1361" i="4"/>
  <c r="E1361" i="4"/>
  <c r="F1361" i="4"/>
  <c r="G1361" i="4"/>
  <c r="B1362" i="4"/>
  <c r="C1362" i="4" l="1"/>
  <c r="D1362" i="4"/>
  <c r="E1362" i="4"/>
  <c r="F1362" i="4"/>
  <c r="G1362" i="4"/>
  <c r="B1363" i="4"/>
  <c r="F1363" i="4" l="1"/>
  <c r="G1363" i="4"/>
  <c r="B1364" i="4"/>
  <c r="D1363" i="4"/>
  <c r="E1363" i="4"/>
  <c r="C1363" i="4"/>
  <c r="C1364" i="4" l="1"/>
  <c r="D1364" i="4"/>
  <c r="E1364" i="4"/>
  <c r="F1364" i="4"/>
  <c r="G1364" i="4"/>
  <c r="B1365" i="4"/>
  <c r="C1365" i="4" l="1"/>
  <c r="D1365" i="4"/>
  <c r="E1365" i="4"/>
  <c r="F1365" i="4"/>
  <c r="G1365" i="4"/>
  <c r="B1366" i="4"/>
  <c r="D1366" i="4" l="1"/>
  <c r="E1366" i="4"/>
  <c r="F1366" i="4"/>
  <c r="G1366" i="4"/>
  <c r="B1367" i="4"/>
  <c r="C1366" i="4"/>
  <c r="C1367" i="4" l="1"/>
  <c r="D1367" i="4"/>
  <c r="E1367" i="4"/>
  <c r="F1367" i="4"/>
  <c r="G1367" i="4"/>
  <c r="B1368" i="4"/>
  <c r="B1369" i="4" l="1"/>
  <c r="D1368" i="4"/>
  <c r="E1368" i="4"/>
  <c r="F1368" i="4"/>
  <c r="G1368" i="4"/>
  <c r="C1368" i="4"/>
  <c r="C1369" i="4" l="1"/>
  <c r="D1369" i="4"/>
  <c r="E1369" i="4"/>
  <c r="F1369" i="4"/>
  <c r="G1369" i="4"/>
  <c r="B1370" i="4"/>
  <c r="C1370" i="4" l="1"/>
  <c r="D1370" i="4"/>
  <c r="E1370" i="4"/>
  <c r="F1370" i="4"/>
  <c r="G1370" i="4"/>
  <c r="B1371" i="4"/>
  <c r="F1371" i="4" l="1"/>
  <c r="G1371" i="4"/>
  <c r="B1372" i="4"/>
  <c r="C1371" i="4"/>
  <c r="D1371" i="4"/>
  <c r="E1371" i="4"/>
  <c r="C1372" i="4" l="1"/>
  <c r="D1372" i="4"/>
  <c r="E1372" i="4"/>
  <c r="F1372" i="4"/>
  <c r="G1372" i="4"/>
  <c r="B1373" i="4"/>
  <c r="D1373" i="4" l="1"/>
  <c r="E1373" i="4"/>
  <c r="F1373" i="4"/>
  <c r="G1373" i="4"/>
  <c r="B1374" i="4"/>
  <c r="C1373" i="4"/>
  <c r="D1374" i="4" l="1"/>
  <c r="E1374" i="4"/>
  <c r="F1374" i="4"/>
  <c r="G1374" i="4"/>
  <c r="B1375" i="4"/>
  <c r="C1374" i="4"/>
  <c r="C1375" i="4" l="1"/>
  <c r="D1375" i="4"/>
  <c r="E1375" i="4"/>
  <c r="F1375" i="4"/>
  <c r="G1375" i="4"/>
  <c r="B1376" i="4"/>
  <c r="B1377" i="4" l="1"/>
  <c r="C1376" i="4"/>
  <c r="D1376" i="4"/>
  <c r="E1376" i="4"/>
  <c r="F1376" i="4"/>
  <c r="G1376" i="4"/>
  <c r="C1377" i="4" l="1"/>
  <c r="D1377" i="4"/>
  <c r="E1377" i="4"/>
  <c r="F1377" i="4"/>
  <c r="G1377" i="4"/>
  <c r="B1378" i="4"/>
  <c r="D1378" i="4" l="1"/>
  <c r="E1378" i="4"/>
  <c r="F1378" i="4"/>
  <c r="G1378" i="4"/>
  <c r="B1379" i="4"/>
  <c r="C1378" i="4"/>
  <c r="F1379" i="4" l="1"/>
  <c r="G1379" i="4"/>
  <c r="B1380" i="4"/>
  <c r="C1379" i="4"/>
  <c r="D1379" i="4"/>
  <c r="E1379" i="4"/>
  <c r="C1380" i="4" l="1"/>
  <c r="D1380" i="4"/>
  <c r="E1380" i="4"/>
  <c r="F1380" i="4"/>
  <c r="G1380" i="4"/>
  <c r="B1381" i="4"/>
  <c r="C1381" i="4" l="1"/>
  <c r="D1381" i="4"/>
  <c r="E1381" i="4"/>
  <c r="F1381" i="4"/>
  <c r="G1381" i="4"/>
  <c r="B1382" i="4"/>
  <c r="D1382" i="4" l="1"/>
  <c r="E1382" i="4"/>
  <c r="F1382" i="4"/>
  <c r="G1382" i="4"/>
  <c r="B1383" i="4"/>
  <c r="C1382" i="4"/>
  <c r="C1383" i="4" l="1"/>
  <c r="D1383" i="4"/>
  <c r="E1383" i="4"/>
  <c r="F1383" i="4"/>
  <c r="G1383" i="4"/>
  <c r="B1384" i="4"/>
  <c r="B1385" i="4" l="1"/>
  <c r="C1384" i="4"/>
  <c r="D1384" i="4"/>
  <c r="E1384" i="4"/>
  <c r="F1384" i="4"/>
  <c r="G1384" i="4"/>
  <c r="C1385" i="4" l="1"/>
  <c r="D1385" i="4"/>
  <c r="E1385" i="4"/>
  <c r="F1385" i="4"/>
  <c r="G1385" i="4"/>
  <c r="B1386" i="4"/>
  <c r="C1386" i="4" l="1"/>
  <c r="D1386" i="4"/>
  <c r="E1386" i="4"/>
  <c r="F1386" i="4"/>
  <c r="G1386" i="4"/>
  <c r="B1387" i="4"/>
  <c r="F1387" i="4" l="1"/>
  <c r="G1387" i="4"/>
  <c r="B1388" i="4"/>
  <c r="C1387" i="4"/>
  <c r="D1387" i="4"/>
  <c r="E1387" i="4"/>
  <c r="C1388" i="4" l="1"/>
  <c r="D1388" i="4"/>
  <c r="E1388" i="4"/>
  <c r="F1388" i="4"/>
  <c r="G1388" i="4"/>
  <c r="B1389" i="4"/>
  <c r="C1389" i="4" l="1"/>
  <c r="D1389" i="4"/>
  <c r="E1389" i="4"/>
  <c r="F1389" i="4"/>
  <c r="G1389" i="4"/>
  <c r="B1390" i="4"/>
  <c r="D1390" i="4" l="1"/>
  <c r="E1390" i="4"/>
  <c r="F1390" i="4"/>
  <c r="G1390" i="4"/>
  <c r="B1391" i="4"/>
  <c r="C1390" i="4"/>
  <c r="C1391" i="4" l="1"/>
  <c r="D1391" i="4"/>
  <c r="E1391" i="4"/>
  <c r="F1391" i="4"/>
  <c r="G1391" i="4"/>
  <c r="B1392" i="4"/>
  <c r="B1393" i="4" l="1"/>
  <c r="C1392" i="4"/>
  <c r="D1392" i="4"/>
  <c r="E1392" i="4"/>
  <c r="F1392" i="4"/>
  <c r="G1392" i="4"/>
  <c r="C1393" i="4" l="1"/>
  <c r="D1393" i="4"/>
  <c r="E1393" i="4"/>
  <c r="F1393" i="4"/>
  <c r="G1393" i="4"/>
  <c r="B1394" i="4"/>
  <c r="C1394" i="4" l="1"/>
  <c r="D1394" i="4"/>
  <c r="E1394" i="4"/>
  <c r="F1394" i="4"/>
  <c r="G1394" i="4"/>
  <c r="B1395" i="4"/>
  <c r="F1395" i="4" l="1"/>
  <c r="G1395" i="4"/>
  <c r="B1396" i="4"/>
  <c r="C1395" i="4"/>
  <c r="D1395" i="4"/>
  <c r="E1395" i="4"/>
  <c r="C1396" i="4" l="1"/>
  <c r="D1396" i="4"/>
  <c r="E1396" i="4"/>
  <c r="F1396" i="4"/>
  <c r="G1396" i="4"/>
  <c r="B1397" i="4"/>
  <c r="C1397" i="4" l="1"/>
  <c r="D1397" i="4"/>
  <c r="E1397" i="4"/>
  <c r="F1397" i="4"/>
  <c r="G1397" i="4"/>
  <c r="B1398" i="4"/>
  <c r="D1398" i="4" l="1"/>
  <c r="E1398" i="4"/>
  <c r="F1398" i="4"/>
  <c r="G1398" i="4"/>
  <c r="B1399" i="4"/>
  <c r="C1398" i="4"/>
  <c r="C1399" i="4" l="1"/>
  <c r="D1399" i="4"/>
  <c r="E1399" i="4"/>
  <c r="F1399" i="4"/>
  <c r="G1399" i="4"/>
  <c r="B1400" i="4"/>
  <c r="B1401" i="4" l="1"/>
  <c r="C1400" i="4"/>
  <c r="D1400" i="4"/>
  <c r="E1400" i="4"/>
  <c r="F1400" i="4"/>
  <c r="G1400" i="4"/>
  <c r="C1401" i="4" l="1"/>
  <c r="D1401" i="4"/>
  <c r="E1401" i="4"/>
  <c r="F1401" i="4"/>
  <c r="G1401" i="4"/>
  <c r="B1402" i="4"/>
  <c r="C1402" i="4" l="1"/>
  <c r="D1402" i="4"/>
  <c r="E1402" i="4"/>
  <c r="F1402" i="4"/>
  <c r="G1402" i="4"/>
  <c r="B1403" i="4"/>
  <c r="F1403" i="4" l="1"/>
  <c r="G1403" i="4"/>
  <c r="B1404" i="4"/>
  <c r="C1403" i="4"/>
  <c r="D1403" i="4"/>
  <c r="E1403" i="4"/>
  <c r="C1404" i="4" l="1"/>
  <c r="D1404" i="4"/>
  <c r="E1404" i="4"/>
  <c r="F1404" i="4"/>
  <c r="G1404" i="4"/>
  <c r="B1405" i="4"/>
  <c r="B1406" i="4" l="1"/>
  <c r="C1405" i="4"/>
  <c r="D1405" i="4"/>
  <c r="E1405" i="4"/>
  <c r="F1405" i="4"/>
  <c r="G1405" i="4"/>
  <c r="D1406" i="4" l="1"/>
  <c r="E1406" i="4"/>
  <c r="F1406" i="4"/>
  <c r="G1406" i="4"/>
  <c r="B1407" i="4"/>
  <c r="C1406" i="4"/>
  <c r="C1407" i="4" l="1"/>
  <c r="D1407" i="4"/>
  <c r="E1407" i="4"/>
  <c r="F1407" i="4"/>
  <c r="G1407" i="4"/>
  <c r="B1408" i="4"/>
  <c r="B1409" i="4" l="1"/>
  <c r="C1408" i="4"/>
  <c r="D1408" i="4"/>
  <c r="E1408" i="4"/>
  <c r="F1408" i="4"/>
  <c r="G1408" i="4"/>
  <c r="C1409" i="4" l="1"/>
  <c r="D1409" i="4"/>
  <c r="E1409" i="4"/>
  <c r="F1409" i="4"/>
  <c r="G1409" i="4"/>
  <c r="B1410" i="4"/>
  <c r="B1411" i="4" l="1"/>
  <c r="C1410" i="4"/>
  <c r="D1410" i="4"/>
  <c r="E1410" i="4"/>
  <c r="F1410" i="4"/>
  <c r="G1410" i="4"/>
  <c r="F1411" i="4" l="1"/>
  <c r="G1411" i="4"/>
  <c r="B1412" i="4"/>
  <c r="C1411" i="4"/>
  <c r="D1411" i="4"/>
  <c r="E1411" i="4"/>
  <c r="C1412" i="4" l="1"/>
  <c r="D1412" i="4"/>
  <c r="E1412" i="4"/>
  <c r="F1412" i="4"/>
  <c r="G1412" i="4"/>
  <c r="B1413" i="4"/>
  <c r="C1413" i="4" l="1"/>
  <c r="D1413" i="4"/>
  <c r="E1413" i="4"/>
  <c r="F1413" i="4"/>
  <c r="G1413" i="4"/>
  <c r="B1414" i="4"/>
  <c r="D1414" i="4" l="1"/>
  <c r="E1414" i="4"/>
  <c r="F1414" i="4"/>
  <c r="G1414" i="4"/>
  <c r="B1415" i="4"/>
  <c r="C1414" i="4"/>
  <c r="C1415" i="4" l="1"/>
  <c r="D1415" i="4"/>
  <c r="B1416" i="4"/>
  <c r="E1415" i="4"/>
  <c r="F1415" i="4"/>
  <c r="G1415" i="4"/>
  <c r="B1417" i="4" l="1"/>
  <c r="C1416" i="4"/>
  <c r="D1416" i="4"/>
  <c r="E1416" i="4"/>
  <c r="F1416" i="4"/>
  <c r="G1416" i="4"/>
  <c r="C1417" i="4" l="1"/>
  <c r="D1417" i="4"/>
  <c r="E1417" i="4"/>
  <c r="F1417" i="4"/>
  <c r="G1417" i="4"/>
  <c r="B1418" i="4"/>
  <c r="C1418" i="4" l="1"/>
  <c r="D1418" i="4"/>
  <c r="E1418" i="4"/>
  <c r="F1418" i="4"/>
  <c r="G1418" i="4"/>
  <c r="B1419" i="4"/>
  <c r="F1419" i="4" l="1"/>
  <c r="G1419" i="4"/>
  <c r="B1420" i="4"/>
  <c r="C1419" i="4"/>
  <c r="D1419" i="4"/>
  <c r="E1419" i="4"/>
  <c r="C1420" i="4" l="1"/>
  <c r="D1420" i="4"/>
  <c r="E1420" i="4"/>
  <c r="F1420" i="4"/>
  <c r="B1421" i="4"/>
  <c r="G1420" i="4"/>
  <c r="C1421" i="4" l="1"/>
  <c r="D1421" i="4"/>
  <c r="E1421" i="4"/>
  <c r="F1421" i="4"/>
  <c r="G1421" i="4"/>
  <c r="B1422" i="4"/>
  <c r="D1422" i="4" l="1"/>
  <c r="E1422" i="4"/>
  <c r="F1422" i="4"/>
  <c r="G1422" i="4"/>
  <c r="B1423" i="4"/>
  <c r="C1422" i="4"/>
  <c r="C1423" i="4" l="1"/>
  <c r="D1423" i="4"/>
  <c r="E1423" i="4"/>
  <c r="F1423" i="4"/>
  <c r="G1423" i="4"/>
  <c r="B1424" i="4"/>
  <c r="B1425" i="4" l="1"/>
  <c r="G1424" i="4"/>
  <c r="C1424" i="4"/>
  <c r="D1424" i="4"/>
  <c r="E1424" i="4"/>
  <c r="F1424" i="4"/>
  <c r="C1425" i="4" l="1"/>
  <c r="D1425" i="4"/>
  <c r="E1425" i="4"/>
  <c r="F1425" i="4"/>
  <c r="G1425" i="4"/>
  <c r="B1426" i="4"/>
  <c r="C1426" i="4" l="1"/>
  <c r="D1426" i="4"/>
  <c r="E1426" i="4"/>
  <c r="F1426" i="4"/>
  <c r="G1426" i="4"/>
  <c r="B1427" i="4"/>
  <c r="F1427" i="4" l="1"/>
  <c r="G1427" i="4"/>
  <c r="B1428" i="4"/>
  <c r="C1427" i="4"/>
  <c r="D1427" i="4"/>
  <c r="E1427" i="4"/>
  <c r="C1428" i="4" l="1"/>
  <c r="D1428" i="4"/>
  <c r="E1428" i="4"/>
  <c r="F1428" i="4"/>
  <c r="G1428" i="4"/>
  <c r="B1429" i="4"/>
  <c r="G1429" i="4" l="1"/>
  <c r="B1430" i="4"/>
  <c r="C1429" i="4"/>
  <c r="D1429" i="4"/>
  <c r="E1429" i="4"/>
  <c r="F1429" i="4"/>
  <c r="D1430" i="4" l="1"/>
  <c r="E1430" i="4"/>
  <c r="F1430" i="4"/>
  <c r="G1430" i="4"/>
  <c r="B1431" i="4"/>
  <c r="C1430" i="4"/>
  <c r="C1431" i="4" l="1"/>
  <c r="D1431" i="4"/>
  <c r="E1431" i="4"/>
  <c r="F1431" i="4"/>
  <c r="G1431" i="4"/>
  <c r="B1432" i="4"/>
  <c r="B1433" i="4" l="1"/>
  <c r="C1432" i="4"/>
  <c r="D1432" i="4"/>
  <c r="E1432" i="4"/>
  <c r="F1432" i="4"/>
  <c r="G1432" i="4"/>
  <c r="C1433" i="4" l="1"/>
  <c r="D1433" i="4"/>
  <c r="E1433" i="4"/>
  <c r="F1433" i="4"/>
  <c r="G1433" i="4"/>
  <c r="B1434" i="4"/>
  <c r="G1434" i="4" l="1"/>
  <c r="B1435" i="4"/>
  <c r="C1434" i="4"/>
  <c r="D1434" i="4"/>
  <c r="E1434" i="4"/>
  <c r="F1434" i="4"/>
  <c r="F1435" i="4" l="1"/>
  <c r="G1435" i="4"/>
  <c r="B1436" i="4"/>
  <c r="C1435" i="4"/>
  <c r="D1435" i="4"/>
  <c r="E1435" i="4"/>
  <c r="C1436" i="4" l="1"/>
  <c r="D1436" i="4"/>
  <c r="E1436" i="4"/>
  <c r="F1436" i="4"/>
  <c r="G1436" i="4"/>
  <c r="B1437" i="4"/>
  <c r="C1437" i="4" l="1"/>
  <c r="D1437" i="4"/>
  <c r="E1437" i="4"/>
  <c r="F1437" i="4"/>
  <c r="G1437" i="4"/>
  <c r="B1438" i="4"/>
  <c r="D1438" i="4" l="1"/>
  <c r="E1438" i="4"/>
  <c r="F1438" i="4"/>
  <c r="G1438" i="4"/>
  <c r="B1439" i="4"/>
  <c r="C1438" i="4"/>
  <c r="C1439" i="4" l="1"/>
  <c r="D1439" i="4"/>
  <c r="G1439" i="4"/>
  <c r="B1440" i="4"/>
  <c r="E1439" i="4"/>
  <c r="F1439" i="4"/>
  <c r="B1441" i="4" l="1"/>
  <c r="C1440" i="4"/>
  <c r="D1440" i="4"/>
  <c r="E1440" i="4"/>
  <c r="F1440" i="4"/>
  <c r="G1440" i="4"/>
  <c r="C1441" i="4" l="1"/>
  <c r="D1441" i="4"/>
  <c r="E1441" i="4"/>
  <c r="F1441" i="4"/>
  <c r="G1441" i="4"/>
  <c r="B1442" i="4"/>
  <c r="C1442" i="4" l="1"/>
  <c r="D1442" i="4"/>
  <c r="E1442" i="4"/>
  <c r="F1442" i="4"/>
  <c r="G1442" i="4"/>
  <c r="B1443" i="4"/>
  <c r="F1443" i="4" l="1"/>
  <c r="G1443" i="4"/>
  <c r="B1444" i="4"/>
  <c r="C1443" i="4"/>
  <c r="D1443" i="4"/>
  <c r="E1443" i="4"/>
  <c r="C1444" i="4" l="1"/>
  <c r="D1444" i="4"/>
  <c r="E1444" i="4"/>
  <c r="F1444" i="4"/>
  <c r="G1444" i="4"/>
  <c r="B1445" i="4"/>
  <c r="C1445" i="4" l="1"/>
  <c r="D1445" i="4"/>
  <c r="E1445" i="4"/>
  <c r="F1445" i="4"/>
  <c r="G1445" i="4"/>
  <c r="B1446" i="4"/>
  <c r="E1446" i="4" l="1"/>
  <c r="F1446" i="4"/>
  <c r="G1446" i="4"/>
  <c r="C1446" i="4"/>
  <c r="D1446" i="4"/>
  <c r="B1447" i="4"/>
  <c r="C1447" i="4" l="1"/>
  <c r="D1447" i="4"/>
  <c r="E1447" i="4"/>
  <c r="F1447" i="4"/>
  <c r="G1447" i="4"/>
  <c r="B1448" i="4"/>
  <c r="D1448" i="4" l="1"/>
  <c r="E1448" i="4"/>
  <c r="F1448" i="4"/>
  <c r="G1448" i="4"/>
  <c r="B1449" i="4"/>
  <c r="C1448" i="4"/>
  <c r="C1449" i="4" l="1"/>
  <c r="D1449" i="4"/>
  <c r="E1449" i="4"/>
  <c r="F1449" i="4"/>
  <c r="G1449" i="4"/>
  <c r="B1450" i="4"/>
  <c r="B1451" i="4" l="1"/>
  <c r="C1450" i="4"/>
  <c r="D1450" i="4"/>
  <c r="E1450" i="4"/>
  <c r="F1450" i="4"/>
  <c r="G1450" i="4"/>
  <c r="C1451" i="4" l="1"/>
  <c r="D1451" i="4"/>
  <c r="E1451" i="4"/>
  <c r="F1451" i="4"/>
  <c r="G1451" i="4"/>
  <c r="B1452" i="4"/>
  <c r="C1452" i="4" l="1"/>
  <c r="D1452" i="4"/>
  <c r="E1452" i="4"/>
  <c r="F1452" i="4"/>
  <c r="G1452" i="4"/>
  <c r="B1453" i="4"/>
  <c r="F1453" i="4" l="1"/>
  <c r="G1453" i="4"/>
  <c r="B1454" i="4"/>
  <c r="C1453" i="4"/>
  <c r="D1453" i="4"/>
  <c r="E1453" i="4"/>
  <c r="C1454" i="4" l="1"/>
  <c r="D1454" i="4"/>
  <c r="E1454" i="4"/>
  <c r="F1454" i="4"/>
  <c r="G1454" i="4"/>
  <c r="B1455" i="4"/>
  <c r="C1455" i="4" l="1"/>
  <c r="D1455" i="4"/>
  <c r="E1455" i="4"/>
  <c r="F1455" i="4"/>
  <c r="G1455" i="4"/>
  <c r="B1456" i="4"/>
  <c r="D1456" i="4" l="1"/>
  <c r="E1456" i="4"/>
  <c r="F1456" i="4"/>
  <c r="G1456" i="4"/>
  <c r="B1457" i="4"/>
  <c r="C1456" i="4"/>
  <c r="C1457" i="4" l="1"/>
  <c r="D1457" i="4"/>
  <c r="E1457" i="4"/>
  <c r="F1457" i="4"/>
  <c r="G1457" i="4"/>
  <c r="B1458" i="4"/>
  <c r="B1459" i="4" l="1"/>
  <c r="C1458" i="4"/>
  <c r="D1458" i="4"/>
  <c r="E1458" i="4"/>
  <c r="F1458" i="4"/>
  <c r="G1458" i="4"/>
  <c r="C1459" i="4" l="1"/>
  <c r="D1459" i="4"/>
  <c r="E1459" i="4"/>
  <c r="F1459" i="4"/>
  <c r="G1459" i="4"/>
  <c r="B1460" i="4"/>
  <c r="C1460" i="4" l="1"/>
  <c r="D1460" i="4"/>
  <c r="E1460" i="4"/>
  <c r="F1460" i="4"/>
  <c r="G1460" i="4"/>
  <c r="B1461" i="4"/>
  <c r="F1461" i="4" l="1"/>
  <c r="G1461" i="4"/>
  <c r="B1462" i="4"/>
  <c r="C1461" i="4"/>
  <c r="D1461" i="4"/>
  <c r="E1461" i="4"/>
  <c r="C1462" i="4" l="1"/>
  <c r="D1462" i="4"/>
  <c r="E1462" i="4"/>
  <c r="F1462" i="4"/>
  <c r="G1462" i="4"/>
  <c r="B1463" i="4"/>
  <c r="C1463" i="4" l="1"/>
  <c r="D1463" i="4"/>
  <c r="E1463" i="4"/>
  <c r="F1463" i="4"/>
  <c r="G1463" i="4"/>
  <c r="B1464" i="4"/>
  <c r="D1464" i="4" l="1"/>
  <c r="E1464" i="4"/>
  <c r="F1464" i="4"/>
  <c r="G1464" i="4"/>
  <c r="B1465" i="4"/>
  <c r="C1464" i="4"/>
  <c r="C1465" i="4" l="1"/>
  <c r="D1465" i="4"/>
  <c r="E1465" i="4"/>
  <c r="F1465" i="4"/>
  <c r="G1465" i="4"/>
  <c r="B1466" i="4"/>
  <c r="B1467" i="4" l="1"/>
  <c r="C1466" i="4"/>
  <c r="D1466" i="4"/>
  <c r="E1466" i="4"/>
  <c r="F1466" i="4"/>
  <c r="G1466" i="4"/>
  <c r="C1467" i="4" l="1"/>
  <c r="D1467" i="4"/>
  <c r="E1467" i="4"/>
  <c r="F1467" i="4"/>
  <c r="G1467" i="4"/>
  <c r="B1468" i="4"/>
  <c r="C1468" i="4" l="1"/>
  <c r="D1468" i="4"/>
  <c r="E1468" i="4"/>
  <c r="F1468" i="4"/>
  <c r="G1468" i="4"/>
  <c r="B1469" i="4"/>
  <c r="F1469" i="4" l="1"/>
  <c r="G1469" i="4"/>
  <c r="B1470" i="4"/>
  <c r="C1469" i="4"/>
  <c r="D1469" i="4"/>
  <c r="E1469" i="4"/>
  <c r="C1470" i="4" l="1"/>
  <c r="D1470" i="4"/>
  <c r="E1470" i="4"/>
  <c r="F1470" i="4"/>
  <c r="G1470" i="4"/>
  <c r="B1471" i="4"/>
  <c r="C1471" i="4" l="1"/>
  <c r="D1471" i="4"/>
  <c r="E1471" i="4"/>
  <c r="F1471" i="4"/>
  <c r="G1471" i="4"/>
  <c r="B1472" i="4"/>
  <c r="D1472" i="4" l="1"/>
  <c r="E1472" i="4"/>
  <c r="F1472" i="4"/>
  <c r="G1472" i="4"/>
  <c r="B1473" i="4"/>
  <c r="C1472" i="4"/>
  <c r="C1473" i="4" l="1"/>
  <c r="D1473" i="4"/>
  <c r="E1473" i="4"/>
  <c r="F1473" i="4"/>
  <c r="B1474" i="4"/>
  <c r="G1473" i="4"/>
  <c r="B1475" i="4" l="1"/>
  <c r="C1474" i="4"/>
  <c r="D1474" i="4"/>
  <c r="E1474" i="4"/>
  <c r="F1474" i="4"/>
  <c r="G1474" i="4"/>
  <c r="C1475" i="4" l="1"/>
  <c r="D1475" i="4"/>
  <c r="E1475" i="4"/>
  <c r="F1475" i="4"/>
  <c r="G1475" i="4"/>
  <c r="B1476" i="4"/>
  <c r="C1476" i="4" l="1"/>
  <c r="D1476" i="4"/>
  <c r="F1476" i="4"/>
  <c r="G1476" i="4"/>
  <c r="B1477" i="4"/>
  <c r="E1476" i="4"/>
  <c r="F1477" i="4" l="1"/>
  <c r="G1477" i="4"/>
  <c r="B1478" i="4"/>
  <c r="C1477" i="4"/>
  <c r="D1477" i="4"/>
  <c r="E1477" i="4"/>
  <c r="C1478" i="4" l="1"/>
  <c r="D1478" i="4"/>
  <c r="E1478" i="4"/>
  <c r="F1478" i="4"/>
  <c r="G1478" i="4"/>
  <c r="B1479" i="4"/>
  <c r="D1479" i="4" l="1"/>
  <c r="E1479" i="4"/>
  <c r="F1479" i="4"/>
  <c r="G1479" i="4"/>
  <c r="C1479" i="4"/>
  <c r="B1480" i="4"/>
  <c r="D1480" i="4" l="1"/>
  <c r="E1480" i="4"/>
  <c r="F1480" i="4"/>
  <c r="G1480" i="4"/>
  <c r="B1481" i="4"/>
  <c r="C1480" i="4"/>
  <c r="C1481" i="4" l="1"/>
  <c r="D1481" i="4"/>
  <c r="E1481" i="4"/>
  <c r="F1481" i="4"/>
  <c r="B1482" i="4"/>
  <c r="G1481" i="4"/>
  <c r="B1483" i="4" l="1"/>
  <c r="C1482" i="4"/>
  <c r="D1482" i="4"/>
  <c r="E1482" i="4"/>
  <c r="F1482" i="4"/>
  <c r="G1482" i="4"/>
  <c r="C1483" i="4" l="1"/>
  <c r="D1483" i="4"/>
  <c r="E1483" i="4"/>
  <c r="F1483" i="4"/>
  <c r="G1483" i="4"/>
  <c r="B1484" i="4"/>
  <c r="C1484" i="4" l="1"/>
  <c r="D1484" i="4"/>
  <c r="F1484" i="4"/>
  <c r="G1484" i="4"/>
  <c r="B1485" i="4"/>
  <c r="E1484" i="4"/>
  <c r="F1485" i="4" l="1"/>
  <c r="G1485" i="4"/>
  <c r="B1486" i="4"/>
  <c r="C1485" i="4"/>
  <c r="E1485" i="4"/>
  <c r="D1485" i="4"/>
  <c r="C1486" i="4" l="1"/>
  <c r="D1486" i="4"/>
  <c r="E1486" i="4"/>
  <c r="F1486" i="4"/>
  <c r="G1486" i="4"/>
  <c r="B1487" i="4"/>
  <c r="D1487" i="4" l="1"/>
  <c r="E1487" i="4"/>
  <c r="F1487" i="4"/>
  <c r="G1487" i="4"/>
  <c r="C1487" i="4"/>
  <c r="B1488" i="4"/>
  <c r="D1488" i="4" l="1"/>
  <c r="E1488" i="4"/>
  <c r="F1488" i="4"/>
  <c r="G1488" i="4"/>
  <c r="B1489" i="4"/>
  <c r="C1488" i="4"/>
  <c r="C1489" i="4" l="1"/>
  <c r="D1489" i="4"/>
  <c r="E1489" i="4"/>
  <c r="F1489" i="4"/>
  <c r="B1490" i="4"/>
  <c r="G1489" i="4"/>
  <c r="B1491" i="4" l="1"/>
  <c r="C1490" i="4"/>
  <c r="D1490" i="4"/>
  <c r="E1490" i="4"/>
  <c r="F1490" i="4"/>
  <c r="G1490" i="4"/>
  <c r="C1491" i="4" l="1"/>
  <c r="D1491" i="4"/>
  <c r="E1491" i="4"/>
  <c r="F1491" i="4"/>
  <c r="G1491" i="4"/>
  <c r="B1492" i="4"/>
  <c r="C1492" i="4" l="1"/>
  <c r="D1492" i="4"/>
  <c r="F1492" i="4"/>
  <c r="G1492" i="4"/>
  <c r="B1493" i="4"/>
  <c r="E1492" i="4"/>
  <c r="F1493" i="4" l="1"/>
  <c r="G1493" i="4"/>
  <c r="B1494" i="4"/>
  <c r="C1493" i="4"/>
  <c r="D1493" i="4"/>
  <c r="E1493" i="4"/>
  <c r="C1494" i="4" l="1"/>
  <c r="D1494" i="4"/>
  <c r="E1494" i="4"/>
  <c r="F1494" i="4"/>
  <c r="G1494" i="4"/>
  <c r="B1495" i="4"/>
  <c r="D1495" i="4" l="1"/>
  <c r="E1495" i="4"/>
  <c r="F1495" i="4"/>
  <c r="G1495" i="4"/>
  <c r="C1495" i="4"/>
  <c r="B1496" i="4"/>
  <c r="D1496" i="4" l="1"/>
  <c r="E1496" i="4"/>
  <c r="F1496" i="4"/>
  <c r="G1496" i="4"/>
  <c r="B1497" i="4"/>
  <c r="C1496" i="4"/>
  <c r="C1497" i="4" l="1"/>
  <c r="D1497" i="4"/>
  <c r="E1497" i="4"/>
  <c r="F1497" i="4"/>
  <c r="B1498" i="4"/>
  <c r="G1497" i="4"/>
  <c r="B1499" i="4" l="1"/>
  <c r="C1498" i="4"/>
  <c r="D1498" i="4"/>
  <c r="E1498" i="4"/>
  <c r="F1498" i="4"/>
  <c r="G1498" i="4"/>
  <c r="C1499" i="4" l="1"/>
  <c r="D1499" i="4"/>
  <c r="E1499" i="4"/>
  <c r="F1499" i="4"/>
  <c r="G1499" i="4"/>
  <c r="B1500" i="4"/>
  <c r="C1500" i="4" l="1"/>
  <c r="D1500" i="4"/>
  <c r="F1500" i="4"/>
  <c r="G1500" i="4"/>
  <c r="B1501" i="4"/>
  <c r="E1500" i="4"/>
  <c r="F1501" i="4" l="1"/>
  <c r="G1501" i="4"/>
  <c r="B1502" i="4"/>
  <c r="C1501" i="4"/>
  <c r="D1501" i="4"/>
  <c r="E1501" i="4"/>
  <c r="C1502" i="4" l="1"/>
  <c r="D1502" i="4"/>
  <c r="E1502" i="4"/>
  <c r="F1502" i="4"/>
  <c r="G1502" i="4"/>
  <c r="B1503" i="4"/>
  <c r="D1503" i="4" l="1"/>
  <c r="E1503" i="4"/>
  <c r="F1503" i="4"/>
  <c r="G1503" i="4"/>
  <c r="C1503" i="4"/>
  <c r="B1504" i="4"/>
  <c r="D1504" i="4" l="1"/>
  <c r="E1504" i="4"/>
  <c r="F1504" i="4"/>
  <c r="G1504" i="4"/>
  <c r="B1505" i="4"/>
  <c r="C1504" i="4"/>
  <c r="C1505" i="4" l="1"/>
  <c r="D1505" i="4"/>
  <c r="E1505" i="4"/>
  <c r="F1505" i="4"/>
  <c r="B1506" i="4"/>
  <c r="G1505" i="4"/>
  <c r="B1507" i="4" l="1"/>
  <c r="C1506" i="4"/>
  <c r="D1506" i="4"/>
  <c r="E1506" i="4"/>
  <c r="F1506" i="4"/>
  <c r="G1506" i="4"/>
  <c r="C1507" i="4" l="1"/>
  <c r="D1507" i="4"/>
  <c r="E1507" i="4"/>
  <c r="F1507" i="4"/>
  <c r="G1507" i="4"/>
  <c r="B1508" i="4"/>
  <c r="C1508" i="4" l="1"/>
  <c r="D1508" i="4"/>
  <c r="F1508" i="4"/>
  <c r="G1508" i="4"/>
  <c r="B1509" i="4"/>
  <c r="E1508" i="4"/>
  <c r="F1509" i="4" l="1"/>
  <c r="G1509" i="4"/>
  <c r="B1510" i="4"/>
  <c r="C1509" i="4"/>
  <c r="D1509" i="4"/>
  <c r="E1509" i="4"/>
  <c r="C1510" i="4" l="1"/>
  <c r="D1510" i="4"/>
  <c r="E1510" i="4"/>
  <c r="F1510" i="4"/>
  <c r="G1510" i="4"/>
  <c r="B1511" i="4"/>
  <c r="D1511" i="4" l="1"/>
  <c r="E1511" i="4"/>
  <c r="F1511" i="4"/>
  <c r="G1511" i="4"/>
  <c r="C1511" i="4"/>
  <c r="B1512" i="4"/>
  <c r="D1512" i="4" l="1"/>
  <c r="E1512" i="4"/>
  <c r="F1512" i="4"/>
  <c r="G1512" i="4"/>
  <c r="B1513" i="4"/>
  <c r="C1512" i="4"/>
  <c r="C1513" i="4" l="1"/>
  <c r="D1513" i="4"/>
  <c r="E1513" i="4"/>
  <c r="F1513" i="4"/>
  <c r="B1514" i="4"/>
  <c r="G1513" i="4"/>
  <c r="B1515" i="4" l="1"/>
  <c r="C1514" i="4"/>
  <c r="D1514" i="4"/>
  <c r="E1514" i="4"/>
  <c r="F1514" i="4"/>
  <c r="G1514" i="4"/>
  <c r="C1515" i="4" l="1"/>
  <c r="D1515" i="4"/>
  <c r="E1515" i="4"/>
  <c r="F1515" i="4"/>
  <c r="G1515" i="4"/>
  <c r="B1516" i="4"/>
  <c r="C1516" i="4" l="1"/>
  <c r="D1516" i="4"/>
  <c r="F1516" i="4"/>
  <c r="G1516" i="4"/>
  <c r="B1517" i="4"/>
  <c r="E1516" i="4"/>
  <c r="F1517" i="4" l="1"/>
  <c r="G1517" i="4"/>
  <c r="B1518" i="4"/>
  <c r="C1517" i="4"/>
  <c r="D1517" i="4"/>
  <c r="E1517" i="4"/>
  <c r="C1518" i="4" l="1"/>
  <c r="D1518" i="4"/>
  <c r="E1518" i="4"/>
  <c r="F1518" i="4"/>
  <c r="G1518" i="4"/>
  <c r="B1519" i="4"/>
  <c r="D1519" i="4" l="1"/>
  <c r="E1519" i="4"/>
  <c r="F1519" i="4"/>
  <c r="G1519" i="4"/>
  <c r="C1519" i="4"/>
  <c r="B1520" i="4"/>
  <c r="D1520" i="4" l="1"/>
  <c r="E1520" i="4"/>
  <c r="F1520" i="4"/>
  <c r="G1520" i="4"/>
  <c r="B1521" i="4"/>
  <c r="C1520" i="4"/>
  <c r="C1521" i="4" l="1"/>
  <c r="D1521" i="4"/>
  <c r="E1521" i="4"/>
  <c r="F1521" i="4"/>
  <c r="B1522" i="4"/>
  <c r="G1521" i="4"/>
  <c r="B1523" i="4" l="1"/>
  <c r="C1522" i="4"/>
  <c r="D1522" i="4"/>
  <c r="E1522" i="4"/>
  <c r="F1522" i="4"/>
  <c r="G1522" i="4"/>
  <c r="C1523" i="4" l="1"/>
  <c r="D1523" i="4"/>
  <c r="E1523" i="4"/>
  <c r="F1523" i="4"/>
  <c r="G1523" i="4"/>
  <c r="B1524" i="4"/>
  <c r="C1524" i="4" l="1"/>
  <c r="D1524" i="4"/>
  <c r="F1524" i="4"/>
  <c r="G1524" i="4"/>
  <c r="B1525" i="4"/>
  <c r="E1524" i="4"/>
  <c r="F1525" i="4" l="1"/>
  <c r="G1525" i="4"/>
  <c r="B1526" i="4"/>
  <c r="C1525" i="4"/>
  <c r="D1525" i="4"/>
  <c r="E1525" i="4"/>
  <c r="C1526" i="4" l="1"/>
  <c r="D1526" i="4"/>
  <c r="E1526" i="4"/>
  <c r="F1526" i="4"/>
  <c r="G1526" i="4"/>
  <c r="B1527" i="4"/>
  <c r="D1527" i="4" l="1"/>
  <c r="E1527" i="4"/>
  <c r="F1527" i="4"/>
  <c r="G1527" i="4"/>
  <c r="C1527" i="4"/>
  <c r="B1528" i="4"/>
  <c r="D1528" i="4" l="1"/>
  <c r="E1528" i="4"/>
  <c r="F1528" i="4"/>
  <c r="G1528" i="4"/>
  <c r="B1529" i="4"/>
  <c r="C1528" i="4"/>
  <c r="C1529" i="4" l="1"/>
  <c r="D1529" i="4"/>
  <c r="E1529" i="4"/>
  <c r="F1529" i="4"/>
  <c r="B1530" i="4"/>
  <c r="G1529" i="4"/>
  <c r="B1531" i="4" l="1"/>
  <c r="C1530" i="4"/>
  <c r="D1530" i="4"/>
  <c r="E1530" i="4"/>
  <c r="F1530" i="4"/>
  <c r="G1530" i="4"/>
  <c r="C1531" i="4" l="1"/>
  <c r="D1531" i="4"/>
  <c r="E1531" i="4"/>
  <c r="F1531" i="4"/>
  <c r="G1531" i="4"/>
  <c r="B1532" i="4"/>
  <c r="C1532" i="4" l="1"/>
  <c r="D1532" i="4"/>
  <c r="F1532" i="4"/>
  <c r="G1532" i="4"/>
  <c r="B1533" i="4"/>
  <c r="E1532" i="4"/>
  <c r="F1533" i="4" l="1"/>
  <c r="G1533" i="4"/>
  <c r="B1534" i="4"/>
  <c r="C1533" i="4"/>
  <c r="D1533" i="4"/>
  <c r="E1533" i="4"/>
  <c r="C1534" i="4" l="1"/>
  <c r="D1534" i="4"/>
  <c r="E1534" i="4"/>
  <c r="F1534" i="4"/>
  <c r="G1534" i="4"/>
  <c r="B1535" i="4"/>
  <c r="D1535" i="4" l="1"/>
  <c r="E1535" i="4"/>
  <c r="F1535" i="4"/>
  <c r="G1535" i="4"/>
  <c r="C1535" i="4"/>
  <c r="B1536" i="4"/>
  <c r="D1536" i="4" l="1"/>
  <c r="E1536" i="4"/>
  <c r="F1536" i="4"/>
  <c r="G1536" i="4"/>
  <c r="B1537" i="4"/>
  <c r="C1536" i="4"/>
  <c r="C1537" i="4" l="1"/>
  <c r="D1537" i="4"/>
  <c r="E1537" i="4"/>
  <c r="F1537" i="4"/>
  <c r="B1538" i="4"/>
  <c r="G1537" i="4"/>
  <c r="B1539" i="4" l="1"/>
  <c r="C1538" i="4"/>
  <c r="D1538" i="4"/>
  <c r="E1538" i="4"/>
  <c r="F1538" i="4"/>
  <c r="G1538" i="4"/>
  <c r="C1539" i="4" l="1"/>
  <c r="D1539" i="4"/>
  <c r="E1539" i="4"/>
  <c r="F1539" i="4"/>
  <c r="G1539" i="4"/>
  <c r="B1540" i="4"/>
  <c r="C1540" i="4" l="1"/>
  <c r="D1540" i="4"/>
  <c r="F1540" i="4"/>
  <c r="G1540" i="4"/>
  <c r="E1540" i="4"/>
  <c r="B1541" i="4"/>
  <c r="F1541" i="4" l="1"/>
  <c r="G1541" i="4"/>
  <c r="B1542" i="4"/>
  <c r="C1541" i="4"/>
  <c r="E1541" i="4"/>
  <c r="D1541" i="4"/>
  <c r="C1542" i="4" l="1"/>
  <c r="D1542" i="4"/>
  <c r="E1542" i="4"/>
  <c r="F1542" i="4"/>
  <c r="G1542" i="4"/>
  <c r="B1543" i="4"/>
  <c r="D1543" i="4" l="1"/>
  <c r="E1543" i="4"/>
  <c r="G1543" i="4"/>
  <c r="C1543" i="4"/>
  <c r="F1543" i="4"/>
  <c r="B1544" i="4"/>
  <c r="D1544" i="4" l="1"/>
  <c r="E1544" i="4"/>
  <c r="F1544" i="4"/>
  <c r="G1544" i="4"/>
  <c r="B1545" i="4"/>
  <c r="C1544" i="4"/>
  <c r="C1545" i="4" l="1"/>
  <c r="D1545" i="4"/>
  <c r="E1545" i="4"/>
  <c r="F1545" i="4"/>
  <c r="B1546" i="4"/>
  <c r="G1545" i="4"/>
  <c r="B1547" i="4" l="1"/>
  <c r="C1546" i="4"/>
  <c r="E1546" i="4"/>
  <c r="D1546" i="4"/>
  <c r="F1546" i="4"/>
  <c r="G1546" i="4"/>
  <c r="C1547" i="4" l="1"/>
  <c r="D1547" i="4"/>
  <c r="E1547" i="4"/>
  <c r="F1547" i="4"/>
  <c r="G1547" i="4"/>
  <c r="B1548" i="4"/>
  <c r="C1548" i="4" l="1"/>
  <c r="D1548" i="4"/>
  <c r="F1548" i="4"/>
  <c r="G1548" i="4"/>
  <c r="E1548" i="4"/>
  <c r="B1549" i="4"/>
  <c r="F1549" i="4" l="1"/>
  <c r="G1549" i="4"/>
  <c r="B1550" i="4"/>
  <c r="C1549" i="4"/>
  <c r="D1549" i="4"/>
  <c r="E1549" i="4"/>
  <c r="C1550" i="4" l="1"/>
  <c r="D1550" i="4"/>
  <c r="E1550" i="4"/>
  <c r="F1550" i="4"/>
  <c r="G1550" i="4"/>
  <c r="B1551" i="4"/>
  <c r="D1551" i="4" l="1"/>
  <c r="E1551" i="4"/>
  <c r="G1551" i="4"/>
  <c r="C1551" i="4"/>
  <c r="F1551" i="4"/>
  <c r="B1552" i="4"/>
  <c r="D1552" i="4" l="1"/>
  <c r="E1552" i="4"/>
  <c r="F1552" i="4"/>
  <c r="G1552" i="4"/>
  <c r="B1553" i="4"/>
  <c r="C1552" i="4"/>
  <c r="C1553" i="4" l="1"/>
  <c r="D1553" i="4"/>
  <c r="E1553" i="4"/>
  <c r="F1553" i="4"/>
  <c r="B1554" i="4"/>
  <c r="G1553" i="4"/>
  <c r="B1555" i="4" l="1"/>
  <c r="C1554" i="4"/>
  <c r="E1554" i="4"/>
  <c r="D1554" i="4"/>
  <c r="F1554" i="4"/>
  <c r="G1554" i="4"/>
  <c r="C1555" i="4" l="1"/>
  <c r="D1555" i="4"/>
  <c r="E1555" i="4"/>
  <c r="F1555" i="4"/>
  <c r="G1555" i="4"/>
  <c r="B1556" i="4"/>
  <c r="C1556" i="4" l="1"/>
  <c r="D1556" i="4"/>
  <c r="F1556" i="4"/>
  <c r="G1556" i="4"/>
  <c r="E1556" i="4"/>
  <c r="B1557" i="4"/>
  <c r="F1557" i="4" l="1"/>
  <c r="G1557" i="4"/>
  <c r="B1558" i="4"/>
  <c r="C1557" i="4"/>
  <c r="D1557" i="4"/>
  <c r="E1557" i="4"/>
  <c r="C1558" i="4" l="1"/>
  <c r="D1558" i="4"/>
  <c r="E1558" i="4"/>
  <c r="F1558" i="4"/>
  <c r="G1558" i="4"/>
  <c r="B1559" i="4"/>
  <c r="D1559" i="4" l="1"/>
  <c r="E1559" i="4"/>
  <c r="G1559" i="4"/>
  <c r="C1559" i="4"/>
  <c r="F1559" i="4"/>
  <c r="B1560" i="4"/>
  <c r="D1560" i="4" l="1"/>
  <c r="E1560" i="4"/>
  <c r="F1560" i="4"/>
  <c r="G1560" i="4"/>
  <c r="B1561" i="4"/>
  <c r="C1560" i="4"/>
  <c r="C1561" i="4" l="1"/>
  <c r="D1561" i="4"/>
  <c r="E1561" i="4"/>
  <c r="F1561" i="4"/>
  <c r="B1562" i="4"/>
  <c r="G1561" i="4"/>
  <c r="B1563" i="4" l="1"/>
  <c r="C1562" i="4"/>
  <c r="E1562" i="4"/>
  <c r="G1562" i="4"/>
  <c r="D1562" i="4"/>
  <c r="F1562" i="4"/>
  <c r="C1563" i="4" l="1"/>
  <c r="D1563" i="4"/>
  <c r="E1563" i="4"/>
  <c r="F1563" i="4"/>
  <c r="G1563" i="4"/>
  <c r="B1564" i="4"/>
  <c r="C1564" i="4" l="1"/>
  <c r="D1564" i="4"/>
  <c r="F1564" i="4"/>
  <c r="G1564" i="4"/>
  <c r="E1564" i="4"/>
  <c r="B1565" i="4"/>
  <c r="F1565" i="4" l="1"/>
  <c r="G1565" i="4"/>
  <c r="B1566" i="4"/>
  <c r="C1565" i="4"/>
  <c r="D1565" i="4"/>
  <c r="E1565" i="4"/>
  <c r="C1566" i="4" l="1"/>
  <c r="D1566" i="4"/>
  <c r="E1566" i="4"/>
  <c r="F1566" i="4"/>
  <c r="G1566" i="4"/>
  <c r="B1567" i="4"/>
  <c r="D1567" i="4" l="1"/>
  <c r="G1567" i="4"/>
  <c r="C1567" i="4"/>
  <c r="E1567" i="4"/>
  <c r="F1567" i="4"/>
  <c r="B1568" i="4"/>
  <c r="D1568" i="4" l="1"/>
  <c r="E1568" i="4"/>
  <c r="F1568" i="4"/>
  <c r="G1568" i="4"/>
  <c r="B1569" i="4"/>
  <c r="C1568" i="4"/>
  <c r="C1569" i="4" l="1"/>
  <c r="D1569" i="4"/>
  <c r="E1569" i="4"/>
  <c r="F1569" i="4"/>
  <c r="B1570" i="4"/>
  <c r="G1569" i="4"/>
  <c r="B1571" i="4" l="1"/>
  <c r="C1570" i="4"/>
  <c r="D1570" i="4"/>
  <c r="E1570" i="4"/>
  <c r="F1570" i="4"/>
  <c r="G1570" i="4"/>
  <c r="C1571" i="4" l="1"/>
  <c r="D1571" i="4"/>
  <c r="E1571" i="4"/>
  <c r="F1571" i="4"/>
  <c r="G1571" i="4"/>
  <c r="B1572" i="4"/>
  <c r="C1572" i="4" l="1"/>
  <c r="D1572" i="4"/>
  <c r="F1572" i="4"/>
  <c r="E1572" i="4"/>
  <c r="G1572" i="4"/>
  <c r="B1573" i="4"/>
  <c r="F1573" i="4" l="1"/>
  <c r="G1573" i="4"/>
  <c r="B1574" i="4"/>
  <c r="C1573" i="4"/>
  <c r="D1573" i="4"/>
  <c r="E1573" i="4"/>
  <c r="C1574" i="4" l="1"/>
  <c r="D1574" i="4"/>
  <c r="E1574" i="4"/>
  <c r="F1574" i="4"/>
  <c r="G1574" i="4"/>
  <c r="B1575" i="4"/>
  <c r="D1575" i="4" l="1"/>
  <c r="C1575" i="4"/>
  <c r="E1575" i="4"/>
  <c r="F1575" i="4"/>
  <c r="G1575" i="4"/>
  <c r="B1576" i="4"/>
  <c r="D1576" i="4" l="1"/>
  <c r="E1576" i="4"/>
  <c r="F1576" i="4"/>
  <c r="G1576" i="4"/>
  <c r="B1577" i="4"/>
  <c r="C1576" i="4"/>
  <c r="C1577" i="4" l="1"/>
  <c r="D1577" i="4"/>
  <c r="E1577" i="4"/>
  <c r="F1577" i="4"/>
  <c r="B1578" i="4"/>
  <c r="G1577" i="4"/>
  <c r="B1579" i="4" l="1"/>
  <c r="F1578" i="4"/>
  <c r="G1578" i="4"/>
  <c r="C1578" i="4"/>
  <c r="D1578" i="4"/>
  <c r="E1578" i="4"/>
  <c r="C1579" i="4" l="1"/>
  <c r="D1579" i="4"/>
  <c r="E1579" i="4"/>
  <c r="F1579" i="4"/>
  <c r="G1579" i="4"/>
  <c r="B1580" i="4"/>
  <c r="C1580" i="4" l="1"/>
  <c r="D1580" i="4"/>
  <c r="F1580" i="4"/>
  <c r="E1580" i="4"/>
  <c r="G1580" i="4"/>
  <c r="B1581" i="4"/>
  <c r="F1581" i="4" l="1"/>
  <c r="G1581" i="4"/>
  <c r="B1582" i="4"/>
  <c r="C1581" i="4"/>
  <c r="D1581" i="4"/>
  <c r="E1581" i="4"/>
  <c r="C1582" i="4" l="1"/>
  <c r="D1582" i="4"/>
  <c r="E1582" i="4"/>
  <c r="F1582" i="4"/>
  <c r="G1582" i="4"/>
  <c r="B1583" i="4"/>
  <c r="D1583" i="4" l="1"/>
  <c r="C1583" i="4"/>
  <c r="E1583" i="4"/>
  <c r="F1583" i="4"/>
  <c r="G1583" i="4"/>
  <c r="B1584" i="4"/>
  <c r="D1584" i="4" l="1"/>
  <c r="E1584" i="4"/>
  <c r="F1584" i="4"/>
  <c r="G1584" i="4"/>
  <c r="B1585" i="4"/>
  <c r="C1584" i="4"/>
  <c r="C1585" i="4" l="1"/>
  <c r="D1585" i="4"/>
  <c r="F1585" i="4"/>
  <c r="B1586" i="4"/>
  <c r="E1585" i="4"/>
  <c r="G1585" i="4"/>
  <c r="B1587" i="4" l="1"/>
  <c r="C1586" i="4"/>
  <c r="D1586" i="4"/>
  <c r="E1586" i="4"/>
  <c r="F1586" i="4"/>
  <c r="G1586" i="4"/>
  <c r="C1587" i="4" l="1"/>
  <c r="D1587" i="4"/>
  <c r="E1587" i="4"/>
  <c r="F1587" i="4"/>
  <c r="G1587" i="4"/>
  <c r="B1588" i="4"/>
  <c r="D1588" i="4" l="1"/>
  <c r="F1588" i="4"/>
  <c r="C1588" i="4"/>
  <c r="E1588" i="4"/>
  <c r="G1588" i="4"/>
  <c r="B1589" i="4"/>
  <c r="F1589" i="4" l="1"/>
  <c r="G1589" i="4"/>
  <c r="B1590" i="4"/>
  <c r="C1589" i="4"/>
  <c r="D1589" i="4"/>
  <c r="E1589" i="4"/>
  <c r="C1590" i="4" l="1"/>
  <c r="D1590" i="4"/>
  <c r="E1590" i="4"/>
  <c r="F1590" i="4"/>
  <c r="G1590" i="4"/>
  <c r="B1591" i="4"/>
  <c r="E1591" i="4" l="1"/>
  <c r="F1591" i="4"/>
  <c r="G1591" i="4"/>
  <c r="B1592" i="4"/>
  <c r="C1591" i="4"/>
  <c r="D1591" i="4"/>
  <c r="D1592" i="4" l="1"/>
  <c r="E1592" i="4"/>
  <c r="F1592" i="4"/>
  <c r="G1592" i="4"/>
  <c r="B1593" i="4"/>
  <c r="C1592" i="4"/>
  <c r="C1593" i="4" l="1"/>
  <c r="D1593" i="4"/>
  <c r="E1593" i="4"/>
  <c r="F1593" i="4"/>
  <c r="G1593" i="4"/>
  <c r="B1594" i="4"/>
  <c r="B1595" i="4" l="1"/>
  <c r="C1594" i="4"/>
  <c r="D1594" i="4"/>
  <c r="E1594" i="4"/>
  <c r="F1594" i="4"/>
  <c r="G1594" i="4"/>
  <c r="C1595" i="4" l="1"/>
  <c r="D1595" i="4"/>
  <c r="E1595" i="4"/>
  <c r="F1595" i="4"/>
  <c r="G1595" i="4"/>
  <c r="B1596" i="4"/>
  <c r="E1596" i="4" l="1"/>
  <c r="F1596" i="4"/>
  <c r="G1596" i="4"/>
  <c r="B1597" i="4"/>
  <c r="C1596" i="4"/>
  <c r="D1596" i="4"/>
  <c r="F1597" i="4" l="1"/>
  <c r="G1597" i="4"/>
  <c r="B1598" i="4"/>
  <c r="C1597" i="4"/>
  <c r="D1597" i="4"/>
  <c r="E1597" i="4"/>
  <c r="C1598" i="4" l="1"/>
  <c r="D1598" i="4"/>
  <c r="E1598" i="4"/>
  <c r="F1598" i="4"/>
  <c r="G1598" i="4"/>
  <c r="B1599" i="4"/>
  <c r="C1599" i="4" l="1"/>
  <c r="D1599" i="4"/>
  <c r="E1599" i="4"/>
  <c r="F1599" i="4"/>
  <c r="G1599" i="4"/>
  <c r="B1600" i="4"/>
  <c r="D1600" i="4" l="1"/>
  <c r="E1600" i="4"/>
  <c r="F1600" i="4"/>
  <c r="G1600" i="4"/>
  <c r="B1601" i="4"/>
  <c r="C1600" i="4"/>
  <c r="C1601" i="4" l="1"/>
  <c r="D1601" i="4"/>
  <c r="E1601" i="4"/>
  <c r="F1601" i="4"/>
  <c r="G1601" i="4"/>
  <c r="B1602" i="4"/>
  <c r="B1603" i="4" l="1"/>
  <c r="C1602" i="4"/>
  <c r="D1602" i="4"/>
  <c r="E1602" i="4"/>
  <c r="F1602" i="4"/>
  <c r="G1602" i="4"/>
  <c r="C1603" i="4" l="1"/>
  <c r="D1603" i="4"/>
  <c r="E1603" i="4"/>
  <c r="F1603" i="4"/>
  <c r="G1603" i="4"/>
  <c r="B1604" i="4"/>
  <c r="C1604" i="4" l="1"/>
  <c r="D1604" i="4"/>
  <c r="E1604" i="4"/>
  <c r="F1604" i="4"/>
  <c r="G1604" i="4"/>
  <c r="B1605" i="4"/>
  <c r="F1605" i="4" l="1"/>
  <c r="G1605" i="4"/>
  <c r="B1606" i="4"/>
  <c r="D1605" i="4"/>
  <c r="E1605" i="4"/>
  <c r="C1605" i="4"/>
  <c r="C1606" i="4" l="1"/>
  <c r="D1606" i="4"/>
  <c r="E1606" i="4"/>
  <c r="F1606" i="4"/>
  <c r="G1606" i="4"/>
  <c r="B1607" i="4"/>
  <c r="C1607" i="4" l="1"/>
  <c r="D1607" i="4"/>
  <c r="E1607" i="4"/>
  <c r="F1607" i="4"/>
  <c r="G1607" i="4"/>
  <c r="B1608" i="4"/>
  <c r="D1608" i="4" l="1"/>
  <c r="E1608" i="4"/>
  <c r="F1608" i="4"/>
  <c r="G1608" i="4"/>
  <c r="B1609" i="4"/>
  <c r="C1608" i="4"/>
  <c r="C1609" i="4" l="1"/>
  <c r="D1609" i="4"/>
  <c r="E1609" i="4"/>
  <c r="F1609" i="4"/>
  <c r="G1609" i="4"/>
  <c r="B1610" i="4"/>
  <c r="B1611" i="4" l="1"/>
  <c r="D1610" i="4"/>
  <c r="E1610" i="4"/>
  <c r="F1610" i="4"/>
  <c r="G1610" i="4"/>
  <c r="C1610" i="4"/>
  <c r="C1611" i="4" l="1"/>
  <c r="D1611" i="4"/>
  <c r="E1611" i="4"/>
  <c r="F1611" i="4"/>
  <c r="G1611" i="4"/>
  <c r="B1612" i="4"/>
  <c r="C1612" i="4" l="1"/>
  <c r="D1612" i="4"/>
  <c r="E1612" i="4"/>
  <c r="F1612" i="4"/>
  <c r="G1612" i="4"/>
  <c r="B1613" i="4"/>
  <c r="F1613" i="4" l="1"/>
  <c r="G1613" i="4"/>
  <c r="B1614" i="4"/>
  <c r="C1613" i="4"/>
  <c r="D1613" i="4"/>
  <c r="E1613" i="4"/>
  <c r="C1614" i="4" l="1"/>
  <c r="D1614" i="4"/>
  <c r="E1614" i="4"/>
  <c r="F1614" i="4"/>
  <c r="G1614" i="4"/>
  <c r="B1615" i="4"/>
  <c r="D1615" i="4" l="1"/>
  <c r="E1615" i="4"/>
  <c r="F1615" i="4"/>
  <c r="G1615" i="4"/>
  <c r="B1616" i="4"/>
  <c r="C1615" i="4"/>
  <c r="D1616" i="4" l="1"/>
  <c r="E1616" i="4"/>
  <c r="F1616" i="4"/>
  <c r="G1616" i="4"/>
  <c r="B1617" i="4"/>
  <c r="C1616" i="4"/>
  <c r="C1617" i="4" l="1"/>
  <c r="D1617" i="4"/>
  <c r="E1617" i="4"/>
  <c r="F1617" i="4"/>
  <c r="G1617" i="4"/>
  <c r="B1618" i="4"/>
  <c r="B1619" i="4" l="1"/>
  <c r="C1618" i="4"/>
  <c r="D1618" i="4"/>
  <c r="E1618" i="4"/>
  <c r="F1618" i="4"/>
  <c r="G1618" i="4"/>
  <c r="C1619" i="4" l="1"/>
  <c r="D1619" i="4"/>
  <c r="E1619" i="4"/>
  <c r="F1619" i="4"/>
  <c r="G1619" i="4"/>
  <c r="B1620" i="4"/>
  <c r="D1620" i="4" l="1"/>
  <c r="E1620" i="4"/>
  <c r="F1620" i="4"/>
  <c r="G1620" i="4"/>
  <c r="B1621" i="4"/>
  <c r="C1620" i="4"/>
  <c r="F1621" i="4" l="1"/>
  <c r="G1621" i="4"/>
  <c r="B1622" i="4"/>
  <c r="C1621" i="4"/>
  <c r="D1621" i="4"/>
  <c r="E1621" i="4"/>
  <c r="C1622" i="4" l="1"/>
  <c r="D1622" i="4"/>
  <c r="E1622" i="4"/>
  <c r="F1622" i="4"/>
  <c r="G1622" i="4"/>
  <c r="B1623" i="4"/>
  <c r="C1623" i="4" l="1"/>
  <c r="D1623" i="4"/>
  <c r="E1623" i="4"/>
  <c r="F1623" i="4"/>
  <c r="G1623" i="4"/>
  <c r="B1624" i="4"/>
  <c r="D1624" i="4" l="1"/>
  <c r="E1624" i="4"/>
  <c r="F1624" i="4"/>
  <c r="G1624" i="4"/>
  <c r="B1625" i="4"/>
  <c r="C1624" i="4"/>
  <c r="C1625" i="4" l="1"/>
  <c r="D1625" i="4"/>
  <c r="E1625" i="4"/>
  <c r="F1625" i="4"/>
  <c r="G1625" i="4"/>
  <c r="B1626" i="4"/>
  <c r="B1627" i="4" l="1"/>
  <c r="C1626" i="4"/>
  <c r="D1626" i="4"/>
  <c r="E1626" i="4"/>
  <c r="F1626" i="4"/>
  <c r="G1626" i="4"/>
  <c r="C1627" i="4" l="1"/>
  <c r="D1627" i="4"/>
  <c r="E1627" i="4"/>
  <c r="F1627" i="4"/>
  <c r="G1627" i="4"/>
  <c r="B1628" i="4"/>
  <c r="C1628" i="4" l="1"/>
  <c r="D1628" i="4"/>
  <c r="E1628" i="4"/>
  <c r="F1628" i="4"/>
  <c r="G1628" i="4"/>
  <c r="B1629" i="4"/>
  <c r="F1629" i="4" l="1"/>
  <c r="G1629" i="4"/>
  <c r="B1630" i="4"/>
  <c r="C1629" i="4"/>
  <c r="D1629" i="4"/>
  <c r="E1629" i="4"/>
  <c r="C1630" i="4" l="1"/>
  <c r="D1630" i="4"/>
  <c r="E1630" i="4"/>
  <c r="F1630" i="4"/>
  <c r="G1630" i="4"/>
  <c r="B1631" i="4"/>
  <c r="C1631" i="4" l="1"/>
  <c r="D1631" i="4"/>
  <c r="E1631" i="4"/>
  <c r="F1631" i="4"/>
  <c r="G1631" i="4"/>
  <c r="B1632" i="4"/>
  <c r="D1632" i="4" l="1"/>
  <c r="E1632" i="4"/>
  <c r="F1632" i="4"/>
  <c r="G1632" i="4"/>
  <c r="B1633" i="4"/>
  <c r="C1632" i="4"/>
  <c r="C1633" i="4" l="1"/>
  <c r="D1633" i="4"/>
  <c r="E1633" i="4"/>
  <c r="F1633" i="4"/>
  <c r="G1633" i="4"/>
  <c r="B1634" i="4"/>
  <c r="B1635" i="4" l="1"/>
  <c r="C1634" i="4"/>
  <c r="D1634" i="4"/>
  <c r="E1634" i="4"/>
  <c r="F1634" i="4"/>
  <c r="G1634" i="4"/>
  <c r="C1635" i="4" l="1"/>
  <c r="D1635" i="4"/>
  <c r="E1635" i="4"/>
  <c r="F1635" i="4"/>
  <c r="G1635" i="4"/>
  <c r="B1636" i="4"/>
  <c r="C1636" i="4" l="1"/>
  <c r="D1636" i="4"/>
  <c r="E1636" i="4"/>
  <c r="F1636" i="4"/>
  <c r="G1636" i="4"/>
  <c r="B1637" i="4"/>
  <c r="B1638" i="4" l="1"/>
  <c r="C1637" i="4"/>
  <c r="D1637" i="4"/>
  <c r="E1637" i="4"/>
  <c r="F1637" i="4"/>
  <c r="G1637" i="4"/>
  <c r="C1638" i="4" l="1"/>
  <c r="D1638" i="4"/>
  <c r="E1638" i="4"/>
  <c r="F1638" i="4"/>
  <c r="G1638" i="4"/>
  <c r="B1639" i="4"/>
  <c r="C1639" i="4" l="1"/>
  <c r="D1639" i="4"/>
  <c r="E1639" i="4"/>
  <c r="F1639" i="4"/>
  <c r="G1639" i="4"/>
  <c r="B1640" i="4"/>
  <c r="F1640" i="4" l="1"/>
  <c r="G1640" i="4"/>
  <c r="B1641" i="4"/>
  <c r="C1640" i="4"/>
  <c r="D1640" i="4"/>
  <c r="E1640" i="4"/>
  <c r="C1641" i="4" l="1"/>
  <c r="D1641" i="4"/>
  <c r="E1641" i="4"/>
  <c r="F1641" i="4"/>
  <c r="G1641" i="4"/>
  <c r="B1642" i="4"/>
  <c r="C1642" i="4" l="1"/>
  <c r="D1642" i="4"/>
  <c r="E1642" i="4"/>
  <c r="F1642" i="4"/>
  <c r="G1642" i="4"/>
  <c r="B1643" i="4"/>
  <c r="D1643" i="4" l="1"/>
  <c r="E1643" i="4"/>
  <c r="F1643" i="4"/>
  <c r="G1643" i="4"/>
  <c r="B1644" i="4"/>
  <c r="C1643" i="4"/>
  <c r="C1644" i="4" l="1"/>
  <c r="D1644" i="4"/>
  <c r="E1644" i="4"/>
  <c r="F1644" i="4"/>
  <c r="G1644" i="4"/>
  <c r="B1645" i="4"/>
  <c r="B1646" i="4" l="1"/>
  <c r="C1645" i="4"/>
  <c r="D1645" i="4"/>
  <c r="E1645" i="4"/>
  <c r="F1645" i="4"/>
  <c r="G1645" i="4"/>
  <c r="C1646" i="4" l="1"/>
  <c r="D1646" i="4"/>
  <c r="E1646" i="4"/>
  <c r="F1646" i="4"/>
  <c r="G1646" i="4"/>
  <c r="B1647" i="4"/>
  <c r="C1647" i="4" l="1"/>
  <c r="D1647" i="4"/>
  <c r="E1647" i="4"/>
  <c r="F1647" i="4"/>
  <c r="G1647" i="4"/>
  <c r="B1648" i="4"/>
  <c r="F1648" i="4" l="1"/>
  <c r="G1648" i="4"/>
  <c r="B1649" i="4"/>
  <c r="C1648" i="4"/>
  <c r="D1648" i="4"/>
  <c r="E1648" i="4"/>
  <c r="C1649" i="4" l="1"/>
  <c r="D1649" i="4"/>
  <c r="E1649" i="4"/>
  <c r="F1649" i="4"/>
  <c r="G1649" i="4"/>
  <c r="B1650" i="4"/>
  <c r="C1650" i="4" l="1"/>
  <c r="D1650" i="4"/>
  <c r="E1650" i="4"/>
  <c r="F1650" i="4"/>
  <c r="G1650" i="4"/>
  <c r="B1651" i="4"/>
  <c r="D1651" i="4" l="1"/>
  <c r="E1651" i="4"/>
  <c r="F1651" i="4"/>
  <c r="G1651" i="4"/>
  <c r="B1652" i="4"/>
  <c r="C1651" i="4"/>
  <c r="C1652" i="4" l="1"/>
  <c r="D1652" i="4"/>
  <c r="E1652" i="4"/>
  <c r="F1652" i="4"/>
  <c r="G1652" i="4"/>
  <c r="B1653" i="4"/>
  <c r="B1654" i="4" l="1"/>
  <c r="C1653" i="4"/>
  <c r="D1653" i="4"/>
  <c r="E1653" i="4"/>
  <c r="F1653" i="4"/>
  <c r="G1653" i="4"/>
  <c r="C1654" i="4" l="1"/>
  <c r="D1654" i="4"/>
  <c r="E1654" i="4"/>
  <c r="F1654" i="4"/>
  <c r="G1654" i="4"/>
  <c r="B1655" i="4"/>
  <c r="C1655" i="4" l="1"/>
  <c r="D1655" i="4"/>
  <c r="E1655" i="4"/>
  <c r="F1655" i="4"/>
  <c r="G1655" i="4"/>
  <c r="B1656" i="4"/>
  <c r="F1656" i="4" l="1"/>
  <c r="G1656" i="4"/>
  <c r="B1657" i="4"/>
  <c r="C1656" i="4"/>
  <c r="D1656" i="4"/>
  <c r="E1656" i="4"/>
  <c r="C1657" i="4" l="1"/>
  <c r="D1657" i="4"/>
  <c r="E1657" i="4"/>
  <c r="F1657" i="4"/>
  <c r="G1657" i="4"/>
  <c r="B1658" i="4"/>
  <c r="C1658" i="4" l="1"/>
  <c r="D1658" i="4"/>
  <c r="E1658" i="4"/>
  <c r="F1658" i="4"/>
  <c r="G1658" i="4"/>
  <c r="B1659" i="4"/>
  <c r="D1659" i="4" l="1"/>
  <c r="E1659" i="4"/>
  <c r="F1659" i="4"/>
  <c r="G1659" i="4"/>
  <c r="B1660" i="4"/>
  <c r="C1659" i="4"/>
  <c r="C1660" i="4" l="1"/>
  <c r="D1660" i="4"/>
  <c r="E1660" i="4"/>
  <c r="F1660" i="4"/>
  <c r="G1660" i="4"/>
  <c r="B1661" i="4"/>
  <c r="B1662" i="4" l="1"/>
  <c r="C1661" i="4"/>
  <c r="D1661" i="4"/>
  <c r="E1661" i="4"/>
  <c r="F1661" i="4"/>
  <c r="G1661" i="4"/>
  <c r="C1662" i="4" l="1"/>
  <c r="D1662" i="4"/>
  <c r="E1662" i="4"/>
  <c r="F1662" i="4"/>
  <c r="G1662" i="4"/>
  <c r="B1663" i="4"/>
  <c r="C1663" i="4" l="1"/>
  <c r="D1663" i="4"/>
  <c r="E1663" i="4"/>
  <c r="F1663" i="4"/>
  <c r="G1663" i="4"/>
  <c r="B1664" i="4"/>
  <c r="F1664" i="4" l="1"/>
  <c r="G1664" i="4"/>
  <c r="B1665" i="4"/>
  <c r="C1664" i="4"/>
  <c r="D1664" i="4"/>
  <c r="E1664" i="4"/>
  <c r="C1665" i="4" l="1"/>
  <c r="D1665" i="4"/>
  <c r="E1665" i="4"/>
  <c r="F1665" i="4"/>
  <c r="G1665" i="4"/>
  <c r="B1666" i="4"/>
  <c r="C1666" i="4" l="1"/>
  <c r="D1666" i="4"/>
  <c r="E1666" i="4"/>
  <c r="F1666" i="4"/>
  <c r="G1666" i="4"/>
  <c r="B1667" i="4"/>
  <c r="D1667" i="4" l="1"/>
  <c r="E1667" i="4"/>
  <c r="F1667" i="4"/>
  <c r="G1667" i="4"/>
  <c r="B1668" i="4"/>
  <c r="C1667" i="4"/>
  <c r="C1668" i="4" l="1"/>
  <c r="D1668" i="4"/>
  <c r="E1668" i="4"/>
  <c r="F1668" i="4"/>
  <c r="G1668" i="4"/>
  <c r="B1669" i="4"/>
  <c r="B1670" i="4" l="1"/>
  <c r="C1669" i="4"/>
  <c r="D1669" i="4"/>
  <c r="E1669" i="4"/>
  <c r="F1669" i="4"/>
  <c r="G1669" i="4"/>
  <c r="C1670" i="4" l="1"/>
  <c r="D1670" i="4"/>
  <c r="E1670" i="4"/>
  <c r="F1670" i="4"/>
  <c r="G1670" i="4"/>
  <c r="B1671" i="4"/>
  <c r="C1671" i="4" l="1"/>
  <c r="D1671" i="4"/>
  <c r="E1671" i="4"/>
  <c r="F1671" i="4"/>
  <c r="G1671" i="4"/>
  <c r="B1672" i="4"/>
  <c r="F1672" i="4" l="1"/>
  <c r="G1672" i="4"/>
  <c r="B1673" i="4"/>
  <c r="C1672" i="4"/>
  <c r="D1672" i="4"/>
  <c r="E1672" i="4"/>
  <c r="C1673" i="4" l="1"/>
  <c r="D1673" i="4"/>
  <c r="E1673" i="4"/>
  <c r="F1673" i="4"/>
  <c r="G1673" i="4"/>
  <c r="B1674" i="4"/>
  <c r="C1674" i="4" l="1"/>
  <c r="D1674" i="4"/>
  <c r="E1674" i="4"/>
  <c r="F1674" i="4"/>
  <c r="G1674" i="4"/>
  <c r="B1675" i="4"/>
  <c r="D1675" i="4" l="1"/>
  <c r="E1675" i="4"/>
  <c r="F1675" i="4"/>
  <c r="G1675" i="4"/>
  <c r="B1676" i="4"/>
  <c r="C1675" i="4"/>
  <c r="C1676" i="4" l="1"/>
  <c r="D1676" i="4"/>
  <c r="E1676" i="4"/>
  <c r="F1676" i="4"/>
  <c r="G1676" i="4"/>
  <c r="B1677" i="4"/>
  <c r="B1678" i="4" l="1"/>
  <c r="C1677" i="4"/>
  <c r="D1677" i="4"/>
  <c r="E1677" i="4"/>
  <c r="F1677" i="4"/>
  <c r="G1677" i="4"/>
  <c r="C1678" i="4" l="1"/>
  <c r="D1678" i="4"/>
  <c r="E1678" i="4"/>
  <c r="F1678" i="4"/>
  <c r="G1678" i="4"/>
  <c r="B1679" i="4"/>
  <c r="C1679" i="4" l="1"/>
  <c r="D1679" i="4"/>
  <c r="E1679" i="4"/>
  <c r="F1679" i="4"/>
  <c r="G1679" i="4"/>
  <c r="B1680" i="4"/>
  <c r="F1680" i="4" l="1"/>
  <c r="G1680" i="4"/>
  <c r="B1681" i="4"/>
  <c r="C1680" i="4"/>
  <c r="D1680" i="4"/>
  <c r="E1680" i="4"/>
  <c r="C1681" i="4" l="1"/>
  <c r="D1681" i="4"/>
  <c r="E1681" i="4"/>
  <c r="F1681" i="4"/>
  <c r="G1681" i="4"/>
  <c r="B1682" i="4"/>
  <c r="C1682" i="4" l="1"/>
  <c r="D1682" i="4"/>
  <c r="E1682" i="4"/>
  <c r="F1682" i="4"/>
  <c r="G1682" i="4"/>
  <c r="B1683" i="4"/>
  <c r="D1683" i="4" l="1"/>
  <c r="E1683" i="4"/>
  <c r="F1683" i="4"/>
  <c r="G1683" i="4"/>
  <c r="B1684" i="4"/>
  <c r="C1683" i="4"/>
  <c r="C1684" i="4" l="1"/>
  <c r="D1684" i="4"/>
  <c r="E1684" i="4"/>
  <c r="F1684" i="4"/>
  <c r="G1684" i="4"/>
  <c r="B1685" i="4"/>
  <c r="B1686" i="4" l="1"/>
  <c r="C1685" i="4"/>
  <c r="D1685" i="4"/>
  <c r="E1685" i="4"/>
  <c r="F1685" i="4"/>
  <c r="G1685" i="4"/>
  <c r="C1686" i="4" l="1"/>
  <c r="D1686" i="4"/>
  <c r="E1686" i="4"/>
  <c r="F1686" i="4"/>
  <c r="G1686" i="4"/>
  <c r="B1687" i="4"/>
  <c r="C1687" i="4" l="1"/>
  <c r="D1687" i="4"/>
  <c r="E1687" i="4"/>
  <c r="F1687" i="4"/>
  <c r="G1687" i="4"/>
  <c r="B1688" i="4"/>
  <c r="F1688" i="4" l="1"/>
  <c r="G1688" i="4"/>
  <c r="B1689" i="4"/>
  <c r="C1688" i="4"/>
  <c r="D1688" i="4"/>
  <c r="E1688" i="4"/>
  <c r="C1689" i="4" l="1"/>
  <c r="D1689" i="4"/>
  <c r="E1689" i="4"/>
  <c r="F1689" i="4"/>
  <c r="G1689" i="4"/>
  <c r="B1690" i="4"/>
  <c r="C1690" i="4" l="1"/>
  <c r="D1690" i="4"/>
  <c r="E1690" i="4"/>
  <c r="F1690" i="4"/>
  <c r="G1690" i="4"/>
  <c r="B1691" i="4"/>
  <c r="D1691" i="4" l="1"/>
  <c r="E1691" i="4"/>
  <c r="F1691" i="4"/>
  <c r="G1691" i="4"/>
  <c r="B1692" i="4"/>
  <c r="C1691" i="4"/>
  <c r="C1692" i="4" l="1"/>
  <c r="D1692" i="4"/>
  <c r="E1692" i="4"/>
  <c r="F1692" i="4"/>
  <c r="G1692" i="4"/>
  <c r="B1693" i="4"/>
  <c r="B1694" i="4" l="1"/>
  <c r="C1693" i="4"/>
  <c r="D1693" i="4"/>
  <c r="E1693" i="4"/>
  <c r="F1693" i="4"/>
  <c r="G1693" i="4"/>
  <c r="C1694" i="4" l="1"/>
  <c r="D1694" i="4"/>
  <c r="E1694" i="4"/>
  <c r="F1694" i="4"/>
  <c r="G1694" i="4"/>
  <c r="B1695" i="4"/>
  <c r="C1695" i="4" l="1"/>
  <c r="D1695" i="4"/>
  <c r="E1695" i="4"/>
  <c r="F1695" i="4"/>
  <c r="G1695" i="4"/>
  <c r="B1696" i="4"/>
  <c r="F1696" i="4" l="1"/>
  <c r="G1696" i="4"/>
  <c r="B1697" i="4"/>
  <c r="C1696" i="4"/>
  <c r="D1696" i="4"/>
  <c r="E1696" i="4"/>
  <c r="C1697" i="4" l="1"/>
  <c r="D1697" i="4"/>
  <c r="E1697" i="4"/>
  <c r="F1697" i="4"/>
  <c r="G1697" i="4"/>
  <c r="B1698" i="4"/>
  <c r="C1698" i="4" l="1"/>
  <c r="D1698" i="4"/>
  <c r="E1698" i="4"/>
  <c r="F1698" i="4"/>
  <c r="G1698" i="4"/>
  <c r="B1699" i="4"/>
  <c r="D1699" i="4" l="1"/>
  <c r="E1699" i="4"/>
  <c r="F1699" i="4"/>
  <c r="G1699" i="4"/>
  <c r="B1700" i="4"/>
  <c r="C1699" i="4"/>
  <c r="C1700" i="4" l="1"/>
  <c r="D1700" i="4"/>
  <c r="E1700" i="4"/>
  <c r="F1700" i="4"/>
  <c r="G1700" i="4"/>
  <c r="B1701" i="4"/>
  <c r="B1702" i="4" l="1"/>
  <c r="C1701" i="4"/>
  <c r="D1701" i="4"/>
  <c r="E1701" i="4"/>
  <c r="F1701" i="4"/>
  <c r="G1701" i="4"/>
  <c r="C1702" i="4" l="1"/>
  <c r="D1702" i="4"/>
  <c r="E1702" i="4"/>
  <c r="F1702" i="4"/>
  <c r="G1702" i="4"/>
  <c r="B1703" i="4"/>
  <c r="C1703" i="4" l="1"/>
  <c r="D1703" i="4"/>
  <c r="E1703" i="4"/>
  <c r="F1703" i="4"/>
  <c r="G1703" i="4"/>
  <c r="B1704" i="4"/>
  <c r="F1704" i="4" l="1"/>
  <c r="G1704" i="4"/>
  <c r="B1705" i="4"/>
  <c r="C1704" i="4"/>
  <c r="D1704" i="4"/>
  <c r="E1704" i="4"/>
  <c r="C1705" i="4" l="1"/>
  <c r="D1705" i="4"/>
  <c r="E1705" i="4"/>
  <c r="F1705" i="4"/>
  <c r="G1705" i="4"/>
  <c r="B1706" i="4"/>
  <c r="C1706" i="4" l="1"/>
  <c r="D1706" i="4"/>
  <c r="E1706" i="4"/>
  <c r="F1706" i="4"/>
  <c r="G1706" i="4"/>
  <c r="B1707" i="4"/>
  <c r="D1707" i="4" l="1"/>
  <c r="E1707" i="4"/>
  <c r="F1707" i="4"/>
  <c r="G1707" i="4"/>
  <c r="B1708" i="4"/>
  <c r="C1707" i="4"/>
  <c r="C1708" i="4" l="1"/>
  <c r="D1708" i="4"/>
  <c r="E1708" i="4"/>
  <c r="F1708" i="4"/>
  <c r="G1708" i="4"/>
  <c r="B1709" i="4"/>
  <c r="B1710" i="4" l="1"/>
  <c r="C1709" i="4"/>
  <c r="D1709" i="4"/>
  <c r="E1709" i="4"/>
  <c r="F1709" i="4"/>
  <c r="G1709" i="4"/>
  <c r="C1710" i="4" l="1"/>
  <c r="D1710" i="4"/>
  <c r="E1710" i="4"/>
  <c r="F1710" i="4"/>
  <c r="G1710" i="4"/>
  <c r="B1711" i="4"/>
  <c r="C1711" i="4" l="1"/>
  <c r="D1711" i="4"/>
  <c r="E1711" i="4"/>
  <c r="F1711" i="4"/>
  <c r="G1711" i="4"/>
  <c r="B1712" i="4"/>
  <c r="F1712" i="4" l="1"/>
  <c r="G1712" i="4"/>
  <c r="B1713" i="4"/>
  <c r="C1712" i="4"/>
  <c r="D1712" i="4"/>
  <c r="E1712" i="4"/>
  <c r="C1713" i="4" l="1"/>
  <c r="D1713" i="4"/>
  <c r="E1713" i="4"/>
  <c r="F1713" i="4"/>
  <c r="G1713" i="4"/>
  <c r="B1714" i="4"/>
  <c r="C1714" i="4" l="1"/>
  <c r="D1714" i="4"/>
  <c r="E1714" i="4"/>
  <c r="F1714" i="4"/>
  <c r="G1714" i="4"/>
  <c r="B1715" i="4"/>
  <c r="D1715" i="4" l="1"/>
  <c r="E1715" i="4"/>
  <c r="F1715" i="4"/>
  <c r="G1715" i="4"/>
  <c r="B1716" i="4"/>
  <c r="C1715" i="4"/>
  <c r="C1716" i="4" l="1"/>
  <c r="D1716" i="4"/>
  <c r="E1716" i="4"/>
  <c r="F1716" i="4"/>
  <c r="G1716" i="4"/>
  <c r="B1717" i="4"/>
  <c r="B1718" i="4" l="1"/>
  <c r="C1717" i="4"/>
  <c r="D1717" i="4"/>
  <c r="E1717" i="4"/>
  <c r="F1717" i="4"/>
  <c r="G1717" i="4"/>
  <c r="C1718" i="4" l="1"/>
  <c r="D1718" i="4"/>
  <c r="E1718" i="4"/>
  <c r="F1718" i="4"/>
  <c r="G1718" i="4"/>
  <c r="B1719" i="4"/>
  <c r="C1719" i="4" l="1"/>
  <c r="D1719" i="4"/>
  <c r="E1719" i="4"/>
  <c r="F1719" i="4"/>
  <c r="G1719" i="4"/>
  <c r="B1720" i="4"/>
  <c r="F1720" i="4" l="1"/>
  <c r="G1720" i="4"/>
  <c r="B1721" i="4"/>
  <c r="C1720" i="4"/>
  <c r="D1720" i="4"/>
  <c r="E1720" i="4"/>
  <c r="C1721" i="4" l="1"/>
  <c r="D1721" i="4"/>
  <c r="E1721" i="4"/>
  <c r="F1721" i="4"/>
  <c r="G1721" i="4"/>
  <c r="B1722" i="4"/>
  <c r="C1722" i="4" l="1"/>
  <c r="D1722" i="4"/>
  <c r="E1722" i="4"/>
  <c r="F1722" i="4"/>
  <c r="G1722" i="4"/>
  <c r="B1723" i="4"/>
  <c r="D1723" i="4" l="1"/>
  <c r="E1723" i="4"/>
  <c r="F1723" i="4"/>
  <c r="G1723" i="4"/>
  <c r="B1724" i="4"/>
  <c r="C1723" i="4"/>
  <c r="C1724" i="4" l="1"/>
  <c r="D1724" i="4"/>
  <c r="E1724" i="4"/>
  <c r="F1724" i="4"/>
  <c r="G1724" i="4"/>
  <c r="B1725" i="4"/>
  <c r="B1726" i="4" l="1"/>
  <c r="C1725" i="4"/>
  <c r="D1725" i="4"/>
  <c r="E1725" i="4"/>
  <c r="F1725" i="4"/>
  <c r="G1725" i="4"/>
  <c r="C1726" i="4" l="1"/>
  <c r="D1726" i="4"/>
  <c r="E1726" i="4"/>
  <c r="F1726" i="4"/>
  <c r="G1726" i="4"/>
  <c r="B1727" i="4"/>
  <c r="C1727" i="4" l="1"/>
  <c r="D1727" i="4"/>
  <c r="E1727" i="4"/>
  <c r="F1727" i="4"/>
  <c r="G1727" i="4"/>
  <c r="B1728" i="4"/>
  <c r="F1728" i="4" l="1"/>
  <c r="G1728" i="4"/>
  <c r="B1729" i="4"/>
  <c r="C1728" i="4"/>
  <c r="D1728" i="4"/>
  <c r="E1728" i="4"/>
  <c r="C1729" i="4" l="1"/>
  <c r="D1729" i="4"/>
  <c r="E1729" i="4"/>
  <c r="F1729" i="4"/>
  <c r="G1729" i="4"/>
  <c r="B1730" i="4"/>
  <c r="C1730" i="4" l="1"/>
  <c r="D1730" i="4"/>
  <c r="E1730" i="4"/>
  <c r="F1730" i="4"/>
  <c r="G1730" i="4"/>
  <c r="B1731" i="4"/>
  <c r="D1731" i="4" l="1"/>
  <c r="E1731" i="4"/>
  <c r="F1731" i="4"/>
  <c r="G1731" i="4"/>
  <c r="B1732" i="4"/>
  <c r="C1731" i="4"/>
  <c r="C1732" i="4" l="1"/>
  <c r="D1732" i="4"/>
  <c r="E1732" i="4"/>
  <c r="F1732" i="4"/>
  <c r="G1732" i="4"/>
  <c r="B1733" i="4"/>
  <c r="B1734" i="4" l="1"/>
  <c r="C1733" i="4"/>
  <c r="D1733" i="4"/>
  <c r="E1733" i="4"/>
  <c r="F1733" i="4"/>
  <c r="G1733" i="4"/>
  <c r="C1734" i="4" l="1"/>
  <c r="D1734" i="4"/>
  <c r="E1734" i="4"/>
  <c r="F1734" i="4"/>
  <c r="G1734" i="4"/>
  <c r="B1735" i="4"/>
  <c r="C1735" i="4" l="1"/>
  <c r="D1735" i="4"/>
  <c r="E1735" i="4"/>
  <c r="F1735" i="4"/>
  <c r="G1735" i="4"/>
  <c r="B1736" i="4"/>
  <c r="F1736" i="4" l="1"/>
  <c r="G1736" i="4"/>
  <c r="B1737" i="4"/>
  <c r="C1736" i="4"/>
  <c r="D1736" i="4"/>
  <c r="E1736" i="4"/>
  <c r="C1737" i="4" l="1"/>
  <c r="D1737" i="4"/>
  <c r="E1737" i="4"/>
  <c r="F1737" i="4"/>
  <c r="G1737" i="4"/>
  <c r="B1738" i="4"/>
  <c r="C1738" i="4" l="1"/>
  <c r="D1738" i="4"/>
  <c r="E1738" i="4"/>
  <c r="F1738" i="4"/>
  <c r="G1738" i="4"/>
  <c r="B1739" i="4"/>
  <c r="D1739" i="4" l="1"/>
  <c r="E1739" i="4"/>
  <c r="F1739" i="4"/>
  <c r="G1739" i="4"/>
  <c r="B1740" i="4"/>
  <c r="C1739" i="4"/>
  <c r="C1740" i="4" l="1"/>
  <c r="D1740" i="4"/>
  <c r="E1740" i="4"/>
  <c r="F1740" i="4"/>
  <c r="G1740" i="4"/>
  <c r="B1741" i="4"/>
  <c r="B1742" i="4" l="1"/>
  <c r="C1741" i="4"/>
  <c r="D1741" i="4"/>
  <c r="E1741" i="4"/>
  <c r="F1741" i="4"/>
  <c r="G1741" i="4"/>
  <c r="C1742" i="4" l="1"/>
  <c r="D1742" i="4"/>
  <c r="E1742" i="4"/>
  <c r="F1742" i="4"/>
  <c r="G1742" i="4"/>
  <c r="B1743" i="4"/>
  <c r="C1743" i="4" l="1"/>
  <c r="D1743" i="4"/>
  <c r="E1743" i="4"/>
  <c r="F1743" i="4"/>
  <c r="G1743" i="4"/>
  <c r="B1744" i="4"/>
  <c r="F1744" i="4" l="1"/>
  <c r="G1744" i="4"/>
  <c r="B1745" i="4"/>
  <c r="C1744" i="4"/>
  <c r="D1744" i="4"/>
  <c r="E1744" i="4"/>
  <c r="C1745" i="4" l="1"/>
  <c r="D1745" i="4"/>
  <c r="E1745" i="4"/>
  <c r="F1745" i="4"/>
  <c r="G1745" i="4"/>
  <c r="B1746" i="4"/>
  <c r="C1746" i="4" l="1"/>
  <c r="D1746" i="4"/>
  <c r="E1746" i="4"/>
  <c r="F1746" i="4"/>
  <c r="G1746" i="4"/>
  <c r="B1747" i="4"/>
  <c r="D1747" i="4" l="1"/>
  <c r="E1747" i="4"/>
  <c r="F1747" i="4"/>
  <c r="G1747" i="4"/>
  <c r="B1748" i="4"/>
  <c r="C1747" i="4"/>
  <c r="C1748" i="4" l="1"/>
  <c r="D1748" i="4"/>
  <c r="E1748" i="4"/>
  <c r="F1748" i="4"/>
  <c r="G1748" i="4"/>
  <c r="B1749" i="4"/>
  <c r="B1750" i="4" l="1"/>
  <c r="C1749" i="4"/>
  <c r="D1749" i="4"/>
  <c r="E1749" i="4"/>
  <c r="F1749" i="4"/>
  <c r="G1749" i="4"/>
  <c r="C1750" i="4" l="1"/>
  <c r="D1750" i="4"/>
  <c r="E1750" i="4"/>
  <c r="F1750" i="4"/>
  <c r="G1750" i="4"/>
  <c r="B1751" i="4"/>
  <c r="C1751" i="4" l="1"/>
  <c r="D1751" i="4"/>
  <c r="E1751" i="4"/>
  <c r="F1751" i="4"/>
  <c r="G1751" i="4"/>
  <c r="B1752" i="4"/>
  <c r="F1752" i="4" l="1"/>
  <c r="G1752" i="4"/>
  <c r="B1753" i="4"/>
  <c r="C1752" i="4"/>
  <c r="D1752" i="4"/>
  <c r="E1752" i="4"/>
  <c r="C1753" i="4" l="1"/>
  <c r="D1753" i="4"/>
  <c r="E1753" i="4"/>
  <c r="F1753" i="4"/>
  <c r="G1753" i="4"/>
  <c r="B1754" i="4"/>
  <c r="C1754" i="4" l="1"/>
  <c r="D1754" i="4"/>
  <c r="E1754" i="4"/>
  <c r="F1754" i="4"/>
  <c r="G1754" i="4"/>
  <c r="B1755" i="4"/>
  <c r="D1755" i="4" l="1"/>
  <c r="E1755" i="4"/>
  <c r="F1755" i="4"/>
  <c r="G1755" i="4"/>
  <c r="B1756" i="4"/>
  <c r="C1755" i="4"/>
  <c r="C1756" i="4" l="1"/>
  <c r="D1756" i="4"/>
  <c r="E1756" i="4"/>
  <c r="F1756" i="4"/>
  <c r="G1756" i="4"/>
  <c r="B1757" i="4"/>
  <c r="B1758" i="4" l="1"/>
  <c r="D1757" i="4"/>
  <c r="C1757" i="4"/>
  <c r="E1757" i="4"/>
  <c r="F1757" i="4"/>
  <c r="G1757" i="4"/>
  <c r="C1758" i="4" l="1"/>
  <c r="D1758" i="4"/>
  <c r="E1758" i="4"/>
  <c r="F1758" i="4"/>
  <c r="G1758" i="4"/>
  <c r="B1759" i="4"/>
  <c r="C1759" i="4" l="1"/>
  <c r="D1759" i="4"/>
  <c r="E1759" i="4"/>
  <c r="F1759" i="4"/>
  <c r="B1760" i="4"/>
  <c r="G1759" i="4"/>
  <c r="F1760" i="4" l="1"/>
  <c r="G1760" i="4"/>
  <c r="B1761" i="4"/>
  <c r="C1760" i="4"/>
  <c r="D1760" i="4"/>
  <c r="E1760" i="4"/>
  <c r="C1761" i="4" l="1"/>
  <c r="D1761" i="4"/>
  <c r="E1761" i="4"/>
  <c r="F1761" i="4"/>
  <c r="G1761" i="4"/>
  <c r="B1762" i="4"/>
  <c r="C1762" i="4" l="1"/>
  <c r="D1762" i="4"/>
  <c r="F1762" i="4"/>
  <c r="E1762" i="4"/>
  <c r="G1762" i="4"/>
  <c r="B1763" i="4"/>
  <c r="D1763" i="4" l="1"/>
  <c r="E1763" i="4"/>
  <c r="F1763" i="4"/>
  <c r="G1763" i="4"/>
  <c r="B1764" i="4"/>
  <c r="C1763" i="4"/>
  <c r="C1764" i="4" l="1"/>
  <c r="D1764" i="4"/>
  <c r="E1764" i="4"/>
  <c r="F1764" i="4"/>
  <c r="G1764" i="4"/>
  <c r="B1765" i="4"/>
  <c r="B1766" i="4" l="1"/>
  <c r="D1765" i="4"/>
  <c r="C1765" i="4"/>
  <c r="E1765" i="4"/>
  <c r="F1765" i="4"/>
  <c r="G1765" i="4"/>
  <c r="C1766" i="4" l="1"/>
  <c r="D1766" i="4"/>
  <c r="E1766" i="4"/>
  <c r="F1766" i="4"/>
  <c r="G1766" i="4"/>
  <c r="B1767" i="4"/>
  <c r="C1767" i="4" l="1"/>
  <c r="D1767" i="4"/>
  <c r="E1767" i="4"/>
  <c r="F1767" i="4"/>
  <c r="B1768" i="4"/>
  <c r="G1767" i="4"/>
  <c r="F1768" i="4" l="1"/>
  <c r="G1768" i="4"/>
  <c r="B1769" i="4"/>
  <c r="C1768" i="4"/>
  <c r="D1768" i="4"/>
  <c r="E1768" i="4"/>
  <c r="C1769" i="4" l="1"/>
  <c r="D1769" i="4"/>
  <c r="E1769" i="4"/>
  <c r="F1769" i="4"/>
  <c r="G1769" i="4"/>
  <c r="B1770" i="4"/>
  <c r="C1770" i="4" l="1"/>
  <c r="D1770" i="4"/>
  <c r="F1770" i="4"/>
  <c r="E1770" i="4"/>
  <c r="G1770" i="4"/>
  <c r="B1771" i="4"/>
  <c r="D1771" i="4" l="1"/>
  <c r="E1771" i="4"/>
  <c r="F1771" i="4"/>
  <c r="G1771" i="4"/>
  <c r="B1772" i="4"/>
  <c r="C1771" i="4"/>
  <c r="C1772" i="4" l="1"/>
  <c r="D1772" i="4"/>
  <c r="E1772" i="4"/>
  <c r="F1772" i="4"/>
  <c r="G1772" i="4"/>
  <c r="B1773" i="4"/>
  <c r="B1774" i="4" l="1"/>
  <c r="D1773" i="4"/>
  <c r="C1773" i="4"/>
  <c r="E1773" i="4"/>
  <c r="F1773" i="4"/>
  <c r="G1773" i="4"/>
  <c r="C1774" i="4" l="1"/>
  <c r="D1774" i="4"/>
  <c r="E1774" i="4"/>
  <c r="F1774" i="4"/>
  <c r="G1774" i="4"/>
  <c r="B1775" i="4"/>
  <c r="C1775" i="4" l="1"/>
  <c r="D1775" i="4"/>
  <c r="E1775" i="4"/>
  <c r="F1775" i="4"/>
  <c r="B1776" i="4"/>
  <c r="G1775" i="4"/>
  <c r="F1776" i="4" l="1"/>
  <c r="G1776" i="4"/>
  <c r="B1777" i="4"/>
  <c r="C1776" i="4"/>
  <c r="D1776" i="4"/>
  <c r="E1776" i="4"/>
  <c r="C1777" i="4" l="1"/>
  <c r="D1777" i="4"/>
  <c r="E1777" i="4"/>
  <c r="F1777" i="4"/>
  <c r="G1777" i="4"/>
  <c r="B1778" i="4"/>
  <c r="C1778" i="4" l="1"/>
  <c r="D1778" i="4"/>
  <c r="F1778" i="4"/>
  <c r="E1778" i="4"/>
  <c r="G1778" i="4"/>
  <c r="B1779" i="4"/>
  <c r="D1779" i="4" l="1"/>
  <c r="E1779" i="4"/>
  <c r="F1779" i="4"/>
  <c r="G1779" i="4"/>
  <c r="B1780" i="4"/>
  <c r="C1779" i="4"/>
  <c r="C1780" i="4" l="1"/>
  <c r="D1780" i="4"/>
  <c r="E1780" i="4"/>
  <c r="F1780" i="4"/>
  <c r="G1780" i="4"/>
  <c r="B1781" i="4"/>
  <c r="B1782" i="4" l="1"/>
  <c r="D1781" i="4"/>
  <c r="C1781" i="4"/>
  <c r="E1781" i="4"/>
  <c r="F1781" i="4"/>
  <c r="G1781" i="4"/>
  <c r="C1782" i="4" l="1"/>
  <c r="D1782" i="4"/>
  <c r="E1782" i="4"/>
  <c r="F1782" i="4"/>
  <c r="G1782" i="4"/>
  <c r="B1783" i="4"/>
  <c r="C1783" i="4" l="1"/>
  <c r="D1783" i="4"/>
  <c r="E1783" i="4"/>
  <c r="F1783" i="4"/>
  <c r="B1784" i="4"/>
  <c r="G1783" i="4"/>
  <c r="F1784" i="4" l="1"/>
  <c r="G1784" i="4"/>
  <c r="B1785" i="4"/>
  <c r="C1784" i="4"/>
  <c r="D1784" i="4"/>
  <c r="E1784" i="4"/>
  <c r="C1785" i="4" l="1"/>
  <c r="D1785" i="4"/>
  <c r="E1785" i="4"/>
  <c r="F1785" i="4"/>
  <c r="G1785" i="4"/>
  <c r="B1786" i="4"/>
  <c r="C1786" i="4" l="1"/>
  <c r="D1786" i="4"/>
  <c r="F1786" i="4"/>
  <c r="E1786" i="4"/>
  <c r="G1786" i="4"/>
  <c r="B1787" i="4"/>
  <c r="D1787" i="4" l="1"/>
  <c r="E1787" i="4"/>
  <c r="F1787" i="4"/>
  <c r="G1787" i="4"/>
  <c r="B1788" i="4"/>
  <c r="C1787" i="4"/>
  <c r="C1788" i="4" l="1"/>
  <c r="D1788" i="4"/>
  <c r="E1788" i="4"/>
  <c r="F1788" i="4"/>
  <c r="G1788" i="4"/>
  <c r="B1789" i="4"/>
  <c r="B1790" i="4" l="1"/>
  <c r="D1789" i="4"/>
  <c r="C1789" i="4"/>
  <c r="E1789" i="4"/>
  <c r="F1789" i="4"/>
  <c r="G1789" i="4"/>
  <c r="C1790" i="4" l="1"/>
  <c r="D1790" i="4"/>
  <c r="E1790" i="4"/>
  <c r="F1790" i="4"/>
  <c r="G1790" i="4"/>
  <c r="B1791" i="4"/>
  <c r="C1791" i="4" l="1"/>
  <c r="D1791" i="4"/>
  <c r="E1791" i="4"/>
  <c r="F1791" i="4"/>
  <c r="B1792" i="4"/>
  <c r="G1791" i="4"/>
  <c r="F1792" i="4" l="1"/>
  <c r="G1792" i="4"/>
  <c r="B1793" i="4"/>
  <c r="C1792" i="4"/>
  <c r="D1792" i="4"/>
  <c r="E1792" i="4"/>
  <c r="C1793" i="4" l="1"/>
  <c r="D1793" i="4"/>
  <c r="E1793" i="4"/>
  <c r="F1793" i="4"/>
  <c r="G1793" i="4"/>
  <c r="B1794" i="4"/>
  <c r="C1794" i="4" l="1"/>
  <c r="D1794" i="4"/>
  <c r="E1794" i="4"/>
  <c r="F1794" i="4"/>
  <c r="G1794" i="4"/>
  <c r="B1795" i="4"/>
  <c r="D1795" i="4" l="1"/>
  <c r="E1795" i="4"/>
  <c r="F1795" i="4"/>
  <c r="G1795" i="4"/>
  <c r="B1796" i="4"/>
  <c r="C1795" i="4"/>
  <c r="C1796" i="4" l="1"/>
  <c r="D1796" i="4"/>
  <c r="E1796" i="4"/>
  <c r="F1796" i="4"/>
  <c r="G1796" i="4"/>
  <c r="B1797" i="4"/>
  <c r="B1798" i="4" l="1"/>
  <c r="C1797" i="4"/>
  <c r="D1797" i="4"/>
  <c r="E1797" i="4"/>
  <c r="F1797" i="4"/>
  <c r="G1797" i="4"/>
  <c r="C1798" i="4" l="1"/>
  <c r="D1798" i="4"/>
  <c r="E1798" i="4"/>
  <c r="F1798" i="4"/>
  <c r="G1798" i="4"/>
  <c r="B1799" i="4"/>
  <c r="C1799" i="4" l="1"/>
  <c r="D1799" i="4"/>
  <c r="E1799" i="4"/>
  <c r="F1799" i="4"/>
  <c r="G1799" i="4"/>
  <c r="B1800" i="4"/>
  <c r="F1800" i="4" l="1"/>
  <c r="G1800" i="4"/>
  <c r="B1801" i="4"/>
  <c r="C1800" i="4"/>
  <c r="D1800" i="4"/>
  <c r="E1800" i="4"/>
  <c r="C1801" i="4" l="1"/>
  <c r="D1801" i="4"/>
  <c r="E1801" i="4"/>
  <c r="F1801" i="4"/>
  <c r="G1801" i="4"/>
  <c r="B1802" i="4"/>
  <c r="C1802" i="4" l="1"/>
  <c r="D1802" i="4"/>
  <c r="E1802" i="4"/>
  <c r="F1802" i="4"/>
  <c r="G1802" i="4"/>
  <c r="B1803" i="4"/>
  <c r="D1803" i="4" l="1"/>
  <c r="E1803" i="4"/>
  <c r="F1803" i="4"/>
  <c r="G1803" i="4"/>
  <c r="B1804" i="4"/>
  <c r="C1803" i="4"/>
  <c r="C1804" i="4" l="1"/>
  <c r="D1804" i="4"/>
  <c r="E1804" i="4"/>
  <c r="F1804" i="4"/>
  <c r="G1804" i="4"/>
  <c r="B1805" i="4"/>
  <c r="B1806" i="4" l="1"/>
  <c r="C1805" i="4"/>
  <c r="D1805" i="4"/>
  <c r="E1805" i="4"/>
  <c r="F1805" i="4"/>
  <c r="G1805" i="4"/>
  <c r="C1806" i="4" l="1"/>
  <c r="D1806" i="4"/>
  <c r="E1806" i="4"/>
  <c r="F1806" i="4"/>
  <c r="G1806" i="4"/>
  <c r="B1807" i="4"/>
  <c r="D1807" i="4" l="1"/>
  <c r="F1807" i="4"/>
  <c r="B1808" i="4"/>
  <c r="C1807" i="4"/>
  <c r="E1807" i="4"/>
  <c r="G1807" i="4"/>
  <c r="F1808" i="4" l="1"/>
  <c r="G1808" i="4"/>
  <c r="B1809" i="4"/>
  <c r="C1808" i="4"/>
  <c r="D1808" i="4"/>
  <c r="E1808" i="4"/>
  <c r="C1809" i="4" l="1"/>
  <c r="D1809" i="4"/>
  <c r="E1809" i="4"/>
  <c r="F1809" i="4"/>
  <c r="B1810" i="4"/>
  <c r="G1809" i="4"/>
  <c r="C1810" i="4" l="1"/>
  <c r="D1810" i="4"/>
  <c r="E1810" i="4"/>
  <c r="F1810" i="4"/>
  <c r="G1810" i="4"/>
  <c r="B1811" i="4"/>
  <c r="D1811" i="4" l="1"/>
  <c r="E1811" i="4"/>
  <c r="F1811" i="4"/>
  <c r="G1811" i="4"/>
  <c r="B1812" i="4"/>
  <c r="C1811" i="4"/>
  <c r="C1812" i="4" l="1"/>
  <c r="D1812" i="4"/>
  <c r="E1812" i="4"/>
  <c r="F1812" i="4"/>
  <c r="G1812" i="4"/>
  <c r="B1813" i="4"/>
  <c r="B1814" i="4" l="1"/>
  <c r="C1813" i="4"/>
  <c r="D1813" i="4"/>
  <c r="E1813" i="4"/>
  <c r="F1813" i="4"/>
  <c r="G1813" i="4"/>
  <c r="C1814" i="4" l="1"/>
  <c r="D1814" i="4"/>
  <c r="E1814" i="4"/>
  <c r="F1814" i="4"/>
  <c r="G1814" i="4"/>
  <c r="B1815" i="4"/>
  <c r="C1815" i="4" l="1"/>
  <c r="D1815" i="4"/>
  <c r="E1815" i="4"/>
  <c r="F1815" i="4"/>
  <c r="G1815" i="4"/>
  <c r="B1816" i="4"/>
  <c r="B1817" i="4" l="1"/>
  <c r="C1816" i="4"/>
  <c r="D1816" i="4"/>
  <c r="E1816" i="4"/>
  <c r="F1816" i="4"/>
  <c r="G1816" i="4"/>
  <c r="C1817" i="4" l="1"/>
  <c r="D1817" i="4"/>
  <c r="E1817" i="4"/>
  <c r="F1817" i="4"/>
  <c r="G1817" i="4"/>
  <c r="B1818" i="4"/>
  <c r="C1818" i="4" l="1"/>
  <c r="D1818" i="4"/>
  <c r="E1818" i="4"/>
  <c r="F1818" i="4"/>
  <c r="G1818" i="4"/>
  <c r="B1819" i="4"/>
  <c r="F1819" i="4" l="1"/>
  <c r="G1819" i="4"/>
  <c r="B1820" i="4"/>
  <c r="C1819" i="4"/>
  <c r="D1819" i="4"/>
  <c r="E1819" i="4"/>
  <c r="C1820" i="4" l="1"/>
  <c r="D1820" i="4"/>
  <c r="E1820" i="4"/>
  <c r="F1820" i="4"/>
  <c r="G1820" i="4"/>
  <c r="B1821" i="4"/>
  <c r="C1821" i="4" l="1"/>
  <c r="D1821" i="4"/>
  <c r="E1821" i="4"/>
  <c r="F1821" i="4"/>
  <c r="G1821" i="4"/>
  <c r="B1822" i="4"/>
  <c r="D1822" i="4" l="1"/>
  <c r="E1822" i="4"/>
  <c r="F1822" i="4"/>
  <c r="G1822" i="4"/>
  <c r="B1823" i="4"/>
  <c r="C1822" i="4"/>
  <c r="C1823" i="4" l="1"/>
  <c r="D1823" i="4"/>
  <c r="E1823" i="4"/>
  <c r="F1823" i="4"/>
  <c r="G1823" i="4"/>
  <c r="B1824" i="4"/>
  <c r="B1825" i="4" l="1"/>
  <c r="C1824" i="4"/>
  <c r="D1824" i="4"/>
  <c r="E1824" i="4"/>
  <c r="F1824" i="4"/>
  <c r="G1824" i="4"/>
  <c r="C1825" i="4" l="1"/>
  <c r="D1825" i="4"/>
  <c r="E1825" i="4"/>
  <c r="F1825" i="4"/>
  <c r="G1825" i="4"/>
  <c r="B1826" i="4"/>
  <c r="C1826" i="4" l="1"/>
  <c r="D1826" i="4"/>
  <c r="E1826" i="4"/>
  <c r="F1826" i="4"/>
  <c r="G1826" i="4"/>
  <c r="B1827" i="4"/>
  <c r="F1827" i="4" l="1"/>
  <c r="G1827" i="4"/>
  <c r="B1828" i="4"/>
  <c r="C1827" i="4"/>
  <c r="D1827" i="4"/>
  <c r="E1827" i="4"/>
  <c r="C1828" i="4" l="1"/>
  <c r="D1828" i="4"/>
  <c r="E1828" i="4"/>
  <c r="F1828" i="4"/>
  <c r="G1828" i="4"/>
  <c r="B1829" i="4"/>
  <c r="C1829" i="4" l="1"/>
  <c r="D1829" i="4"/>
  <c r="E1829" i="4"/>
  <c r="F1829" i="4"/>
  <c r="G1829" i="4"/>
  <c r="B1830" i="4"/>
  <c r="D1830" i="4" l="1"/>
  <c r="E1830" i="4"/>
  <c r="F1830" i="4"/>
  <c r="G1830" i="4"/>
  <c r="B1831" i="4"/>
  <c r="C1830" i="4"/>
  <c r="C1831" i="4" l="1"/>
  <c r="D1831" i="4"/>
  <c r="E1831" i="4"/>
  <c r="F1831" i="4"/>
  <c r="G1831" i="4"/>
  <c r="B1832" i="4"/>
  <c r="B1833" i="4" l="1"/>
  <c r="C1832" i="4"/>
  <c r="D1832" i="4"/>
  <c r="E1832" i="4"/>
  <c r="F1832" i="4"/>
  <c r="G1832" i="4"/>
  <c r="C1833" i="4" l="1"/>
  <c r="D1833" i="4"/>
  <c r="E1833" i="4"/>
  <c r="F1833" i="4"/>
  <c r="G1833" i="4"/>
  <c r="B1834" i="4"/>
  <c r="C1834" i="4" l="1"/>
  <c r="D1834" i="4"/>
  <c r="E1834" i="4"/>
  <c r="F1834" i="4"/>
  <c r="G1834" i="4"/>
  <c r="B1835" i="4"/>
  <c r="F1835" i="4" l="1"/>
  <c r="G1835" i="4"/>
  <c r="B1836" i="4"/>
  <c r="C1835" i="4"/>
  <c r="D1835" i="4"/>
  <c r="E1835" i="4"/>
  <c r="C1836" i="4" l="1"/>
  <c r="D1836" i="4"/>
  <c r="E1836" i="4"/>
  <c r="F1836" i="4"/>
  <c r="G1836" i="4"/>
  <c r="B1837" i="4"/>
  <c r="C1837" i="4" l="1"/>
  <c r="D1837" i="4"/>
  <c r="E1837" i="4"/>
  <c r="F1837" i="4"/>
  <c r="G1837" i="4"/>
  <c r="B1838" i="4"/>
  <c r="D1838" i="4" l="1"/>
  <c r="E1838" i="4"/>
  <c r="F1838" i="4"/>
  <c r="G1838" i="4"/>
  <c r="B1839" i="4"/>
  <c r="C1838" i="4"/>
  <c r="C1839" i="4" l="1"/>
  <c r="D1839" i="4"/>
  <c r="E1839" i="4"/>
  <c r="F1839" i="4"/>
  <c r="G1839" i="4"/>
  <c r="B1840" i="4"/>
  <c r="B1841" i="4" l="1"/>
  <c r="C1840" i="4"/>
  <c r="D1840" i="4"/>
  <c r="E1840" i="4"/>
  <c r="F1840" i="4"/>
  <c r="G1840" i="4"/>
  <c r="C1841" i="4" l="1"/>
  <c r="D1841" i="4"/>
  <c r="E1841" i="4"/>
  <c r="F1841" i="4"/>
  <c r="G1841" i="4"/>
  <c r="B1842" i="4"/>
  <c r="C1842" i="4" l="1"/>
  <c r="D1842" i="4"/>
  <c r="E1842" i="4"/>
  <c r="F1842" i="4"/>
  <c r="G1842" i="4"/>
  <c r="B1843" i="4"/>
  <c r="F1843" i="4" l="1"/>
  <c r="G1843" i="4"/>
  <c r="B1844" i="4"/>
  <c r="C1843" i="4"/>
  <c r="D1843" i="4"/>
  <c r="E1843" i="4"/>
  <c r="C1844" i="4" l="1"/>
  <c r="D1844" i="4"/>
  <c r="E1844" i="4"/>
  <c r="F1844" i="4"/>
  <c r="G1844" i="4"/>
  <c r="B1845" i="4"/>
  <c r="C1845" i="4" l="1"/>
  <c r="D1845" i="4"/>
  <c r="E1845" i="4"/>
  <c r="F1845" i="4"/>
  <c r="G1845" i="4"/>
  <c r="B1846" i="4"/>
  <c r="D1846" i="4" l="1"/>
  <c r="E1846" i="4"/>
  <c r="F1846" i="4"/>
  <c r="G1846" i="4"/>
  <c r="B1847" i="4"/>
  <c r="C1846" i="4"/>
  <c r="C1847" i="4" l="1"/>
  <c r="D1847" i="4"/>
  <c r="E1847" i="4"/>
  <c r="F1847" i="4"/>
  <c r="G1847" i="4"/>
  <c r="B1848" i="4"/>
  <c r="B1849" i="4" l="1"/>
  <c r="C1848" i="4"/>
  <c r="D1848" i="4"/>
  <c r="E1848" i="4"/>
  <c r="F1848" i="4"/>
  <c r="G1848" i="4"/>
  <c r="C1849" i="4" l="1"/>
  <c r="D1849" i="4"/>
  <c r="E1849" i="4"/>
  <c r="F1849" i="4"/>
  <c r="G1849" i="4"/>
  <c r="B1850" i="4"/>
  <c r="C1850" i="4" l="1"/>
  <c r="D1850" i="4"/>
  <c r="E1850" i="4"/>
  <c r="F1850" i="4"/>
  <c r="G1850" i="4"/>
  <c r="B1851" i="4"/>
  <c r="F1851" i="4" l="1"/>
  <c r="G1851" i="4"/>
  <c r="B1852" i="4"/>
  <c r="C1851" i="4"/>
  <c r="D1851" i="4"/>
  <c r="E1851" i="4"/>
  <c r="C1852" i="4" l="1"/>
  <c r="D1852" i="4"/>
  <c r="E1852" i="4"/>
  <c r="F1852" i="4"/>
  <c r="G1852" i="4"/>
  <c r="B1853" i="4"/>
  <c r="C1853" i="4" l="1"/>
  <c r="D1853" i="4"/>
  <c r="E1853" i="4"/>
  <c r="F1853" i="4"/>
  <c r="G1853" i="4"/>
  <c r="B1854" i="4"/>
  <c r="D1854" i="4" l="1"/>
  <c r="E1854" i="4"/>
  <c r="F1854" i="4"/>
  <c r="G1854" i="4"/>
  <c r="B1855" i="4"/>
  <c r="C1854" i="4"/>
  <c r="C1855" i="4" l="1"/>
  <c r="D1855" i="4"/>
  <c r="E1855" i="4"/>
  <c r="F1855" i="4"/>
  <c r="G1855" i="4"/>
  <c r="B1856" i="4"/>
  <c r="B1857" i="4" l="1"/>
  <c r="C1856" i="4"/>
  <c r="D1856" i="4"/>
  <c r="E1856" i="4"/>
  <c r="F1856" i="4"/>
  <c r="G1856" i="4"/>
  <c r="C1857" i="4" l="1"/>
  <c r="D1857" i="4"/>
  <c r="E1857" i="4"/>
  <c r="F1857" i="4"/>
  <c r="G1857" i="4"/>
  <c r="B1858" i="4"/>
  <c r="C1858" i="4" l="1"/>
  <c r="D1858" i="4"/>
  <c r="E1858" i="4"/>
  <c r="F1858" i="4"/>
  <c r="G1858" i="4"/>
  <c r="B1859" i="4"/>
  <c r="F1859" i="4" l="1"/>
  <c r="G1859" i="4"/>
  <c r="B1860" i="4"/>
  <c r="C1859" i="4"/>
  <c r="D1859" i="4"/>
  <c r="E1859" i="4"/>
  <c r="C1860" i="4" l="1"/>
  <c r="D1860" i="4"/>
  <c r="E1860" i="4"/>
  <c r="F1860" i="4"/>
  <c r="G1860" i="4"/>
  <c r="B1861" i="4"/>
  <c r="C1861" i="4" l="1"/>
  <c r="D1861" i="4"/>
  <c r="E1861" i="4"/>
  <c r="F1861" i="4"/>
  <c r="G1861" i="4"/>
  <c r="B1862" i="4"/>
  <c r="D1862" i="4" l="1"/>
  <c r="E1862" i="4"/>
  <c r="F1862" i="4"/>
  <c r="G1862" i="4"/>
  <c r="B1863" i="4"/>
  <c r="C1862" i="4"/>
  <c r="C1863" i="4" l="1"/>
  <c r="D1863" i="4"/>
  <c r="E1863" i="4"/>
  <c r="F1863" i="4"/>
  <c r="G1863" i="4"/>
  <c r="B1864" i="4"/>
  <c r="B1865" i="4" l="1"/>
  <c r="C1864" i="4"/>
  <c r="D1864" i="4"/>
  <c r="E1864" i="4"/>
  <c r="F1864" i="4"/>
  <c r="G1864" i="4"/>
  <c r="C1865" i="4" l="1"/>
  <c r="D1865" i="4"/>
  <c r="E1865" i="4"/>
  <c r="F1865" i="4"/>
  <c r="G1865" i="4"/>
  <c r="B1866" i="4"/>
  <c r="C1866" i="4" l="1"/>
  <c r="D1866" i="4"/>
  <c r="E1866" i="4"/>
  <c r="F1866" i="4"/>
  <c r="G1866" i="4"/>
  <c r="B1867" i="4"/>
  <c r="F1867" i="4" l="1"/>
  <c r="G1867" i="4"/>
  <c r="B1868" i="4"/>
  <c r="C1867" i="4"/>
  <c r="D1867" i="4"/>
  <c r="E1867" i="4"/>
  <c r="C1868" i="4" l="1"/>
  <c r="D1868" i="4"/>
  <c r="E1868" i="4"/>
  <c r="F1868" i="4"/>
  <c r="G1868" i="4"/>
  <c r="B1869" i="4"/>
  <c r="C1869" i="4" l="1"/>
  <c r="D1869" i="4"/>
  <c r="E1869" i="4"/>
  <c r="F1869" i="4"/>
  <c r="G1869" i="4"/>
  <c r="B1870" i="4"/>
  <c r="D1870" i="4" l="1"/>
  <c r="E1870" i="4"/>
  <c r="F1870" i="4"/>
  <c r="G1870" i="4"/>
  <c r="B1871" i="4"/>
  <c r="C1870" i="4"/>
  <c r="C1871" i="4" l="1"/>
  <c r="D1871" i="4"/>
  <c r="E1871" i="4"/>
  <c r="F1871" i="4"/>
  <c r="G1871" i="4"/>
  <c r="B1872" i="4"/>
  <c r="B1873" i="4" l="1"/>
  <c r="C1872" i="4"/>
  <c r="D1872" i="4"/>
  <c r="E1872" i="4"/>
  <c r="F1872" i="4"/>
  <c r="G1872" i="4"/>
  <c r="C1873" i="4" l="1"/>
  <c r="D1873" i="4"/>
  <c r="E1873" i="4"/>
  <c r="F1873" i="4"/>
  <c r="G1873" i="4"/>
  <c r="B1874" i="4"/>
  <c r="C1874" i="4" l="1"/>
  <c r="D1874" i="4"/>
  <c r="E1874" i="4"/>
  <c r="F1874" i="4"/>
  <c r="G1874" i="4"/>
  <c r="B1875" i="4"/>
  <c r="F1875" i="4" l="1"/>
  <c r="G1875" i="4"/>
  <c r="B1876" i="4"/>
  <c r="C1875" i="4"/>
  <c r="D1875" i="4"/>
  <c r="E1875" i="4"/>
  <c r="C1876" i="4" l="1"/>
  <c r="D1876" i="4"/>
  <c r="E1876" i="4"/>
  <c r="F1876" i="4"/>
  <c r="G1876" i="4"/>
  <c r="B1877" i="4"/>
  <c r="C1877" i="4" l="1"/>
  <c r="D1877" i="4"/>
  <c r="E1877" i="4"/>
  <c r="F1877" i="4"/>
  <c r="G1877" i="4"/>
  <c r="B1878" i="4"/>
  <c r="D1878" i="4" l="1"/>
  <c r="E1878" i="4"/>
  <c r="F1878" i="4"/>
  <c r="G1878" i="4"/>
  <c r="B1879" i="4"/>
  <c r="C1878" i="4"/>
  <c r="C1879" i="4" l="1"/>
  <c r="D1879" i="4"/>
  <c r="E1879" i="4"/>
  <c r="F1879" i="4"/>
  <c r="G1879" i="4"/>
  <c r="B1880" i="4"/>
  <c r="B1881" i="4" l="1"/>
  <c r="C1880" i="4"/>
  <c r="D1880" i="4"/>
  <c r="E1880" i="4"/>
  <c r="F1880" i="4"/>
  <c r="G1880" i="4"/>
  <c r="C1881" i="4" l="1"/>
  <c r="D1881" i="4"/>
  <c r="E1881" i="4"/>
  <c r="F1881" i="4"/>
  <c r="G1881" i="4"/>
  <c r="B1882" i="4"/>
  <c r="C1882" i="4" l="1"/>
  <c r="D1882" i="4"/>
  <c r="E1882" i="4"/>
  <c r="F1882" i="4"/>
  <c r="G1882" i="4"/>
  <c r="B1883" i="4"/>
  <c r="F1883" i="4" l="1"/>
  <c r="G1883" i="4"/>
  <c r="B1884" i="4"/>
  <c r="C1883" i="4"/>
  <c r="D1883" i="4"/>
  <c r="E1883" i="4"/>
  <c r="C1884" i="4" l="1"/>
  <c r="D1884" i="4"/>
  <c r="E1884" i="4"/>
  <c r="F1884" i="4"/>
  <c r="G1884" i="4"/>
  <c r="B1885" i="4"/>
  <c r="C1885" i="4" l="1"/>
  <c r="D1885" i="4"/>
  <c r="E1885" i="4"/>
  <c r="F1885" i="4"/>
  <c r="G1885" i="4"/>
  <c r="B1886" i="4"/>
  <c r="D1886" i="4" l="1"/>
  <c r="E1886" i="4"/>
  <c r="F1886" i="4"/>
  <c r="G1886" i="4"/>
  <c r="B1887" i="4"/>
  <c r="C1886" i="4"/>
  <c r="C1887" i="4" l="1"/>
  <c r="D1887" i="4"/>
  <c r="E1887" i="4"/>
  <c r="F1887" i="4"/>
  <c r="G1887" i="4"/>
  <c r="B1888" i="4"/>
  <c r="B1889" i="4" l="1"/>
  <c r="C1888" i="4"/>
  <c r="D1888" i="4"/>
  <c r="E1888" i="4"/>
  <c r="F1888" i="4"/>
  <c r="G1888" i="4"/>
  <c r="C1889" i="4" l="1"/>
  <c r="D1889" i="4"/>
  <c r="E1889" i="4"/>
  <c r="F1889" i="4"/>
  <c r="G1889" i="4"/>
  <c r="B1890" i="4"/>
  <c r="C1890" i="4" l="1"/>
  <c r="D1890" i="4"/>
  <c r="E1890" i="4"/>
  <c r="F1890" i="4"/>
  <c r="G1890" i="4"/>
  <c r="B1891" i="4"/>
  <c r="F1891" i="4" l="1"/>
  <c r="G1891" i="4"/>
  <c r="B1892" i="4"/>
  <c r="C1891" i="4"/>
  <c r="D1891" i="4"/>
  <c r="E1891" i="4"/>
  <c r="C1892" i="4" l="1"/>
  <c r="D1892" i="4"/>
  <c r="E1892" i="4"/>
  <c r="F1892" i="4"/>
  <c r="G1892" i="4"/>
  <c r="B1893" i="4"/>
  <c r="C1893" i="4" l="1"/>
  <c r="D1893" i="4"/>
  <c r="E1893" i="4"/>
  <c r="F1893" i="4"/>
  <c r="G1893" i="4"/>
  <c r="B1894" i="4"/>
  <c r="D1894" i="4" l="1"/>
  <c r="E1894" i="4"/>
  <c r="F1894" i="4"/>
  <c r="G1894" i="4"/>
  <c r="B1895" i="4"/>
  <c r="C1894" i="4"/>
  <c r="C1895" i="4" l="1"/>
  <c r="D1895" i="4"/>
  <c r="E1895" i="4"/>
  <c r="F1895" i="4"/>
  <c r="G1895" i="4"/>
  <c r="B1896" i="4"/>
  <c r="B1897" i="4" l="1"/>
  <c r="C1896" i="4"/>
  <c r="D1896" i="4"/>
  <c r="E1896" i="4"/>
  <c r="F1896" i="4"/>
  <c r="G1896" i="4"/>
  <c r="C1897" i="4" l="1"/>
  <c r="D1897" i="4"/>
  <c r="E1897" i="4"/>
  <c r="F1897" i="4"/>
  <c r="G1897" i="4"/>
  <c r="B1898" i="4"/>
  <c r="C1898" i="4" l="1"/>
  <c r="D1898" i="4"/>
  <c r="E1898" i="4"/>
  <c r="F1898" i="4"/>
  <c r="G1898" i="4"/>
  <c r="B1899" i="4"/>
  <c r="F1899" i="4" l="1"/>
  <c r="G1899" i="4"/>
  <c r="B1900" i="4"/>
  <c r="C1899" i="4"/>
  <c r="D1899" i="4"/>
  <c r="E1899" i="4"/>
  <c r="C1900" i="4" l="1"/>
  <c r="D1900" i="4"/>
  <c r="E1900" i="4"/>
  <c r="F1900" i="4"/>
  <c r="G1900" i="4"/>
  <c r="B1901" i="4"/>
  <c r="C1901" i="4" l="1"/>
  <c r="D1901" i="4"/>
  <c r="E1901" i="4"/>
  <c r="F1901" i="4"/>
  <c r="G1901" i="4"/>
  <c r="B1902" i="4"/>
  <c r="D1902" i="4" l="1"/>
  <c r="E1902" i="4"/>
  <c r="F1902" i="4"/>
  <c r="G1902" i="4"/>
  <c r="B1903" i="4"/>
  <c r="C1902" i="4"/>
  <c r="C1903" i="4" l="1"/>
  <c r="D1903" i="4"/>
  <c r="E1903" i="4"/>
  <c r="F1903" i="4"/>
  <c r="G1903" i="4"/>
  <c r="B1904" i="4"/>
  <c r="B1905" i="4" l="1"/>
  <c r="C1904" i="4"/>
  <c r="D1904" i="4"/>
  <c r="E1904" i="4"/>
  <c r="F1904" i="4"/>
  <c r="G1904" i="4"/>
  <c r="C1905" i="4" l="1"/>
  <c r="D1905" i="4"/>
  <c r="E1905" i="4"/>
  <c r="F1905" i="4"/>
  <c r="G1905" i="4"/>
  <c r="B1906" i="4"/>
  <c r="C1906" i="4" l="1"/>
  <c r="D1906" i="4"/>
  <c r="E1906" i="4"/>
  <c r="F1906" i="4"/>
  <c r="G1906" i="4"/>
  <c r="B1907" i="4"/>
  <c r="F1907" i="4" l="1"/>
  <c r="G1907" i="4"/>
  <c r="B1908" i="4"/>
  <c r="C1907" i="4"/>
  <c r="D1907" i="4"/>
  <c r="E1907" i="4"/>
  <c r="C1908" i="4" l="1"/>
  <c r="D1908" i="4"/>
  <c r="E1908" i="4"/>
  <c r="F1908" i="4"/>
  <c r="G1908" i="4"/>
  <c r="B1909" i="4"/>
  <c r="C1909" i="4" l="1"/>
  <c r="D1909" i="4"/>
  <c r="E1909" i="4"/>
  <c r="F1909" i="4"/>
  <c r="G1909" i="4"/>
  <c r="B1910" i="4"/>
  <c r="D1910" i="4" l="1"/>
  <c r="E1910" i="4"/>
  <c r="F1910" i="4"/>
  <c r="G1910" i="4"/>
  <c r="B1911" i="4"/>
  <c r="C1910" i="4"/>
  <c r="C1911" i="4" l="1"/>
  <c r="D1911" i="4"/>
  <c r="E1911" i="4"/>
  <c r="F1911" i="4"/>
  <c r="G1911" i="4"/>
  <c r="B1912" i="4"/>
  <c r="B1913" i="4" l="1"/>
  <c r="C1912" i="4"/>
  <c r="D1912" i="4"/>
  <c r="E1912" i="4"/>
  <c r="F1912" i="4"/>
  <c r="G1912" i="4"/>
  <c r="C1913" i="4" l="1"/>
  <c r="D1913" i="4"/>
  <c r="E1913" i="4"/>
  <c r="F1913" i="4"/>
  <c r="G1913" i="4"/>
  <c r="B1914" i="4"/>
  <c r="C1914" i="4" l="1"/>
  <c r="D1914" i="4"/>
  <c r="F1914" i="4"/>
  <c r="G1914" i="4"/>
  <c r="B1915" i="4"/>
  <c r="E1914" i="4"/>
  <c r="F1915" i="4" l="1"/>
  <c r="G1915" i="4"/>
  <c r="B1916" i="4"/>
  <c r="C1915" i="4"/>
  <c r="D1915" i="4"/>
  <c r="E1915" i="4"/>
  <c r="C1916" i="4" l="1"/>
  <c r="D1916" i="4"/>
  <c r="E1916" i="4"/>
  <c r="F1916" i="4"/>
  <c r="G1916" i="4"/>
  <c r="B1917" i="4"/>
  <c r="D1917" i="4" l="1"/>
  <c r="E1917" i="4"/>
  <c r="F1917" i="4"/>
  <c r="G1917" i="4"/>
  <c r="C1917" i="4"/>
  <c r="B1918" i="4"/>
  <c r="D1918" i="4" l="1"/>
  <c r="E1918" i="4"/>
  <c r="F1918" i="4"/>
  <c r="G1918" i="4"/>
  <c r="B1919" i="4"/>
  <c r="C1918" i="4"/>
  <c r="C1919" i="4" l="1"/>
  <c r="D1919" i="4"/>
  <c r="E1919" i="4"/>
  <c r="F1919" i="4"/>
  <c r="B1920" i="4"/>
  <c r="G1919" i="4"/>
  <c r="B1921" i="4" l="1"/>
  <c r="C1920" i="4"/>
  <c r="D1920" i="4"/>
  <c r="E1920" i="4"/>
  <c r="F1920" i="4"/>
  <c r="G1920" i="4"/>
  <c r="C1921" i="4" l="1"/>
  <c r="D1921" i="4"/>
  <c r="E1921" i="4"/>
  <c r="F1921" i="4"/>
  <c r="G1921" i="4"/>
  <c r="B1922" i="4"/>
  <c r="C1922" i="4" l="1"/>
  <c r="D1922" i="4"/>
  <c r="F1922" i="4"/>
  <c r="G1922" i="4"/>
  <c r="B1923" i="4"/>
  <c r="E1922" i="4"/>
  <c r="F1923" i="4" l="1"/>
  <c r="G1923" i="4"/>
  <c r="B1924" i="4"/>
  <c r="C1923" i="4"/>
  <c r="D1923" i="4"/>
  <c r="E1923" i="4"/>
  <c r="C1924" i="4" l="1"/>
  <c r="D1924" i="4"/>
  <c r="E1924" i="4"/>
  <c r="F1924" i="4"/>
  <c r="G1924" i="4"/>
  <c r="B1925" i="4"/>
  <c r="D1925" i="4" l="1"/>
  <c r="E1925" i="4"/>
  <c r="F1925" i="4"/>
  <c r="G1925" i="4"/>
  <c r="C1925" i="4"/>
  <c r="B1926" i="4"/>
  <c r="D1926" i="4" l="1"/>
  <c r="E1926" i="4"/>
  <c r="F1926" i="4"/>
  <c r="G1926" i="4"/>
  <c r="B1927" i="4"/>
  <c r="C1926" i="4"/>
  <c r="C1927" i="4" l="1"/>
  <c r="D1927" i="4"/>
  <c r="E1927" i="4"/>
  <c r="F1927" i="4"/>
  <c r="B1928" i="4"/>
  <c r="G1927" i="4"/>
  <c r="B1929" i="4" l="1"/>
  <c r="C1928" i="4"/>
  <c r="D1928" i="4"/>
  <c r="E1928" i="4"/>
  <c r="F1928" i="4"/>
  <c r="G1928" i="4"/>
  <c r="C1929" i="4" l="1"/>
  <c r="D1929" i="4"/>
  <c r="E1929" i="4"/>
  <c r="F1929" i="4"/>
  <c r="G1929" i="4"/>
  <c r="B1930" i="4"/>
  <c r="C1930" i="4" l="1"/>
  <c r="D1930" i="4"/>
  <c r="F1930" i="4"/>
  <c r="G1930" i="4"/>
  <c r="B1931" i="4"/>
  <c r="E1930" i="4"/>
  <c r="F1931" i="4" l="1"/>
  <c r="G1931" i="4"/>
  <c r="B1932" i="4"/>
  <c r="C1931" i="4"/>
  <c r="D1931" i="4"/>
  <c r="E1931" i="4"/>
  <c r="C1932" i="4" l="1"/>
  <c r="D1932" i="4"/>
  <c r="E1932" i="4"/>
  <c r="F1932" i="4"/>
  <c r="G1932" i="4"/>
  <c r="B1933" i="4"/>
  <c r="D1933" i="4" l="1"/>
  <c r="E1933" i="4"/>
  <c r="F1933" i="4"/>
  <c r="G1933" i="4"/>
  <c r="B1934" i="4"/>
  <c r="C1933" i="4"/>
  <c r="D1934" i="4" l="1"/>
  <c r="E1934" i="4"/>
  <c r="F1934" i="4"/>
  <c r="G1934" i="4"/>
  <c r="B1935" i="4"/>
  <c r="C1934" i="4"/>
  <c r="C1935" i="4" l="1"/>
  <c r="D1935" i="4"/>
  <c r="E1935" i="4"/>
  <c r="F1935" i="4"/>
  <c r="B1936" i="4"/>
  <c r="G1935" i="4"/>
  <c r="B1937" i="4" l="1"/>
  <c r="C1936" i="4"/>
  <c r="D1936" i="4"/>
  <c r="E1936" i="4"/>
  <c r="F1936" i="4"/>
  <c r="G1936" i="4"/>
  <c r="C1937" i="4" l="1"/>
  <c r="D1937" i="4"/>
  <c r="E1937" i="4"/>
  <c r="F1937" i="4"/>
  <c r="G1937" i="4"/>
  <c r="B1938" i="4"/>
  <c r="C1938" i="4" l="1"/>
  <c r="D1938" i="4"/>
  <c r="F1938" i="4"/>
  <c r="G1938" i="4"/>
  <c r="B1939" i="4"/>
  <c r="E1938" i="4"/>
  <c r="F1939" i="4" l="1"/>
  <c r="G1939" i="4"/>
  <c r="B1940" i="4"/>
  <c r="C1939" i="4"/>
  <c r="D1939" i="4"/>
  <c r="E1939" i="4"/>
  <c r="C1940" i="4" l="1"/>
  <c r="D1940" i="4"/>
  <c r="E1940" i="4"/>
  <c r="F1940" i="4"/>
  <c r="G1940" i="4"/>
  <c r="B1941" i="4"/>
  <c r="D1941" i="4" l="1"/>
  <c r="E1941" i="4"/>
  <c r="F1941" i="4"/>
  <c r="G1941" i="4"/>
  <c r="C1941" i="4"/>
  <c r="B1942" i="4"/>
  <c r="D1942" i="4" l="1"/>
  <c r="E1942" i="4"/>
  <c r="F1942" i="4"/>
  <c r="G1942" i="4"/>
  <c r="B1943" i="4"/>
  <c r="C1942" i="4"/>
  <c r="C1943" i="4" l="1"/>
  <c r="D1943" i="4"/>
  <c r="E1943" i="4"/>
  <c r="F1943" i="4"/>
  <c r="B1944" i="4"/>
  <c r="G1943" i="4"/>
  <c r="B1945" i="4" l="1"/>
  <c r="C1944" i="4"/>
  <c r="D1944" i="4"/>
  <c r="E1944" i="4"/>
  <c r="F1944" i="4"/>
  <c r="G1944" i="4"/>
  <c r="C1945" i="4" l="1"/>
  <c r="D1945" i="4"/>
  <c r="E1945" i="4"/>
  <c r="F1945" i="4"/>
  <c r="G1945" i="4"/>
  <c r="B1946" i="4"/>
  <c r="C1946" i="4" l="1"/>
  <c r="D1946" i="4"/>
  <c r="F1946" i="4"/>
  <c r="G1946" i="4"/>
  <c r="B1947" i="4"/>
  <c r="E1946" i="4"/>
  <c r="F1947" i="4" l="1"/>
  <c r="G1947" i="4"/>
  <c r="B1948" i="4"/>
  <c r="C1947" i="4"/>
  <c r="E1947" i="4"/>
  <c r="D1947" i="4"/>
  <c r="C1948" i="4" l="1"/>
  <c r="D1948" i="4"/>
  <c r="E1948" i="4"/>
  <c r="F1948" i="4"/>
  <c r="G1948" i="4"/>
  <c r="B1949" i="4"/>
  <c r="D1949" i="4" l="1"/>
  <c r="E1949" i="4"/>
  <c r="F1949" i="4"/>
  <c r="G1949" i="4"/>
  <c r="C1949" i="4"/>
  <c r="B1950" i="4"/>
  <c r="D1950" i="4" l="1"/>
  <c r="E1950" i="4"/>
  <c r="F1950" i="4"/>
  <c r="G1950" i="4"/>
  <c r="B1951" i="4"/>
  <c r="C1950" i="4"/>
  <c r="C1951" i="4" l="1"/>
  <c r="D1951" i="4"/>
  <c r="E1951" i="4"/>
  <c r="F1951" i="4"/>
  <c r="B1952" i="4"/>
  <c r="G1951" i="4"/>
  <c r="B1953" i="4" l="1"/>
  <c r="C1952" i="4"/>
  <c r="D1952" i="4"/>
  <c r="E1952" i="4"/>
  <c r="F1952" i="4"/>
  <c r="G1952" i="4"/>
  <c r="C1953" i="4" l="1"/>
  <c r="D1953" i="4"/>
  <c r="E1953" i="4"/>
  <c r="F1953" i="4"/>
  <c r="G1953" i="4"/>
  <c r="B1954" i="4"/>
  <c r="C1954" i="4" l="1"/>
  <c r="D1954" i="4"/>
  <c r="F1954" i="4"/>
  <c r="G1954" i="4"/>
  <c r="B1955" i="4"/>
  <c r="E1954" i="4"/>
  <c r="F1955" i="4" l="1"/>
  <c r="G1955" i="4"/>
  <c r="B1956" i="4"/>
  <c r="C1955" i="4"/>
  <c r="D1955" i="4"/>
  <c r="E1955" i="4"/>
  <c r="C1956" i="4" l="1"/>
  <c r="D1956" i="4"/>
  <c r="E1956" i="4"/>
  <c r="F1956" i="4"/>
  <c r="G1956" i="4"/>
  <c r="B1957" i="4"/>
  <c r="D1957" i="4" l="1"/>
  <c r="E1957" i="4"/>
  <c r="F1957" i="4"/>
  <c r="G1957" i="4"/>
  <c r="C1957" i="4"/>
  <c r="B1958" i="4"/>
  <c r="D1958" i="4" l="1"/>
  <c r="E1958" i="4"/>
  <c r="F1958" i="4"/>
  <c r="G1958" i="4"/>
  <c r="B1959" i="4"/>
  <c r="C1958" i="4"/>
  <c r="C1959" i="4" l="1"/>
  <c r="D1959" i="4"/>
  <c r="E1959" i="4"/>
  <c r="F1959" i="4"/>
  <c r="B1960" i="4"/>
  <c r="G1959" i="4"/>
  <c r="B1961" i="4" l="1"/>
  <c r="C1960" i="4"/>
  <c r="D1960" i="4"/>
  <c r="E1960" i="4"/>
  <c r="F1960" i="4"/>
  <c r="G1960" i="4"/>
  <c r="C1961" i="4" l="1"/>
  <c r="D1961" i="4"/>
  <c r="E1961" i="4"/>
  <c r="F1961" i="4"/>
  <c r="G1961" i="4"/>
  <c r="B1962" i="4"/>
  <c r="C1962" i="4" l="1"/>
  <c r="D1962" i="4"/>
  <c r="F1962" i="4"/>
  <c r="G1962" i="4"/>
  <c r="B1963" i="4"/>
  <c r="E1962" i="4"/>
  <c r="F1963" i="4" l="1"/>
  <c r="G1963" i="4"/>
  <c r="B1964" i="4"/>
  <c r="C1963" i="4"/>
  <c r="D1963" i="4"/>
  <c r="E1963" i="4"/>
  <c r="C1964" i="4" l="1"/>
  <c r="D1964" i="4"/>
  <c r="E1964" i="4"/>
  <c r="F1964" i="4"/>
  <c r="G1964" i="4"/>
  <c r="B1965" i="4"/>
  <c r="D1965" i="4" l="1"/>
  <c r="E1965" i="4"/>
  <c r="F1965" i="4"/>
  <c r="G1965" i="4"/>
  <c r="C1965" i="4"/>
  <c r="B1966" i="4"/>
  <c r="D1966" i="4" l="1"/>
  <c r="E1966" i="4"/>
  <c r="F1966" i="4"/>
  <c r="G1966" i="4"/>
  <c r="B1967" i="4"/>
  <c r="C1966" i="4"/>
  <c r="C1967" i="4" l="1"/>
  <c r="D1967" i="4"/>
  <c r="E1967" i="4"/>
  <c r="F1967" i="4"/>
  <c r="B1968" i="4"/>
  <c r="G1967" i="4"/>
  <c r="B1969" i="4" l="1"/>
  <c r="C1968" i="4"/>
  <c r="D1968" i="4"/>
  <c r="E1968" i="4"/>
  <c r="F1968" i="4"/>
  <c r="G1968" i="4"/>
  <c r="C1969" i="4" l="1"/>
  <c r="D1969" i="4"/>
  <c r="E1969" i="4"/>
  <c r="F1969" i="4"/>
  <c r="G1969" i="4"/>
  <c r="B1970" i="4"/>
  <c r="C1970" i="4" l="1"/>
  <c r="D1970" i="4"/>
  <c r="F1970" i="4"/>
  <c r="G1970" i="4"/>
  <c r="B1971" i="4"/>
  <c r="E1970" i="4"/>
  <c r="F1971" i="4" l="1"/>
  <c r="G1971" i="4"/>
  <c r="B1972" i="4"/>
  <c r="C1971" i="4"/>
  <c r="D1971" i="4"/>
  <c r="E1971" i="4"/>
  <c r="C1972" i="4" l="1"/>
  <c r="D1972" i="4"/>
  <c r="E1972" i="4"/>
  <c r="F1972" i="4"/>
  <c r="G1972" i="4"/>
  <c r="B1973" i="4"/>
  <c r="D1973" i="4" l="1"/>
  <c r="E1973" i="4"/>
  <c r="F1973" i="4"/>
  <c r="G1973" i="4"/>
  <c r="C1973" i="4"/>
  <c r="B1974" i="4"/>
  <c r="D1974" i="4" l="1"/>
  <c r="E1974" i="4"/>
  <c r="F1974" i="4"/>
  <c r="G1974" i="4"/>
  <c r="B1975" i="4"/>
  <c r="C1974" i="4"/>
  <c r="C1975" i="4" l="1"/>
  <c r="D1975" i="4"/>
  <c r="E1975" i="4"/>
  <c r="F1975" i="4"/>
  <c r="B1976" i="4"/>
  <c r="G1975" i="4"/>
  <c r="B1977" i="4" l="1"/>
  <c r="C1976" i="4"/>
  <c r="D1976" i="4"/>
  <c r="E1976" i="4"/>
  <c r="F1976" i="4"/>
  <c r="G1976" i="4"/>
  <c r="C1977" i="4" l="1"/>
  <c r="D1977" i="4"/>
  <c r="E1977" i="4"/>
  <c r="F1977" i="4"/>
  <c r="G1977" i="4"/>
  <c r="B1978" i="4"/>
  <c r="C1978" i="4" l="1"/>
  <c r="D1978" i="4"/>
  <c r="F1978" i="4"/>
  <c r="G1978" i="4"/>
  <c r="B1979" i="4"/>
  <c r="E1978" i="4"/>
  <c r="F1979" i="4" l="1"/>
  <c r="G1979" i="4"/>
  <c r="B1980" i="4"/>
  <c r="C1979" i="4"/>
  <c r="D1979" i="4"/>
  <c r="E1979" i="4"/>
  <c r="C1980" i="4" l="1"/>
  <c r="D1980" i="4"/>
  <c r="E1980" i="4"/>
  <c r="F1980" i="4"/>
  <c r="G1980" i="4"/>
  <c r="B1981" i="4"/>
  <c r="D1981" i="4" l="1"/>
  <c r="E1981" i="4"/>
  <c r="F1981" i="4"/>
  <c r="G1981" i="4"/>
  <c r="C1981" i="4"/>
  <c r="B1982" i="4"/>
  <c r="D1982" i="4" l="1"/>
  <c r="E1982" i="4"/>
  <c r="F1982" i="4"/>
  <c r="G1982" i="4"/>
  <c r="B1983" i="4"/>
  <c r="C1982" i="4"/>
  <c r="C1983" i="4" l="1"/>
  <c r="D1983" i="4"/>
  <c r="E1983" i="4"/>
  <c r="F1983" i="4"/>
  <c r="B1984" i="4"/>
  <c r="G1983" i="4"/>
  <c r="B1985" i="4" l="1"/>
  <c r="C1984" i="4"/>
  <c r="D1984" i="4"/>
  <c r="E1984" i="4"/>
  <c r="F1984" i="4"/>
  <c r="G1984" i="4"/>
  <c r="C1985" i="4" l="1"/>
  <c r="D1985" i="4"/>
  <c r="E1985" i="4"/>
  <c r="F1985" i="4"/>
  <c r="G1985" i="4"/>
  <c r="B1986" i="4"/>
  <c r="C1986" i="4" l="1"/>
  <c r="D1986" i="4"/>
  <c r="F1986" i="4"/>
  <c r="G1986" i="4"/>
  <c r="B1987" i="4"/>
  <c r="E1986" i="4"/>
  <c r="F1987" i="4" l="1"/>
  <c r="G1987" i="4"/>
  <c r="B1988" i="4"/>
  <c r="C1987" i="4"/>
  <c r="D1987" i="4"/>
  <c r="E1987" i="4"/>
  <c r="C1988" i="4" l="1"/>
  <c r="D1988" i="4"/>
  <c r="E1988" i="4"/>
  <c r="F1988" i="4"/>
  <c r="G1988" i="4"/>
  <c r="B1989" i="4"/>
  <c r="D1989" i="4" l="1"/>
  <c r="E1989" i="4"/>
  <c r="F1989" i="4"/>
  <c r="G1989" i="4"/>
  <c r="C1989" i="4"/>
  <c r="B1990" i="4"/>
  <c r="D1990" i="4" l="1"/>
  <c r="E1990" i="4"/>
  <c r="F1990" i="4"/>
  <c r="G1990" i="4"/>
  <c r="B1991" i="4"/>
  <c r="C1990" i="4"/>
  <c r="C1991" i="4" l="1"/>
  <c r="D1991" i="4"/>
  <c r="E1991" i="4"/>
  <c r="F1991" i="4"/>
  <c r="B1992" i="4"/>
  <c r="G1991" i="4"/>
  <c r="B1993" i="4" l="1"/>
  <c r="C1992" i="4"/>
  <c r="D1992" i="4"/>
  <c r="E1992" i="4"/>
  <c r="F1992" i="4"/>
  <c r="G1992" i="4"/>
  <c r="C1993" i="4" l="1"/>
  <c r="D1993" i="4"/>
  <c r="E1993" i="4"/>
  <c r="F1993" i="4"/>
  <c r="G1993" i="4"/>
  <c r="B1994" i="4"/>
  <c r="C1994" i="4" l="1"/>
  <c r="D1994" i="4"/>
  <c r="F1994" i="4"/>
  <c r="G1994" i="4"/>
  <c r="B1995" i="4"/>
  <c r="E1994" i="4"/>
  <c r="F1995" i="4" l="1"/>
  <c r="G1995" i="4"/>
  <c r="B1996" i="4"/>
  <c r="C1995" i="4"/>
  <c r="D1995" i="4"/>
  <c r="E1995" i="4"/>
  <c r="C1996" i="4" l="1"/>
  <c r="D1996" i="4"/>
  <c r="E1996" i="4"/>
  <c r="F1996" i="4"/>
  <c r="G1996" i="4"/>
  <c r="B1997" i="4"/>
  <c r="D1997" i="4" l="1"/>
  <c r="E1997" i="4"/>
  <c r="F1997" i="4"/>
  <c r="G1997" i="4"/>
  <c r="C1997" i="4"/>
  <c r="B1998" i="4"/>
  <c r="D1998" i="4" l="1"/>
  <c r="E1998" i="4"/>
  <c r="F1998" i="4"/>
  <c r="G1998" i="4"/>
  <c r="B1999" i="4"/>
  <c r="C1998" i="4"/>
  <c r="C1999" i="4" l="1"/>
  <c r="D1999" i="4"/>
  <c r="E1999" i="4"/>
  <c r="F1999" i="4"/>
  <c r="B2000" i="4"/>
  <c r="G1999" i="4"/>
  <c r="B2001" i="4" l="1"/>
  <c r="D2000" i="4"/>
  <c r="E2000" i="4"/>
  <c r="C2000" i="4"/>
  <c r="F2000" i="4"/>
  <c r="G2000" i="4"/>
  <c r="C2001" i="4" l="1"/>
  <c r="D2001" i="4"/>
  <c r="E2001" i="4"/>
  <c r="F2001" i="4"/>
  <c r="G2001" i="4"/>
  <c r="B2002" i="4"/>
  <c r="C2002" i="4" l="1"/>
  <c r="D2002" i="4"/>
  <c r="F2002" i="4"/>
  <c r="B2003" i="4"/>
  <c r="E2002" i="4"/>
  <c r="G2002" i="4"/>
  <c r="F2003" i="4" l="1"/>
  <c r="G2003" i="4"/>
  <c r="B2004" i="4"/>
  <c r="C2003" i="4"/>
  <c r="D2003" i="4"/>
  <c r="E2003" i="4"/>
  <c r="C2004" i="4" l="1"/>
  <c r="D2004" i="4"/>
  <c r="E2004" i="4"/>
  <c r="F2004" i="4"/>
  <c r="G2004" i="4"/>
  <c r="B2005" i="4"/>
  <c r="D2005" i="4" l="1"/>
  <c r="F2005" i="4"/>
  <c r="G2005" i="4"/>
  <c r="C2005" i="4"/>
  <c r="E2005" i="4"/>
  <c r="B2006" i="4"/>
  <c r="D2006" i="4" l="1"/>
  <c r="E2006" i="4"/>
  <c r="F2006" i="4"/>
  <c r="G2006" i="4"/>
  <c r="B2007" i="4"/>
  <c r="C2006" i="4"/>
  <c r="C2007" i="4" l="1"/>
  <c r="D2007" i="4"/>
  <c r="E2007" i="4"/>
  <c r="F2007" i="4"/>
  <c r="B2008" i="4"/>
  <c r="G2007" i="4"/>
  <c r="B2009" i="4" l="1"/>
  <c r="D2008" i="4"/>
  <c r="E2008" i="4"/>
  <c r="C2008" i="4"/>
  <c r="F2008" i="4"/>
  <c r="G2008" i="4"/>
  <c r="C2009" i="4" l="1"/>
  <c r="D2009" i="4"/>
  <c r="E2009" i="4"/>
  <c r="F2009" i="4"/>
  <c r="G2009" i="4"/>
  <c r="B2010" i="4"/>
  <c r="C2010" i="4" l="1"/>
  <c r="D2010" i="4"/>
  <c r="F2010" i="4"/>
  <c r="B2011" i="4"/>
  <c r="E2010" i="4"/>
  <c r="G2010" i="4"/>
  <c r="F2011" i="4" l="1"/>
  <c r="G2011" i="4"/>
  <c r="B2012" i="4"/>
  <c r="C2011" i="4"/>
  <c r="D2011" i="4"/>
  <c r="E2011" i="4"/>
  <c r="C2012" i="4" l="1"/>
  <c r="D2012" i="4"/>
  <c r="E2012" i="4"/>
  <c r="F2012" i="4"/>
  <c r="G2012" i="4"/>
  <c r="B2013" i="4"/>
  <c r="D2013" i="4" l="1"/>
  <c r="F2013" i="4"/>
  <c r="G2013" i="4"/>
  <c r="B2014" i="4"/>
  <c r="C2013" i="4"/>
  <c r="E2013" i="4"/>
  <c r="D2014" i="4" l="1"/>
  <c r="E2014" i="4"/>
  <c r="F2014" i="4"/>
  <c r="G2014" i="4"/>
  <c r="B2015" i="4"/>
  <c r="C2014" i="4"/>
  <c r="C2015" i="4" l="1"/>
  <c r="D2015" i="4"/>
  <c r="E2015" i="4"/>
  <c r="F2015" i="4"/>
  <c r="B2016" i="4"/>
  <c r="G2015" i="4"/>
  <c r="B2017" i="4" l="1"/>
  <c r="D2016" i="4"/>
  <c r="E2016" i="4"/>
  <c r="C2016" i="4"/>
  <c r="F2016" i="4"/>
  <c r="G2016" i="4"/>
  <c r="C2017" i="4" l="1"/>
  <c r="D2017" i="4"/>
  <c r="E2017" i="4"/>
  <c r="F2017" i="4"/>
  <c r="G2017" i="4"/>
  <c r="B2018" i="4"/>
  <c r="C2018" i="4" l="1"/>
  <c r="D2018" i="4"/>
  <c r="F2018" i="4"/>
  <c r="B2019" i="4"/>
  <c r="E2018" i="4"/>
  <c r="G2018" i="4"/>
  <c r="F2019" i="4" l="1"/>
  <c r="G2019" i="4"/>
  <c r="B2020" i="4"/>
  <c r="C2019" i="4"/>
  <c r="D2019" i="4"/>
  <c r="E2019" i="4"/>
  <c r="C2020" i="4" l="1"/>
  <c r="D2020" i="4"/>
  <c r="E2020" i="4"/>
  <c r="F2020" i="4"/>
  <c r="G2020" i="4"/>
  <c r="B2021" i="4"/>
  <c r="D2021" i="4" l="1"/>
  <c r="F2021" i="4"/>
  <c r="C2021" i="4"/>
  <c r="E2021" i="4"/>
  <c r="G2021" i="4"/>
  <c r="B2022" i="4"/>
  <c r="D2022" i="4" l="1"/>
  <c r="E2022" i="4"/>
  <c r="F2022" i="4"/>
  <c r="G2022" i="4"/>
  <c r="B2023" i="4"/>
  <c r="C2022" i="4"/>
  <c r="C2023" i="4" l="1"/>
  <c r="D2023" i="4"/>
  <c r="E2023" i="4"/>
  <c r="F2023" i="4"/>
  <c r="B2024" i="4"/>
  <c r="G2023" i="4"/>
  <c r="B2025" i="4" l="1"/>
  <c r="D2024" i="4"/>
  <c r="C2024" i="4"/>
  <c r="E2024" i="4"/>
  <c r="F2024" i="4"/>
  <c r="G2024" i="4"/>
  <c r="C2025" i="4" l="1"/>
  <c r="D2025" i="4"/>
  <c r="E2025" i="4"/>
  <c r="F2025" i="4"/>
  <c r="G2025" i="4"/>
  <c r="B2026" i="4"/>
  <c r="C2026" i="4" l="1"/>
  <c r="D2026" i="4"/>
  <c r="F2026" i="4"/>
  <c r="B2027" i="4"/>
  <c r="E2026" i="4"/>
  <c r="G2026" i="4"/>
  <c r="F2027" i="4" l="1"/>
  <c r="G2027" i="4"/>
  <c r="B2028" i="4"/>
  <c r="C2027" i="4"/>
  <c r="D2027" i="4"/>
  <c r="E2027" i="4"/>
  <c r="C2028" i="4" l="1"/>
  <c r="D2028" i="4"/>
  <c r="E2028" i="4"/>
  <c r="F2028" i="4"/>
  <c r="G2028" i="4"/>
  <c r="B2029" i="4"/>
  <c r="D2029" i="4" l="1"/>
  <c r="F2029" i="4"/>
  <c r="C2029" i="4"/>
  <c r="E2029" i="4"/>
  <c r="G2029" i="4"/>
  <c r="B2030" i="4"/>
  <c r="D2030" i="4" l="1"/>
  <c r="E2030" i="4"/>
  <c r="F2030" i="4"/>
  <c r="G2030" i="4"/>
  <c r="B2031" i="4"/>
  <c r="C2030" i="4"/>
  <c r="C2031" i="4" l="1"/>
  <c r="D2031" i="4"/>
  <c r="E2031" i="4"/>
  <c r="F2031" i="4"/>
  <c r="B2032" i="4"/>
  <c r="G2031" i="4"/>
  <c r="B2033" i="4" l="1"/>
  <c r="D2032" i="4"/>
  <c r="C2032" i="4"/>
  <c r="E2032" i="4"/>
  <c r="F2032" i="4"/>
  <c r="G2032" i="4"/>
  <c r="C2033" i="4" l="1"/>
  <c r="D2033" i="4"/>
  <c r="E2033" i="4"/>
  <c r="F2033" i="4"/>
  <c r="G2033" i="4"/>
  <c r="B2034" i="4"/>
  <c r="C2034" i="4" l="1"/>
  <c r="D2034" i="4"/>
  <c r="F2034" i="4"/>
  <c r="B2035" i="4"/>
  <c r="E2034" i="4"/>
  <c r="G2034" i="4"/>
  <c r="F2035" i="4" l="1"/>
  <c r="G2035" i="4"/>
  <c r="B2036" i="4"/>
  <c r="C2035" i="4"/>
  <c r="D2035" i="4"/>
  <c r="E2035" i="4"/>
  <c r="C2036" i="4" l="1"/>
  <c r="D2036" i="4"/>
  <c r="E2036" i="4"/>
  <c r="F2036" i="4"/>
  <c r="G2036" i="4"/>
  <c r="B2037" i="4"/>
  <c r="D2037" i="4" l="1"/>
  <c r="F2037" i="4"/>
  <c r="C2037" i="4"/>
  <c r="E2037" i="4"/>
  <c r="G2037" i="4"/>
  <c r="B2038" i="4"/>
  <c r="D2038" i="4" l="1"/>
  <c r="E2038" i="4"/>
  <c r="F2038" i="4"/>
  <c r="G2038" i="4"/>
  <c r="B2039" i="4"/>
  <c r="C2038" i="4"/>
  <c r="C2039" i="4" l="1"/>
  <c r="D2039" i="4"/>
  <c r="E2039" i="4"/>
  <c r="F2039" i="4"/>
  <c r="B2040" i="4"/>
  <c r="G2039" i="4"/>
  <c r="B2041" i="4" l="1"/>
  <c r="D2040" i="4"/>
  <c r="E2040" i="4"/>
  <c r="F2040" i="4"/>
  <c r="G2040" i="4"/>
  <c r="C2040" i="4"/>
  <c r="C2041" i="4" l="1"/>
  <c r="D2041" i="4"/>
  <c r="E2041" i="4"/>
  <c r="F2041" i="4"/>
  <c r="G2041" i="4"/>
  <c r="B2042" i="4"/>
  <c r="C2042" i="4" l="1"/>
  <c r="D2042" i="4"/>
  <c r="F2042" i="4"/>
  <c r="B2043" i="4"/>
  <c r="E2042" i="4"/>
  <c r="G2042" i="4"/>
  <c r="F2043" i="4" l="1"/>
  <c r="G2043" i="4"/>
  <c r="B2044" i="4"/>
  <c r="C2043" i="4"/>
  <c r="D2043" i="4"/>
  <c r="E2043" i="4"/>
  <c r="C2044" i="4" l="1"/>
  <c r="D2044" i="4"/>
  <c r="E2044" i="4"/>
  <c r="F2044" i="4"/>
  <c r="G2044" i="4"/>
  <c r="B2045" i="4"/>
  <c r="D2045" i="4" l="1"/>
  <c r="F2045" i="4"/>
  <c r="C2045" i="4"/>
  <c r="E2045" i="4"/>
  <c r="G2045" i="4"/>
  <c r="B2046" i="4"/>
  <c r="D2046" i="4" l="1"/>
  <c r="E2046" i="4"/>
  <c r="F2046" i="4"/>
  <c r="G2046" i="4"/>
  <c r="B2047" i="4"/>
  <c r="C2046" i="4"/>
  <c r="C2047" i="4" l="1"/>
  <c r="D2047" i="4"/>
  <c r="E2047" i="4"/>
  <c r="F2047" i="4"/>
  <c r="B2048" i="4"/>
  <c r="G2047" i="4"/>
  <c r="B2049" i="4" l="1"/>
  <c r="D2048" i="4"/>
  <c r="F2048" i="4"/>
  <c r="G2048" i="4"/>
  <c r="C2048" i="4"/>
  <c r="E2048" i="4"/>
  <c r="C2049" i="4" l="1"/>
  <c r="D2049" i="4"/>
  <c r="E2049" i="4"/>
  <c r="F2049" i="4"/>
  <c r="G2049" i="4"/>
  <c r="B2050" i="4"/>
  <c r="C2050" i="4" l="1"/>
  <c r="D2050" i="4"/>
  <c r="F2050" i="4"/>
  <c r="B2051" i="4"/>
  <c r="E2050" i="4"/>
  <c r="G2050" i="4"/>
  <c r="F2051" i="4" l="1"/>
  <c r="G2051" i="4"/>
  <c r="B2052" i="4"/>
  <c r="C2051" i="4"/>
  <c r="D2051" i="4"/>
  <c r="E2051" i="4"/>
  <c r="C2052" i="4" l="1"/>
  <c r="D2052" i="4"/>
  <c r="E2052" i="4"/>
  <c r="F2052" i="4"/>
  <c r="G2052" i="4"/>
  <c r="B2053" i="4"/>
  <c r="D2053" i="4" l="1"/>
  <c r="F2053" i="4"/>
  <c r="C2053" i="4"/>
  <c r="E2053" i="4"/>
  <c r="G2053" i="4"/>
  <c r="B2054" i="4"/>
  <c r="D2054" i="4" l="1"/>
  <c r="E2054" i="4"/>
  <c r="F2054" i="4"/>
  <c r="G2054" i="4"/>
  <c r="B2055" i="4"/>
  <c r="C2054" i="4"/>
  <c r="C2055" i="4" l="1"/>
  <c r="D2055" i="4"/>
  <c r="E2055" i="4"/>
  <c r="F2055" i="4"/>
  <c r="B2056" i="4"/>
  <c r="G2055" i="4"/>
  <c r="B2057" i="4" l="1"/>
  <c r="D2056" i="4"/>
  <c r="G2056" i="4"/>
  <c r="C2056" i="4"/>
  <c r="E2056" i="4"/>
  <c r="F2056" i="4"/>
  <c r="C2057" i="4" l="1"/>
  <c r="D2057" i="4"/>
  <c r="E2057" i="4"/>
  <c r="F2057" i="4"/>
  <c r="G2057" i="4"/>
  <c r="B2058" i="4"/>
  <c r="C2058" i="4" l="1"/>
  <c r="D2058" i="4"/>
  <c r="F2058" i="4"/>
  <c r="B2059" i="4"/>
  <c r="E2058" i="4"/>
  <c r="G2058" i="4"/>
  <c r="F2059" i="4" l="1"/>
  <c r="G2059" i="4"/>
  <c r="B2060" i="4"/>
  <c r="C2059" i="4"/>
  <c r="D2059" i="4"/>
  <c r="E2059" i="4"/>
  <c r="C2060" i="4" l="1"/>
  <c r="D2060" i="4"/>
  <c r="E2060" i="4"/>
  <c r="F2060" i="4"/>
  <c r="G2060" i="4"/>
  <c r="B2061" i="4"/>
  <c r="D2061" i="4" l="1"/>
  <c r="C2061" i="4"/>
  <c r="E2061" i="4"/>
  <c r="F2061" i="4"/>
  <c r="G2061" i="4"/>
  <c r="B2062" i="4"/>
  <c r="D2062" i="4" l="1"/>
  <c r="E2062" i="4"/>
  <c r="F2062" i="4"/>
  <c r="G2062" i="4"/>
  <c r="B2063" i="4"/>
  <c r="C2062" i="4"/>
  <c r="C2063" i="4" l="1"/>
  <c r="D2063" i="4"/>
  <c r="E2063" i="4"/>
  <c r="F2063" i="4"/>
  <c r="B2064" i="4"/>
  <c r="G2063" i="4"/>
  <c r="B2065" i="4" l="1"/>
  <c r="F2064" i="4"/>
  <c r="G2064" i="4"/>
  <c r="C2064" i="4"/>
  <c r="D2064" i="4"/>
  <c r="E2064" i="4"/>
  <c r="C2065" i="4" l="1"/>
  <c r="D2065" i="4"/>
  <c r="E2065" i="4"/>
  <c r="F2065" i="4"/>
  <c r="G2065" i="4"/>
  <c r="B2066" i="4"/>
  <c r="C2066" i="4" l="1"/>
  <c r="D2066" i="4"/>
  <c r="F2066" i="4"/>
  <c r="E2066" i="4"/>
  <c r="G2066" i="4"/>
  <c r="B2067" i="4"/>
  <c r="C2067" i="4" l="1"/>
  <c r="D2067" i="4"/>
  <c r="E2067" i="4"/>
  <c r="F2067" i="4"/>
  <c r="G2067" i="4"/>
  <c r="B2068" i="4"/>
  <c r="B2069" i="4" l="1"/>
  <c r="C2068" i="4"/>
  <c r="D2068" i="4"/>
  <c r="E2068" i="4"/>
  <c r="F2068" i="4"/>
  <c r="G2068" i="4"/>
  <c r="C2069" i="4" l="1"/>
  <c r="D2069" i="4"/>
  <c r="E2069" i="4"/>
  <c r="F2069" i="4"/>
  <c r="G2069" i="4"/>
  <c r="B2070" i="4"/>
  <c r="C2070" i="4" l="1"/>
  <c r="D2070" i="4"/>
  <c r="E2070" i="4"/>
  <c r="F2070" i="4"/>
  <c r="G2070" i="4"/>
  <c r="B2071" i="4"/>
  <c r="F2071" i="4" l="1"/>
  <c r="G2071" i="4"/>
  <c r="B2072" i="4"/>
  <c r="C2071" i="4"/>
  <c r="D2071" i="4"/>
  <c r="E2071" i="4"/>
  <c r="C2072" i="4" l="1"/>
  <c r="D2072" i="4"/>
  <c r="E2072" i="4"/>
  <c r="F2072" i="4"/>
  <c r="G2072" i="4"/>
  <c r="B2073" i="4"/>
  <c r="C2073" i="4" l="1"/>
  <c r="D2073" i="4"/>
  <c r="E2073" i="4"/>
  <c r="F2073" i="4"/>
  <c r="G2073" i="4"/>
  <c r="B2074" i="4"/>
  <c r="D2074" i="4" l="1"/>
  <c r="E2074" i="4"/>
  <c r="F2074" i="4"/>
  <c r="G2074" i="4"/>
  <c r="B2075" i="4"/>
  <c r="C2074" i="4"/>
  <c r="C2075" i="4" l="1"/>
  <c r="D2075" i="4"/>
  <c r="E2075" i="4"/>
  <c r="F2075" i="4"/>
  <c r="G2075" i="4"/>
  <c r="B2076" i="4"/>
  <c r="B2077" i="4" l="1"/>
  <c r="C2076" i="4"/>
  <c r="D2076" i="4"/>
  <c r="E2076" i="4"/>
  <c r="G2076" i="4"/>
  <c r="F2076" i="4"/>
  <c r="C2077" i="4" l="1"/>
  <c r="D2077" i="4"/>
  <c r="E2077" i="4"/>
  <c r="F2077" i="4"/>
  <c r="G2077" i="4"/>
  <c r="B2078" i="4"/>
  <c r="C2078" i="4" l="1"/>
  <c r="D2078" i="4"/>
  <c r="E2078" i="4"/>
  <c r="F2078" i="4"/>
  <c r="G2078" i="4"/>
  <c r="B2079" i="4"/>
  <c r="F2079" i="4" l="1"/>
  <c r="G2079" i="4"/>
  <c r="B2080" i="4"/>
  <c r="C2079" i="4"/>
  <c r="D2079" i="4"/>
  <c r="E2079" i="4"/>
  <c r="C2080" i="4" l="1"/>
  <c r="D2080" i="4"/>
  <c r="E2080" i="4"/>
  <c r="F2080" i="4"/>
  <c r="G2080" i="4"/>
  <c r="B2081" i="4"/>
  <c r="C2081" i="4" l="1"/>
  <c r="D2081" i="4"/>
  <c r="E2081" i="4"/>
  <c r="F2081" i="4"/>
  <c r="G2081" i="4"/>
  <c r="B2082" i="4"/>
  <c r="D2082" i="4" l="1"/>
  <c r="E2082" i="4"/>
  <c r="F2082" i="4"/>
  <c r="G2082" i="4"/>
  <c r="B2083" i="4"/>
  <c r="C2082" i="4"/>
  <c r="C2083" i="4" l="1"/>
  <c r="D2083" i="4"/>
  <c r="E2083" i="4"/>
  <c r="F2083" i="4"/>
  <c r="G2083" i="4"/>
  <c r="B2084" i="4"/>
  <c r="B2085" i="4" l="1"/>
  <c r="C2084" i="4"/>
  <c r="D2084" i="4"/>
  <c r="E2084" i="4"/>
  <c r="F2084" i="4"/>
  <c r="G2084" i="4"/>
  <c r="C2085" i="4" l="1"/>
  <c r="D2085" i="4"/>
  <c r="E2085" i="4"/>
  <c r="F2085" i="4"/>
  <c r="G2085" i="4"/>
  <c r="B2086" i="4"/>
  <c r="C2086" i="4" l="1"/>
  <c r="D2086" i="4"/>
  <c r="E2086" i="4"/>
  <c r="F2086" i="4"/>
  <c r="G2086" i="4"/>
  <c r="B2087" i="4"/>
  <c r="F2087" i="4" l="1"/>
  <c r="G2087" i="4"/>
  <c r="B2088" i="4"/>
  <c r="C2087" i="4"/>
  <c r="D2087" i="4"/>
  <c r="E2087" i="4"/>
  <c r="C2088" i="4" l="1"/>
  <c r="D2088" i="4"/>
  <c r="E2088" i="4"/>
  <c r="F2088" i="4"/>
  <c r="G2088" i="4"/>
  <c r="B2089" i="4"/>
  <c r="C2089" i="4" l="1"/>
  <c r="D2089" i="4"/>
  <c r="E2089" i="4"/>
  <c r="F2089" i="4"/>
  <c r="G2089" i="4"/>
  <c r="B2090" i="4"/>
  <c r="D2090" i="4" l="1"/>
  <c r="E2090" i="4"/>
  <c r="F2090" i="4"/>
  <c r="G2090" i="4"/>
  <c r="B2091" i="4"/>
  <c r="C2090" i="4"/>
  <c r="C2091" i="4" l="1"/>
  <c r="D2091" i="4"/>
  <c r="E2091" i="4"/>
  <c r="F2091" i="4"/>
  <c r="G2091" i="4"/>
  <c r="B2092" i="4"/>
  <c r="B2093" i="4" l="1"/>
  <c r="C2092" i="4"/>
  <c r="D2092" i="4"/>
  <c r="E2092" i="4"/>
  <c r="F2092" i="4"/>
  <c r="G2092" i="4"/>
  <c r="C2093" i="4" l="1"/>
  <c r="D2093" i="4"/>
  <c r="E2093" i="4"/>
  <c r="F2093" i="4"/>
  <c r="G2093" i="4"/>
  <c r="B2094" i="4"/>
  <c r="C2094" i="4" l="1"/>
  <c r="D2094" i="4"/>
  <c r="E2094" i="4"/>
  <c r="F2094" i="4"/>
  <c r="G2094" i="4"/>
  <c r="B2095" i="4"/>
  <c r="F2095" i="4" l="1"/>
  <c r="G2095" i="4"/>
  <c r="B2096" i="4"/>
  <c r="C2095" i="4"/>
  <c r="D2095" i="4"/>
  <c r="E2095" i="4"/>
  <c r="C2096" i="4" l="1"/>
  <c r="D2096" i="4"/>
  <c r="E2096" i="4"/>
  <c r="F2096" i="4"/>
  <c r="G2096" i="4"/>
  <c r="B2097" i="4"/>
  <c r="C2097" i="4" l="1"/>
  <c r="D2097" i="4"/>
  <c r="E2097" i="4"/>
  <c r="F2097" i="4"/>
  <c r="G2097" i="4"/>
  <c r="B2098" i="4"/>
  <c r="D2098" i="4" l="1"/>
  <c r="E2098" i="4"/>
  <c r="F2098" i="4"/>
  <c r="G2098" i="4"/>
  <c r="B2099" i="4"/>
  <c r="C2098" i="4"/>
  <c r="C2099" i="4" l="1"/>
  <c r="D2099" i="4"/>
  <c r="E2099" i="4"/>
  <c r="F2099" i="4"/>
  <c r="G2099" i="4"/>
  <c r="B2100" i="4"/>
  <c r="B2101" i="4" l="1"/>
  <c r="C2100" i="4"/>
  <c r="D2100" i="4"/>
  <c r="E2100" i="4"/>
  <c r="F2100" i="4"/>
  <c r="G2100" i="4"/>
  <c r="C2101" i="4" l="1"/>
  <c r="D2101" i="4"/>
  <c r="E2101" i="4"/>
  <c r="F2101" i="4"/>
  <c r="G2101" i="4"/>
  <c r="B2102" i="4"/>
  <c r="C2102" i="4" l="1"/>
  <c r="D2102" i="4"/>
  <c r="E2102" i="4"/>
  <c r="F2102" i="4"/>
  <c r="G2102" i="4"/>
  <c r="B2103" i="4"/>
  <c r="F2103" i="4" l="1"/>
  <c r="G2103" i="4"/>
  <c r="B2104" i="4"/>
  <c r="C2103" i="4"/>
  <c r="D2103" i="4"/>
  <c r="E2103" i="4"/>
  <c r="C2104" i="4" l="1"/>
  <c r="D2104" i="4"/>
  <c r="E2104" i="4"/>
  <c r="F2104" i="4"/>
  <c r="G2104" i="4"/>
  <c r="B2105" i="4"/>
  <c r="C2105" i="4" l="1"/>
  <c r="D2105" i="4"/>
  <c r="E2105" i="4"/>
  <c r="F2105" i="4"/>
  <c r="G2105" i="4"/>
  <c r="B2106" i="4"/>
  <c r="D2106" i="4" l="1"/>
  <c r="E2106" i="4"/>
  <c r="F2106" i="4"/>
  <c r="G2106" i="4"/>
  <c r="B2107" i="4"/>
  <c r="C2106" i="4"/>
  <c r="C2107" i="4" l="1"/>
  <c r="D2107" i="4"/>
  <c r="E2107" i="4"/>
  <c r="F2107" i="4"/>
  <c r="G2107" i="4"/>
  <c r="B2108" i="4"/>
  <c r="B2109" i="4" l="1"/>
  <c r="C2108" i="4"/>
  <c r="D2108" i="4"/>
  <c r="E2108" i="4"/>
  <c r="F2108" i="4"/>
  <c r="G2108" i="4"/>
  <c r="C2109" i="4" l="1"/>
  <c r="D2109" i="4"/>
  <c r="E2109" i="4"/>
  <c r="F2109" i="4"/>
  <c r="G2109" i="4"/>
  <c r="B2110" i="4"/>
  <c r="C2110" i="4" l="1"/>
  <c r="D2110" i="4"/>
  <c r="E2110" i="4"/>
  <c r="F2110" i="4"/>
  <c r="G2110" i="4"/>
  <c r="B2111" i="4"/>
  <c r="F2111" i="4" l="1"/>
  <c r="G2111" i="4"/>
  <c r="B2112" i="4"/>
  <c r="C2111" i="4"/>
  <c r="D2111" i="4"/>
  <c r="E2111" i="4"/>
  <c r="C2112" i="4" l="1"/>
  <c r="D2112" i="4"/>
  <c r="E2112" i="4"/>
  <c r="F2112" i="4"/>
  <c r="G2112" i="4"/>
  <c r="B2113" i="4"/>
  <c r="C2113" i="4" l="1"/>
  <c r="D2113" i="4"/>
  <c r="E2113" i="4"/>
  <c r="F2113" i="4"/>
  <c r="G2113" i="4"/>
  <c r="B2114" i="4"/>
  <c r="D2114" i="4" l="1"/>
  <c r="E2114" i="4"/>
  <c r="F2114" i="4"/>
  <c r="G2114" i="4"/>
  <c r="B2115" i="4"/>
  <c r="C2114" i="4"/>
  <c r="C2115" i="4" l="1"/>
  <c r="D2115" i="4"/>
  <c r="E2115" i="4"/>
  <c r="F2115" i="4"/>
  <c r="G2115" i="4"/>
  <c r="B2116" i="4"/>
  <c r="B2117" i="4" l="1"/>
  <c r="C2116" i="4"/>
  <c r="D2116" i="4"/>
  <c r="E2116" i="4"/>
  <c r="F2116" i="4"/>
  <c r="G2116" i="4"/>
  <c r="C2117" i="4" l="1"/>
  <c r="D2117" i="4"/>
  <c r="E2117" i="4"/>
  <c r="F2117" i="4"/>
  <c r="G2117" i="4"/>
  <c r="B2118" i="4"/>
  <c r="C2118" i="4" l="1"/>
  <c r="D2118" i="4"/>
  <c r="E2118" i="4"/>
  <c r="F2118" i="4"/>
  <c r="G2118" i="4"/>
  <c r="B2119" i="4"/>
  <c r="F2119" i="4" l="1"/>
  <c r="G2119" i="4"/>
  <c r="B2120" i="4"/>
  <c r="C2119" i="4"/>
  <c r="E2119" i="4"/>
  <c r="D2119" i="4"/>
  <c r="C2120" i="4" l="1"/>
  <c r="D2120" i="4"/>
  <c r="E2120" i="4"/>
  <c r="F2120" i="4"/>
  <c r="G2120" i="4"/>
  <c r="B2121" i="4"/>
  <c r="C2121" i="4" l="1"/>
  <c r="D2121" i="4"/>
  <c r="E2121" i="4"/>
  <c r="F2121" i="4"/>
  <c r="G2121" i="4"/>
  <c r="B2122" i="4"/>
  <c r="D2122" i="4" l="1"/>
  <c r="E2122" i="4"/>
  <c r="F2122" i="4"/>
  <c r="G2122" i="4"/>
  <c r="B2123" i="4"/>
  <c r="C2122" i="4"/>
  <c r="C2123" i="4" l="1"/>
  <c r="D2123" i="4"/>
  <c r="E2123" i="4"/>
  <c r="F2123" i="4"/>
  <c r="G2123" i="4"/>
  <c r="B2124" i="4"/>
  <c r="B2125" i="4" l="1"/>
  <c r="C2124" i="4"/>
  <c r="D2124" i="4"/>
  <c r="E2124" i="4"/>
  <c r="F2124" i="4"/>
  <c r="G2124" i="4"/>
  <c r="C2125" i="4" l="1"/>
  <c r="D2125" i="4"/>
  <c r="E2125" i="4"/>
  <c r="F2125" i="4"/>
  <c r="G2125" i="4"/>
  <c r="B2126" i="4"/>
  <c r="C2126" i="4" l="1"/>
  <c r="D2126" i="4"/>
  <c r="E2126" i="4"/>
  <c r="F2126" i="4"/>
  <c r="G2126" i="4"/>
  <c r="B2127" i="4"/>
  <c r="F2127" i="4" l="1"/>
  <c r="G2127" i="4"/>
  <c r="B2128" i="4"/>
  <c r="C2127" i="4"/>
  <c r="D2127" i="4"/>
  <c r="E2127" i="4"/>
  <c r="C2128" i="4" l="1"/>
  <c r="D2128" i="4"/>
  <c r="E2128" i="4"/>
  <c r="F2128" i="4"/>
  <c r="G2128" i="4"/>
  <c r="B2129" i="4"/>
  <c r="C2129" i="4" l="1"/>
  <c r="D2129" i="4"/>
  <c r="E2129" i="4"/>
  <c r="F2129" i="4"/>
  <c r="G2129" i="4"/>
  <c r="B2130" i="4"/>
  <c r="D2130" i="4" l="1"/>
  <c r="E2130" i="4"/>
  <c r="F2130" i="4"/>
  <c r="G2130" i="4"/>
  <c r="B2131" i="4"/>
  <c r="C2130" i="4"/>
  <c r="C2131" i="4" l="1"/>
  <c r="D2131" i="4"/>
  <c r="E2131" i="4"/>
  <c r="F2131" i="4"/>
  <c r="G2131" i="4"/>
  <c r="B2132" i="4"/>
  <c r="B2133" i="4" l="1"/>
  <c r="C2132" i="4"/>
  <c r="D2132" i="4"/>
  <c r="E2132" i="4"/>
  <c r="F2132" i="4"/>
  <c r="G2132" i="4"/>
  <c r="C2133" i="4" l="1"/>
  <c r="D2133" i="4"/>
  <c r="E2133" i="4"/>
  <c r="F2133" i="4"/>
  <c r="G2133" i="4"/>
  <c r="B2134" i="4"/>
  <c r="C2134" i="4" l="1"/>
  <c r="D2134" i="4"/>
  <c r="E2134" i="4"/>
  <c r="F2134" i="4"/>
  <c r="G2134" i="4"/>
  <c r="B2135" i="4"/>
  <c r="F2135" i="4" l="1"/>
  <c r="G2135" i="4"/>
  <c r="B2136" i="4"/>
  <c r="C2135" i="4"/>
  <c r="D2135" i="4"/>
  <c r="E2135" i="4"/>
  <c r="C2136" i="4" l="1"/>
  <c r="D2136" i="4"/>
  <c r="E2136" i="4"/>
  <c r="F2136" i="4"/>
  <c r="G2136" i="4"/>
  <c r="B2137" i="4"/>
  <c r="C2137" i="4" l="1"/>
  <c r="D2137" i="4"/>
  <c r="E2137" i="4"/>
  <c r="F2137" i="4"/>
  <c r="G2137" i="4"/>
  <c r="B2138" i="4"/>
  <c r="D2138" i="4" l="1"/>
  <c r="E2138" i="4"/>
  <c r="F2138" i="4"/>
  <c r="G2138" i="4"/>
  <c r="B2139" i="4"/>
  <c r="C2138" i="4"/>
  <c r="C2139" i="4" l="1"/>
  <c r="D2139" i="4"/>
  <c r="E2139" i="4"/>
  <c r="F2139" i="4"/>
  <c r="G2139" i="4"/>
  <c r="B2140" i="4"/>
  <c r="B2141" i="4" l="1"/>
  <c r="C2140" i="4"/>
  <c r="D2140" i="4"/>
  <c r="E2140" i="4"/>
  <c r="F2140" i="4"/>
  <c r="G2140" i="4"/>
  <c r="C2141" i="4" l="1"/>
  <c r="D2141" i="4"/>
  <c r="E2141" i="4"/>
  <c r="F2141" i="4"/>
  <c r="G2141" i="4"/>
  <c r="B2142" i="4"/>
  <c r="C2142" i="4" l="1"/>
  <c r="D2142" i="4"/>
  <c r="E2142" i="4"/>
  <c r="F2142" i="4"/>
  <c r="G2142" i="4"/>
  <c r="B2143" i="4"/>
  <c r="F2143" i="4" l="1"/>
  <c r="G2143" i="4"/>
  <c r="B2144" i="4"/>
  <c r="C2143" i="4"/>
  <c r="D2143" i="4"/>
  <c r="E2143" i="4"/>
  <c r="C2144" i="4" l="1"/>
  <c r="D2144" i="4"/>
  <c r="E2144" i="4"/>
  <c r="F2144" i="4"/>
  <c r="G2144" i="4"/>
  <c r="B2145" i="4"/>
  <c r="C2145" i="4" l="1"/>
  <c r="D2145" i="4"/>
  <c r="E2145" i="4"/>
  <c r="F2145" i="4"/>
  <c r="G2145" i="4"/>
  <c r="B2146" i="4"/>
  <c r="D2146" i="4" l="1"/>
  <c r="E2146" i="4"/>
  <c r="F2146" i="4"/>
  <c r="G2146" i="4"/>
  <c r="B2147" i="4"/>
  <c r="C2146" i="4"/>
  <c r="C2147" i="4" l="1"/>
  <c r="D2147" i="4"/>
  <c r="E2147" i="4"/>
  <c r="F2147" i="4"/>
  <c r="G2147" i="4"/>
  <c r="B2148" i="4"/>
  <c r="B2149" i="4" l="1"/>
  <c r="C2148" i="4"/>
  <c r="D2148" i="4"/>
  <c r="E2148" i="4"/>
  <c r="F2148" i="4"/>
  <c r="G2148" i="4"/>
  <c r="C2149" i="4" l="1"/>
  <c r="D2149" i="4"/>
  <c r="E2149" i="4"/>
  <c r="F2149" i="4"/>
  <c r="G2149" i="4"/>
  <c r="B2150" i="4"/>
  <c r="C2150" i="4" l="1"/>
  <c r="D2150" i="4"/>
  <c r="E2150" i="4"/>
  <c r="F2150" i="4"/>
  <c r="G2150" i="4"/>
  <c r="B2151" i="4"/>
  <c r="F2151" i="4" l="1"/>
  <c r="G2151" i="4"/>
  <c r="B2152" i="4"/>
  <c r="C2151" i="4"/>
  <c r="D2151" i="4"/>
  <c r="E2151" i="4"/>
  <c r="C2152" i="4" l="1"/>
  <c r="D2152" i="4"/>
  <c r="E2152" i="4"/>
  <c r="F2152" i="4"/>
  <c r="G2152" i="4"/>
  <c r="B2153" i="4"/>
  <c r="C2153" i="4" l="1"/>
  <c r="D2153" i="4"/>
  <c r="E2153" i="4"/>
  <c r="F2153" i="4"/>
  <c r="G2153" i="4"/>
  <c r="B2154" i="4"/>
  <c r="D2154" i="4" l="1"/>
  <c r="E2154" i="4"/>
  <c r="F2154" i="4"/>
  <c r="G2154" i="4"/>
  <c r="B2155" i="4"/>
  <c r="C2154" i="4"/>
  <c r="C2155" i="4" l="1"/>
  <c r="D2155" i="4"/>
  <c r="E2155" i="4"/>
  <c r="F2155" i="4"/>
  <c r="G2155" i="4"/>
  <c r="B2156" i="4"/>
  <c r="B2157" i="4" l="1"/>
  <c r="C2156" i="4"/>
  <c r="D2156" i="4"/>
  <c r="E2156" i="4"/>
  <c r="F2156" i="4"/>
  <c r="G2156" i="4"/>
  <c r="C2157" i="4" l="1"/>
  <c r="D2157" i="4"/>
  <c r="E2157" i="4"/>
  <c r="F2157" i="4"/>
  <c r="G2157" i="4"/>
  <c r="B2158" i="4"/>
  <c r="C2158" i="4" l="1"/>
  <c r="D2158" i="4"/>
  <c r="E2158" i="4"/>
  <c r="F2158" i="4"/>
  <c r="G2158" i="4"/>
  <c r="B2159" i="4"/>
  <c r="F2159" i="4" l="1"/>
  <c r="G2159" i="4"/>
  <c r="B2160" i="4"/>
  <c r="C2159" i="4"/>
  <c r="D2159" i="4"/>
  <c r="E2159" i="4"/>
  <c r="C2160" i="4" l="1"/>
  <c r="D2160" i="4"/>
  <c r="E2160" i="4"/>
  <c r="F2160" i="4"/>
  <c r="G2160" i="4"/>
  <c r="B2161" i="4"/>
  <c r="C2161" i="4" l="1"/>
  <c r="D2161" i="4"/>
  <c r="E2161" i="4"/>
  <c r="F2161" i="4"/>
  <c r="G2161" i="4"/>
  <c r="B2162" i="4"/>
  <c r="D2162" i="4" l="1"/>
  <c r="E2162" i="4"/>
  <c r="F2162" i="4"/>
  <c r="G2162" i="4"/>
  <c r="B2163" i="4"/>
  <c r="C2162" i="4"/>
  <c r="C2163" i="4" l="1"/>
  <c r="D2163" i="4"/>
  <c r="E2163" i="4"/>
  <c r="F2163" i="4"/>
  <c r="G2163" i="4"/>
  <c r="B2164" i="4"/>
  <c r="B2165" i="4" l="1"/>
  <c r="C2164" i="4"/>
  <c r="D2164" i="4"/>
  <c r="E2164" i="4"/>
  <c r="F2164" i="4"/>
  <c r="G2164" i="4"/>
  <c r="C2165" i="4" l="1"/>
  <c r="D2165" i="4"/>
  <c r="E2165" i="4"/>
  <c r="F2165" i="4"/>
  <c r="G2165" i="4"/>
  <c r="B2166" i="4"/>
  <c r="C2166" i="4" l="1"/>
  <c r="D2166" i="4"/>
  <c r="E2166" i="4"/>
  <c r="F2166" i="4"/>
  <c r="G2166" i="4"/>
  <c r="B2167" i="4"/>
  <c r="F2167" i="4" l="1"/>
  <c r="G2167" i="4"/>
  <c r="B2168" i="4"/>
  <c r="C2167" i="4"/>
  <c r="D2167" i="4"/>
  <c r="E2167" i="4"/>
  <c r="C2168" i="4" l="1"/>
  <c r="D2168" i="4"/>
  <c r="E2168" i="4"/>
  <c r="F2168" i="4"/>
  <c r="G2168" i="4"/>
  <c r="B2169" i="4"/>
  <c r="C2169" i="4" l="1"/>
  <c r="D2169" i="4"/>
  <c r="E2169" i="4"/>
  <c r="F2169" i="4"/>
  <c r="G2169" i="4"/>
  <c r="B2170" i="4"/>
  <c r="D2170" i="4" l="1"/>
  <c r="E2170" i="4"/>
  <c r="F2170" i="4"/>
  <c r="G2170" i="4"/>
  <c r="B2171" i="4"/>
  <c r="C2170" i="4"/>
  <c r="C2171" i="4" l="1"/>
  <c r="D2171" i="4"/>
  <c r="E2171" i="4"/>
  <c r="F2171" i="4"/>
  <c r="G2171" i="4"/>
  <c r="B2172" i="4"/>
  <c r="B2173" i="4" l="1"/>
  <c r="C2172" i="4"/>
  <c r="D2172" i="4"/>
  <c r="E2172" i="4"/>
  <c r="F2172" i="4"/>
  <c r="G2172" i="4"/>
  <c r="C2173" i="4" l="1"/>
  <c r="D2173" i="4"/>
  <c r="E2173" i="4"/>
  <c r="F2173" i="4"/>
  <c r="G2173" i="4"/>
  <c r="B2174" i="4"/>
  <c r="C2174" i="4" l="1"/>
  <c r="D2174" i="4"/>
  <c r="E2174" i="4"/>
  <c r="F2174" i="4"/>
  <c r="G2174" i="4"/>
  <c r="B2175" i="4"/>
  <c r="F2175" i="4" l="1"/>
  <c r="G2175" i="4"/>
  <c r="B2176" i="4"/>
  <c r="C2175" i="4"/>
  <c r="D2175" i="4"/>
  <c r="E2175" i="4"/>
  <c r="C2176" i="4" l="1"/>
  <c r="D2176" i="4"/>
  <c r="E2176" i="4"/>
  <c r="F2176" i="4"/>
  <c r="G2176" i="4"/>
  <c r="B2177" i="4"/>
  <c r="C2177" i="4" l="1"/>
  <c r="D2177" i="4"/>
  <c r="E2177" i="4"/>
  <c r="F2177" i="4"/>
  <c r="G2177" i="4"/>
  <c r="B2178" i="4"/>
  <c r="D2178" i="4" l="1"/>
  <c r="E2178" i="4"/>
  <c r="F2178" i="4"/>
  <c r="G2178" i="4"/>
  <c r="B2179" i="4"/>
  <c r="C2178" i="4"/>
  <c r="C2179" i="4" l="1"/>
  <c r="D2179" i="4"/>
  <c r="E2179" i="4"/>
  <c r="F2179" i="4"/>
  <c r="G2179" i="4"/>
  <c r="B2180" i="4"/>
  <c r="B2181" i="4" l="1"/>
  <c r="C2180" i="4"/>
  <c r="D2180" i="4"/>
  <c r="E2180" i="4"/>
  <c r="F2180" i="4"/>
  <c r="G2180" i="4"/>
  <c r="C2181" i="4" l="1"/>
  <c r="D2181" i="4"/>
  <c r="E2181" i="4"/>
  <c r="F2181" i="4"/>
  <c r="G2181" i="4"/>
  <c r="B2182" i="4"/>
  <c r="C2182" i="4" l="1"/>
  <c r="D2182" i="4"/>
  <c r="E2182" i="4"/>
  <c r="F2182" i="4"/>
  <c r="G2182" i="4"/>
  <c r="B2183" i="4"/>
  <c r="F2183" i="4" l="1"/>
  <c r="G2183" i="4"/>
  <c r="B2184" i="4"/>
  <c r="C2183" i="4"/>
  <c r="D2183" i="4"/>
  <c r="E2183" i="4"/>
  <c r="C2184" i="4" l="1"/>
  <c r="D2184" i="4"/>
  <c r="E2184" i="4"/>
  <c r="F2184" i="4"/>
  <c r="G2184" i="4"/>
  <c r="B2185" i="4"/>
  <c r="C2185" i="4" l="1"/>
  <c r="D2185" i="4"/>
  <c r="E2185" i="4"/>
  <c r="F2185" i="4"/>
  <c r="G2185" i="4"/>
  <c r="B2186" i="4"/>
  <c r="D2186" i="4" l="1"/>
  <c r="E2186" i="4"/>
  <c r="F2186" i="4"/>
  <c r="G2186" i="4"/>
  <c r="B2187" i="4"/>
  <c r="C2186" i="4"/>
  <c r="C2187" i="4" l="1"/>
  <c r="D2187" i="4"/>
  <c r="E2187" i="4"/>
  <c r="F2187" i="4"/>
  <c r="G2187" i="4"/>
  <c r="B2188" i="4"/>
  <c r="B2189" i="4" l="1"/>
  <c r="C2188" i="4"/>
  <c r="D2188" i="4"/>
  <c r="E2188" i="4"/>
  <c r="F2188" i="4"/>
  <c r="G2188" i="4"/>
  <c r="C2189" i="4" l="1"/>
  <c r="D2189" i="4"/>
  <c r="E2189" i="4"/>
  <c r="F2189" i="4"/>
  <c r="G2189" i="4"/>
  <c r="B2190" i="4"/>
  <c r="C2190" i="4" l="1"/>
  <c r="D2190" i="4"/>
  <c r="E2190" i="4"/>
  <c r="F2190" i="4"/>
  <c r="G2190" i="4"/>
  <c r="B2191" i="4"/>
  <c r="F2191" i="4" l="1"/>
  <c r="G2191" i="4"/>
  <c r="B2192" i="4"/>
  <c r="C2191" i="4"/>
  <c r="D2191" i="4"/>
  <c r="E2191" i="4"/>
  <c r="C2192" i="4" l="1"/>
  <c r="D2192" i="4"/>
  <c r="E2192" i="4"/>
  <c r="F2192" i="4"/>
  <c r="G2192" i="4"/>
  <c r="B2193" i="4"/>
  <c r="C2193" i="4" l="1"/>
  <c r="D2193" i="4"/>
  <c r="E2193" i="4"/>
  <c r="F2193" i="4"/>
  <c r="G2193" i="4"/>
  <c r="B2194" i="4"/>
  <c r="D2194" i="4" l="1"/>
  <c r="E2194" i="4"/>
  <c r="F2194" i="4"/>
  <c r="G2194" i="4"/>
  <c r="B2195" i="4"/>
  <c r="C2194" i="4"/>
  <c r="C2195" i="4" l="1"/>
  <c r="D2195" i="4"/>
  <c r="E2195" i="4"/>
  <c r="F2195" i="4"/>
  <c r="G2195" i="4"/>
  <c r="B2196" i="4"/>
  <c r="B2197" i="4" l="1"/>
  <c r="C2196" i="4"/>
  <c r="D2196" i="4"/>
  <c r="E2196" i="4"/>
  <c r="F2196" i="4"/>
  <c r="G2196" i="4"/>
  <c r="C2197" i="4" l="1"/>
  <c r="D2197" i="4"/>
  <c r="E2197" i="4"/>
  <c r="F2197" i="4"/>
  <c r="G2197" i="4"/>
  <c r="B2198" i="4"/>
  <c r="C2198" i="4" l="1"/>
  <c r="D2198" i="4"/>
  <c r="E2198" i="4"/>
  <c r="F2198" i="4"/>
  <c r="G2198" i="4"/>
  <c r="B2199" i="4"/>
  <c r="F2199" i="4" l="1"/>
  <c r="G2199" i="4"/>
  <c r="B2200" i="4"/>
  <c r="C2199" i="4"/>
  <c r="D2199" i="4"/>
  <c r="E2199" i="4"/>
  <c r="C2200" i="4" l="1"/>
  <c r="D2200" i="4"/>
  <c r="E2200" i="4"/>
  <c r="F2200" i="4"/>
  <c r="G2200" i="4"/>
  <c r="B2201" i="4"/>
  <c r="C2201" i="4" l="1"/>
  <c r="D2201" i="4"/>
  <c r="E2201" i="4"/>
  <c r="F2201" i="4"/>
  <c r="G2201" i="4"/>
  <c r="B2202" i="4"/>
  <c r="D2202" i="4" l="1"/>
  <c r="E2202" i="4"/>
  <c r="F2202" i="4"/>
  <c r="G2202" i="4"/>
  <c r="B2203" i="4"/>
  <c r="C2202" i="4"/>
  <c r="C2203" i="4" l="1"/>
  <c r="D2203" i="4"/>
  <c r="E2203" i="4"/>
  <c r="F2203" i="4"/>
  <c r="G2203" i="4"/>
  <c r="B2204" i="4"/>
  <c r="B2205" i="4" l="1"/>
  <c r="C2204" i="4"/>
  <c r="D2204" i="4"/>
  <c r="E2204" i="4"/>
  <c r="F2204" i="4"/>
  <c r="G2204" i="4"/>
  <c r="C2205" i="4" l="1"/>
  <c r="D2205" i="4"/>
  <c r="E2205" i="4"/>
  <c r="F2205" i="4"/>
  <c r="G2205" i="4"/>
  <c r="B2206" i="4"/>
  <c r="C2206" i="4" l="1"/>
  <c r="D2206" i="4"/>
  <c r="E2206" i="4"/>
  <c r="F2206" i="4"/>
  <c r="G2206" i="4"/>
  <c r="B2207" i="4"/>
  <c r="F2207" i="4" l="1"/>
  <c r="G2207" i="4"/>
  <c r="B2208" i="4"/>
  <c r="C2207" i="4"/>
  <c r="D2207" i="4"/>
  <c r="E2207" i="4"/>
  <c r="C2208" i="4" l="1"/>
  <c r="D2208" i="4"/>
  <c r="E2208" i="4"/>
  <c r="F2208" i="4"/>
  <c r="G2208" i="4"/>
  <c r="B2209" i="4"/>
  <c r="C2209" i="4" l="1"/>
  <c r="D2209" i="4"/>
  <c r="E2209" i="4"/>
  <c r="F2209" i="4"/>
  <c r="G2209" i="4"/>
  <c r="B2210" i="4"/>
  <c r="D2210" i="4" l="1"/>
  <c r="E2210" i="4"/>
  <c r="F2210" i="4"/>
  <c r="G2210" i="4"/>
  <c r="B2211" i="4"/>
  <c r="C2210" i="4"/>
  <c r="C2211" i="4" l="1"/>
  <c r="D2211" i="4"/>
  <c r="E2211" i="4"/>
  <c r="F2211" i="4"/>
  <c r="G2211" i="4"/>
  <c r="B2212" i="4"/>
  <c r="B2213" i="4" l="1"/>
  <c r="C2212" i="4"/>
  <c r="D2212" i="4"/>
  <c r="E2212" i="4"/>
  <c r="F2212" i="4"/>
  <c r="G2212" i="4"/>
  <c r="C2213" i="4" l="1"/>
  <c r="D2213" i="4"/>
  <c r="E2213" i="4"/>
  <c r="F2213" i="4"/>
  <c r="G2213" i="4"/>
  <c r="B2214" i="4"/>
  <c r="C2214" i="4" l="1"/>
  <c r="D2214" i="4"/>
  <c r="E2214" i="4"/>
  <c r="F2214" i="4"/>
  <c r="G2214" i="4"/>
  <c r="B2215" i="4"/>
  <c r="F2215" i="4" l="1"/>
  <c r="G2215" i="4"/>
  <c r="B2216" i="4"/>
  <c r="C2215" i="4"/>
  <c r="D2215" i="4"/>
  <c r="E2215" i="4"/>
  <c r="C2216" i="4" l="1"/>
  <c r="D2216" i="4"/>
  <c r="E2216" i="4"/>
  <c r="F2216" i="4"/>
  <c r="G2216" i="4"/>
  <c r="B2217" i="4"/>
  <c r="C2217" i="4" l="1"/>
  <c r="D2217" i="4"/>
  <c r="E2217" i="4"/>
  <c r="F2217" i="4"/>
  <c r="G2217" i="4"/>
  <c r="B2218" i="4"/>
  <c r="D2218" i="4" l="1"/>
  <c r="E2218" i="4"/>
  <c r="F2218" i="4"/>
  <c r="G2218" i="4"/>
  <c r="B2219" i="4"/>
  <c r="C2218" i="4"/>
  <c r="C2219" i="4" l="1"/>
  <c r="D2219" i="4"/>
  <c r="E2219" i="4"/>
  <c r="F2219" i="4"/>
  <c r="G2219" i="4"/>
  <c r="B2220" i="4"/>
  <c r="B2221" i="4" l="1"/>
  <c r="C2220" i="4"/>
  <c r="D2220" i="4"/>
  <c r="E2220" i="4"/>
  <c r="F2220" i="4"/>
  <c r="G2220" i="4"/>
  <c r="C2221" i="4" l="1"/>
  <c r="D2221" i="4"/>
  <c r="E2221" i="4"/>
  <c r="F2221" i="4"/>
  <c r="G2221" i="4"/>
  <c r="B2222" i="4"/>
  <c r="C2222" i="4" l="1"/>
  <c r="D2222" i="4"/>
  <c r="E2222" i="4"/>
  <c r="F2222" i="4"/>
  <c r="G2222" i="4"/>
  <c r="B2223" i="4"/>
  <c r="F2223" i="4" l="1"/>
  <c r="G2223" i="4"/>
  <c r="B2224" i="4"/>
  <c r="C2223" i="4"/>
  <c r="D2223" i="4"/>
  <c r="E2223" i="4"/>
  <c r="C2224" i="4" l="1"/>
  <c r="D2224" i="4"/>
  <c r="E2224" i="4"/>
  <c r="F2224" i="4"/>
  <c r="G2224" i="4"/>
  <c r="B2225" i="4"/>
  <c r="C2225" i="4" l="1"/>
  <c r="D2225" i="4"/>
  <c r="E2225" i="4"/>
  <c r="F2225" i="4"/>
  <c r="G2225" i="4"/>
  <c r="B2226" i="4"/>
  <c r="D2226" i="4" l="1"/>
  <c r="E2226" i="4"/>
  <c r="F2226" i="4"/>
  <c r="G2226" i="4"/>
  <c r="B2227" i="4"/>
  <c r="C2226" i="4"/>
  <c r="C2227" i="4" l="1"/>
  <c r="D2227" i="4"/>
  <c r="E2227" i="4"/>
  <c r="F2227" i="4"/>
  <c r="G2227" i="4"/>
  <c r="B2228" i="4"/>
  <c r="B2229" i="4" l="1"/>
  <c r="C2228" i="4"/>
  <c r="D2228" i="4"/>
  <c r="E2228" i="4"/>
  <c r="F2228" i="4"/>
  <c r="G2228" i="4"/>
  <c r="C2229" i="4" l="1"/>
  <c r="D2229" i="4"/>
  <c r="E2229" i="4"/>
  <c r="F2229" i="4"/>
  <c r="G2229" i="4"/>
  <c r="B2230" i="4"/>
  <c r="C2230" i="4" l="1"/>
  <c r="D2230" i="4"/>
  <c r="E2230" i="4"/>
  <c r="F2230" i="4"/>
  <c r="G2230" i="4"/>
  <c r="B2231" i="4"/>
  <c r="F2231" i="4" l="1"/>
  <c r="G2231" i="4"/>
  <c r="B2232" i="4"/>
  <c r="C2231" i="4"/>
  <c r="D2231" i="4"/>
  <c r="E2231" i="4"/>
  <c r="C2232" i="4" l="1"/>
  <c r="D2232" i="4"/>
  <c r="E2232" i="4"/>
  <c r="F2232" i="4"/>
  <c r="G2232" i="4"/>
  <c r="B2233" i="4"/>
  <c r="C2233" i="4" l="1"/>
  <c r="D2233" i="4"/>
  <c r="E2233" i="4"/>
  <c r="F2233" i="4"/>
  <c r="G2233" i="4"/>
  <c r="B2234" i="4"/>
  <c r="D2234" i="4" l="1"/>
  <c r="E2234" i="4"/>
  <c r="F2234" i="4"/>
  <c r="G2234" i="4"/>
  <c r="B2235" i="4"/>
  <c r="C2234" i="4"/>
  <c r="C2235" i="4" l="1"/>
  <c r="D2235" i="4"/>
  <c r="E2235" i="4"/>
  <c r="F2235" i="4"/>
  <c r="G2235" i="4"/>
  <c r="B2236" i="4"/>
  <c r="B2237" i="4" l="1"/>
  <c r="C2236" i="4"/>
  <c r="D2236" i="4"/>
  <c r="E2236" i="4"/>
  <c r="F2236" i="4"/>
  <c r="G2236" i="4"/>
  <c r="C2237" i="4" l="1"/>
  <c r="D2237" i="4"/>
  <c r="E2237" i="4"/>
  <c r="F2237" i="4"/>
  <c r="G2237" i="4"/>
  <c r="B2238" i="4"/>
  <c r="C2238" i="4" l="1"/>
  <c r="D2238" i="4"/>
  <c r="E2238" i="4"/>
  <c r="F2238" i="4"/>
  <c r="G2238" i="4"/>
  <c r="B2239" i="4"/>
  <c r="F2239" i="4" l="1"/>
  <c r="G2239" i="4"/>
  <c r="B2240" i="4"/>
  <c r="C2239" i="4"/>
  <c r="D2239" i="4"/>
  <c r="E2239" i="4"/>
  <c r="C2240" i="4" l="1"/>
  <c r="D2240" i="4"/>
  <c r="E2240" i="4"/>
  <c r="F2240" i="4"/>
  <c r="G2240" i="4"/>
  <c r="B2241" i="4"/>
  <c r="C2241" i="4" l="1"/>
  <c r="D2241" i="4"/>
  <c r="E2241" i="4"/>
  <c r="F2241" i="4"/>
  <c r="G2241" i="4"/>
  <c r="B2242" i="4"/>
  <c r="D2242" i="4" l="1"/>
  <c r="E2242" i="4"/>
  <c r="F2242" i="4"/>
  <c r="G2242" i="4"/>
  <c r="B2243" i="4"/>
  <c r="C2242" i="4"/>
  <c r="C2243" i="4" l="1"/>
  <c r="D2243" i="4"/>
  <c r="E2243" i="4"/>
  <c r="F2243" i="4"/>
  <c r="G2243" i="4"/>
  <c r="B2244" i="4"/>
  <c r="B2245" i="4" l="1"/>
  <c r="C2244" i="4"/>
  <c r="D2244" i="4"/>
  <c r="E2244" i="4"/>
  <c r="F2244" i="4"/>
  <c r="G2244" i="4"/>
  <c r="C2245" i="4" l="1"/>
  <c r="D2245" i="4"/>
  <c r="E2245" i="4"/>
  <c r="F2245" i="4"/>
  <c r="G2245" i="4"/>
  <c r="B2246" i="4"/>
  <c r="C2246" i="4" l="1"/>
  <c r="D2246" i="4"/>
  <c r="E2246" i="4"/>
  <c r="F2246" i="4"/>
  <c r="G2246" i="4"/>
  <c r="B2247" i="4"/>
  <c r="F2247" i="4" l="1"/>
  <c r="G2247" i="4"/>
  <c r="B2248" i="4"/>
  <c r="C2247" i="4"/>
  <c r="E2247" i="4"/>
  <c r="D2247" i="4"/>
  <c r="C2248" i="4" l="1"/>
  <c r="D2248" i="4"/>
  <c r="E2248" i="4"/>
  <c r="F2248" i="4"/>
  <c r="G2248" i="4"/>
  <c r="B2249" i="4"/>
  <c r="C2249" i="4" l="1"/>
  <c r="D2249" i="4"/>
  <c r="E2249" i="4"/>
  <c r="F2249" i="4"/>
  <c r="G2249" i="4"/>
  <c r="B2250" i="4"/>
  <c r="D2250" i="4" l="1"/>
  <c r="E2250" i="4"/>
  <c r="F2250" i="4"/>
  <c r="G2250" i="4"/>
  <c r="B2251" i="4"/>
  <c r="C2250" i="4"/>
  <c r="C2251" i="4" l="1"/>
  <c r="D2251" i="4"/>
  <c r="E2251" i="4"/>
  <c r="F2251" i="4"/>
  <c r="G2251" i="4"/>
  <c r="B2252" i="4"/>
  <c r="B2253" i="4" l="1"/>
  <c r="C2252" i="4"/>
  <c r="D2252" i="4"/>
  <c r="E2252" i="4"/>
  <c r="F2252" i="4"/>
  <c r="G2252" i="4"/>
  <c r="C2253" i="4" l="1"/>
  <c r="D2253" i="4"/>
  <c r="E2253" i="4"/>
  <c r="F2253" i="4"/>
  <c r="G2253" i="4"/>
  <c r="B2254" i="4"/>
  <c r="C2254" i="4" l="1"/>
  <c r="D2254" i="4"/>
  <c r="E2254" i="4"/>
  <c r="F2254" i="4"/>
  <c r="G2254" i="4"/>
  <c r="B2255" i="4"/>
  <c r="F2255" i="4" l="1"/>
  <c r="G2255" i="4"/>
  <c r="B2256" i="4"/>
  <c r="C2255" i="4"/>
  <c r="D2255" i="4"/>
  <c r="E2255" i="4"/>
  <c r="C2256" i="4" l="1"/>
  <c r="D2256" i="4"/>
  <c r="E2256" i="4"/>
  <c r="F2256" i="4"/>
  <c r="G2256" i="4"/>
  <c r="B2257" i="4"/>
  <c r="C2257" i="4" l="1"/>
  <c r="D2257" i="4"/>
  <c r="E2257" i="4"/>
  <c r="F2257" i="4"/>
  <c r="G2257" i="4"/>
  <c r="B2258" i="4"/>
  <c r="D2258" i="4" l="1"/>
  <c r="E2258" i="4"/>
  <c r="F2258" i="4"/>
  <c r="G2258" i="4"/>
  <c r="B2259" i="4"/>
  <c r="C2258" i="4"/>
  <c r="C2259" i="4" l="1"/>
  <c r="D2259" i="4"/>
  <c r="E2259" i="4"/>
  <c r="F2259" i="4"/>
  <c r="G2259" i="4"/>
  <c r="B2260" i="4"/>
  <c r="B2261" i="4" l="1"/>
  <c r="C2260" i="4"/>
  <c r="D2260" i="4"/>
  <c r="E2260" i="4"/>
  <c r="F2260" i="4"/>
  <c r="G2260" i="4"/>
  <c r="C2261" i="4" l="1"/>
  <c r="D2261" i="4"/>
  <c r="E2261" i="4"/>
  <c r="F2261" i="4"/>
  <c r="G2261" i="4"/>
  <c r="B2262" i="4"/>
  <c r="C2262" i="4" l="1"/>
  <c r="D2262" i="4"/>
  <c r="E2262" i="4"/>
  <c r="F2262" i="4"/>
  <c r="G2262" i="4"/>
  <c r="B2263" i="4"/>
  <c r="F2263" i="4" l="1"/>
  <c r="G2263" i="4"/>
  <c r="B2264" i="4"/>
  <c r="C2263" i="4"/>
  <c r="D2263" i="4"/>
  <c r="E2263" i="4"/>
  <c r="C2264" i="4" l="1"/>
  <c r="D2264" i="4"/>
  <c r="E2264" i="4"/>
  <c r="F2264" i="4"/>
  <c r="G2264" i="4"/>
  <c r="B2265" i="4"/>
  <c r="C2265" i="4" l="1"/>
  <c r="D2265" i="4"/>
  <c r="E2265" i="4"/>
  <c r="F2265" i="4"/>
  <c r="G2265" i="4"/>
  <c r="B2266" i="4"/>
  <c r="D2266" i="4" l="1"/>
  <c r="E2266" i="4"/>
  <c r="F2266" i="4"/>
  <c r="G2266" i="4"/>
  <c r="B2267" i="4"/>
  <c r="C2266" i="4"/>
  <c r="C2267" i="4" l="1"/>
  <c r="D2267" i="4"/>
  <c r="E2267" i="4"/>
  <c r="F2267" i="4"/>
  <c r="G2267" i="4"/>
  <c r="B2268" i="4"/>
  <c r="B2269" i="4" l="1"/>
  <c r="C2268" i="4"/>
  <c r="D2268" i="4"/>
  <c r="E2268" i="4"/>
  <c r="F2268" i="4"/>
  <c r="G2268" i="4"/>
  <c r="C2269" i="4" l="1"/>
  <c r="D2269" i="4"/>
  <c r="E2269" i="4"/>
  <c r="F2269" i="4"/>
  <c r="G2269" i="4"/>
  <c r="B2270" i="4"/>
  <c r="C2270" i="4" l="1"/>
  <c r="D2270" i="4"/>
  <c r="E2270" i="4"/>
  <c r="F2270" i="4"/>
  <c r="G2270" i="4"/>
  <c r="B2271" i="4"/>
  <c r="F2271" i="4" l="1"/>
  <c r="G2271" i="4"/>
  <c r="B2272" i="4"/>
  <c r="C2271" i="4"/>
  <c r="D2271" i="4"/>
  <c r="E2271" i="4"/>
  <c r="C2272" i="4" l="1"/>
  <c r="D2272" i="4"/>
  <c r="E2272" i="4"/>
  <c r="F2272" i="4"/>
  <c r="G2272" i="4"/>
  <c r="B2273" i="4"/>
  <c r="C2273" i="4" l="1"/>
  <c r="D2273" i="4"/>
  <c r="E2273" i="4"/>
  <c r="F2273" i="4"/>
  <c r="G2273" i="4"/>
  <c r="B2274" i="4"/>
  <c r="D2274" i="4" l="1"/>
  <c r="E2274" i="4"/>
  <c r="F2274" i="4"/>
  <c r="G2274" i="4"/>
  <c r="B2275" i="4"/>
  <c r="C2274" i="4"/>
  <c r="C2275" i="4" l="1"/>
  <c r="D2275" i="4"/>
  <c r="E2275" i="4"/>
  <c r="F2275" i="4"/>
  <c r="G2275" i="4"/>
  <c r="B2276" i="4"/>
  <c r="B2277" i="4" l="1"/>
  <c r="C2276" i="4"/>
  <c r="D2276" i="4"/>
  <c r="E2276" i="4"/>
  <c r="F2276" i="4"/>
  <c r="G2276" i="4"/>
  <c r="C2277" i="4" l="1"/>
  <c r="D2277" i="4"/>
  <c r="E2277" i="4"/>
  <c r="F2277" i="4"/>
  <c r="G2277" i="4"/>
  <c r="B2278" i="4"/>
  <c r="C2278" i="4" l="1"/>
  <c r="D2278" i="4"/>
  <c r="E2278" i="4"/>
  <c r="F2278" i="4"/>
  <c r="G2278" i="4"/>
  <c r="B2279" i="4"/>
  <c r="F2279" i="4" l="1"/>
  <c r="G2279" i="4"/>
  <c r="B2280" i="4"/>
  <c r="C2279" i="4"/>
  <c r="D2279" i="4"/>
  <c r="E2279" i="4"/>
  <c r="C2280" i="4" l="1"/>
  <c r="D2280" i="4"/>
  <c r="E2280" i="4"/>
  <c r="F2280" i="4"/>
  <c r="G2280" i="4"/>
  <c r="B2281" i="4"/>
  <c r="C2281" i="4" l="1"/>
  <c r="D2281" i="4"/>
  <c r="E2281" i="4"/>
  <c r="F2281" i="4"/>
  <c r="G2281" i="4"/>
  <c r="B2282" i="4"/>
  <c r="D2282" i="4" l="1"/>
  <c r="E2282" i="4"/>
  <c r="F2282" i="4"/>
  <c r="G2282" i="4"/>
  <c r="B2283" i="4"/>
  <c r="C2282" i="4"/>
  <c r="C2283" i="4" l="1"/>
  <c r="D2283" i="4"/>
  <c r="E2283" i="4"/>
  <c r="F2283" i="4"/>
  <c r="G2283" i="4"/>
  <c r="B2284" i="4"/>
  <c r="B2285" i="4" l="1"/>
  <c r="C2284" i="4"/>
  <c r="D2284" i="4"/>
  <c r="E2284" i="4"/>
  <c r="F2284" i="4"/>
  <c r="G2284" i="4"/>
  <c r="C2285" i="4" l="1"/>
  <c r="D2285" i="4"/>
  <c r="E2285" i="4"/>
  <c r="F2285" i="4"/>
  <c r="G2285" i="4"/>
  <c r="B2286" i="4"/>
  <c r="C2286" i="4" l="1"/>
  <c r="D2286" i="4"/>
  <c r="E2286" i="4"/>
  <c r="F2286" i="4"/>
  <c r="G2286" i="4"/>
  <c r="B2287" i="4"/>
  <c r="F2287" i="4" l="1"/>
  <c r="G2287" i="4"/>
  <c r="B2288" i="4"/>
  <c r="C2287" i="4"/>
  <c r="D2287" i="4"/>
  <c r="E2287" i="4"/>
  <c r="C2288" i="4" l="1"/>
  <c r="D2288" i="4"/>
  <c r="E2288" i="4"/>
  <c r="F2288" i="4"/>
  <c r="G2288" i="4"/>
  <c r="B2289" i="4"/>
  <c r="C2289" i="4" l="1"/>
  <c r="D2289" i="4"/>
  <c r="E2289" i="4"/>
  <c r="F2289" i="4"/>
  <c r="G2289" i="4"/>
  <c r="B2290" i="4"/>
  <c r="D2290" i="4" l="1"/>
  <c r="E2290" i="4"/>
  <c r="F2290" i="4"/>
  <c r="G2290" i="4"/>
  <c r="B2291" i="4"/>
  <c r="C2290" i="4"/>
  <c r="C2291" i="4" l="1"/>
  <c r="D2291" i="4"/>
  <c r="E2291" i="4"/>
  <c r="F2291" i="4"/>
  <c r="G2291" i="4"/>
  <c r="B2292" i="4"/>
  <c r="B2293" i="4" l="1"/>
  <c r="C2292" i="4"/>
  <c r="D2292" i="4"/>
  <c r="E2292" i="4"/>
  <c r="F2292" i="4"/>
  <c r="G2292" i="4"/>
  <c r="C2293" i="4" l="1"/>
  <c r="D2293" i="4"/>
  <c r="E2293" i="4"/>
  <c r="F2293" i="4"/>
  <c r="G2293" i="4"/>
  <c r="B2294" i="4"/>
  <c r="C2294" i="4" l="1"/>
  <c r="D2294" i="4"/>
  <c r="E2294" i="4"/>
  <c r="F2294" i="4"/>
  <c r="G2294" i="4"/>
  <c r="B2295" i="4"/>
  <c r="F2295" i="4" l="1"/>
  <c r="G2295" i="4"/>
  <c r="B2296" i="4"/>
  <c r="C2295" i="4"/>
  <c r="D2295" i="4"/>
  <c r="E2295" i="4"/>
  <c r="C2296" i="4" l="1"/>
  <c r="D2296" i="4"/>
  <c r="E2296" i="4"/>
  <c r="F2296" i="4"/>
  <c r="G2296" i="4"/>
  <c r="B2297" i="4"/>
  <c r="C2297" i="4" l="1"/>
  <c r="D2297" i="4"/>
  <c r="E2297" i="4"/>
  <c r="F2297" i="4"/>
  <c r="G2297" i="4"/>
  <c r="B2298" i="4"/>
  <c r="D2298" i="4" l="1"/>
  <c r="E2298" i="4"/>
  <c r="F2298" i="4"/>
  <c r="G2298" i="4"/>
  <c r="B2299" i="4"/>
  <c r="C2298" i="4"/>
  <c r="C2299" i="4" l="1"/>
  <c r="D2299" i="4"/>
  <c r="E2299" i="4"/>
  <c r="F2299" i="4"/>
  <c r="G2299" i="4"/>
  <c r="B2300" i="4"/>
  <c r="B2301" i="4" l="1"/>
  <c r="C2300" i="4"/>
  <c r="D2300" i="4"/>
  <c r="E2300" i="4"/>
  <c r="F2300" i="4"/>
  <c r="G2300" i="4"/>
  <c r="C2301" i="4" l="1"/>
  <c r="D2301" i="4"/>
  <c r="E2301" i="4"/>
  <c r="F2301" i="4"/>
  <c r="G2301" i="4"/>
  <c r="B2302" i="4"/>
  <c r="C2302" i="4" l="1"/>
  <c r="D2302" i="4"/>
  <c r="E2302" i="4"/>
  <c r="F2302" i="4"/>
  <c r="G2302" i="4"/>
  <c r="B2303" i="4"/>
  <c r="F2303" i="4" l="1"/>
  <c r="G2303" i="4"/>
  <c r="B2304" i="4"/>
  <c r="C2303" i="4"/>
  <c r="D2303" i="4"/>
  <c r="E2303" i="4"/>
  <c r="C2304" i="4" l="1"/>
  <c r="D2304" i="4"/>
  <c r="E2304" i="4"/>
  <c r="F2304" i="4"/>
  <c r="G2304" i="4"/>
  <c r="B2305" i="4"/>
  <c r="C2305" i="4" l="1"/>
  <c r="D2305" i="4"/>
  <c r="E2305" i="4"/>
  <c r="F2305" i="4"/>
  <c r="G2305" i="4"/>
  <c r="B2306" i="4"/>
  <c r="D2306" i="4" l="1"/>
  <c r="E2306" i="4"/>
  <c r="F2306" i="4"/>
  <c r="G2306" i="4"/>
  <c r="B2307" i="4"/>
  <c r="C2306" i="4"/>
  <c r="C2307" i="4" l="1"/>
  <c r="D2307" i="4"/>
  <c r="E2307" i="4"/>
  <c r="F2307" i="4"/>
  <c r="G2307" i="4"/>
  <c r="B2308" i="4"/>
  <c r="B2309" i="4" l="1"/>
  <c r="C2308" i="4"/>
  <c r="D2308" i="4"/>
  <c r="E2308" i="4"/>
  <c r="F2308" i="4"/>
  <c r="G2308" i="4"/>
  <c r="C2309" i="4" l="1"/>
  <c r="D2309" i="4"/>
  <c r="E2309" i="4"/>
  <c r="F2309" i="4"/>
  <c r="G2309" i="4"/>
  <c r="B2310" i="4"/>
  <c r="C2310" i="4" l="1"/>
  <c r="D2310" i="4"/>
  <c r="E2310" i="4"/>
  <c r="F2310" i="4"/>
  <c r="G2310" i="4"/>
  <c r="B2311" i="4"/>
  <c r="F2311" i="4" l="1"/>
  <c r="G2311" i="4"/>
  <c r="B2312" i="4"/>
  <c r="C2311" i="4"/>
  <c r="E2311" i="4"/>
  <c r="D2311" i="4"/>
  <c r="C2312" i="4" l="1"/>
  <c r="D2312" i="4"/>
  <c r="E2312" i="4"/>
  <c r="F2312" i="4"/>
  <c r="G2312" i="4"/>
  <c r="B2313" i="4"/>
  <c r="C2313" i="4" l="1"/>
  <c r="D2313" i="4"/>
  <c r="E2313" i="4"/>
  <c r="F2313" i="4"/>
  <c r="G2313" i="4"/>
  <c r="B2314" i="4"/>
  <c r="D2314" i="4" l="1"/>
  <c r="E2314" i="4"/>
  <c r="F2314" i="4"/>
  <c r="G2314" i="4"/>
  <c r="B2315" i="4"/>
  <c r="C2314" i="4"/>
  <c r="C2315" i="4" l="1"/>
  <c r="D2315" i="4"/>
  <c r="E2315" i="4"/>
  <c r="F2315" i="4"/>
  <c r="G2315" i="4"/>
  <c r="B2316" i="4"/>
  <c r="B2317" i="4" l="1"/>
  <c r="C2316" i="4"/>
  <c r="D2316" i="4"/>
  <c r="E2316" i="4"/>
  <c r="F2316" i="4"/>
  <c r="G2316" i="4"/>
  <c r="C2317" i="4" l="1"/>
  <c r="D2317" i="4"/>
  <c r="E2317" i="4"/>
  <c r="F2317" i="4"/>
  <c r="G2317" i="4"/>
  <c r="B2318" i="4"/>
  <c r="C2318" i="4" l="1"/>
  <c r="D2318" i="4"/>
  <c r="E2318" i="4"/>
  <c r="F2318" i="4"/>
  <c r="G2318" i="4"/>
  <c r="B2319" i="4"/>
  <c r="F2319" i="4" l="1"/>
  <c r="G2319" i="4"/>
  <c r="B2320" i="4"/>
  <c r="C2319" i="4"/>
  <c r="D2319" i="4"/>
  <c r="E2319" i="4"/>
  <c r="C2320" i="4" l="1"/>
  <c r="D2320" i="4"/>
  <c r="E2320" i="4"/>
  <c r="F2320" i="4"/>
  <c r="G2320" i="4"/>
  <c r="B2321" i="4"/>
  <c r="C2321" i="4" l="1"/>
  <c r="D2321" i="4"/>
  <c r="E2321" i="4"/>
  <c r="F2321" i="4"/>
  <c r="G2321" i="4"/>
  <c r="B2322" i="4"/>
  <c r="D2322" i="4" l="1"/>
  <c r="E2322" i="4"/>
  <c r="F2322" i="4"/>
  <c r="G2322" i="4"/>
  <c r="B2323" i="4"/>
  <c r="C2322" i="4"/>
  <c r="C2323" i="4" l="1"/>
  <c r="D2323" i="4"/>
  <c r="E2323" i="4"/>
  <c r="F2323" i="4"/>
  <c r="G2323" i="4"/>
  <c r="B2324" i="4"/>
  <c r="B2325" i="4" l="1"/>
  <c r="C2324" i="4"/>
  <c r="D2324" i="4"/>
  <c r="E2324" i="4"/>
  <c r="F2324" i="4"/>
  <c r="G2324" i="4"/>
  <c r="C2325" i="4" l="1"/>
  <c r="D2325" i="4"/>
  <c r="E2325" i="4"/>
  <c r="F2325" i="4"/>
  <c r="G2325" i="4"/>
  <c r="B2326" i="4"/>
  <c r="C2326" i="4" l="1"/>
  <c r="D2326" i="4"/>
  <c r="E2326" i="4"/>
  <c r="F2326" i="4"/>
  <c r="G2326" i="4"/>
  <c r="B2327" i="4"/>
  <c r="F2327" i="4" l="1"/>
  <c r="G2327" i="4"/>
  <c r="B2328" i="4"/>
  <c r="C2327" i="4"/>
  <c r="D2327" i="4"/>
  <c r="E2327" i="4"/>
  <c r="C2328" i="4" l="1"/>
  <c r="D2328" i="4"/>
  <c r="E2328" i="4"/>
  <c r="F2328" i="4"/>
  <c r="G2328" i="4"/>
  <c r="B2329" i="4"/>
  <c r="C2329" i="4" l="1"/>
  <c r="D2329" i="4"/>
  <c r="E2329" i="4"/>
  <c r="F2329" i="4"/>
  <c r="G2329" i="4"/>
  <c r="B2330" i="4"/>
  <c r="D2330" i="4" l="1"/>
  <c r="E2330" i="4"/>
  <c r="F2330" i="4"/>
  <c r="G2330" i="4"/>
  <c r="B2331" i="4"/>
  <c r="C2330" i="4"/>
  <c r="C2331" i="4" l="1"/>
  <c r="D2331" i="4"/>
  <c r="E2331" i="4"/>
  <c r="F2331" i="4"/>
  <c r="G2331" i="4"/>
  <c r="B2332" i="4"/>
  <c r="B2333" i="4" l="1"/>
  <c r="C2332" i="4"/>
  <c r="D2332" i="4"/>
  <c r="E2332" i="4"/>
  <c r="G2332" i="4"/>
  <c r="F2332" i="4"/>
  <c r="C2333" i="4" l="1"/>
  <c r="D2333" i="4"/>
  <c r="E2333" i="4"/>
  <c r="F2333" i="4"/>
  <c r="G2333" i="4"/>
  <c r="B2334" i="4"/>
  <c r="C2334" i="4" l="1"/>
  <c r="D2334" i="4"/>
  <c r="E2334" i="4"/>
  <c r="F2334" i="4"/>
  <c r="G2334" i="4"/>
  <c r="B2335" i="4"/>
  <c r="F2335" i="4" l="1"/>
  <c r="G2335" i="4"/>
  <c r="B2336" i="4"/>
  <c r="C2335" i="4"/>
  <c r="D2335" i="4"/>
  <c r="E2335" i="4"/>
  <c r="C2336" i="4" l="1"/>
  <c r="D2336" i="4"/>
  <c r="E2336" i="4"/>
  <c r="F2336" i="4"/>
  <c r="G2336" i="4"/>
  <c r="B2337" i="4"/>
  <c r="C2337" i="4" l="1"/>
  <c r="D2337" i="4"/>
  <c r="E2337" i="4"/>
  <c r="F2337" i="4"/>
  <c r="G2337" i="4"/>
  <c r="B2338" i="4"/>
  <c r="D2338" i="4" l="1"/>
  <c r="E2338" i="4"/>
  <c r="F2338" i="4"/>
  <c r="G2338" i="4"/>
  <c r="B2339" i="4"/>
  <c r="C2338" i="4"/>
  <c r="C2339" i="4" l="1"/>
  <c r="D2339" i="4"/>
  <c r="E2339" i="4"/>
  <c r="F2339" i="4"/>
  <c r="G2339" i="4"/>
  <c r="B2340" i="4"/>
  <c r="B2341" i="4" l="1"/>
  <c r="C2340" i="4"/>
  <c r="D2340" i="4"/>
  <c r="E2340" i="4"/>
  <c r="F2340" i="4"/>
  <c r="G2340" i="4"/>
  <c r="C2341" i="4" l="1"/>
  <c r="D2341" i="4"/>
  <c r="E2341" i="4"/>
  <c r="F2341" i="4"/>
  <c r="G2341" i="4"/>
  <c r="B2342" i="4"/>
  <c r="C2342" i="4" l="1"/>
  <c r="D2342" i="4"/>
  <c r="E2342" i="4"/>
  <c r="F2342" i="4"/>
  <c r="G2342" i="4"/>
  <c r="B2343" i="4"/>
  <c r="F2343" i="4" l="1"/>
  <c r="G2343" i="4"/>
  <c r="B2344" i="4"/>
  <c r="C2343" i="4"/>
  <c r="D2343" i="4"/>
  <c r="E2343" i="4"/>
  <c r="C2344" i="4" l="1"/>
  <c r="D2344" i="4"/>
  <c r="E2344" i="4"/>
  <c r="F2344" i="4"/>
  <c r="G2344" i="4"/>
  <c r="B2345" i="4"/>
  <c r="C2345" i="4" l="1"/>
  <c r="D2345" i="4"/>
  <c r="E2345" i="4"/>
  <c r="F2345" i="4"/>
  <c r="G2345" i="4"/>
  <c r="B2346" i="4"/>
  <c r="D2346" i="4" l="1"/>
  <c r="E2346" i="4"/>
  <c r="F2346" i="4"/>
  <c r="G2346" i="4"/>
  <c r="B2347" i="4"/>
  <c r="C2346" i="4"/>
  <c r="C2347" i="4" l="1"/>
  <c r="D2347" i="4"/>
  <c r="E2347" i="4"/>
  <c r="F2347" i="4"/>
  <c r="G2347" i="4"/>
  <c r="B2348" i="4"/>
  <c r="B2349" i="4" l="1"/>
  <c r="C2348" i="4"/>
  <c r="D2348" i="4"/>
  <c r="E2348" i="4"/>
  <c r="F2348" i="4"/>
  <c r="G2348" i="4"/>
  <c r="C2349" i="4" l="1"/>
  <c r="D2349" i="4"/>
  <c r="E2349" i="4"/>
  <c r="F2349" i="4"/>
  <c r="G2349" i="4"/>
  <c r="B2350" i="4"/>
  <c r="C2350" i="4" l="1"/>
  <c r="D2350" i="4"/>
  <c r="E2350" i="4"/>
  <c r="F2350" i="4"/>
  <c r="G2350" i="4"/>
  <c r="B2351" i="4"/>
  <c r="F2351" i="4" l="1"/>
  <c r="G2351" i="4"/>
  <c r="B2352" i="4"/>
  <c r="C2351" i="4"/>
  <c r="D2351" i="4"/>
  <c r="E2351" i="4"/>
  <c r="C2352" i="4" l="1"/>
  <c r="D2352" i="4"/>
  <c r="E2352" i="4"/>
  <c r="F2352" i="4"/>
  <c r="G2352" i="4"/>
  <c r="B2353" i="4"/>
  <c r="C2353" i="4" l="1"/>
  <c r="D2353" i="4"/>
  <c r="E2353" i="4"/>
  <c r="F2353" i="4"/>
  <c r="G2353" i="4"/>
  <c r="B2354" i="4"/>
  <c r="D2354" i="4" l="1"/>
  <c r="E2354" i="4"/>
  <c r="F2354" i="4"/>
  <c r="G2354" i="4"/>
  <c r="B2355" i="4"/>
  <c r="C2354" i="4"/>
  <c r="C2355" i="4" l="1"/>
  <c r="D2355" i="4"/>
  <c r="E2355" i="4"/>
  <c r="F2355" i="4"/>
  <c r="G2355" i="4"/>
  <c r="B2356" i="4"/>
  <c r="B2357" i="4" l="1"/>
  <c r="C2356" i="4"/>
  <c r="D2356" i="4"/>
  <c r="E2356" i="4"/>
  <c r="F2356" i="4"/>
  <c r="G2356" i="4"/>
  <c r="C2357" i="4" l="1"/>
  <c r="D2357" i="4"/>
  <c r="E2357" i="4"/>
  <c r="F2357" i="4"/>
  <c r="G2357" i="4"/>
  <c r="B2358" i="4"/>
  <c r="C2358" i="4" l="1"/>
  <c r="D2358" i="4"/>
  <c r="E2358" i="4"/>
  <c r="F2358" i="4"/>
  <c r="G2358" i="4"/>
  <c r="B2359" i="4"/>
  <c r="F2359" i="4" l="1"/>
  <c r="G2359" i="4"/>
  <c r="B2360" i="4"/>
  <c r="C2359" i="4"/>
  <c r="D2359" i="4"/>
  <c r="E2359" i="4"/>
  <c r="C2360" i="4" l="1"/>
  <c r="D2360" i="4"/>
  <c r="E2360" i="4"/>
  <c r="F2360" i="4"/>
  <c r="G2360" i="4"/>
  <c r="B2361" i="4"/>
  <c r="C2361" i="4" l="1"/>
  <c r="D2361" i="4"/>
  <c r="E2361" i="4"/>
  <c r="F2361" i="4"/>
  <c r="G2361" i="4"/>
  <c r="B2362" i="4"/>
  <c r="D2362" i="4" l="1"/>
  <c r="E2362" i="4"/>
  <c r="F2362" i="4"/>
  <c r="G2362" i="4"/>
  <c r="B2363" i="4"/>
  <c r="C2362" i="4"/>
  <c r="C2363" i="4" l="1"/>
  <c r="D2363" i="4"/>
  <c r="E2363" i="4"/>
  <c r="F2363" i="4"/>
  <c r="G2363" i="4"/>
  <c r="B2364" i="4"/>
  <c r="B2365" i="4" l="1"/>
  <c r="C2364" i="4"/>
  <c r="D2364" i="4"/>
  <c r="E2364" i="4"/>
  <c r="F2364" i="4"/>
  <c r="G2364" i="4"/>
  <c r="C2365" i="4" l="1"/>
  <c r="D2365" i="4"/>
  <c r="E2365" i="4"/>
  <c r="F2365" i="4"/>
  <c r="G2365" i="4"/>
  <c r="B2366" i="4"/>
  <c r="C2366" i="4" l="1"/>
  <c r="D2366" i="4"/>
  <c r="E2366" i="4"/>
  <c r="F2366" i="4"/>
  <c r="G2366" i="4"/>
  <c r="B2367" i="4"/>
  <c r="F2367" i="4" l="1"/>
  <c r="G2367" i="4"/>
  <c r="B2368" i="4"/>
  <c r="C2367" i="4"/>
  <c r="D2367" i="4"/>
  <c r="E2367" i="4"/>
  <c r="C2368" i="4" l="1"/>
  <c r="D2368" i="4"/>
  <c r="E2368" i="4"/>
  <c r="F2368" i="4"/>
  <c r="G2368" i="4"/>
  <c r="B2369" i="4"/>
  <c r="C2369" i="4" l="1"/>
  <c r="D2369" i="4"/>
  <c r="E2369" i="4"/>
  <c r="F2369" i="4"/>
  <c r="G2369" i="4"/>
  <c r="B2370" i="4"/>
  <c r="D2370" i="4" l="1"/>
  <c r="E2370" i="4"/>
  <c r="F2370" i="4"/>
  <c r="G2370" i="4"/>
  <c r="B2371" i="4"/>
  <c r="C2370" i="4"/>
  <c r="C2371" i="4" l="1"/>
  <c r="D2371" i="4"/>
  <c r="E2371" i="4"/>
  <c r="F2371" i="4"/>
  <c r="G2371" i="4"/>
  <c r="B2372" i="4"/>
  <c r="B2373" i="4" l="1"/>
  <c r="C2372" i="4"/>
  <c r="D2372" i="4"/>
  <c r="E2372" i="4"/>
  <c r="F2372" i="4"/>
  <c r="G2372" i="4"/>
  <c r="C2373" i="4" l="1"/>
  <c r="D2373" i="4"/>
  <c r="E2373" i="4"/>
  <c r="F2373" i="4"/>
  <c r="G2373" i="4"/>
  <c r="B2374" i="4"/>
  <c r="C2374" i="4" l="1"/>
  <c r="D2374" i="4"/>
  <c r="E2374" i="4"/>
  <c r="F2374" i="4"/>
  <c r="G2374" i="4"/>
  <c r="B2375" i="4"/>
  <c r="F2375" i="4" l="1"/>
  <c r="G2375" i="4"/>
  <c r="B2376" i="4"/>
  <c r="C2375" i="4"/>
  <c r="D2375" i="4"/>
  <c r="E2375" i="4"/>
  <c r="C2376" i="4" l="1"/>
  <c r="D2376" i="4"/>
  <c r="E2376" i="4"/>
  <c r="F2376" i="4"/>
  <c r="G2376" i="4"/>
  <c r="B2377" i="4"/>
  <c r="C2377" i="4" l="1"/>
  <c r="D2377" i="4"/>
  <c r="E2377" i="4"/>
  <c r="F2377" i="4"/>
  <c r="G2377" i="4"/>
  <c r="B2378" i="4"/>
  <c r="D2378" i="4" l="1"/>
  <c r="E2378" i="4"/>
  <c r="F2378" i="4"/>
  <c r="G2378" i="4"/>
  <c r="B2379" i="4"/>
  <c r="C2378" i="4"/>
  <c r="C2379" i="4" l="1"/>
  <c r="D2379" i="4"/>
  <c r="E2379" i="4"/>
  <c r="F2379" i="4"/>
  <c r="G2379" i="4"/>
  <c r="B2380" i="4"/>
  <c r="B2381" i="4" l="1"/>
  <c r="C2380" i="4"/>
  <c r="D2380" i="4"/>
  <c r="E2380" i="4"/>
  <c r="F2380" i="4"/>
  <c r="G2380" i="4"/>
  <c r="C2381" i="4" l="1"/>
  <c r="D2381" i="4"/>
  <c r="E2381" i="4"/>
  <c r="F2381" i="4"/>
  <c r="G2381" i="4"/>
  <c r="B2382" i="4"/>
  <c r="C2382" i="4" l="1"/>
  <c r="D2382" i="4"/>
  <c r="E2382" i="4"/>
  <c r="F2382" i="4"/>
  <c r="G2382" i="4"/>
  <c r="B2383" i="4"/>
  <c r="F2383" i="4" l="1"/>
  <c r="G2383" i="4"/>
  <c r="B2384" i="4"/>
  <c r="C2383" i="4"/>
  <c r="D2383" i="4"/>
  <c r="E2383" i="4"/>
  <c r="C2384" i="4" l="1"/>
  <c r="D2384" i="4"/>
  <c r="E2384" i="4"/>
  <c r="F2384" i="4"/>
  <c r="G2384" i="4"/>
  <c r="B2385" i="4"/>
  <c r="C2385" i="4" l="1"/>
  <c r="D2385" i="4"/>
  <c r="E2385" i="4"/>
  <c r="F2385" i="4"/>
  <c r="G2385" i="4"/>
  <c r="B2386" i="4"/>
  <c r="D2386" i="4" l="1"/>
  <c r="E2386" i="4"/>
  <c r="F2386" i="4"/>
  <c r="G2386" i="4"/>
  <c r="B2387" i="4"/>
  <c r="C2386" i="4"/>
  <c r="C2387" i="4" l="1"/>
  <c r="D2387" i="4"/>
  <c r="E2387" i="4"/>
  <c r="F2387" i="4"/>
  <c r="G2387" i="4"/>
  <c r="B2388" i="4"/>
  <c r="B2389" i="4" l="1"/>
  <c r="C2388" i="4"/>
  <c r="D2388" i="4"/>
  <c r="E2388" i="4"/>
  <c r="F2388" i="4"/>
  <c r="G2388" i="4"/>
  <c r="C2389" i="4" l="1"/>
  <c r="D2389" i="4"/>
  <c r="E2389" i="4"/>
  <c r="F2389" i="4"/>
  <c r="G2389" i="4"/>
  <c r="B2390" i="4"/>
  <c r="C2390" i="4" l="1"/>
  <c r="D2390" i="4"/>
  <c r="E2390" i="4"/>
  <c r="F2390" i="4"/>
  <c r="G2390" i="4"/>
  <c r="B2391" i="4"/>
  <c r="F2391" i="4" l="1"/>
  <c r="G2391" i="4"/>
  <c r="B2392" i="4"/>
  <c r="C2391" i="4"/>
  <c r="D2391" i="4"/>
  <c r="E2391" i="4"/>
  <c r="C2392" i="4" l="1"/>
  <c r="D2392" i="4"/>
  <c r="E2392" i="4"/>
  <c r="F2392" i="4"/>
  <c r="G2392" i="4"/>
  <c r="B2393" i="4"/>
  <c r="C2393" i="4" l="1"/>
  <c r="D2393" i="4"/>
  <c r="E2393" i="4"/>
  <c r="F2393" i="4"/>
  <c r="G2393" i="4"/>
  <c r="B2394" i="4"/>
  <c r="D2394" i="4" l="1"/>
  <c r="E2394" i="4"/>
  <c r="F2394" i="4"/>
  <c r="G2394" i="4"/>
  <c r="B2395" i="4"/>
  <c r="C2394" i="4"/>
  <c r="C2395" i="4" l="1"/>
  <c r="D2395" i="4"/>
  <c r="E2395" i="4"/>
  <c r="F2395" i="4"/>
  <c r="G2395" i="4"/>
  <c r="B2396" i="4"/>
  <c r="B2397" i="4" l="1"/>
  <c r="C2396" i="4"/>
  <c r="D2396" i="4"/>
  <c r="E2396" i="4"/>
  <c r="G2396" i="4"/>
  <c r="F2396" i="4"/>
  <c r="C2397" i="4" l="1"/>
  <c r="D2397" i="4"/>
  <c r="E2397" i="4"/>
  <c r="F2397" i="4"/>
  <c r="G2397" i="4"/>
  <c r="B2398" i="4"/>
  <c r="C2398" i="4" l="1"/>
  <c r="D2398" i="4"/>
  <c r="E2398" i="4"/>
  <c r="F2398" i="4"/>
  <c r="G2398" i="4"/>
  <c r="B2399" i="4"/>
  <c r="F2399" i="4" l="1"/>
  <c r="G2399" i="4"/>
  <c r="B2400" i="4"/>
  <c r="C2399" i="4"/>
  <c r="D2399" i="4"/>
  <c r="E2399" i="4"/>
  <c r="C2400" i="4" l="1"/>
  <c r="D2400" i="4"/>
  <c r="E2400" i="4"/>
  <c r="F2400" i="4"/>
  <c r="G2400" i="4"/>
  <c r="B2401" i="4"/>
  <c r="C2401" i="4" l="1"/>
  <c r="D2401" i="4"/>
  <c r="E2401" i="4"/>
  <c r="F2401" i="4"/>
  <c r="G2401" i="4"/>
  <c r="B2402" i="4"/>
  <c r="D2402" i="4" l="1"/>
  <c r="E2402" i="4"/>
  <c r="F2402" i="4"/>
  <c r="G2402" i="4"/>
  <c r="B2403" i="4"/>
  <c r="C2402" i="4"/>
  <c r="C2403" i="4" l="1"/>
  <c r="D2403" i="4"/>
  <c r="E2403" i="4"/>
  <c r="F2403" i="4"/>
  <c r="G2403" i="4"/>
  <c r="B2404" i="4"/>
  <c r="B2405" i="4" l="1"/>
  <c r="C2404" i="4"/>
  <c r="D2404" i="4"/>
  <c r="E2404" i="4"/>
  <c r="F2404" i="4"/>
  <c r="G2404" i="4"/>
  <c r="C2405" i="4" l="1"/>
  <c r="D2405" i="4"/>
  <c r="E2405" i="4"/>
  <c r="F2405" i="4"/>
  <c r="G2405" i="4"/>
  <c r="B2406" i="4"/>
  <c r="C2406" i="4" l="1"/>
  <c r="D2406" i="4"/>
  <c r="E2406" i="4"/>
  <c r="G2406" i="4"/>
  <c r="B2407" i="4"/>
  <c r="F2406" i="4"/>
  <c r="F2407" i="4" l="1"/>
  <c r="G2407" i="4"/>
  <c r="B2408" i="4"/>
  <c r="C2407" i="4"/>
  <c r="D2407" i="4"/>
  <c r="E2407" i="4"/>
  <c r="C2408" i="4" l="1"/>
  <c r="D2408" i="4"/>
  <c r="E2408" i="4"/>
  <c r="F2408" i="4"/>
  <c r="G2408" i="4"/>
  <c r="B2409" i="4"/>
  <c r="C2409" i="4" l="1"/>
  <c r="E2409" i="4"/>
  <c r="F2409" i="4"/>
  <c r="G2409" i="4"/>
  <c r="D2409" i="4"/>
  <c r="B2410" i="4"/>
  <c r="D2410" i="4" l="1"/>
  <c r="E2410" i="4"/>
  <c r="F2410" i="4"/>
  <c r="G2410" i="4"/>
  <c r="B2411" i="4"/>
  <c r="C2410" i="4"/>
  <c r="C2411" i="4" l="1"/>
  <c r="D2411" i="4"/>
  <c r="E2411" i="4"/>
  <c r="F2411" i="4"/>
  <c r="G2411" i="4"/>
  <c r="B2412" i="4"/>
  <c r="B2413" i="4" l="1"/>
  <c r="C2412" i="4"/>
  <c r="D2412" i="4"/>
  <c r="E2412" i="4"/>
  <c r="G2412" i="4"/>
  <c r="F2412" i="4"/>
  <c r="C2413" i="4" l="1"/>
  <c r="D2413" i="4"/>
  <c r="E2413" i="4"/>
  <c r="F2413" i="4"/>
  <c r="G2413" i="4"/>
  <c r="B2414" i="4"/>
  <c r="C2414" i="4" l="1"/>
  <c r="D2414" i="4"/>
  <c r="E2414" i="4"/>
  <c r="G2414" i="4"/>
  <c r="B2415" i="4"/>
  <c r="F2414" i="4"/>
  <c r="F2415" i="4" l="1"/>
  <c r="G2415" i="4"/>
  <c r="B2416" i="4"/>
  <c r="C2415" i="4"/>
  <c r="D2415" i="4"/>
  <c r="E2415" i="4"/>
  <c r="C2416" i="4" l="1"/>
  <c r="D2416" i="4"/>
  <c r="E2416" i="4"/>
  <c r="F2416" i="4"/>
  <c r="G2416" i="4"/>
  <c r="B2417" i="4"/>
  <c r="C2417" i="4" l="1"/>
  <c r="E2417" i="4"/>
  <c r="F2417" i="4"/>
  <c r="G2417" i="4"/>
  <c r="D2417" i="4"/>
  <c r="B2418" i="4"/>
  <c r="D2418" i="4" l="1"/>
  <c r="E2418" i="4"/>
  <c r="F2418" i="4"/>
  <c r="G2418" i="4"/>
  <c r="B2419" i="4"/>
  <c r="C2418" i="4"/>
  <c r="C2419" i="4" l="1"/>
  <c r="D2419" i="4"/>
  <c r="F2419" i="4"/>
  <c r="G2419" i="4"/>
  <c r="E2419" i="4"/>
  <c r="B2420" i="4"/>
  <c r="B2421" i="4" l="1"/>
  <c r="C2420" i="4"/>
  <c r="D2420" i="4"/>
  <c r="E2420" i="4"/>
  <c r="F2420" i="4"/>
  <c r="G2420" i="4"/>
  <c r="C2421" i="4" l="1"/>
  <c r="D2421" i="4"/>
  <c r="E2421" i="4"/>
  <c r="F2421" i="4"/>
  <c r="G2421" i="4"/>
  <c r="B2422" i="4"/>
  <c r="D2422" i="4" l="1"/>
  <c r="E2422" i="4"/>
  <c r="G2422" i="4"/>
  <c r="B2423" i="4"/>
  <c r="C2422" i="4"/>
  <c r="F2422" i="4"/>
  <c r="F2423" i="4" l="1"/>
  <c r="G2423" i="4"/>
  <c r="B2424" i="4"/>
  <c r="C2423" i="4"/>
  <c r="D2423" i="4"/>
  <c r="E2423" i="4"/>
  <c r="C2424" i="4" l="1"/>
  <c r="D2424" i="4"/>
  <c r="E2424" i="4"/>
  <c r="F2424" i="4"/>
  <c r="B2425" i="4"/>
  <c r="G2424" i="4"/>
  <c r="C2425" i="4" l="1"/>
  <c r="E2425" i="4"/>
  <c r="F2425" i="4"/>
  <c r="G2425" i="4"/>
  <c r="B2426" i="4"/>
  <c r="D2425" i="4"/>
  <c r="D2426" i="4" l="1"/>
  <c r="E2426" i="4"/>
  <c r="F2426" i="4"/>
  <c r="G2426" i="4"/>
  <c r="B2427" i="4"/>
  <c r="C2426" i="4"/>
  <c r="C2427" i="4" l="1"/>
  <c r="D2427" i="4"/>
  <c r="F2427" i="4"/>
  <c r="G2427" i="4"/>
  <c r="E2427" i="4"/>
  <c r="B2428" i="4"/>
  <c r="B2429" i="4" l="1"/>
  <c r="C2428" i="4"/>
  <c r="D2428" i="4"/>
  <c r="E2428" i="4"/>
  <c r="F2428" i="4"/>
  <c r="G2428" i="4"/>
  <c r="C2429" i="4" l="1"/>
  <c r="D2429" i="4"/>
  <c r="E2429" i="4"/>
  <c r="F2429" i="4"/>
  <c r="G2429" i="4"/>
  <c r="B2430" i="4"/>
  <c r="D2430" i="4" l="1"/>
  <c r="E2430" i="4"/>
  <c r="G2430" i="4"/>
  <c r="B2431" i="4"/>
  <c r="C2430" i="4"/>
  <c r="F2430" i="4"/>
  <c r="F2431" i="4" l="1"/>
  <c r="G2431" i="4"/>
  <c r="B2432" i="4"/>
  <c r="C2431" i="4"/>
  <c r="D2431" i="4"/>
  <c r="E2431" i="4"/>
  <c r="C2432" i="4" l="1"/>
  <c r="D2432" i="4"/>
  <c r="E2432" i="4"/>
  <c r="F2432" i="4"/>
  <c r="B2433" i="4"/>
  <c r="G2432" i="4"/>
  <c r="C2433" i="4" l="1"/>
  <c r="E2433" i="4"/>
  <c r="F2433" i="4"/>
  <c r="G2433" i="4"/>
  <c r="D2433" i="4"/>
  <c r="B2434" i="4"/>
  <c r="D2434" i="4" l="1"/>
  <c r="E2434" i="4"/>
  <c r="F2434" i="4"/>
  <c r="G2434" i="4"/>
  <c r="B2435" i="4"/>
  <c r="C2434" i="4"/>
  <c r="C2435" i="4" l="1"/>
  <c r="D2435" i="4"/>
  <c r="F2435" i="4"/>
  <c r="G2435" i="4"/>
  <c r="E2435" i="4"/>
  <c r="B2436" i="4"/>
  <c r="B2437" i="4" l="1"/>
  <c r="C2436" i="4"/>
  <c r="D2436" i="4"/>
  <c r="E2436" i="4"/>
  <c r="F2436" i="4"/>
  <c r="G2436" i="4"/>
  <c r="C2437" i="4" l="1"/>
  <c r="D2437" i="4"/>
  <c r="E2437" i="4"/>
  <c r="F2437" i="4"/>
  <c r="G2437" i="4"/>
  <c r="B2438" i="4"/>
  <c r="D2438" i="4" l="1"/>
  <c r="E2438" i="4"/>
  <c r="G2438" i="4"/>
  <c r="B2439" i="4"/>
  <c r="C2438" i="4"/>
  <c r="F2438" i="4"/>
  <c r="F2439" i="4" l="1"/>
  <c r="G2439" i="4"/>
  <c r="B2440" i="4"/>
  <c r="C2439" i="4"/>
  <c r="D2439" i="4"/>
  <c r="E2439" i="4"/>
  <c r="C2440" i="4" l="1"/>
  <c r="D2440" i="4"/>
  <c r="E2440" i="4"/>
  <c r="F2440" i="4"/>
  <c r="B2441" i="4"/>
  <c r="G2440" i="4"/>
  <c r="C2441" i="4" l="1"/>
  <c r="E2441" i="4"/>
  <c r="F2441" i="4"/>
  <c r="D2441" i="4"/>
  <c r="G2441" i="4"/>
  <c r="B2442" i="4"/>
  <c r="D2442" i="4" l="1"/>
  <c r="E2442" i="4"/>
  <c r="F2442" i="4"/>
  <c r="G2442" i="4"/>
  <c r="B2443" i="4"/>
  <c r="C2442" i="4"/>
  <c r="C2443" i="4" l="1"/>
  <c r="D2443" i="4"/>
  <c r="F2443" i="4"/>
  <c r="G2443" i="4"/>
  <c r="E2443" i="4"/>
  <c r="B2444" i="4"/>
  <c r="B2445" i="4" l="1"/>
  <c r="C2444" i="4"/>
  <c r="D2444" i="4"/>
  <c r="G2444" i="4"/>
  <c r="F2444" i="4"/>
  <c r="E2444" i="4"/>
  <c r="C2445" i="4" l="1"/>
  <c r="D2445" i="4"/>
  <c r="E2445" i="4"/>
  <c r="F2445" i="4"/>
  <c r="G2445" i="4"/>
  <c r="B2446" i="4"/>
  <c r="D2446" i="4" l="1"/>
  <c r="E2446" i="4"/>
  <c r="G2446" i="4"/>
  <c r="B2447" i="4"/>
  <c r="C2446" i="4"/>
  <c r="F2446" i="4"/>
  <c r="F2447" i="4" l="1"/>
  <c r="G2447" i="4"/>
  <c r="B2448" i="4"/>
  <c r="C2447" i="4"/>
  <c r="D2447" i="4"/>
  <c r="E2447" i="4"/>
  <c r="C2448" i="4" l="1"/>
  <c r="D2448" i="4"/>
  <c r="E2448" i="4"/>
  <c r="F2448" i="4"/>
  <c r="B2449" i="4"/>
  <c r="G2448" i="4"/>
  <c r="C2449" i="4" l="1"/>
  <c r="F2449" i="4"/>
  <c r="D2449" i="4"/>
  <c r="E2449" i="4"/>
  <c r="G2449" i="4"/>
  <c r="B2450" i="4"/>
  <c r="D2450" i="4" l="1"/>
  <c r="E2450" i="4"/>
  <c r="F2450" i="4"/>
  <c r="G2450" i="4"/>
  <c r="B2451" i="4"/>
  <c r="C2450" i="4"/>
  <c r="C2451" i="4" l="1"/>
  <c r="D2451" i="4"/>
  <c r="F2451" i="4"/>
  <c r="G2451" i="4"/>
  <c r="E2451" i="4"/>
  <c r="B2452" i="4"/>
  <c r="B2453" i="4" l="1"/>
  <c r="D2452" i="4"/>
  <c r="F2452" i="4"/>
  <c r="G2452" i="4"/>
  <c r="E2452" i="4"/>
  <c r="C2452" i="4"/>
  <c r="C2453" i="4" l="1"/>
  <c r="D2453" i="4"/>
  <c r="E2453" i="4"/>
  <c r="F2453" i="4"/>
  <c r="G2453" i="4"/>
  <c r="B2454" i="4"/>
  <c r="D2454" i="4" l="1"/>
  <c r="E2454" i="4"/>
  <c r="B2455" i="4"/>
  <c r="C2454" i="4"/>
  <c r="F2454" i="4"/>
  <c r="G2454" i="4"/>
  <c r="F2455" i="4" l="1"/>
  <c r="G2455" i="4"/>
  <c r="B2456" i="4"/>
  <c r="C2455" i="4"/>
  <c r="D2455" i="4"/>
  <c r="E2455" i="4"/>
  <c r="C2456" i="4" l="1"/>
  <c r="D2456" i="4"/>
  <c r="E2456" i="4"/>
  <c r="F2456" i="4"/>
  <c r="B2457" i="4"/>
  <c r="G2456" i="4"/>
  <c r="F2457" i="4" l="1"/>
  <c r="C2457" i="4"/>
  <c r="D2457" i="4"/>
  <c r="E2457" i="4"/>
  <c r="G2457" i="4"/>
  <c r="B2458" i="4"/>
  <c r="D2458" i="4" l="1"/>
  <c r="E2458" i="4"/>
  <c r="F2458" i="4"/>
  <c r="G2458" i="4"/>
  <c r="B2459" i="4"/>
  <c r="C2458" i="4"/>
  <c r="C2459" i="4" l="1"/>
  <c r="D2459" i="4"/>
  <c r="F2459" i="4"/>
  <c r="G2459" i="4"/>
  <c r="B2460" i="4"/>
  <c r="E2459" i="4"/>
  <c r="B2461" i="4" l="1"/>
  <c r="C2460" i="4"/>
  <c r="D2460" i="4"/>
  <c r="E2460" i="4"/>
  <c r="F2460" i="4"/>
  <c r="G2460" i="4"/>
  <c r="C2461" i="4" l="1"/>
  <c r="D2461" i="4"/>
  <c r="E2461" i="4"/>
  <c r="F2461" i="4"/>
  <c r="G2461" i="4"/>
  <c r="B2462" i="4"/>
  <c r="D2462" i="4" l="1"/>
  <c r="C2462" i="4"/>
  <c r="E2462" i="4"/>
  <c r="F2462" i="4"/>
  <c r="G2462" i="4"/>
  <c r="B2463" i="4"/>
  <c r="F2463" i="4" l="1"/>
  <c r="G2463" i="4"/>
  <c r="B2464" i="4"/>
  <c r="E2463" i="4"/>
  <c r="C2463" i="4"/>
  <c r="D2463" i="4"/>
  <c r="C2464" i="4" l="1"/>
  <c r="D2464" i="4"/>
  <c r="E2464" i="4"/>
  <c r="F2464" i="4"/>
  <c r="B2465" i="4"/>
  <c r="G2464" i="4"/>
  <c r="C2465" i="4" l="1"/>
  <c r="D2465" i="4"/>
  <c r="E2465" i="4"/>
  <c r="F2465" i="4"/>
  <c r="G2465" i="4"/>
  <c r="B2466" i="4"/>
  <c r="C2466" i="4" l="1"/>
  <c r="D2466" i="4"/>
  <c r="E2466" i="4"/>
  <c r="F2466" i="4"/>
  <c r="G2466" i="4"/>
  <c r="B2467" i="4"/>
  <c r="G2467" i="4" l="1"/>
  <c r="B2468" i="4"/>
  <c r="F2467" i="4"/>
  <c r="C2467" i="4"/>
  <c r="D2467" i="4"/>
  <c r="E2467" i="4"/>
  <c r="C2468" i="4" l="1"/>
  <c r="D2468" i="4"/>
  <c r="E2468" i="4"/>
  <c r="F2468" i="4"/>
  <c r="G2468" i="4"/>
  <c r="B2469" i="4"/>
  <c r="C2469" i="4" l="1"/>
  <c r="D2469" i="4"/>
  <c r="E2469" i="4"/>
  <c r="F2469" i="4"/>
  <c r="G2469" i="4"/>
  <c r="B2470" i="4"/>
  <c r="E2470" i="4" l="1"/>
  <c r="F2470" i="4"/>
  <c r="G2470" i="4"/>
  <c r="B2471" i="4"/>
  <c r="C2470" i="4"/>
  <c r="D2470" i="4"/>
  <c r="C2471" i="4" l="1"/>
  <c r="D2471" i="4"/>
  <c r="E2471" i="4"/>
  <c r="F2471" i="4"/>
  <c r="G2471" i="4"/>
  <c r="B2472" i="4"/>
  <c r="G2472" i="4" l="1"/>
  <c r="B2473" i="4"/>
  <c r="C2472" i="4"/>
  <c r="D2472" i="4"/>
  <c r="E2472" i="4"/>
  <c r="F2472" i="4"/>
  <c r="C2473" i="4" l="1"/>
  <c r="D2473" i="4"/>
  <c r="E2473" i="4"/>
  <c r="F2473" i="4"/>
  <c r="G2473" i="4"/>
  <c r="B2474" i="4"/>
  <c r="C2474" i="4" l="1"/>
  <c r="D2474" i="4"/>
  <c r="E2474" i="4"/>
  <c r="F2474" i="4"/>
  <c r="G2474" i="4"/>
  <c r="B2475" i="4"/>
  <c r="G2475" i="4" l="1"/>
  <c r="B2476" i="4"/>
  <c r="F2475" i="4"/>
  <c r="E2475" i="4"/>
  <c r="C2475" i="4"/>
  <c r="D2475" i="4"/>
  <c r="C2476" i="4" l="1"/>
  <c r="D2476" i="4"/>
  <c r="E2476" i="4"/>
  <c r="F2476" i="4"/>
  <c r="G2476" i="4"/>
  <c r="B2477" i="4"/>
  <c r="C2477" i="4" l="1"/>
  <c r="D2477" i="4"/>
  <c r="E2477" i="4"/>
  <c r="F2477" i="4"/>
  <c r="G2477" i="4"/>
  <c r="B2478" i="4"/>
  <c r="E2478" i="4" l="1"/>
  <c r="F2478" i="4"/>
  <c r="G2478" i="4"/>
  <c r="B2479" i="4"/>
  <c r="D2478" i="4"/>
  <c r="C2478" i="4"/>
  <c r="C2479" i="4" l="1"/>
  <c r="D2479" i="4"/>
  <c r="E2479" i="4"/>
  <c r="F2479" i="4"/>
  <c r="G2479" i="4"/>
  <c r="B2480" i="4"/>
  <c r="B2481" i="4" l="1"/>
  <c r="C2480" i="4"/>
  <c r="D2480" i="4"/>
  <c r="E2480" i="4"/>
  <c r="G2480" i="4"/>
  <c r="F2480" i="4"/>
  <c r="C2481" i="4" l="1"/>
  <c r="D2481" i="4"/>
  <c r="E2481" i="4"/>
  <c r="F2481" i="4"/>
  <c r="G2481" i="4"/>
  <c r="B2482" i="4"/>
  <c r="C2482" i="4" l="1"/>
  <c r="D2482" i="4"/>
  <c r="E2482" i="4"/>
  <c r="F2482" i="4"/>
  <c r="G2482" i="4"/>
  <c r="B2483" i="4"/>
  <c r="G2483" i="4" l="1"/>
  <c r="B2484" i="4"/>
  <c r="E2483" i="4"/>
  <c r="F2483" i="4"/>
  <c r="C2483" i="4"/>
  <c r="D2483" i="4"/>
  <c r="C2484" i="4" l="1"/>
  <c r="D2484" i="4"/>
  <c r="E2484" i="4"/>
  <c r="F2484" i="4"/>
  <c r="G2484" i="4"/>
  <c r="B2485" i="4"/>
  <c r="C2485" i="4" l="1"/>
  <c r="D2485" i="4"/>
  <c r="E2485" i="4"/>
  <c r="F2485" i="4"/>
  <c r="G2485" i="4"/>
  <c r="B2486" i="4"/>
  <c r="E2486" i="4" l="1"/>
  <c r="F2486" i="4"/>
  <c r="G2486" i="4"/>
  <c r="B2487" i="4"/>
  <c r="C2486" i="4"/>
  <c r="D2486" i="4"/>
  <c r="C2487" i="4" l="1"/>
  <c r="D2487" i="4"/>
  <c r="E2487" i="4"/>
  <c r="F2487" i="4"/>
  <c r="G2487" i="4"/>
  <c r="B2488" i="4"/>
  <c r="B2489" i="4" l="1"/>
  <c r="C2488" i="4"/>
  <c r="D2488" i="4"/>
  <c r="G2488" i="4"/>
  <c r="E2488" i="4"/>
  <c r="F2488" i="4"/>
  <c r="C2489" i="4" l="1"/>
  <c r="D2489" i="4"/>
  <c r="E2489" i="4"/>
  <c r="F2489" i="4"/>
  <c r="G2489" i="4"/>
  <c r="B2490" i="4"/>
  <c r="C2490" i="4" l="1"/>
  <c r="D2490" i="4"/>
  <c r="E2490" i="4"/>
  <c r="F2490" i="4"/>
  <c r="G2490" i="4"/>
  <c r="B2491" i="4"/>
  <c r="G2491" i="4" l="1"/>
  <c r="B2492" i="4"/>
  <c r="E2491" i="4"/>
  <c r="F2491" i="4"/>
  <c r="C2491" i="4"/>
  <c r="D2491" i="4"/>
  <c r="C2492" i="4" l="1"/>
  <c r="D2492" i="4"/>
  <c r="E2492" i="4"/>
  <c r="F2492" i="4"/>
  <c r="G2492" i="4"/>
  <c r="B2493" i="4"/>
  <c r="C2493" i="4" l="1"/>
  <c r="D2493" i="4"/>
  <c r="E2493" i="4"/>
  <c r="F2493" i="4"/>
  <c r="G2493" i="4"/>
  <c r="B2494" i="4"/>
  <c r="E2494" i="4" l="1"/>
  <c r="F2494" i="4"/>
  <c r="G2494" i="4"/>
  <c r="B2495" i="4"/>
  <c r="C2494" i="4"/>
  <c r="D2494" i="4"/>
  <c r="C2495" i="4" l="1"/>
  <c r="D2495" i="4"/>
  <c r="E2495" i="4"/>
  <c r="F2495" i="4"/>
  <c r="G2495" i="4"/>
  <c r="B2496" i="4"/>
  <c r="G2496" i="4" l="1"/>
  <c r="B2497" i="4"/>
  <c r="C2496" i="4"/>
  <c r="D2496" i="4"/>
  <c r="E2496" i="4"/>
  <c r="F2496" i="4"/>
  <c r="C2497" i="4" l="1"/>
  <c r="D2497" i="4"/>
  <c r="E2497" i="4"/>
  <c r="F2497" i="4"/>
  <c r="G2497" i="4"/>
  <c r="B2498" i="4"/>
  <c r="C2498" i="4" l="1"/>
  <c r="D2498" i="4"/>
  <c r="E2498" i="4"/>
  <c r="F2498" i="4"/>
  <c r="G2498" i="4"/>
  <c r="B2499" i="4"/>
  <c r="G2499" i="4" l="1"/>
  <c r="B2500" i="4"/>
  <c r="F2499" i="4"/>
  <c r="E2499" i="4"/>
  <c r="C2499" i="4"/>
  <c r="D2499" i="4"/>
  <c r="C2500" i="4" l="1"/>
  <c r="D2500" i="4"/>
  <c r="E2500" i="4"/>
  <c r="F2500" i="4"/>
  <c r="G2500" i="4"/>
  <c r="B2501" i="4"/>
  <c r="C2501" i="4" l="1"/>
  <c r="D2501" i="4"/>
  <c r="E2501" i="4"/>
  <c r="F2501" i="4"/>
  <c r="G2501" i="4"/>
  <c r="B2502" i="4"/>
  <c r="E2502" i="4" l="1"/>
  <c r="F2502" i="4"/>
  <c r="G2502" i="4"/>
  <c r="D2502" i="4"/>
  <c r="B2503" i="4"/>
  <c r="C2502" i="4"/>
  <c r="C2503" i="4" l="1"/>
  <c r="D2503" i="4"/>
  <c r="E2503" i="4"/>
  <c r="F2503" i="4"/>
  <c r="G2503" i="4"/>
  <c r="B2504" i="4"/>
  <c r="C2504" i="4" l="1"/>
  <c r="D2504" i="4"/>
  <c r="B2505" i="4"/>
  <c r="E2504" i="4"/>
  <c r="F2504" i="4"/>
  <c r="G2504" i="4"/>
  <c r="C2505" i="4" l="1"/>
  <c r="D2505" i="4"/>
  <c r="E2505" i="4"/>
  <c r="F2505" i="4"/>
  <c r="G2505" i="4"/>
  <c r="B2506" i="4"/>
  <c r="C2506" i="4" l="1"/>
  <c r="D2506" i="4"/>
  <c r="E2506" i="4"/>
  <c r="F2506" i="4"/>
  <c r="G2506" i="4"/>
  <c r="B2507" i="4"/>
  <c r="G2507" i="4" l="1"/>
  <c r="B2508" i="4"/>
  <c r="F2507" i="4"/>
  <c r="E2507" i="4"/>
  <c r="C2507" i="4"/>
  <c r="D2507" i="4"/>
  <c r="C2508" i="4" l="1"/>
  <c r="D2508" i="4"/>
  <c r="E2508" i="4"/>
  <c r="F2508" i="4"/>
  <c r="G2508" i="4"/>
  <c r="B2509" i="4"/>
  <c r="C2509" i="4" l="1"/>
  <c r="D2509" i="4"/>
  <c r="E2509" i="4"/>
  <c r="F2509" i="4"/>
  <c r="G2509" i="4"/>
  <c r="B2510" i="4"/>
  <c r="E2510" i="4" l="1"/>
  <c r="F2510" i="4"/>
  <c r="D2510" i="4"/>
  <c r="G2510" i="4"/>
  <c r="B2511" i="4"/>
  <c r="C2510" i="4"/>
  <c r="C2511" i="4" l="1"/>
  <c r="D2511" i="4"/>
  <c r="E2511" i="4"/>
  <c r="F2511" i="4"/>
  <c r="G2511" i="4"/>
  <c r="B2512" i="4"/>
  <c r="B2513" i="4" l="1"/>
  <c r="C2512" i="4"/>
  <c r="D2512" i="4"/>
  <c r="E2512" i="4"/>
  <c r="G2512" i="4"/>
  <c r="F2512" i="4"/>
  <c r="C2513" i="4" l="1"/>
  <c r="D2513" i="4"/>
  <c r="E2513" i="4"/>
  <c r="F2513" i="4"/>
  <c r="G2513" i="4"/>
  <c r="B2514" i="4"/>
  <c r="C2514" i="4" l="1"/>
  <c r="D2514" i="4"/>
  <c r="E2514" i="4"/>
  <c r="F2514" i="4"/>
  <c r="G2514" i="4"/>
  <c r="B2515" i="4"/>
  <c r="G2515" i="4" l="1"/>
  <c r="B2516" i="4"/>
  <c r="E2515" i="4"/>
  <c r="F2515" i="4"/>
  <c r="C2515" i="4"/>
  <c r="D2515" i="4"/>
  <c r="C2516" i="4" l="1"/>
  <c r="D2516" i="4"/>
  <c r="E2516" i="4"/>
  <c r="F2516" i="4"/>
  <c r="G2516" i="4"/>
  <c r="B2517" i="4"/>
  <c r="C2517" i="4" l="1"/>
  <c r="D2517" i="4"/>
  <c r="E2517" i="4"/>
  <c r="F2517" i="4"/>
  <c r="G2517" i="4"/>
  <c r="B2518" i="4"/>
  <c r="E2518" i="4" l="1"/>
  <c r="F2518" i="4"/>
  <c r="G2518" i="4"/>
  <c r="C2518" i="4"/>
  <c r="B2519" i="4"/>
  <c r="D2518" i="4"/>
  <c r="C2519" i="4" l="1"/>
  <c r="D2519" i="4"/>
  <c r="E2519" i="4"/>
  <c r="F2519" i="4"/>
  <c r="G2519" i="4"/>
  <c r="B2520" i="4"/>
  <c r="B2521" i="4" l="1"/>
  <c r="C2520" i="4"/>
  <c r="D2520" i="4"/>
  <c r="E2520" i="4"/>
  <c r="F2520" i="4"/>
  <c r="G2520" i="4"/>
  <c r="C2521" i="4" l="1"/>
  <c r="D2521" i="4"/>
  <c r="E2521" i="4"/>
  <c r="F2521" i="4"/>
  <c r="G2521" i="4"/>
  <c r="B2522" i="4"/>
  <c r="C2522" i="4" l="1"/>
  <c r="D2522" i="4"/>
  <c r="E2522" i="4"/>
  <c r="F2522" i="4"/>
  <c r="G2522" i="4"/>
  <c r="B2523" i="4"/>
  <c r="G2523" i="4" l="1"/>
  <c r="B2524" i="4"/>
  <c r="F2523" i="4"/>
  <c r="E2523" i="4"/>
  <c r="C2523" i="4"/>
  <c r="D2523" i="4"/>
  <c r="C2524" i="4" l="1"/>
  <c r="D2524" i="4"/>
  <c r="E2524" i="4"/>
  <c r="F2524" i="4"/>
  <c r="G2524" i="4"/>
  <c r="B2525" i="4"/>
  <c r="C2525" i="4" l="1"/>
  <c r="D2525" i="4"/>
  <c r="E2525" i="4"/>
  <c r="F2525" i="4"/>
  <c r="G2525" i="4"/>
  <c r="B2526" i="4"/>
  <c r="E2526" i="4" l="1"/>
  <c r="F2526" i="4"/>
  <c r="G2526" i="4"/>
  <c r="B2527" i="4"/>
  <c r="D2526" i="4"/>
  <c r="C2526" i="4"/>
  <c r="C2527" i="4" l="1"/>
  <c r="D2527" i="4"/>
  <c r="E2527" i="4"/>
  <c r="F2527" i="4"/>
  <c r="G2527" i="4"/>
  <c r="B2528" i="4"/>
  <c r="G2528" i="4" l="1"/>
  <c r="B2529" i="4"/>
  <c r="C2528" i="4"/>
  <c r="D2528" i="4"/>
  <c r="E2528" i="4"/>
  <c r="F2528" i="4"/>
  <c r="C2529" i="4" l="1"/>
  <c r="D2529" i="4"/>
  <c r="E2529" i="4"/>
  <c r="F2529" i="4"/>
  <c r="G2529" i="4"/>
  <c r="B2530" i="4"/>
  <c r="C2530" i="4" l="1"/>
  <c r="D2530" i="4"/>
  <c r="E2530" i="4"/>
  <c r="F2530" i="4"/>
  <c r="G2530" i="4"/>
  <c r="B2531" i="4"/>
  <c r="G2531" i="4" l="1"/>
  <c r="B2532" i="4"/>
  <c r="E2531" i="4"/>
  <c r="F2531" i="4"/>
  <c r="C2531" i="4"/>
  <c r="D2531" i="4"/>
  <c r="C2532" i="4" l="1"/>
  <c r="D2532" i="4"/>
  <c r="E2532" i="4"/>
  <c r="F2532" i="4"/>
  <c r="G2532" i="4"/>
  <c r="B2533" i="4"/>
  <c r="C2533" i="4" l="1"/>
  <c r="D2533" i="4"/>
  <c r="E2533" i="4"/>
  <c r="F2533" i="4"/>
  <c r="G2533" i="4"/>
  <c r="B2534" i="4"/>
  <c r="E2534" i="4" l="1"/>
  <c r="F2534" i="4"/>
  <c r="G2534" i="4"/>
  <c r="B2535" i="4"/>
  <c r="D2534" i="4"/>
  <c r="C2534" i="4"/>
  <c r="C2535" i="4" l="1"/>
  <c r="D2535" i="4"/>
  <c r="E2535" i="4"/>
  <c r="F2535" i="4"/>
  <c r="G2535" i="4"/>
  <c r="B2536" i="4"/>
  <c r="B2537" i="4" l="1"/>
  <c r="C2536" i="4"/>
  <c r="D2536" i="4"/>
  <c r="E2536" i="4"/>
  <c r="G2536" i="4"/>
  <c r="F2536" i="4"/>
  <c r="C2537" i="4" l="1"/>
  <c r="D2537" i="4"/>
  <c r="E2537" i="4"/>
  <c r="F2537" i="4"/>
  <c r="G2537" i="4"/>
  <c r="B2538" i="4"/>
  <c r="C2538" i="4" l="1"/>
  <c r="D2538" i="4"/>
  <c r="E2538" i="4"/>
  <c r="F2538" i="4"/>
  <c r="G2538" i="4"/>
  <c r="B2539" i="4"/>
  <c r="G2539" i="4" l="1"/>
  <c r="F2539" i="4"/>
  <c r="B2540" i="4"/>
  <c r="E2539" i="4"/>
  <c r="C2539" i="4"/>
  <c r="D2539" i="4"/>
  <c r="C2540" i="4" l="1"/>
  <c r="D2540" i="4"/>
  <c r="E2540" i="4"/>
  <c r="F2540" i="4"/>
  <c r="G2540" i="4"/>
  <c r="B2541" i="4"/>
  <c r="C2541" i="4" l="1"/>
  <c r="D2541" i="4"/>
  <c r="E2541" i="4"/>
  <c r="F2541" i="4"/>
  <c r="G2541" i="4"/>
  <c r="B2542" i="4"/>
  <c r="E2542" i="4" l="1"/>
  <c r="F2542" i="4"/>
  <c r="G2542" i="4"/>
  <c r="B2543" i="4"/>
  <c r="D2542" i="4"/>
  <c r="C2542" i="4"/>
  <c r="C2543" i="4" l="1"/>
  <c r="D2543" i="4"/>
  <c r="E2543" i="4"/>
  <c r="F2543" i="4"/>
  <c r="G2543" i="4"/>
  <c r="B2544" i="4"/>
  <c r="G2544" i="4" l="1"/>
  <c r="C2544" i="4"/>
  <c r="D2544" i="4"/>
  <c r="E2544" i="4"/>
  <c r="F2544" i="4"/>
  <c r="B2545" i="4"/>
  <c r="C2545" i="4" l="1"/>
  <c r="D2545" i="4"/>
  <c r="E2545" i="4"/>
  <c r="F2545" i="4"/>
  <c r="G2545" i="4"/>
  <c r="B2546" i="4"/>
  <c r="C2546" i="4" l="1"/>
  <c r="D2546" i="4"/>
  <c r="E2546" i="4"/>
  <c r="F2546" i="4"/>
  <c r="G2546" i="4"/>
  <c r="B2547" i="4"/>
  <c r="G2547" i="4" l="1"/>
  <c r="B2548" i="4"/>
  <c r="F2547" i="4"/>
  <c r="E2547" i="4"/>
  <c r="C2547" i="4"/>
  <c r="D2547" i="4"/>
  <c r="C2548" i="4" l="1"/>
  <c r="D2548" i="4"/>
  <c r="E2548" i="4"/>
  <c r="F2548" i="4"/>
  <c r="G2548" i="4"/>
  <c r="B2549" i="4"/>
  <c r="C2549" i="4" l="1"/>
  <c r="D2549" i="4"/>
  <c r="E2549" i="4"/>
  <c r="F2549" i="4"/>
  <c r="G2549" i="4"/>
  <c r="B2550" i="4"/>
  <c r="E2550" i="4" l="1"/>
  <c r="F2550" i="4"/>
  <c r="G2550" i="4"/>
  <c r="B2551" i="4"/>
  <c r="C2550" i="4"/>
  <c r="D2550" i="4"/>
  <c r="C2551" i="4" l="1"/>
  <c r="D2551" i="4"/>
  <c r="E2551" i="4"/>
  <c r="F2551" i="4"/>
  <c r="G2551" i="4"/>
  <c r="B2552" i="4"/>
  <c r="B2553" i="4" l="1"/>
  <c r="C2552" i="4"/>
  <c r="D2552" i="4"/>
  <c r="E2552" i="4"/>
  <c r="G2552" i="4"/>
  <c r="F2552" i="4"/>
  <c r="C2553" i="4" l="1"/>
  <c r="D2553" i="4"/>
  <c r="E2553" i="4"/>
  <c r="F2553" i="4"/>
  <c r="G2553" i="4"/>
  <c r="B2554" i="4"/>
  <c r="C2554" i="4" l="1"/>
  <c r="D2554" i="4"/>
  <c r="E2554" i="4"/>
  <c r="F2554" i="4"/>
  <c r="G2554" i="4"/>
  <c r="B2555" i="4"/>
  <c r="G2555" i="4" l="1"/>
  <c r="B2556" i="4"/>
  <c r="F2555" i="4"/>
  <c r="E2555" i="4"/>
  <c r="C2555" i="4"/>
  <c r="D2555" i="4"/>
  <c r="C2556" i="4" l="1"/>
  <c r="D2556" i="4"/>
  <c r="E2556" i="4"/>
  <c r="F2556" i="4"/>
  <c r="G2556" i="4"/>
  <c r="B2557" i="4"/>
  <c r="C2557" i="4" l="1"/>
  <c r="D2557" i="4"/>
  <c r="E2557" i="4"/>
  <c r="F2557" i="4"/>
  <c r="G2557" i="4"/>
  <c r="B2558" i="4"/>
  <c r="E2558" i="4" l="1"/>
  <c r="F2558" i="4"/>
  <c r="C2558" i="4"/>
  <c r="G2558" i="4"/>
  <c r="B2559" i="4"/>
  <c r="D2558" i="4"/>
  <c r="C2559" i="4" l="1"/>
  <c r="D2559" i="4"/>
  <c r="E2559" i="4"/>
  <c r="F2559" i="4"/>
  <c r="G2559" i="4"/>
  <c r="B2560" i="4"/>
  <c r="B2561" i="4" l="1"/>
  <c r="C2560" i="4"/>
  <c r="D2560" i="4"/>
  <c r="E2560" i="4"/>
  <c r="F2560" i="4"/>
  <c r="G2560" i="4"/>
  <c r="C2561" i="4" l="1"/>
  <c r="D2561" i="4"/>
  <c r="E2561" i="4"/>
  <c r="F2561" i="4"/>
  <c r="G2561" i="4"/>
  <c r="B2562" i="4"/>
  <c r="C2562" i="4" l="1"/>
  <c r="D2562" i="4"/>
  <c r="E2562" i="4"/>
  <c r="F2562" i="4"/>
  <c r="G2562" i="4"/>
  <c r="B2563" i="4"/>
  <c r="G2563" i="4" l="1"/>
  <c r="B2564" i="4"/>
  <c r="E2563" i="4"/>
  <c r="F2563" i="4"/>
  <c r="C2563" i="4"/>
  <c r="D2563" i="4"/>
  <c r="C2564" i="4" l="1"/>
  <c r="D2564" i="4"/>
  <c r="E2564" i="4"/>
  <c r="F2564" i="4"/>
  <c r="G256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 Bradshaw</author>
  </authors>
  <commentList>
    <comment ref="U7" authorId="0" shapeId="0" xr:uid="{FF9816D8-8CCD-41EA-8FC0-2D2B0704A7D5}">
      <text>
        <r>
          <rPr>
            <b/>
            <sz val="9"/>
            <color indexed="81"/>
            <rFont val="Tahoma"/>
            <family val="2"/>
          </rPr>
          <t>Sam Bradshaw:</t>
        </r>
        <r>
          <rPr>
            <sz val="9"/>
            <color indexed="81"/>
            <rFont val="Tahoma"/>
            <family val="2"/>
          </rPr>
          <t xml:space="preserve">
Lotteries &amp; Trade Promotions</t>
        </r>
      </text>
    </comment>
    <comment ref="U11" authorId="0" shapeId="0" xr:uid="{4A8E1CA4-8850-44CF-BDFA-018DFDDDEF0B}">
      <text>
        <r>
          <rPr>
            <b/>
            <sz val="9"/>
            <color indexed="81"/>
            <rFont val="Tahoma"/>
            <family val="2"/>
          </rPr>
          <t>Sam Bradshaw:</t>
        </r>
        <r>
          <rPr>
            <sz val="9"/>
            <color indexed="81"/>
            <rFont val="Tahoma"/>
            <family val="2"/>
          </rPr>
          <t xml:space="preserve">
A trader is an entity who conducts a fundraising appeal partly for their own benefit. Fundraising
appeals in which traders were engaged were regular giving campaigns, lotteries and Carols
by Candlelight.</t>
        </r>
      </text>
    </comment>
    <comment ref="U13" authorId="0" shapeId="0" xr:uid="{3DC6E83A-A7D3-402B-B707-947557BF6458}">
      <text>
        <r>
          <rPr>
            <b/>
            <sz val="9"/>
            <color indexed="81"/>
            <rFont val="Tahoma"/>
            <family val="2"/>
          </rPr>
          <t>Sam Bradshaw:</t>
        </r>
        <r>
          <rPr>
            <sz val="9"/>
            <color indexed="81"/>
            <rFont val="Tahoma"/>
            <family val="2"/>
          </rPr>
          <t xml:space="preserve">
Income received from fundraising events, lotteries, bequests and legacies is brought to account when received or receivable. </t>
        </r>
      </text>
    </comment>
    <comment ref="N17" authorId="0" shapeId="0" xr:uid="{36786DD2-F6A4-40EC-B22A-5F6E9E3CB59A}">
      <text>
        <r>
          <rPr>
            <b/>
            <sz val="9"/>
            <color indexed="81"/>
            <rFont val="Tahoma"/>
            <family val="2"/>
          </rPr>
          <t>Sam Bradshaw:</t>
        </r>
        <r>
          <rPr>
            <sz val="9"/>
            <color indexed="81"/>
            <rFont val="Tahoma"/>
            <family val="2"/>
          </rPr>
          <t xml:space="preserve">
commercial fundraising activities</t>
        </r>
      </text>
    </comment>
    <comment ref="F18" authorId="0" shapeId="0" xr:uid="{22AFDFA4-0B83-4E5A-9FB9-8DEA52F99BD5}">
      <text>
        <r>
          <rPr>
            <b/>
            <sz val="9"/>
            <color indexed="81"/>
            <rFont val="Tahoma"/>
            <family val="2"/>
          </rPr>
          <t>Sam Bradshaw:</t>
        </r>
        <r>
          <rPr>
            <sz val="9"/>
            <color indexed="81"/>
            <rFont val="Tahoma"/>
            <family val="2"/>
          </rPr>
          <t xml:space="preserve">
Lottery Income
</t>
        </r>
      </text>
    </comment>
    <comment ref="N18" authorId="0" shapeId="0" xr:uid="{8BA880DB-1D35-406B-9689-68276301F277}">
      <text>
        <r>
          <rPr>
            <b/>
            <sz val="9"/>
            <color indexed="81"/>
            <rFont val="Tahoma"/>
            <family val="2"/>
          </rPr>
          <t>Sam Bradshaw:</t>
        </r>
        <r>
          <rPr>
            <sz val="9"/>
            <color indexed="81"/>
            <rFont val="Tahoma"/>
            <family val="2"/>
          </rPr>
          <t xml:space="preserve">
- Fundraising income</t>
        </r>
      </text>
    </comment>
    <comment ref="U18" authorId="0" shapeId="0" xr:uid="{6B0FB9AD-5E2F-48F5-8E59-3A49BE73406A}">
      <text>
        <r>
          <rPr>
            <b/>
            <sz val="9"/>
            <color indexed="81"/>
            <rFont val="Tahoma"/>
            <family val="2"/>
          </rPr>
          <t>Sam Bradshaw:</t>
        </r>
        <r>
          <rPr>
            <sz val="9"/>
            <color indexed="81"/>
            <rFont val="Tahoma"/>
            <family val="2"/>
          </rPr>
          <t xml:space="preserve">
Revenue from the sale of lottery tickets is measured at the fair value of the consideration received. Monies
received for tickets in undrawn lotteries is deferred and recorded as advance lottery receipts in revenue
received in advance.
Donations collected, including cash and goods for resale, are recognised as revenue when the Company gains
control, economic benefits are probable and the amount of the donation can be measured reliably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Sam Bradshaw</author>
  </authors>
  <commentList>
    <comment ref="S6" authorId="0" shapeId="0" xr:uid="{AA5EAC79-ABD3-4B4E-BE0B-B5CC44716581}">
      <text>
        <r>
          <rPr>
            <b/>
            <sz val="9"/>
            <color indexed="81"/>
            <rFont val="Tahoma"/>
            <family val="2"/>
          </rPr>
          <t>Sam Bradshaw:</t>
        </r>
        <r>
          <rPr>
            <sz val="9"/>
            <color indexed="81"/>
            <rFont val="Tahoma"/>
            <family val="2"/>
          </rPr>
          <t xml:space="preserve">
Revenue from the sale of lottery tickets is measured at the fair value of the consideration received. Monies
received for tickets in undrawn lotteries is deferred and recorded as advance lottery receipts in revenue
received in advance.
Donations collected, including cash and goods for resale, are recognised as revenue when the Company gains
control, economic benefits are probable and the amount of the donation can be measured reliably</t>
        </r>
      </text>
    </comment>
    <comment ref="S12" authorId="0" shapeId="0" xr:uid="{F1432B55-E4B3-40B2-B93C-A9C80D4EB01F}">
      <text>
        <r>
          <rPr>
            <b/>
            <sz val="9"/>
            <color indexed="81"/>
            <rFont val="Tahoma"/>
            <family val="2"/>
          </rPr>
          <t>Sam Bradshaw:</t>
        </r>
        <r>
          <rPr>
            <sz val="9"/>
            <color indexed="81"/>
            <rFont val="Tahoma"/>
            <family val="2"/>
          </rPr>
          <t xml:space="preserve">
Lotteries &amp; Trade Promotions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Sam Bradshaw</author>
  </authors>
  <commentList>
    <comment ref="BO1" authorId="0" shapeId="0" xr:uid="{108C4A03-1FE5-4B99-AD8D-34183557354C}">
      <text>
        <r>
          <rPr>
            <b/>
            <sz val="9"/>
            <color indexed="81"/>
            <rFont val="Tahoma"/>
            <family val="2"/>
          </rPr>
          <t>Sam Bradshaw:</t>
        </r>
        <r>
          <rPr>
            <sz val="9"/>
            <color indexed="81"/>
            <rFont val="Tahoma"/>
            <family val="2"/>
          </rPr>
          <t xml:space="preserve">
Total Prize Value</t>
        </r>
      </text>
    </comment>
    <comment ref="O3" authorId="0" shapeId="0" xr:uid="{2FFC9420-4706-4CF7-8488-E80674A9217F}">
      <text>
        <r>
          <rPr>
            <b/>
            <sz val="9"/>
            <color indexed="81"/>
            <rFont val="Tahoma"/>
            <family val="2"/>
          </rPr>
          <t>Sam Bradshaw:</t>
        </r>
        <r>
          <rPr>
            <sz val="9"/>
            <color indexed="81"/>
            <rFont val="Tahoma"/>
            <family val="2"/>
          </rPr>
          <t xml:space="preserve">
Fundraising Income</t>
        </r>
      </text>
    </comment>
    <comment ref="U3" authorId="0" shapeId="0" xr:uid="{38EC158E-488F-48DD-8A14-000283E41CD7}">
      <text>
        <r>
          <rPr>
            <b/>
            <sz val="9"/>
            <color indexed="81"/>
            <rFont val="Tahoma"/>
            <family val="2"/>
          </rPr>
          <t>Sam Bradshaw:</t>
        </r>
        <r>
          <rPr>
            <sz val="9"/>
            <color indexed="81"/>
            <rFont val="Tahoma"/>
            <family val="2"/>
          </rPr>
          <t xml:space="preserve">
+Additional Prizes</t>
        </r>
      </text>
    </comment>
    <comment ref="AE3" authorId="0" shapeId="0" xr:uid="{8F6A9757-3BC5-41EB-B85F-6E56D508F045}">
      <text>
        <r>
          <rPr>
            <b/>
            <sz val="9"/>
            <color indexed="81"/>
            <rFont val="Tahoma"/>
            <family val="2"/>
          </rPr>
          <t>Sam Bradshaw:</t>
        </r>
        <r>
          <rPr>
            <sz val="9"/>
            <color indexed="81"/>
            <rFont val="Tahoma"/>
            <family val="2"/>
          </rPr>
          <t xml:space="preserve">
Fundraising Income</t>
        </r>
      </text>
    </comment>
    <comment ref="AK3" authorId="0" shapeId="0" xr:uid="{D64BBFAF-E19A-488B-959E-E39418117A20}">
      <text>
        <r>
          <rPr>
            <b/>
            <sz val="9"/>
            <color indexed="81"/>
            <rFont val="Tahoma"/>
            <family val="2"/>
          </rPr>
          <t>Sam Bradshaw:</t>
        </r>
        <r>
          <rPr>
            <sz val="9"/>
            <color indexed="81"/>
            <rFont val="Tahoma"/>
            <family val="2"/>
          </rPr>
          <t xml:space="preserve">
+Additional Prizes</t>
        </r>
      </text>
    </comment>
    <comment ref="AT3" authorId="0" shapeId="0" xr:uid="{F8240412-C881-41D1-84BF-045B1B45F093}">
      <text>
        <r>
          <rPr>
            <b/>
            <sz val="9"/>
            <color indexed="81"/>
            <rFont val="Tahoma"/>
            <family val="2"/>
          </rPr>
          <t>Sam Bradshaw:</t>
        </r>
        <r>
          <rPr>
            <sz val="9"/>
            <color indexed="81"/>
            <rFont val="Tahoma"/>
            <family val="2"/>
          </rPr>
          <t xml:space="preserve">
Commercial Fundraising Activities</t>
        </r>
      </text>
    </comment>
    <comment ref="AZ3" authorId="0" shapeId="0" xr:uid="{0AFFDBC2-072E-41D7-9ABD-E7926D29A797}">
      <text>
        <r>
          <rPr>
            <b/>
            <sz val="9"/>
            <color indexed="81"/>
            <rFont val="Tahoma"/>
            <family val="2"/>
          </rPr>
          <t>Sam Bradshaw:</t>
        </r>
        <r>
          <rPr>
            <sz val="9"/>
            <color indexed="81"/>
            <rFont val="Tahoma"/>
            <family val="2"/>
          </rPr>
          <t xml:space="preserve">
Art Draws only, excludes Membership giveawas</t>
        </r>
      </text>
    </comment>
    <comment ref="BJ3" authorId="0" shapeId="0" xr:uid="{871AC83C-780F-40C5-B81F-E9F2F2B2E450}">
      <text>
        <r>
          <rPr>
            <b/>
            <sz val="9"/>
            <color indexed="81"/>
            <rFont val="Tahoma"/>
            <family val="2"/>
          </rPr>
          <t>Sam Bradshaw:</t>
        </r>
        <r>
          <rPr>
            <sz val="9"/>
            <color indexed="81"/>
            <rFont val="Tahoma"/>
            <family val="2"/>
          </rPr>
          <t xml:space="preserve">
Lottery Ticket Sales</t>
        </r>
      </text>
    </comment>
    <comment ref="BP3" authorId="0" shapeId="0" xr:uid="{31E90463-8483-4796-B77E-2D6ABE2CE601}">
      <text>
        <r>
          <rPr>
            <b/>
            <sz val="9"/>
            <color indexed="81"/>
            <rFont val="Tahoma"/>
            <family val="2"/>
          </rPr>
          <t>Sam Bradshaw:</t>
        </r>
        <r>
          <rPr>
            <sz val="9"/>
            <color indexed="81"/>
            <rFont val="Tahoma"/>
            <family val="2"/>
          </rPr>
          <t xml:space="preserve">
Total Prize Value
House Draws Only</t>
        </r>
      </text>
    </comment>
    <comment ref="BZ3" authorId="0" shapeId="0" xr:uid="{C2FD639A-CCC5-47BA-B629-722F7E085B5C}">
      <text>
        <r>
          <rPr>
            <b/>
            <sz val="9"/>
            <color indexed="81"/>
            <rFont val="Tahoma"/>
            <family val="2"/>
          </rPr>
          <t>Sam Bradshaw:</t>
        </r>
        <r>
          <rPr>
            <sz val="9"/>
            <color indexed="81"/>
            <rFont val="Tahoma"/>
            <family val="2"/>
          </rPr>
          <t xml:space="preserve">
Art Union Sales / Revenue from Sales of Tickets</t>
        </r>
      </text>
    </comment>
    <comment ref="CF3" authorId="0" shapeId="0" xr:uid="{66D49AE1-690E-4956-B0A5-61B2DE86061A}">
      <text>
        <r>
          <rPr>
            <b/>
            <sz val="9"/>
            <color indexed="81"/>
            <rFont val="Tahoma"/>
            <family val="2"/>
          </rPr>
          <t>Sam Bradshaw:</t>
        </r>
        <r>
          <rPr>
            <sz val="9"/>
            <color indexed="81"/>
            <rFont val="Tahoma"/>
            <family val="2"/>
          </rPr>
          <t xml:space="preserve">
+Additional Prizes</t>
        </r>
      </text>
    </comment>
    <comment ref="CP3" authorId="0" shapeId="0" xr:uid="{B4FE16CB-8AF4-4C4F-A773-43505A550FCE}">
      <text>
        <r>
          <rPr>
            <b/>
            <sz val="9"/>
            <color indexed="81"/>
            <rFont val="Tahoma"/>
            <family val="2"/>
          </rPr>
          <t>Sam Bradshaw:</t>
        </r>
        <r>
          <rPr>
            <sz val="9"/>
            <color indexed="81"/>
            <rFont val="Tahoma"/>
            <family val="2"/>
          </rPr>
          <t xml:space="preserve">
Fundraising Income</t>
        </r>
      </text>
    </comment>
    <comment ref="CV3" authorId="0" shapeId="0" xr:uid="{D2A263FE-B964-452C-B750-347C3E5E0833}">
      <text>
        <r>
          <rPr>
            <b/>
            <sz val="9"/>
            <color indexed="81"/>
            <rFont val="Tahoma"/>
            <family val="2"/>
          </rPr>
          <t>Sam Bradshaw:</t>
        </r>
        <r>
          <rPr>
            <sz val="9"/>
            <color indexed="81"/>
            <rFont val="Tahoma"/>
            <family val="2"/>
          </rPr>
          <t xml:space="preserve">
+Additional Prizes</t>
        </r>
      </text>
    </comment>
    <comment ref="DH3" authorId="0" shapeId="0" xr:uid="{E893F417-1A57-40CA-8A42-0ABE78563E9E}">
      <text>
        <r>
          <rPr>
            <b/>
            <sz val="9"/>
            <color indexed="81"/>
            <rFont val="Tahoma"/>
            <family val="2"/>
          </rPr>
          <t>Sam Bradshaw:</t>
        </r>
        <r>
          <rPr>
            <sz val="9"/>
            <color indexed="81"/>
            <rFont val="Tahoma"/>
            <family val="2"/>
          </rPr>
          <t xml:space="preserve">
Fundraising Income</t>
        </r>
      </text>
    </comment>
    <comment ref="CW11" authorId="0" shapeId="0" xr:uid="{0758E5EE-9F0E-49AF-8B3F-6C2968BA4DD1}">
      <text>
        <r>
          <rPr>
            <b/>
            <sz val="9"/>
            <color indexed="81"/>
            <rFont val="Tahoma"/>
            <family val="2"/>
          </rPr>
          <t>Sam Bradshaw:</t>
        </r>
        <r>
          <rPr>
            <sz val="9"/>
            <color indexed="81"/>
            <rFont val="Tahoma"/>
            <family val="2"/>
          </rPr>
          <t xml:space="preserve">
https://cdn.mswalottery.com.au/mswalottery.com.au/lotteries/MHL26A/home/MSWA-MHL26A-Terms-and-Conditions-SA-x-WA-TBA-PDF.pdf</t>
        </r>
      </text>
    </comment>
    <comment ref="CW15" authorId="0" shapeId="0" xr:uid="{0BBBE3C1-778C-4D82-88CE-6979C26585A4}">
      <text>
        <r>
          <rPr>
            <b/>
            <sz val="9"/>
            <color indexed="81"/>
            <rFont val="Tahoma"/>
            <family val="2"/>
          </rPr>
          <t>Sam Bradshaw:</t>
        </r>
        <r>
          <rPr>
            <sz val="9"/>
            <color indexed="81"/>
            <rFont val="Tahoma"/>
            <family val="2"/>
          </rPr>
          <t xml:space="preserve">
https://reiwa.com.au/news/win-big-and-give-back-in-the-mswa-mega-home-lottery/</t>
        </r>
      </text>
    </comment>
    <comment ref="CW18" authorId="0" shapeId="0" xr:uid="{A16AEC75-1428-4466-B186-57442C84AF90}">
      <text>
        <r>
          <rPr>
            <b/>
            <sz val="9"/>
            <color indexed="81"/>
            <rFont val="Tahoma"/>
            <family val="2"/>
          </rPr>
          <t>Sam Bradshaw:</t>
        </r>
        <r>
          <rPr>
            <sz val="9"/>
            <color indexed="81"/>
            <rFont val="Tahoma"/>
            <family val="2"/>
          </rPr>
          <t xml:space="preserve">
https://mswa.org.au/news-and-articles/mswa-mega-home-lottery-beachfront-accessibility</t>
        </r>
      </text>
    </comment>
    <comment ref="CX18" authorId="0" shapeId="0" xr:uid="{A0749301-B9A1-409F-8E50-E70B10C2DBC6}">
      <text>
        <r>
          <rPr>
            <b/>
            <sz val="9"/>
            <color indexed="81"/>
            <rFont val="Tahoma"/>
            <family val="2"/>
          </rPr>
          <t>Sam Bradshaw:</t>
        </r>
        <r>
          <rPr>
            <sz val="9"/>
            <color indexed="81"/>
            <rFont val="Tahoma"/>
            <family val="2"/>
          </rPr>
          <t xml:space="preserve">
FY25 Prizes</t>
        </r>
      </text>
    </comment>
    <comment ref="CW19" authorId="0" shapeId="0" xr:uid="{AA2FBD21-BE1A-4335-8403-C0E1E110AFD0}">
      <text>
        <r>
          <rPr>
            <b/>
            <sz val="9"/>
            <color indexed="81"/>
            <rFont val="Tahoma"/>
            <family val="2"/>
          </rPr>
          <t>Sam Bradshaw:</t>
        </r>
        <r>
          <rPr>
            <sz val="9"/>
            <color indexed="81"/>
            <rFont val="Tahoma"/>
            <family val="2"/>
          </rPr>
          <t xml:space="preserve">
https://soperth.com.au/charities/live-a-life-unlimited-with-the-mswa-mega-home-lottery-117402</t>
        </r>
      </text>
    </comment>
    <comment ref="CX20" authorId="0" shapeId="0" xr:uid="{47D3BC58-34D2-44C5-9379-BD6CC87148AA}">
      <text>
        <r>
          <rPr>
            <b/>
            <sz val="9"/>
            <color indexed="81"/>
            <rFont val="Tahoma"/>
            <family val="2"/>
          </rPr>
          <t>Sam Bradshaw:</t>
        </r>
        <r>
          <rPr>
            <sz val="9"/>
            <color indexed="81"/>
            <rFont val="Tahoma"/>
            <family val="2"/>
          </rPr>
          <t xml:space="preserve">
FY24 Prizes</t>
        </r>
      </text>
    </comment>
  </commentList>
</comments>
</file>

<file path=xl/sharedStrings.xml><?xml version="1.0" encoding="utf-8"?>
<sst xmlns="http://schemas.openxmlformats.org/spreadsheetml/2006/main" count="546" uniqueCount="206">
  <si>
    <t>Cerebral Palsy Alliance Raffles</t>
  </si>
  <si>
    <t>Royal Melbourne Hospital</t>
  </si>
  <si>
    <t>Act for Kids</t>
  </si>
  <si>
    <t>St john Lottery</t>
  </si>
  <si>
    <t>MSWA Lottery</t>
  </si>
  <si>
    <t>Starlight</t>
  </si>
  <si>
    <t>Life Flight Lotteries</t>
  </si>
  <si>
    <t>Sunshine Lottery</t>
  </si>
  <si>
    <t>Hospital Research Foundation Group</t>
  </si>
  <si>
    <t>Guide Dogs Victoria</t>
  </si>
  <si>
    <t>Heart Research Institute</t>
  </si>
  <si>
    <t>Multiple Sclerosis Society of Western Australia</t>
  </si>
  <si>
    <t>Epilepsy Foundation</t>
  </si>
  <si>
    <t>KidsWish</t>
  </si>
  <si>
    <t>Multiple Sclerosis Society of South Australia &amp; Northern Territory</t>
  </si>
  <si>
    <t>Big Brother Big Sisters</t>
  </si>
  <si>
    <t>Lucky Puppy Lottery</t>
  </si>
  <si>
    <t>St John Ambulance Lottery</t>
  </si>
  <si>
    <t>LOOK INTO</t>
  </si>
  <si>
    <t>St Helena Hospice transitioned to StarVale (Managed Service segment) from May-24.</t>
  </si>
  <si>
    <t>LifeFlight &amp; Para to SaaS in FY24</t>
  </si>
  <si>
    <t>Australian business (Jumbo Fundraising) which went live with our two foundation clients, Paralympics Australia and St John Ambulance (VIC), in late FY21.</t>
  </si>
  <si>
    <t>Classics For A Cause - Signed 8 April 2020</t>
  </si>
  <si>
    <t>Two previously announced SaaS agreements were terminated during the year. MS Queensland elected to consolidate and centralise various fundraising activities including the previously state managed lottery programs. Classics For A Cause transitioned from conducting raffles in benefit for non-for-profit members to “for profit’ trade promotions, which does not align with Jumbo’s SaaS proposition. Both agreements were not expected to contribute materially to TTV</t>
  </si>
  <si>
    <t>PREVIOUS SAAS</t>
  </si>
  <si>
    <t>$000's</t>
  </si>
  <si>
    <t>RSPCA</t>
  </si>
  <si>
    <t>https://www.acnc.gov.au/charity/charities/8b60a797-3aaf-e811-a95e-000d3ad24c60/documents/</t>
  </si>
  <si>
    <t>LifeFlight</t>
  </si>
  <si>
    <t>https://www.acnc.gov.au/charity/charities/60f80f2a-39af-e811-a963-000d3ad244fd/documents/</t>
  </si>
  <si>
    <t>Not sure which line in fundraising - very volatile</t>
  </si>
  <si>
    <t>Paralymics Aucstralia</t>
  </si>
  <si>
    <t>https://www.acnc.gov.au/charity/charities/8281a15d-39af-e811-a960-000d3ad24282/documents/</t>
  </si>
  <si>
    <t>National Art Union</t>
  </si>
  <si>
    <t>FY's</t>
  </si>
  <si>
    <t>PCYC Queensland</t>
  </si>
  <si>
    <t>https://www.acnc.gov.au/charity/charities?search=Multiple%20Sclerosis</t>
  </si>
  <si>
    <t>Changed Reporting Styles</t>
  </si>
  <si>
    <t>Fundraising revenue</t>
  </si>
  <si>
    <t>MS Queensland</t>
  </si>
  <si>
    <t>https://www.acnc.gov.au/charity/charities/d127a517-39af-e811-a962-000d3ad24a0d/documents/</t>
  </si>
  <si>
    <t>Company Annual Does not split further post FY16</t>
  </si>
  <si>
    <t>Not sure</t>
  </si>
  <si>
    <t>Fundraising Income</t>
  </si>
  <si>
    <t>Deaf Lottery</t>
  </si>
  <si>
    <t>https://www.endeavour.com.au/about-us/publications/annual-reports</t>
  </si>
  <si>
    <t>Yes</t>
  </si>
  <si>
    <t>Commercial Fundraising Activities</t>
  </si>
  <si>
    <t>Endeavour Foundation</t>
  </si>
  <si>
    <t>https://www.acnc.gov.au/charity/charities/cdc7f13e-39af-e811-a961-000d3ad24182/documents/</t>
  </si>
  <si>
    <t>Company Annual report gives Lottery Expenses</t>
  </si>
  <si>
    <t>Not sure but assime so</t>
  </si>
  <si>
    <t>Lottery Income</t>
  </si>
  <si>
    <t>Mater</t>
  </si>
  <si>
    <t>JUMBO</t>
  </si>
  <si>
    <t>Earlier Annual Reports Split</t>
  </si>
  <si>
    <t>Fundraising income</t>
  </si>
  <si>
    <t>St John Ambulance Lottery - SA</t>
  </si>
  <si>
    <t>RSPCA Queensland</t>
  </si>
  <si>
    <t>https://www.acnc.gov.au/charity/charities/875a1656-3aaf-e811-a962-000d3ad24a0d/documents/</t>
  </si>
  <si>
    <t>Fundraising appeals conducted jointly with traders</t>
  </si>
  <si>
    <t>SORT</t>
  </si>
  <si>
    <t>https://www.acnc.gov.au/charity/charities/21bdce49-39af-e811-a962-000d3ad24a0d/documents/</t>
  </si>
  <si>
    <t>Likely</t>
  </si>
  <si>
    <t>Commercial programs</t>
  </si>
  <si>
    <t>Surf Life Saving Lotteries</t>
  </si>
  <si>
    <t>https://www.acnc.gov.au/charity/charities/588cf203-39af-e811-a963-000d3ad24077/documents/</t>
  </si>
  <si>
    <t>Art Union Sales / Revenue from Sales of Tickets</t>
  </si>
  <si>
    <t>YourTown</t>
  </si>
  <si>
    <t>https://www.acnc.gov.au/charity/charities/96418be4-38af-e811-a95e-000d3ad24c60/documents/</t>
  </si>
  <si>
    <t>Lottery Ticket Sales</t>
  </si>
  <si>
    <t>CY's</t>
  </si>
  <si>
    <t>RSL Art Union</t>
  </si>
  <si>
    <t>NON JUMBO</t>
  </si>
  <si>
    <t>Link</t>
  </si>
  <si>
    <t>Comment</t>
  </si>
  <si>
    <t>Category</t>
  </si>
  <si>
    <t>Period</t>
  </si>
  <si>
    <t>FY24</t>
  </si>
  <si>
    <t>FY23</t>
  </si>
  <si>
    <t>FY22</t>
  </si>
  <si>
    <t>FY21</t>
  </si>
  <si>
    <t>FY20</t>
  </si>
  <si>
    <t>FY19</t>
  </si>
  <si>
    <t>FY18</t>
  </si>
  <si>
    <t>FY17</t>
  </si>
  <si>
    <t>FY16</t>
  </si>
  <si>
    <t>FY15</t>
  </si>
  <si>
    <t>FY14</t>
  </si>
  <si>
    <t>FY13</t>
  </si>
  <si>
    <t>Label</t>
  </si>
  <si>
    <t>Charity Lotteries</t>
  </si>
  <si>
    <t>A$m</t>
  </si>
  <si>
    <t>State Lotteries</t>
  </si>
  <si>
    <t>FY26</t>
  </si>
  <si>
    <t>FY25</t>
  </si>
  <si>
    <t>Units</t>
  </si>
  <si>
    <t>Total Growth</t>
  </si>
  <si>
    <t>Charity Growth</t>
  </si>
  <si>
    <t>LotteryWest Growth</t>
  </si>
  <si>
    <t>Total</t>
  </si>
  <si>
    <t>Charity</t>
  </si>
  <si>
    <t>Other</t>
  </si>
  <si>
    <t>Deaf Connect</t>
  </si>
  <si>
    <t>Mater Foundation</t>
  </si>
  <si>
    <t>LotteryWest</t>
  </si>
  <si>
    <t>Surf Life Saving</t>
  </si>
  <si>
    <t>Non Jumbo SaaS Clients</t>
  </si>
  <si>
    <t>Jumbo SaaS Clients</t>
  </si>
  <si>
    <t>Other Charities</t>
  </si>
  <si>
    <t>Post-Jumbo Charities</t>
  </si>
  <si>
    <t>Pre-Jumbo Charities</t>
  </si>
  <si>
    <t>Index to 2014</t>
  </si>
  <si>
    <t>Transitioned to Jumbo SaaS Platform</t>
  </si>
  <si>
    <t>https://www.materlotteries.com.au/mater-prize-home/vip-club</t>
  </si>
  <si>
    <t>FY27</t>
  </si>
  <si>
    <t>CY26</t>
  </si>
  <si>
    <t>CY25</t>
  </si>
  <si>
    <t>CY24</t>
  </si>
  <si>
    <t>CY23</t>
  </si>
  <si>
    <t>CY22</t>
  </si>
  <si>
    <t>CY21</t>
  </si>
  <si>
    <t>CY20</t>
  </si>
  <si>
    <t>CY19</t>
  </si>
  <si>
    <t>CY18</t>
  </si>
  <si>
    <t>CY17</t>
  </si>
  <si>
    <t>CY16</t>
  </si>
  <si>
    <t>CY15</t>
  </si>
  <si>
    <t>CY14</t>
  </si>
  <si>
    <t>CY13</t>
  </si>
  <si>
    <t>Prizes / Reported</t>
  </si>
  <si>
    <t>Reported Revenue</t>
  </si>
  <si>
    <t>Prize Growth</t>
  </si>
  <si>
    <t>Total Prizes</t>
  </si>
  <si>
    <t>Average Prizes</t>
  </si>
  <si>
    <t>Count</t>
  </si>
  <si>
    <t>To</t>
  </si>
  <si>
    <t>From</t>
  </si>
  <si>
    <t>FY</t>
  </si>
  <si>
    <t>Prize</t>
  </si>
  <si>
    <t>Days</t>
  </si>
  <si>
    <t>Date</t>
  </si>
  <si>
    <t>Draw #</t>
  </si>
  <si>
    <t>RSL ART UNION</t>
  </si>
  <si>
    <t>Endeavor</t>
  </si>
  <si>
    <t>MATER</t>
  </si>
  <si>
    <t>https://www.prizelink.com.au/homes/surf-life-saving/</t>
  </si>
  <si>
    <t>https://www.yourtown.com.au/sites/default/files/draw_terms_conditions/504-Web-Terms-Conditions-KT-V1.pdf</t>
  </si>
  <si>
    <t>https://www.prizelink.com.au/homes/yourtown/</t>
  </si>
  <si>
    <t>https://www.prizelink.com.au/homes/rsl-art-union/</t>
  </si>
  <si>
    <t>https://www.ozlotteries.com/endeavour-foundation/winners</t>
  </si>
  <si>
    <t>https://www.deaflottery.com.au/deaf-lottery/winners?page=1</t>
  </si>
  <si>
    <t>Moved to MS</t>
  </si>
  <si>
    <t>St Helena</t>
  </si>
  <si>
    <t>Left &amp; Rejoined</t>
  </si>
  <si>
    <t>Reported in Announcement (FY24)</t>
  </si>
  <si>
    <t>E&amp;P Estimates based on Costs</t>
  </si>
  <si>
    <t>E&amp;P Estimates based on AR</t>
  </si>
  <si>
    <t>late FY21</t>
  </si>
  <si>
    <t>Paralympics Australia</t>
  </si>
  <si>
    <t>Graph</t>
  </si>
  <si>
    <t>Live</t>
  </si>
  <si>
    <t>Announced</t>
  </si>
  <si>
    <t>Revenue Category</t>
  </si>
  <si>
    <t>FY23 Rev</t>
  </si>
  <si>
    <t>Operational</t>
  </si>
  <si>
    <t>Endeavour</t>
  </si>
  <si>
    <t>https://rallyup.com/raffles/</t>
  </si>
  <si>
    <t>https://mycharityraffle.com.au/</t>
  </si>
  <si>
    <t>https://clubdraws.com.au/</t>
  </si>
  <si>
    <t>https://www.eventgroove.com.au/fundraising/raffles/</t>
  </si>
  <si>
    <t>https://auraffles.com.au/</t>
  </si>
  <si>
    <t>https://5050charityraffle.com.au/</t>
  </si>
  <si>
    <t>https://www.rafflelink.com.au/rafflelink-pricing/</t>
  </si>
  <si>
    <t>https://www.raffletix.com.au/</t>
  </si>
  <si>
    <t>https://www.chameleoncustomercontact.com.au/</t>
  </si>
  <si>
    <t>https://www.concentrix.com/en-gb/</t>
  </si>
  <si>
    <t>https://aidasales.com/</t>
  </si>
  <si>
    <t>RSL</t>
  </si>
  <si>
    <t>https://thomasdirect.com.au/services/</t>
  </si>
  <si>
    <t>https://aspirefundraising.com.au/</t>
  </si>
  <si>
    <t>Add in Cars</t>
  </si>
  <si>
    <t>Transition expected 1Q27</t>
  </si>
  <si>
    <t xml:space="preserve">### </t>
  </si>
  <si>
    <t>Estimate based on major prizes</t>
  </si>
  <si>
    <t>Jumbo Share</t>
  </si>
  <si>
    <t>Non JIN</t>
  </si>
  <si>
    <t>JIN</t>
  </si>
  <si>
    <t>JIN Share</t>
  </si>
  <si>
    <t>INCL ART UNION</t>
  </si>
  <si>
    <t>FY26E</t>
  </si>
  <si>
    <t>FY27E</t>
  </si>
  <si>
    <t>https://www.prizelink.com.au/homes/mater/</t>
  </si>
  <si>
    <t>Add Cars</t>
  </si>
  <si>
    <t>Sales pre 2018. Gives Prize Expense</t>
  </si>
  <si>
    <t>Transitioning to Jumbo SaaS 1Q27</t>
  </si>
  <si>
    <t>Marketing &amp; fundraising income</t>
  </si>
  <si>
    <t>MSWA Limited</t>
  </si>
  <si>
    <t>.</t>
  </si>
  <si>
    <t>Multiple Sclerosis</t>
  </si>
  <si>
    <t>Raffles &amp; lotteries pre FY15. Prize Expense Avaliable.</t>
  </si>
  <si>
    <t>2026A</t>
  </si>
  <si>
    <t>2025B</t>
  </si>
  <si>
    <t>2025A</t>
  </si>
  <si>
    <t>Total Prize</t>
  </si>
  <si>
    <t>2024B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</si>
</sst>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8" formatCode="&quot;$&quot;#,##0.00;[Red]\-&quot;$&quot;#,##0.00"/>
    <numFmt numFmtId="164" formatCode="0.0%"/>
    <numFmt numFmtId="165" formatCode="#,##0.0"/>
    <numFmt numFmtId="166" formatCode="[Color10]\+0.0%;[Red]\-0.0%;\-"/>
    <numFmt numFmtId="167" formatCode="#,##0.000000"/>
    <numFmt numFmtId="168" formatCode="0.00%_);\(0.00%\);0.00%_);@_)"/>
  </numFmts>
  <fonts count="19">
    <font>
      <sz val="11"/>
      <color theme="1"/>
      <name val="Calibri"/>
      <family val="2"/>
      <scheme val="minor"/>
    </font>
    <font>
      <b/>
      <sz val="11"/>
      <color theme="0"/>
      <name val="Calibri"/>
      <family val="2"/>
      <scheme val="minor"/>
    </font>
    <font>
      <b/>
      <sz val="11"/>
      <color theme="1"/>
      <name val="Calibri"/>
      <family val="2"/>
      <scheme val="minor"/>
    </font>
    <font>
      <sz val="8"/>
      <color theme="1"/>
      <name val=" calirbi"/>
    </font>
    <font>
      <sz val="8"/>
      <color theme="1"/>
      <name val="Calibri"/>
      <family val="2"/>
      <scheme val="minor"/>
    </font>
    <font>
      <b/>
      <u/>
      <sz val="11"/>
      <color theme="1"/>
      <name val="Calibri"/>
      <family val="2"/>
      <scheme val="minor"/>
    </font>
    <font>
      <u/>
      <sz val="11"/>
      <color theme="10"/>
      <name val="Calibri"/>
      <family val="2"/>
      <scheme val="minor"/>
    </font>
    <font>
      <b/>
      <sz val="9"/>
      <color indexed="81"/>
      <name val="Tahoma"/>
      <family val="2"/>
    </font>
    <font>
      <sz val="9"/>
      <color indexed="81"/>
      <name val="Tahoma"/>
      <family val="2"/>
    </font>
    <font>
      <sz val="11"/>
      <name val="Calibri"/>
      <family val="2"/>
      <scheme val="minor"/>
    </font>
    <font>
      <sz val="8"/>
      <color rgb="FF0000FF"/>
      <name val="Calibri"/>
      <family val="2"/>
      <scheme val="minor"/>
    </font>
    <font>
      <b/>
      <u/>
      <sz val="8"/>
      <color theme="1"/>
      <name val="Calibri"/>
      <family val="2"/>
      <scheme val="minor"/>
    </font>
    <font>
      <b/>
      <sz val="8"/>
      <color theme="0"/>
      <name val="Calibri"/>
      <family val="2"/>
      <scheme val="minor"/>
    </font>
    <font>
      <b/>
      <sz val="8"/>
      <color rgb="FFFF0000"/>
      <name val="Calibri"/>
      <family val="2"/>
      <scheme val="minor"/>
    </font>
    <font>
      <b/>
      <sz val="8"/>
      <color theme="1"/>
      <name val="Calibri"/>
      <family val="2"/>
      <scheme val="minor"/>
    </font>
    <font>
      <sz val="11"/>
      <color rgb="FF0000FF"/>
      <name val="Calibri"/>
      <family val="2"/>
      <scheme val="minor"/>
    </font>
    <font>
      <sz val="10"/>
      <color theme="1"/>
      <name val="Calibri"/>
      <family val="2"/>
      <scheme val="minor"/>
    </font>
    <font>
      <sz val="8"/>
      <name val="Calibri"/>
      <family val="2"/>
      <scheme val="minor"/>
    </font>
    <font>
      <b/>
      <sz val="8"/>
      <color rgb="FF0000FF"/>
      <name val="Calibri"/>
      <family val="2"/>
      <scheme val="minor"/>
    </font>
  </fonts>
  <fills count="14">
    <fill>
      <patternFill patternType="none"/>
    </fill>
    <fill>
      <patternFill patternType="gray125"/>
    </fill>
    <fill>
      <patternFill patternType="solid">
        <fgColor theme="8" tint="0.79998168889431442"/>
        <bgColor indexed="64"/>
      </patternFill>
    </fill>
    <fill>
      <patternFill patternType="solid">
        <fgColor theme="5" tint="0.79998168889431442"/>
        <bgColor indexed="64"/>
      </patternFill>
    </fill>
    <fill>
      <patternFill patternType="solid">
        <fgColor theme="3"/>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2" tint="0.79998168889431442"/>
        <bgColor indexed="64"/>
      </patternFill>
    </fill>
    <fill>
      <patternFill patternType="solid">
        <fgColor theme="4"/>
        <bgColor indexed="64"/>
      </patternFill>
    </fill>
    <fill>
      <patternFill patternType="solid">
        <fgColor theme="7"/>
        <bgColor indexed="64"/>
      </patternFill>
    </fill>
    <fill>
      <patternFill patternType="solid">
        <fgColor theme="2"/>
        <bgColor indexed="64"/>
      </patternFill>
    </fill>
    <fill>
      <patternFill patternType="solid">
        <fgColor rgb="FFFFFF00"/>
        <bgColor indexed="64"/>
      </patternFill>
    </fill>
    <fill>
      <patternFill patternType="solid">
        <fgColor theme="6" tint="0.79998168889431442"/>
        <bgColor indexed="64"/>
      </patternFill>
    </fill>
  </fills>
  <borders count="3">
    <border>
      <left/>
      <right/>
      <top/>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0" fontId="6" fillId="0" borderId="0" applyNumberFormat="0" applyFill="0" applyBorder="0" applyAlignment="0" applyProtection="0"/>
  </cellStyleXfs>
  <cellXfs count="91">
    <xf numFmtId="0" fontId="0" fillId="0" borderId="0" xfId="0"/>
    <xf numFmtId="0" fontId="3" fillId="0" borderId="0" xfId="0" applyFont="1" applyAlignment="1">
      <alignment horizontal="center"/>
    </xf>
    <xf numFmtId="0" fontId="3" fillId="0" borderId="0" xfId="0" applyFont="1"/>
    <xf numFmtId="0" fontId="0" fillId="0" borderId="0" xfId="0" applyAlignment="1">
      <alignment horizontal="center"/>
    </xf>
    <xf numFmtId="3" fontId="3" fillId="0" borderId="0" xfId="0" applyNumberFormat="1" applyFont="1"/>
    <xf numFmtId="9" fontId="0" fillId="0" borderId="0" xfId="0" applyNumberFormat="1"/>
    <xf numFmtId="0" fontId="0" fillId="0" borderId="0" xfId="0" applyAlignment="1">
      <alignment horizontal="left" indent="1"/>
    </xf>
    <xf numFmtId="0" fontId="4" fillId="0" borderId="0" xfId="0" applyFont="1"/>
    <xf numFmtId="0" fontId="5" fillId="0" borderId="0" xfId="0" applyFont="1"/>
    <xf numFmtId="3" fontId="0" fillId="0" borderId="0" xfId="0" applyNumberFormat="1"/>
    <xf numFmtId="0" fontId="6" fillId="0" borderId="0" xfId="1"/>
    <xf numFmtId="0" fontId="6" fillId="0" borderId="0" xfId="1" applyBorder="1"/>
    <xf numFmtId="3" fontId="0" fillId="0" borderId="0" xfId="0" applyNumberFormat="1" applyAlignment="1">
      <alignment horizontal="center"/>
    </xf>
    <xf numFmtId="0" fontId="1" fillId="4" borderId="0" xfId="0" applyFont="1" applyFill="1" applyAlignment="1">
      <alignment horizontal="center"/>
    </xf>
    <xf numFmtId="0" fontId="4" fillId="0" borderId="0" xfId="0" applyFont="1" applyAlignment="1">
      <alignment horizontal="center"/>
    </xf>
    <xf numFmtId="6" fontId="9" fillId="0" borderId="0" xfId="0" applyNumberFormat="1" applyFont="1"/>
    <xf numFmtId="3" fontId="10" fillId="0" borderId="0" xfId="0" applyNumberFormat="1" applyFont="1"/>
    <xf numFmtId="4" fontId="4" fillId="0" borderId="0" xfId="0" applyNumberFormat="1" applyFont="1"/>
    <xf numFmtId="164" fontId="4" fillId="0" borderId="0" xfId="0" applyNumberFormat="1" applyFont="1" applyAlignment="1">
      <alignment horizontal="right"/>
    </xf>
    <xf numFmtId="164" fontId="4" fillId="0" borderId="0" xfId="0" applyNumberFormat="1" applyFont="1"/>
    <xf numFmtId="0" fontId="4" fillId="0" borderId="0" xfId="0" applyFont="1" applyAlignment="1">
      <alignment horizontal="left" indent="1"/>
    </xf>
    <xf numFmtId="3" fontId="4" fillId="0" borderId="0" xfId="0" applyNumberFormat="1" applyFont="1"/>
    <xf numFmtId="165" fontId="10" fillId="0" borderId="0" xfId="0" applyNumberFormat="1" applyFont="1"/>
    <xf numFmtId="0" fontId="11" fillId="0" borderId="0" xfId="0" applyFont="1"/>
    <xf numFmtId="0" fontId="12" fillId="4" borderId="0" xfId="0" applyFont="1" applyFill="1" applyAlignment="1">
      <alignment horizontal="right"/>
    </xf>
    <xf numFmtId="0" fontId="12" fillId="4" borderId="0" xfId="0" applyFont="1" applyFill="1" applyAlignment="1">
      <alignment horizontal="center"/>
    </xf>
    <xf numFmtId="0" fontId="12" fillId="4" borderId="0" xfId="0" applyFont="1" applyFill="1"/>
    <xf numFmtId="165" fontId="13" fillId="0" borderId="0" xfId="0" applyNumberFormat="1" applyFont="1"/>
    <xf numFmtId="165" fontId="13" fillId="0" borderId="1" xfId="0" applyNumberFormat="1" applyFont="1" applyBorder="1"/>
    <xf numFmtId="0" fontId="14" fillId="0" borderId="1" xfId="0" applyFont="1" applyBorder="1" applyAlignment="1">
      <alignment horizontal="center"/>
    </xf>
    <xf numFmtId="0" fontId="14" fillId="0" borderId="1" xfId="0" applyFont="1" applyBorder="1"/>
    <xf numFmtId="165" fontId="4" fillId="0" borderId="0" xfId="0" applyNumberFormat="1" applyFont="1"/>
    <xf numFmtId="0" fontId="14" fillId="0" borderId="0" xfId="0" applyFont="1" applyAlignment="1">
      <alignment horizontal="left" indent="1"/>
    </xf>
    <xf numFmtId="0" fontId="4" fillId="0" borderId="0" xfId="0" applyFont="1" applyAlignment="1">
      <alignment horizontal="left" indent="2"/>
    </xf>
    <xf numFmtId="0" fontId="12" fillId="0" borderId="0" xfId="0" applyFont="1" applyAlignment="1">
      <alignment horizontal="right"/>
    </xf>
    <xf numFmtId="0" fontId="14" fillId="0" borderId="2" xfId="0" applyFont="1" applyBorder="1" applyAlignment="1">
      <alignment horizontal="left" indent="1"/>
    </xf>
    <xf numFmtId="166" fontId="4" fillId="0" borderId="0" xfId="0" applyNumberFormat="1" applyFont="1" applyAlignment="1">
      <alignment horizontal="right"/>
    </xf>
    <xf numFmtId="0" fontId="4" fillId="5" borderId="0" xfId="0" applyFont="1" applyFill="1"/>
    <xf numFmtId="165" fontId="14" fillId="0" borderId="0" xfId="0" applyNumberFormat="1" applyFont="1"/>
    <xf numFmtId="165" fontId="14" fillId="0" borderId="2" xfId="0" applyNumberFormat="1" applyFont="1" applyBorder="1"/>
    <xf numFmtId="0" fontId="4" fillId="0" borderId="2" xfId="0" applyFont="1" applyBorder="1" applyAlignment="1">
      <alignment horizontal="center"/>
    </xf>
    <xf numFmtId="165" fontId="10" fillId="5" borderId="0" xfId="0" applyNumberFormat="1" applyFont="1" applyFill="1"/>
    <xf numFmtId="165" fontId="4" fillId="5" borderId="0" xfId="0" applyNumberFormat="1" applyFont="1" applyFill="1"/>
    <xf numFmtId="167" fontId="4" fillId="0" borderId="0" xfId="0" applyNumberFormat="1" applyFont="1"/>
    <xf numFmtId="6" fontId="15" fillId="0" borderId="0" xfId="0" applyNumberFormat="1" applyFont="1"/>
    <xf numFmtId="15" fontId="15" fillId="0" borderId="0" xfId="0" applyNumberFormat="1" applyFont="1" applyAlignment="1">
      <alignment horizontal="center"/>
    </xf>
    <xf numFmtId="0" fontId="15" fillId="0" borderId="0" xfId="0" applyFont="1" applyAlignment="1">
      <alignment horizontal="center"/>
    </xf>
    <xf numFmtId="6" fontId="0" fillId="0" borderId="0" xfId="0" applyNumberFormat="1"/>
    <xf numFmtId="14" fontId="0" fillId="0" borderId="0" xfId="0" applyNumberFormat="1"/>
    <xf numFmtId="164" fontId="0" fillId="0" borderId="0" xfId="0" applyNumberFormat="1"/>
    <xf numFmtId="166" fontId="16" fillId="0" borderId="0" xfId="0" applyNumberFormat="1" applyFont="1" applyAlignment="1">
      <alignment horizontal="right"/>
    </xf>
    <xf numFmtId="0" fontId="9" fillId="0" borderId="0" xfId="0" applyFont="1" applyAlignment="1">
      <alignment horizontal="center"/>
    </xf>
    <xf numFmtId="15" fontId="9" fillId="0" borderId="0" xfId="0" applyNumberFormat="1" applyFont="1" applyAlignment="1">
      <alignment horizontal="center"/>
    </xf>
    <xf numFmtId="6" fontId="15" fillId="5" borderId="0" xfId="0" applyNumberFormat="1" applyFont="1" applyFill="1"/>
    <xf numFmtId="166" fontId="0" fillId="0" borderId="0" xfId="0" applyNumberFormat="1" applyAlignment="1">
      <alignment horizontal="right"/>
    </xf>
    <xf numFmtId="15" fontId="15" fillId="5" borderId="0" xfId="0" applyNumberFormat="1" applyFont="1" applyFill="1" applyAlignment="1">
      <alignment horizontal="center"/>
    </xf>
    <xf numFmtId="0" fontId="2" fillId="0" borderId="0" xfId="0" applyFont="1" applyAlignment="1">
      <alignment horizontal="center" vertical="center" wrapText="1"/>
    </xf>
    <xf numFmtId="0" fontId="2" fillId="5" borderId="0" xfId="0" applyFont="1" applyFill="1" applyAlignment="1">
      <alignment horizontal="center" vertical="center" wrapText="1"/>
    </xf>
    <xf numFmtId="0" fontId="2" fillId="6" borderId="0" xfId="0" applyFont="1" applyFill="1" applyAlignment="1">
      <alignment horizontal="center" vertical="center" wrapText="1"/>
    </xf>
    <xf numFmtId="0" fontId="2" fillId="7" borderId="0" xfId="0" applyFont="1" applyFill="1" applyAlignment="1">
      <alignment horizontal="center" vertical="center" wrapText="1"/>
    </xf>
    <xf numFmtId="0" fontId="2" fillId="8" borderId="0" xfId="0" applyFont="1" applyFill="1" applyAlignment="1">
      <alignment horizontal="center" vertical="center" wrapText="1"/>
    </xf>
    <xf numFmtId="0" fontId="1" fillId="9" borderId="0" xfId="0" applyFont="1" applyFill="1" applyAlignment="1">
      <alignment horizontal="centerContinuous"/>
    </xf>
    <xf numFmtId="0" fontId="1" fillId="4" borderId="0" xfId="0" applyFont="1" applyFill="1" applyAlignment="1">
      <alignment horizontal="centerContinuous"/>
    </xf>
    <xf numFmtId="0" fontId="1" fillId="10" borderId="0" xfId="0" applyFont="1" applyFill="1" applyAlignment="1">
      <alignment horizontal="centerContinuous"/>
    </xf>
    <xf numFmtId="0" fontId="1" fillId="11" borderId="0" xfId="0" applyFont="1" applyFill="1" applyAlignment="1">
      <alignment horizontal="centerContinuous"/>
    </xf>
    <xf numFmtId="0" fontId="6" fillId="0" borderId="0" xfId="1" applyAlignment="1">
      <alignment horizontal="left"/>
    </xf>
    <xf numFmtId="0" fontId="0" fillId="0" borderId="0" xfId="0" applyAlignment="1">
      <alignment horizontal="left"/>
    </xf>
    <xf numFmtId="14" fontId="4" fillId="0" borderId="0" xfId="0" applyNumberFormat="1" applyFont="1"/>
    <xf numFmtId="3" fontId="4" fillId="0" borderId="0" xfId="0" applyNumberFormat="1" applyFont="1" applyAlignment="1">
      <alignment horizontal="center"/>
    </xf>
    <xf numFmtId="14" fontId="4" fillId="0" borderId="0" xfId="0" applyNumberFormat="1" applyFont="1" applyAlignment="1">
      <alignment horizontal="center"/>
    </xf>
    <xf numFmtId="0" fontId="12" fillId="4" borderId="0" xfId="0" applyFont="1" applyFill="1" applyAlignment="1">
      <alignment horizontal="left"/>
    </xf>
    <xf numFmtId="0" fontId="2" fillId="0" borderId="0" xfId="0" applyFont="1"/>
    <xf numFmtId="0" fontId="0" fillId="12" borderId="0" xfId="0" applyFill="1" applyAlignment="1">
      <alignment horizontal="center"/>
    </xf>
    <xf numFmtId="165" fontId="17" fillId="5" borderId="0" xfId="0" applyNumberFormat="1" applyFont="1" applyFill="1"/>
    <xf numFmtId="165" fontId="17" fillId="0" borderId="0" xfId="0" applyNumberFormat="1" applyFont="1"/>
    <xf numFmtId="0" fontId="4" fillId="13" borderId="0" xfId="0" applyFont="1" applyFill="1"/>
    <xf numFmtId="0" fontId="4" fillId="13" borderId="0" xfId="0" applyFont="1" applyFill="1" applyAlignment="1">
      <alignment horizontal="left" indent="2"/>
    </xf>
    <xf numFmtId="0" fontId="10" fillId="0" borderId="0" xfId="0" applyFont="1"/>
    <xf numFmtId="0" fontId="14" fillId="0" borderId="2" xfId="0" applyFont="1" applyBorder="1" applyAlignment="1">
      <alignment horizontal="left"/>
    </xf>
    <xf numFmtId="0" fontId="14" fillId="0" borderId="2" xfId="0" applyFont="1" applyBorder="1" applyAlignment="1">
      <alignment horizontal="center"/>
    </xf>
    <xf numFmtId="166" fontId="14" fillId="0" borderId="2" xfId="0" applyNumberFormat="1" applyFont="1" applyBorder="1" applyAlignment="1">
      <alignment horizontal="right"/>
    </xf>
    <xf numFmtId="9" fontId="4" fillId="0" borderId="0" xfId="0" applyNumberFormat="1" applyFont="1"/>
    <xf numFmtId="9" fontId="10" fillId="0" borderId="0" xfId="0" applyNumberFormat="1" applyFont="1"/>
    <xf numFmtId="164" fontId="15" fillId="0" borderId="0" xfId="0" applyNumberFormat="1" applyFont="1"/>
    <xf numFmtId="3" fontId="15" fillId="0" borderId="0" xfId="0" applyNumberFormat="1" applyFont="1"/>
    <xf numFmtId="3" fontId="15" fillId="2" borderId="0" xfId="0" applyNumberFormat="1" applyFont="1" applyFill="1"/>
    <xf numFmtId="3" fontId="15" fillId="3" borderId="0" xfId="0" applyNumberFormat="1" applyFont="1" applyFill="1"/>
    <xf numFmtId="165" fontId="18" fillId="0" borderId="2" xfId="0" applyNumberFormat="1" applyFont="1" applyBorder="1"/>
    <xf numFmtId="8" fontId="0" fillId="0" borderId="0" xfId="0" applyNumberFormat="1"/>
    <xf numFmtId="168" fontId="15" fillId="0" borderId="0" xfId="0" applyNumberFormat="1" applyFont="1"/>
    <xf numFmtId="168" fontId="4" fillId="0" borderId="0" xfId="0" applyNumberFormat="1" applyFont="1"/>
  </cellXfs>
  <cellStyles count="2">
    <cellStyle name="Hyperlink" xfId="1" builtinId="8"/>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16.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24"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openxmlformats.org/officeDocument/2006/relationships/calcChain" Target="calcChain.xml"/><Relationship Id="rId10" Type="http://schemas.openxmlformats.org/officeDocument/2006/relationships/externalLink" Target="externalLinks/externalLink5.xml"/><Relationship Id="rId19" Type="http://schemas.openxmlformats.org/officeDocument/2006/relationships/externalLink" Target="externalLinks/externalLink14.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externalLink" Target="externalLinks/externalLink17.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'Charities Clean'!$B$22</c:f>
              <c:strCache>
                <c:ptCount val="1"/>
                <c:pt idx="0">
                  <c:v>Mater Foundation</c:v>
                </c:pt>
              </c:strCache>
            </c:strRef>
          </c:tx>
          <c:spPr>
            <a:solidFill>
              <a:schemeClr val="tx2"/>
            </a:solidFill>
            <a:ln>
              <a:noFill/>
            </a:ln>
            <a:effectLst/>
          </c:spPr>
          <c:invertIfNegative val="0"/>
          <c:cat>
            <c:strRef>
              <c:f>'Charities Clean'!$J$3:$Q$3</c:f>
              <c:strCache>
                <c:ptCount val="8"/>
                <c:pt idx="0">
                  <c:v>FY20</c:v>
                </c:pt>
                <c:pt idx="1">
                  <c:v>FY21</c:v>
                </c:pt>
                <c:pt idx="2">
                  <c:v>FY22</c:v>
                </c:pt>
                <c:pt idx="3">
                  <c:v>FY23</c:v>
                </c:pt>
                <c:pt idx="4">
                  <c:v>FY24</c:v>
                </c:pt>
                <c:pt idx="5">
                  <c:v>FY25</c:v>
                </c:pt>
                <c:pt idx="6">
                  <c:v>FY26E</c:v>
                </c:pt>
                <c:pt idx="7">
                  <c:v>FY27E</c:v>
                </c:pt>
              </c:strCache>
            </c:strRef>
          </c:cat>
          <c:val>
            <c:numRef>
              <c:f>'Charities Clean'!$J$29:$Q$29</c:f>
              <c:numCache>
                <c:formatCode>0%</c:formatCode>
                <c:ptCount val="8"/>
                <c:pt idx="1">
                  <c:v>0.10968479486483965</c:v>
                </c:pt>
                <c:pt idx="2">
                  <c:v>0.12654702170747761</c:v>
                </c:pt>
                <c:pt idx="3">
                  <c:v>0.16283951555144258</c:v>
                </c:pt>
                <c:pt idx="4">
                  <c:v>0.19950484709405875</c:v>
                </c:pt>
                <c:pt idx="5">
                  <c:v>0.22607024879621901</c:v>
                </c:pt>
                <c:pt idx="6">
                  <c:v>0.2663457362065132</c:v>
                </c:pt>
                <c:pt idx="7">
                  <c:v>0.2663457362065132</c:v>
                </c:pt>
              </c:numCache>
            </c:numRef>
          </c:val>
          <c:extLst>
            <c:ext xmlns:c16="http://schemas.microsoft.com/office/drawing/2014/chart" uri="{C3380CC4-5D6E-409C-BE32-E72D297353CC}">
              <c16:uniqueId val="{00000000-404F-42B4-97BF-59C525E4FAEA}"/>
            </c:ext>
          </c:extLst>
        </c:ser>
        <c:ser>
          <c:idx val="1"/>
          <c:order val="1"/>
          <c:tx>
            <c:strRef>
              <c:f>'Charities Clean'!$B$23</c:f>
              <c:strCache>
                <c:ptCount val="1"/>
                <c:pt idx="0">
                  <c:v>Endeavour Foundation</c:v>
                </c:pt>
              </c:strCache>
            </c:strRef>
          </c:tx>
          <c:spPr>
            <a:solidFill>
              <a:schemeClr val="bg2">
                <a:lumMod val="60000"/>
                <a:lumOff val="40000"/>
              </a:schemeClr>
            </a:solidFill>
            <a:ln>
              <a:noFill/>
            </a:ln>
            <a:effectLst/>
          </c:spPr>
          <c:invertIfNegative val="0"/>
          <c:cat>
            <c:strRef>
              <c:f>'Charities Clean'!$J$3:$Q$3</c:f>
              <c:strCache>
                <c:ptCount val="8"/>
                <c:pt idx="0">
                  <c:v>FY20</c:v>
                </c:pt>
                <c:pt idx="1">
                  <c:v>FY21</c:v>
                </c:pt>
                <c:pt idx="2">
                  <c:v>FY22</c:v>
                </c:pt>
                <c:pt idx="3">
                  <c:v>FY23</c:v>
                </c:pt>
                <c:pt idx="4">
                  <c:v>FY24</c:v>
                </c:pt>
                <c:pt idx="5">
                  <c:v>FY25</c:v>
                </c:pt>
                <c:pt idx="6">
                  <c:v>FY26E</c:v>
                </c:pt>
                <c:pt idx="7">
                  <c:v>FY27E</c:v>
                </c:pt>
              </c:strCache>
            </c:strRef>
          </c:cat>
          <c:val>
            <c:numRef>
              <c:f>'Charities Clean'!$J$30:$Q$30</c:f>
              <c:numCache>
                <c:formatCode>0%</c:formatCode>
                <c:ptCount val="8"/>
                <c:pt idx="1">
                  <c:v>7.4583774385207691E-2</c:v>
                </c:pt>
                <c:pt idx="2">
                  <c:v>7.1800185568095615E-2</c:v>
                </c:pt>
                <c:pt idx="3">
                  <c:v>7.0931502359075554E-2</c:v>
                </c:pt>
                <c:pt idx="4">
                  <c:v>6.6407684324548161E-2</c:v>
                </c:pt>
                <c:pt idx="5">
                  <c:v>6.5578687921973855E-2</c:v>
                </c:pt>
                <c:pt idx="6">
                  <c:v>6.2676532934884177E-2</c:v>
                </c:pt>
                <c:pt idx="7">
                  <c:v>6.2676532934884177E-2</c:v>
                </c:pt>
              </c:numCache>
            </c:numRef>
          </c:val>
          <c:extLst>
            <c:ext xmlns:c16="http://schemas.microsoft.com/office/drawing/2014/chart" uri="{C3380CC4-5D6E-409C-BE32-E72D297353CC}">
              <c16:uniqueId val="{00000001-404F-42B4-97BF-59C525E4FAEA}"/>
            </c:ext>
          </c:extLst>
        </c:ser>
        <c:ser>
          <c:idx val="2"/>
          <c:order val="2"/>
          <c:tx>
            <c:strRef>
              <c:f>'Charities Clean'!$B$24</c:f>
              <c:strCache>
                <c:ptCount val="1"/>
                <c:pt idx="0">
                  <c:v>Deaf Connect</c:v>
                </c:pt>
              </c:strCache>
            </c:strRef>
          </c:tx>
          <c:spPr>
            <a:solidFill>
              <a:schemeClr val="accent1"/>
            </a:solidFill>
            <a:ln>
              <a:noFill/>
            </a:ln>
            <a:effectLst/>
          </c:spPr>
          <c:invertIfNegative val="0"/>
          <c:cat>
            <c:strRef>
              <c:f>'Charities Clean'!$J$3:$Q$3</c:f>
              <c:strCache>
                <c:ptCount val="8"/>
                <c:pt idx="0">
                  <c:v>FY20</c:v>
                </c:pt>
                <c:pt idx="1">
                  <c:v>FY21</c:v>
                </c:pt>
                <c:pt idx="2">
                  <c:v>FY22</c:v>
                </c:pt>
                <c:pt idx="3">
                  <c:v>FY23</c:v>
                </c:pt>
                <c:pt idx="4">
                  <c:v>FY24</c:v>
                </c:pt>
                <c:pt idx="5">
                  <c:v>FY25</c:v>
                </c:pt>
                <c:pt idx="6">
                  <c:v>FY26E</c:v>
                </c:pt>
                <c:pt idx="7">
                  <c:v>FY27E</c:v>
                </c:pt>
              </c:strCache>
            </c:strRef>
          </c:cat>
          <c:val>
            <c:numRef>
              <c:f>'Charities Clean'!$J$31:$Q$31</c:f>
              <c:numCache>
                <c:formatCode>0%</c:formatCode>
                <c:ptCount val="8"/>
                <c:pt idx="2">
                  <c:v>3.9040016628156322E-2</c:v>
                </c:pt>
                <c:pt idx="3">
                  <c:v>3.9028897417154845E-2</c:v>
                </c:pt>
                <c:pt idx="4">
                  <c:v>4.4263150632617224E-2</c:v>
                </c:pt>
                <c:pt idx="5">
                  <c:v>4.4095770541861604E-2</c:v>
                </c:pt>
                <c:pt idx="6">
                  <c:v>4.1359747142529241E-2</c:v>
                </c:pt>
                <c:pt idx="7">
                  <c:v>4.1359747142529241E-2</c:v>
                </c:pt>
              </c:numCache>
            </c:numRef>
          </c:val>
          <c:extLst>
            <c:ext xmlns:c16="http://schemas.microsoft.com/office/drawing/2014/chart" uri="{C3380CC4-5D6E-409C-BE32-E72D297353CC}">
              <c16:uniqueId val="{00000002-404F-42B4-97BF-59C525E4FAEA}"/>
            </c:ext>
          </c:extLst>
        </c:ser>
        <c:ser>
          <c:idx val="3"/>
          <c:order val="3"/>
          <c:tx>
            <c:strRef>
              <c:f>'Charities Clean'!$B$25</c:f>
              <c:strCache>
                <c:ptCount val="1"/>
                <c:pt idx="0">
                  <c:v>RSL Art Union</c:v>
                </c:pt>
              </c:strCache>
            </c:strRef>
          </c:tx>
          <c:spPr>
            <a:solidFill>
              <a:schemeClr val="accent4"/>
            </a:solidFill>
            <a:ln>
              <a:noFill/>
            </a:ln>
            <a:effectLst/>
          </c:spPr>
          <c:invertIfNegative val="0"/>
          <c:cat>
            <c:strRef>
              <c:f>'Charities Clean'!$J$3:$Q$3</c:f>
              <c:strCache>
                <c:ptCount val="8"/>
                <c:pt idx="0">
                  <c:v>FY20</c:v>
                </c:pt>
                <c:pt idx="1">
                  <c:v>FY21</c:v>
                </c:pt>
                <c:pt idx="2">
                  <c:v>FY22</c:v>
                </c:pt>
                <c:pt idx="3">
                  <c:v>FY23</c:v>
                </c:pt>
                <c:pt idx="4">
                  <c:v>FY24</c:v>
                </c:pt>
                <c:pt idx="5">
                  <c:v>FY25</c:v>
                </c:pt>
                <c:pt idx="6">
                  <c:v>FY26E</c:v>
                </c:pt>
                <c:pt idx="7">
                  <c:v>FY27E</c:v>
                </c:pt>
              </c:strCache>
            </c:strRef>
          </c:cat>
          <c:val>
            <c:numRef>
              <c:f>'Charities Clean'!$J$32:$Q$32</c:f>
              <c:numCache>
                <c:formatCode>0%</c:formatCode>
                <c:ptCount val="8"/>
                <c:pt idx="7">
                  <c:v>0.31502235468185869</c:v>
                </c:pt>
              </c:numCache>
            </c:numRef>
          </c:val>
          <c:extLst>
            <c:ext xmlns:c16="http://schemas.microsoft.com/office/drawing/2014/chart" uri="{C3380CC4-5D6E-409C-BE32-E72D297353CC}">
              <c16:uniqueId val="{00000003-404F-42B4-97BF-59C525E4FAEA}"/>
            </c:ext>
          </c:extLst>
        </c:ser>
        <c:ser>
          <c:idx val="4"/>
          <c:order val="4"/>
          <c:spPr>
            <a:solidFill>
              <a:schemeClr val="accent5"/>
            </a:solidFill>
            <a:ln>
              <a:noFill/>
            </a:ln>
            <a:effectLst/>
          </c:spPr>
          <c:invertIfNegative val="0"/>
          <c:dLbls>
            <c:dLbl>
              <c:idx val="0"/>
              <c:tx>
                <c:rich>
                  <a:bodyPr/>
                  <a:lstStyle/>
                  <a:p>
                    <a:fld id="{7D363672-0372-4858-A8B3-FCD088446EEB}" type="CELLRANGE">
                      <a:rPr lang="en-US"/>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404F-42B4-97BF-59C525E4FAEA}"/>
                </c:ext>
              </c:extLst>
            </c:dLbl>
            <c:dLbl>
              <c:idx val="1"/>
              <c:tx>
                <c:rich>
                  <a:bodyPr/>
                  <a:lstStyle/>
                  <a:p>
                    <a:fld id="{B9AC9EE3-27FD-4B7E-B890-5AC2B080CAF7}"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04F-42B4-97BF-59C525E4FAEA}"/>
                </c:ext>
              </c:extLst>
            </c:dLbl>
            <c:dLbl>
              <c:idx val="2"/>
              <c:tx>
                <c:rich>
                  <a:bodyPr/>
                  <a:lstStyle/>
                  <a:p>
                    <a:fld id="{93A20346-7121-4337-B04F-CE7557696045}"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404F-42B4-97BF-59C525E4FAEA}"/>
                </c:ext>
              </c:extLst>
            </c:dLbl>
            <c:dLbl>
              <c:idx val="3"/>
              <c:tx>
                <c:rich>
                  <a:bodyPr/>
                  <a:lstStyle/>
                  <a:p>
                    <a:fld id="{AA1ACD93-1933-43E4-826F-0B4874560B02}"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04F-42B4-97BF-59C525E4FAEA}"/>
                </c:ext>
              </c:extLst>
            </c:dLbl>
            <c:dLbl>
              <c:idx val="4"/>
              <c:tx>
                <c:rich>
                  <a:bodyPr/>
                  <a:lstStyle/>
                  <a:p>
                    <a:fld id="{152CF6FA-BBE8-4113-8A07-CC3B53DC3533}"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404F-42B4-97BF-59C525E4FAEA}"/>
                </c:ext>
              </c:extLst>
            </c:dLbl>
            <c:dLbl>
              <c:idx val="5"/>
              <c:tx>
                <c:rich>
                  <a:bodyPr/>
                  <a:lstStyle/>
                  <a:p>
                    <a:fld id="{771E3F94-651F-49AE-8CAF-9A6DAA386D81}"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04F-42B4-97BF-59C525E4FAEA}"/>
                </c:ext>
              </c:extLst>
            </c:dLbl>
            <c:dLbl>
              <c:idx val="6"/>
              <c:tx>
                <c:rich>
                  <a:bodyPr/>
                  <a:lstStyle/>
                  <a:p>
                    <a:fld id="{C0CA847B-9B60-4890-9582-E9FE55A58022}"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404F-42B4-97BF-59C525E4FAEA}"/>
                </c:ext>
              </c:extLst>
            </c:dLbl>
            <c:dLbl>
              <c:idx val="7"/>
              <c:tx>
                <c:rich>
                  <a:bodyPr/>
                  <a:lstStyle/>
                  <a:p>
                    <a:fld id="{B227A0ED-FB40-49CD-9512-360EBB2491DB}"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404F-42B4-97BF-59C525E4FAE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'Charities Clean'!$J$3:$Q$3</c:f>
              <c:strCache>
                <c:ptCount val="8"/>
                <c:pt idx="0">
                  <c:v>FY20</c:v>
                </c:pt>
                <c:pt idx="1">
                  <c:v>FY21</c:v>
                </c:pt>
                <c:pt idx="2">
                  <c:v>FY22</c:v>
                </c:pt>
                <c:pt idx="3">
                  <c:v>FY23</c:v>
                </c:pt>
                <c:pt idx="4">
                  <c:v>FY24</c:v>
                </c:pt>
                <c:pt idx="5">
                  <c:v>FY25</c:v>
                </c:pt>
                <c:pt idx="6">
                  <c:v>FY26E</c:v>
                </c:pt>
                <c:pt idx="7">
                  <c:v>FY27E</c:v>
                </c:pt>
              </c:strCache>
            </c:strRef>
          </c:cat>
          <c:val>
            <c:numRef>
              <c:f>'Charities Clean'!$J$34:$Q$34</c:f>
              <c:numCache>
                <c:formatCode>0%</c:formatCode>
                <c:ptCount val="8"/>
                <c:pt idx="0">
                  <c:v>0</c:v>
                </c:pt>
                <c:pt idx="1">
                  <c:v>0</c:v>
                </c:pt>
                <c:pt idx="2">
                  <c:v>0</c:v>
                </c:pt>
                <c:pt idx="3">
                  <c:v>0</c:v>
                </c:pt>
                <c:pt idx="4">
                  <c:v>0</c:v>
                </c:pt>
                <c:pt idx="5">
                  <c:v>0</c:v>
                </c:pt>
                <c:pt idx="6">
                  <c:v>0</c:v>
                </c:pt>
                <c:pt idx="7">
                  <c:v>0</c:v>
                </c:pt>
              </c:numCache>
            </c:numRef>
          </c:val>
          <c:extLst>
            <c:ext xmlns:c15="http://schemas.microsoft.com/office/drawing/2012/chart" uri="{02D57815-91ED-43cb-92C2-25804820EDAC}">
              <c15:datalabelsRange>
                <c15:f>'Charities Clean'!$J$35:$Q$35</c15:f>
                <c15:dlblRangeCache>
                  <c:ptCount val="8"/>
                  <c:pt idx="0">
                    <c:v>0%</c:v>
                  </c:pt>
                  <c:pt idx="1">
                    <c:v>18%</c:v>
                  </c:pt>
                  <c:pt idx="2">
                    <c:v>24%</c:v>
                  </c:pt>
                  <c:pt idx="3">
                    <c:v>27%</c:v>
                  </c:pt>
                  <c:pt idx="4">
                    <c:v>31%</c:v>
                  </c:pt>
                  <c:pt idx="5">
                    <c:v>34%</c:v>
                  </c:pt>
                  <c:pt idx="6">
                    <c:v>37%</c:v>
                  </c:pt>
                  <c:pt idx="7">
                    <c:v>69%</c:v>
                  </c:pt>
                </c15:dlblRangeCache>
              </c15:datalabelsRange>
            </c:ext>
            <c:ext xmlns:c16="http://schemas.microsoft.com/office/drawing/2014/chart" uri="{C3380CC4-5D6E-409C-BE32-E72D297353CC}">
              <c16:uniqueId val="{0000000C-404F-42B4-97BF-59C525E4FAEA}"/>
            </c:ext>
          </c:extLst>
        </c:ser>
        <c:dLbls>
          <c:showLegendKey val="0"/>
          <c:showVal val="0"/>
          <c:showCatName val="0"/>
          <c:showSerName val="0"/>
          <c:showPercent val="0"/>
          <c:showBubbleSize val="0"/>
        </c:dLbls>
        <c:gapWidth val="150"/>
        <c:overlap val="100"/>
        <c:axId val="178170575"/>
        <c:axId val="178171055"/>
      </c:barChart>
      <c:catAx>
        <c:axId val="17817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8171055"/>
        <c:crosses val="autoZero"/>
        <c:auto val="1"/>
        <c:lblAlgn val="ctr"/>
        <c:lblOffset val="100"/>
        <c:noMultiLvlLbl val="0"/>
      </c:catAx>
      <c:valAx>
        <c:axId val="1781710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8170575"/>
        <c:crosses val="autoZero"/>
        <c:crossBetween val="between"/>
      </c:valAx>
      <c:spPr>
        <a:noFill/>
        <a:ln>
          <a:noFill/>
        </a:ln>
        <a:effectLst/>
      </c:spPr>
    </c:plotArea>
    <c:legend>
      <c:legendPos val="b"/>
      <c:legendEntry>
        <c:idx val="4"/>
        <c:delete val="1"/>
      </c:legendEntry>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900">
          <a:solidFill>
            <a:sysClr val="windowText" lastClr="000000"/>
          </a:solidFill>
        </a:defRPr>
      </a:pPr>
      <a:endParaRPr lang="en-US"/>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'Charities Clean'!$B$57</c:f>
              <c:strCache>
                <c:ptCount val="1"/>
                <c:pt idx="0">
                  <c:v>Pre-Jumbo Charities</c:v>
                </c:pt>
              </c:strCache>
            </c:strRef>
          </c:tx>
          <c:spPr>
            <a:ln w="28575" cap="rnd">
              <a:solidFill>
                <a:schemeClr val="tx2">
                  <a:lumMod val="40000"/>
                  <a:lumOff val="60000"/>
                </a:schemeClr>
              </a:solidFill>
              <a:prstDash val="sysDot"/>
              <a:round/>
            </a:ln>
            <a:effectLst/>
          </c:spPr>
          <c:marker>
            <c:symbol val="none"/>
          </c:marker>
          <c:cat>
            <c:strRef>
              <c:f>'Charities Clean'!$D$3:$P$3</c:f>
              <c:strCache>
                <c:ptCount val="13"/>
                <c:pt idx="0">
                  <c:v>FY14</c:v>
                </c:pt>
                <c:pt idx="1">
                  <c:v>FY15</c:v>
                </c:pt>
                <c:pt idx="2">
                  <c:v>FY16</c:v>
                </c:pt>
                <c:pt idx="3">
                  <c:v>FY17</c:v>
                </c:pt>
                <c:pt idx="4">
                  <c:v>FY18</c:v>
                </c:pt>
                <c:pt idx="5">
                  <c:v>FY19</c:v>
                </c:pt>
                <c:pt idx="6">
                  <c:v>FY20</c:v>
                </c:pt>
                <c:pt idx="7">
                  <c:v>FY21</c:v>
                </c:pt>
                <c:pt idx="8">
                  <c:v>FY22</c:v>
                </c:pt>
                <c:pt idx="9">
                  <c:v>FY23</c:v>
                </c:pt>
                <c:pt idx="10">
                  <c:v>FY24</c:v>
                </c:pt>
                <c:pt idx="11">
                  <c:v>FY25</c:v>
                </c:pt>
                <c:pt idx="12">
                  <c:v>FY26E</c:v>
                </c:pt>
              </c:strCache>
            </c:strRef>
          </c:cat>
          <c:val>
            <c:numRef>
              <c:f>'Charities Clean'!$D$57:$P$57</c:f>
              <c:numCache>
                <c:formatCode>#,##0.0</c:formatCode>
                <c:ptCount val="13"/>
                <c:pt idx="0">
                  <c:v>1</c:v>
                </c:pt>
                <c:pt idx="1">
                  <c:v>1.1161304538695145</c:v>
                </c:pt>
                <c:pt idx="2">
                  <c:v>1.1004832514581464</c:v>
                </c:pt>
                <c:pt idx="3">
                  <c:v>1.1405352338987473</c:v>
                </c:pt>
                <c:pt idx="4">
                  <c:v>1.2495316638191856</c:v>
                </c:pt>
                <c:pt idx="5">
                  <c:v>1.3092821048179351</c:v>
                </c:pt>
                <c:pt idx="6">
                  <c:v>1.2992304966607831</c:v>
                </c:pt>
              </c:numCache>
            </c:numRef>
          </c:val>
          <c:smooth val="0"/>
          <c:extLst>
            <c:ext xmlns:c16="http://schemas.microsoft.com/office/drawing/2014/chart" uri="{C3380CC4-5D6E-409C-BE32-E72D297353CC}">
              <c16:uniqueId val="{00000000-3FB1-4E52-AAE7-B790B20DACD7}"/>
            </c:ext>
          </c:extLst>
        </c:ser>
        <c:ser>
          <c:idx val="1"/>
          <c:order val="1"/>
          <c:tx>
            <c:strRef>
              <c:f>'Charities Clean'!$B$58</c:f>
              <c:strCache>
                <c:ptCount val="1"/>
                <c:pt idx="0">
                  <c:v>Post-Jumbo Charities</c:v>
                </c:pt>
              </c:strCache>
            </c:strRef>
          </c:tx>
          <c:spPr>
            <a:ln w="19050" cap="rnd">
              <a:solidFill>
                <a:schemeClr val="tx2"/>
              </a:solidFill>
              <a:round/>
            </a:ln>
            <a:effectLst/>
          </c:spPr>
          <c:marker>
            <c:symbol val="none"/>
          </c:marker>
          <c:cat>
            <c:strRef>
              <c:f>'Charities Clean'!$D$3:$P$3</c:f>
              <c:strCache>
                <c:ptCount val="13"/>
                <c:pt idx="0">
                  <c:v>FY14</c:v>
                </c:pt>
                <c:pt idx="1">
                  <c:v>FY15</c:v>
                </c:pt>
                <c:pt idx="2">
                  <c:v>FY16</c:v>
                </c:pt>
                <c:pt idx="3">
                  <c:v>FY17</c:v>
                </c:pt>
                <c:pt idx="4">
                  <c:v>FY18</c:v>
                </c:pt>
                <c:pt idx="5">
                  <c:v>FY19</c:v>
                </c:pt>
                <c:pt idx="6">
                  <c:v>FY20</c:v>
                </c:pt>
                <c:pt idx="7">
                  <c:v>FY21</c:v>
                </c:pt>
                <c:pt idx="8">
                  <c:v>FY22</c:v>
                </c:pt>
                <c:pt idx="9">
                  <c:v>FY23</c:v>
                </c:pt>
                <c:pt idx="10">
                  <c:v>FY24</c:v>
                </c:pt>
                <c:pt idx="11">
                  <c:v>FY25</c:v>
                </c:pt>
                <c:pt idx="12">
                  <c:v>FY26E</c:v>
                </c:pt>
              </c:strCache>
            </c:strRef>
          </c:cat>
          <c:val>
            <c:numRef>
              <c:f>'Charities Clean'!$D$58:$P$58</c:f>
              <c:numCache>
                <c:formatCode>#,##0.0</c:formatCode>
                <c:ptCount val="13"/>
                <c:pt idx="6">
                  <c:v>1.2992304966607831</c:v>
                </c:pt>
                <c:pt idx="7">
                  <c:v>1.3911445216234861</c:v>
                </c:pt>
                <c:pt idx="8">
                  <c:v>1.6227390763246343</c:v>
                </c:pt>
                <c:pt idx="9">
                  <c:v>1.8947261093620964</c:v>
                </c:pt>
                <c:pt idx="10">
                  <c:v>2.2031030932454709</c:v>
                </c:pt>
                <c:pt idx="11">
                  <c:v>2.5143149687566542</c:v>
                </c:pt>
                <c:pt idx="12">
                  <c:v>3.0837344519687493</c:v>
                </c:pt>
              </c:numCache>
            </c:numRef>
          </c:val>
          <c:smooth val="0"/>
          <c:extLst>
            <c:ext xmlns:c16="http://schemas.microsoft.com/office/drawing/2014/chart" uri="{C3380CC4-5D6E-409C-BE32-E72D297353CC}">
              <c16:uniqueId val="{00000001-3FB1-4E52-AAE7-B790B20DACD7}"/>
            </c:ext>
          </c:extLst>
        </c:ser>
        <c:ser>
          <c:idx val="2"/>
          <c:order val="2"/>
          <c:tx>
            <c:strRef>
              <c:f>'Charities Clean'!$B$59</c:f>
              <c:strCache>
                <c:ptCount val="1"/>
                <c:pt idx="0">
                  <c:v>Other Charities</c:v>
                </c:pt>
              </c:strCache>
            </c:strRef>
          </c:tx>
          <c:spPr>
            <a:ln w="19050" cap="rnd">
              <a:solidFill>
                <a:schemeClr val="bg2"/>
              </a:solidFill>
              <a:round/>
            </a:ln>
            <a:effectLst/>
          </c:spPr>
          <c:marker>
            <c:symbol val="none"/>
          </c:marker>
          <c:cat>
            <c:strRef>
              <c:f>'Charities Clean'!$D$3:$P$3</c:f>
              <c:strCache>
                <c:ptCount val="13"/>
                <c:pt idx="0">
                  <c:v>FY14</c:v>
                </c:pt>
                <c:pt idx="1">
                  <c:v>FY15</c:v>
                </c:pt>
                <c:pt idx="2">
                  <c:v>FY16</c:v>
                </c:pt>
                <c:pt idx="3">
                  <c:v>FY17</c:v>
                </c:pt>
                <c:pt idx="4">
                  <c:v>FY18</c:v>
                </c:pt>
                <c:pt idx="5">
                  <c:v>FY19</c:v>
                </c:pt>
                <c:pt idx="6">
                  <c:v>FY20</c:v>
                </c:pt>
                <c:pt idx="7">
                  <c:v>FY21</c:v>
                </c:pt>
                <c:pt idx="8">
                  <c:v>FY22</c:v>
                </c:pt>
                <c:pt idx="9">
                  <c:v>FY23</c:v>
                </c:pt>
                <c:pt idx="10">
                  <c:v>FY24</c:v>
                </c:pt>
                <c:pt idx="11">
                  <c:v>FY25</c:v>
                </c:pt>
                <c:pt idx="12">
                  <c:v>FY26E</c:v>
                </c:pt>
              </c:strCache>
            </c:strRef>
          </c:cat>
          <c:val>
            <c:numRef>
              <c:f>'Charities Clean'!$D$59:$P$59</c:f>
              <c:numCache>
                <c:formatCode>#,##0.0</c:formatCode>
                <c:ptCount val="13"/>
                <c:pt idx="0">
                  <c:v>1</c:v>
                </c:pt>
                <c:pt idx="1">
                  <c:v>1.1220332223300891</c:v>
                </c:pt>
                <c:pt idx="2">
                  <c:v>1.2531603555901605</c:v>
                </c:pt>
                <c:pt idx="3">
                  <c:v>1.3580749769847278</c:v>
                </c:pt>
                <c:pt idx="4">
                  <c:v>1.4006509043052824</c:v>
                </c:pt>
                <c:pt idx="5">
                  <c:v>1.4880718444011285</c:v>
                </c:pt>
                <c:pt idx="6">
                  <c:v>1.7574294187840678</c:v>
                </c:pt>
                <c:pt idx="7">
                  <c:v>2.1691734200676001</c:v>
                </c:pt>
                <c:pt idx="8">
                  <c:v>2.4177635047496051</c:v>
                </c:pt>
                <c:pt idx="9">
                  <c:v>2.3424725897474392</c:v>
                </c:pt>
                <c:pt idx="10">
                  <c:v>2.2723957218192146</c:v>
                </c:pt>
                <c:pt idx="11">
                  <c:v>2.3070867115675191</c:v>
                </c:pt>
                <c:pt idx="12">
                  <c:v>2.4312106743776742</c:v>
                </c:pt>
              </c:numCache>
            </c:numRef>
          </c:val>
          <c:smooth val="0"/>
          <c:extLst>
            <c:ext xmlns:c16="http://schemas.microsoft.com/office/drawing/2014/chart" uri="{C3380CC4-5D6E-409C-BE32-E72D297353CC}">
              <c16:uniqueId val="{00000002-3FB1-4E52-AAE7-B790B20DACD7}"/>
            </c:ext>
          </c:extLst>
        </c:ser>
        <c:dLbls>
          <c:showLegendKey val="0"/>
          <c:showVal val="0"/>
          <c:showCatName val="0"/>
          <c:showSerName val="0"/>
          <c:showPercent val="0"/>
          <c:showBubbleSize val="0"/>
        </c:dLbls>
        <c:smooth val="0"/>
        <c:axId val="1518160480"/>
        <c:axId val="1518157120"/>
      </c:lineChart>
      <c:catAx>
        <c:axId val="1518160480"/>
        <c:scaling>
          <c:orientation val="minMax"/>
        </c:scaling>
        <c:delete val="0"/>
        <c:axPos val="b"/>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518157120"/>
        <c:crossesAt val="1"/>
        <c:auto val="1"/>
        <c:lblAlgn val="ctr"/>
        <c:lblOffset val="100"/>
        <c:noMultiLvlLbl val="0"/>
      </c:catAx>
      <c:valAx>
        <c:axId val="1518157120"/>
        <c:scaling>
          <c:orientation val="minMax"/>
          <c:min val="0.8"/>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518160480"/>
        <c:crosses val="autoZero"/>
        <c:crossBetween val="between"/>
      </c:valAx>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'Charities Clean'!$B$106</c:f>
              <c:strCache>
                <c:ptCount val="1"/>
                <c:pt idx="0">
                  <c:v>State Lotteries</c:v>
                </c:pt>
              </c:strCache>
            </c:strRef>
          </c:tx>
          <c:spPr>
            <a:ln w="19050" cap="rnd">
              <a:solidFill>
                <a:schemeClr val="bg2">
                  <a:lumMod val="40000"/>
                  <a:lumOff val="60000"/>
                </a:schemeClr>
              </a:solidFill>
              <a:round/>
            </a:ln>
            <a:effectLst/>
          </c:spPr>
          <c:marker>
            <c:symbol val="diamond"/>
            <c:size val="7"/>
            <c:spPr>
              <a:solidFill>
                <a:schemeClr val="bg2"/>
              </a:solidFill>
              <a:ln w="9525">
                <a:noFill/>
              </a:ln>
              <a:effectLst/>
            </c:spPr>
          </c:marker>
          <c:dLbls>
            <c:dLbl>
              <c:idx val="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6DE-4B50-A734-1C6DE19BF1A3}"/>
                </c:ext>
              </c:extLst>
            </c:dLbl>
            <c:dLbl>
              <c:idx val="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6DE-4B50-A734-1C6DE19BF1A3}"/>
                </c:ext>
              </c:extLst>
            </c:dLbl>
            <c:dLbl>
              <c:idx val="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6DE-4B50-A734-1C6DE19BF1A3}"/>
                </c:ext>
              </c:extLst>
            </c:dLbl>
            <c:dLbl>
              <c:idx val="4"/>
              <c:layout>
                <c:manualLayout>
                  <c:x val="-6.1347331583552107E-2"/>
                  <c:y val="-5.08391659375911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6DE-4B50-A734-1C6DE19BF1A3}"/>
                </c:ext>
              </c:extLst>
            </c:dLbl>
            <c:dLbl>
              <c:idx val="7"/>
              <c:layout>
                <c:manualLayout>
                  <c:x val="-5.3013998250218825E-2"/>
                  <c:y val="-6.43401866433362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6DE-4B50-A734-1C6DE19BF1A3}"/>
                </c:ext>
              </c:extLst>
            </c:dLbl>
            <c:dLbl>
              <c:idx val="9"/>
              <c:layout>
                <c:manualLayout>
                  <c:x val="-6.1347331583552156E-2"/>
                  <c:y val="-5.50809273840769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6DE-4B50-A734-1C6DE19BF1A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7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'Charities Clean'!$E$95:$P$95</c:f>
              <c:strCache>
                <c:ptCount val="12"/>
                <c:pt idx="0">
                  <c:v>FY15</c:v>
                </c:pt>
                <c:pt idx="1">
                  <c:v>FY16</c:v>
                </c:pt>
                <c:pt idx="2">
                  <c:v>FY17</c:v>
                </c:pt>
                <c:pt idx="3">
                  <c:v>FY18</c:v>
                </c:pt>
                <c:pt idx="4">
                  <c:v>FY19</c:v>
                </c:pt>
                <c:pt idx="5">
                  <c:v>FY20</c:v>
                </c:pt>
                <c:pt idx="6">
                  <c:v>FY21</c:v>
                </c:pt>
                <c:pt idx="7">
                  <c:v>FY22</c:v>
                </c:pt>
                <c:pt idx="8">
                  <c:v>FY23</c:v>
                </c:pt>
                <c:pt idx="9">
                  <c:v>FY24</c:v>
                </c:pt>
                <c:pt idx="10">
                  <c:v>FY25</c:v>
                </c:pt>
                <c:pt idx="11">
                  <c:v>FY26E</c:v>
                </c:pt>
              </c:strCache>
            </c:strRef>
          </c:cat>
          <c:val>
            <c:numRef>
              <c:f>'Charities Clean'!$E$106:$P$106</c:f>
              <c:numCache>
                <c:formatCode>0.0%</c:formatCode>
                <c:ptCount val="12"/>
                <c:pt idx="0">
                  <c:v>1.9367150934518795E-2</c:v>
                </c:pt>
                <c:pt idx="1">
                  <c:v>0.12540799511885625</c:v>
                </c:pt>
                <c:pt idx="2">
                  <c:v>-8.4210617257063247E-2</c:v>
                </c:pt>
                <c:pt idx="3">
                  <c:v>6.0508873746526692E-2</c:v>
                </c:pt>
                <c:pt idx="4">
                  <c:v>0.27124134989821513</c:v>
                </c:pt>
                <c:pt idx="5">
                  <c:v>7.1035860453547706E-3</c:v>
                </c:pt>
                <c:pt idx="6">
                  <c:v>8.0175206511212904E-2</c:v>
                </c:pt>
                <c:pt idx="7">
                  <c:v>0.11801768501437437</c:v>
                </c:pt>
                <c:pt idx="8">
                  <c:v>-7.5894825824189827E-3</c:v>
                </c:pt>
                <c:pt idx="9">
                  <c:v>0.14072942310701153</c:v>
                </c:pt>
                <c:pt idx="10">
                  <c:v>-9.1055837572967979E-2</c:v>
                </c:pt>
                <c:pt idx="11">
                  <c:v>-3.7036446966131731E-2</c:v>
                </c:pt>
              </c:numCache>
            </c:numRef>
          </c:val>
          <c:smooth val="0"/>
          <c:extLst>
            <c:ext xmlns:c16="http://schemas.microsoft.com/office/drawing/2014/chart" uri="{C3380CC4-5D6E-409C-BE32-E72D297353CC}">
              <c16:uniqueId val="{00000006-16DE-4B50-A734-1C6DE19BF1A3}"/>
            </c:ext>
          </c:extLst>
        </c:ser>
        <c:ser>
          <c:idx val="0"/>
          <c:order val="1"/>
          <c:tx>
            <c:strRef>
              <c:f>'Charities Clean'!$B$107</c:f>
              <c:strCache>
                <c:ptCount val="1"/>
                <c:pt idx="0">
                  <c:v>Charity Lotteries</c:v>
                </c:pt>
              </c:strCache>
            </c:strRef>
          </c:tx>
          <c:spPr>
            <a:ln w="19050" cap="rnd">
              <a:solidFill>
                <a:schemeClr val="tx2">
                  <a:lumMod val="20000"/>
                  <a:lumOff val="80000"/>
                </a:schemeClr>
              </a:solidFill>
              <a:round/>
            </a:ln>
            <a:effectLst/>
          </c:spPr>
          <c:marker>
            <c:symbol val="diamond"/>
            <c:size val="7"/>
            <c:spPr>
              <a:solidFill>
                <a:schemeClr val="tx2"/>
              </a:solidFill>
              <a:ln w="9525">
                <a:noFill/>
              </a:ln>
              <a:effectLst/>
            </c:spPr>
          </c:marker>
          <c:dLbls>
            <c:dLbl>
              <c:idx val="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6DE-4B50-A734-1C6DE19BF1A3}"/>
                </c:ext>
              </c:extLst>
            </c:dLbl>
            <c:dLbl>
              <c:idx val="3"/>
              <c:layout>
                <c:manualLayout>
                  <c:x val="-4.3194444444444445E-2"/>
                  <c:y val="3.751166520851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6DE-4B50-A734-1C6DE19BF1A3}"/>
                </c:ext>
              </c:extLst>
            </c:dLbl>
            <c:dLbl>
              <c:idx val="7"/>
              <c:layout>
                <c:manualLayout>
                  <c:x val="-7.5236220472441051E-2"/>
                  <c:y val="6.43401866433362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6DE-4B50-A734-1C6DE19BF1A3}"/>
                </c:ext>
              </c:extLst>
            </c:dLbl>
            <c:dLbl>
              <c:idx val="9"/>
              <c:layout>
                <c:manualLayout>
                  <c:x val="-5.7083333333333437E-2"/>
                  <c:y val="-5.14005540974044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6DE-4B50-A734-1C6DE19BF1A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'Charities Clean'!$E$95:$P$95</c:f>
              <c:strCache>
                <c:ptCount val="12"/>
                <c:pt idx="0">
                  <c:v>FY15</c:v>
                </c:pt>
                <c:pt idx="1">
                  <c:v>FY16</c:v>
                </c:pt>
                <c:pt idx="2">
                  <c:v>FY17</c:v>
                </c:pt>
                <c:pt idx="3">
                  <c:v>FY18</c:v>
                </c:pt>
                <c:pt idx="4">
                  <c:v>FY19</c:v>
                </c:pt>
                <c:pt idx="5">
                  <c:v>FY20</c:v>
                </c:pt>
                <c:pt idx="6">
                  <c:v>FY21</c:v>
                </c:pt>
                <c:pt idx="7">
                  <c:v>FY22</c:v>
                </c:pt>
                <c:pt idx="8">
                  <c:v>FY23</c:v>
                </c:pt>
                <c:pt idx="9">
                  <c:v>FY24</c:v>
                </c:pt>
                <c:pt idx="10">
                  <c:v>FY25</c:v>
                </c:pt>
                <c:pt idx="11">
                  <c:v>FY26E</c:v>
                </c:pt>
              </c:strCache>
            </c:strRef>
          </c:cat>
          <c:val>
            <c:numRef>
              <c:f>'Charities Clean'!$E$107:$P$107</c:f>
              <c:numCache>
                <c:formatCode>0.0%</c:formatCode>
                <c:ptCount val="12"/>
                <c:pt idx="0">
                  <c:v>0.12016298677738879</c:v>
                </c:pt>
                <c:pt idx="1">
                  <c:v>7.5545339585289861E-2</c:v>
                </c:pt>
                <c:pt idx="2">
                  <c:v>7.0023648152887974E-2</c:v>
                </c:pt>
                <c:pt idx="3">
                  <c:v>4.9350848394923208E-2</c:v>
                </c:pt>
                <c:pt idx="4">
                  <c:v>5.814277000743262E-2</c:v>
                </c:pt>
                <c:pt idx="5">
                  <c:v>0.12632836377662726</c:v>
                </c:pt>
                <c:pt idx="6">
                  <c:v>0.19253110288876263</c:v>
                </c:pt>
                <c:pt idx="7">
                  <c:v>0.12649397547932728</c:v>
                </c:pt>
                <c:pt idx="8">
                  <c:v>1.6040117225818662E-2</c:v>
                </c:pt>
                <c:pt idx="9">
                  <c:v>2.2644921125406281E-2</c:v>
                </c:pt>
                <c:pt idx="10">
                  <c:v>5.4346671779921696E-2</c:v>
                </c:pt>
                <c:pt idx="11">
                  <c:v>0.11177415881041597</c:v>
                </c:pt>
              </c:numCache>
            </c:numRef>
          </c:val>
          <c:smooth val="0"/>
          <c:extLst>
            <c:ext xmlns:c16="http://schemas.microsoft.com/office/drawing/2014/chart" uri="{C3380CC4-5D6E-409C-BE32-E72D297353CC}">
              <c16:uniqueId val="{0000000B-16DE-4B50-A734-1C6DE19BF1A3}"/>
            </c:ext>
          </c:extLst>
        </c:ser>
        <c:dLbls>
          <c:showLegendKey val="0"/>
          <c:showVal val="0"/>
          <c:showCatName val="0"/>
          <c:showSerName val="0"/>
          <c:showPercent val="0"/>
          <c:showBubbleSize val="0"/>
        </c:dLbls>
        <c:marker val="1"/>
        <c:smooth val="0"/>
        <c:axId val="180152543"/>
        <c:axId val="180151103"/>
      </c:lineChart>
      <c:catAx>
        <c:axId val="180152543"/>
        <c:scaling>
          <c:orientation val="minMax"/>
        </c:scaling>
        <c:delete val="0"/>
        <c:axPos val="b"/>
        <c:numFmt formatCode="General" sourceLinked="1"/>
        <c:majorTickMark val="none"/>
        <c:minorTickMark val="none"/>
        <c:tickLblPos val="low"/>
        <c:spPr>
          <a:noFill/>
          <a:ln w="952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80151103"/>
        <c:crosses val="autoZero"/>
        <c:auto val="0"/>
        <c:lblAlgn val="ctr"/>
        <c:lblOffset val="100"/>
        <c:noMultiLvlLbl val="0"/>
      </c:catAx>
      <c:valAx>
        <c:axId val="180151103"/>
        <c:scaling>
          <c:orientation val="minMax"/>
        </c:scaling>
        <c:delete val="0"/>
        <c:axPos val="l"/>
        <c:majorGridlines>
          <c:spPr>
            <a:ln w="9525" cap="flat" cmpd="sng" algn="ctr">
              <a:solidFill>
                <a:schemeClr val="tx1">
                  <a:lumMod val="15000"/>
                  <a:lumOff val="85000"/>
                </a:schemeClr>
              </a:solidFill>
              <a:round/>
            </a:ln>
            <a:effectLst/>
          </c:spPr>
        </c:majorGridlines>
        <c:numFmt formatCode="[Color10]\+0%;[Red]\-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80152543"/>
        <c:crosses val="autoZero"/>
        <c:crossBetween val="between"/>
      </c:valAx>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0"/>
          <c:tx>
            <c:strRef>
              <c:f>'Charities Clean'!$B$97</c:f>
              <c:strCache>
                <c:ptCount val="1"/>
                <c:pt idx="0">
                  <c:v>State Lotteries</c:v>
                </c:pt>
              </c:strCache>
            </c:strRef>
          </c:tx>
          <c:spPr>
            <a:solidFill>
              <a:schemeClr val="bg2">
                <a:lumMod val="60000"/>
                <a:lumOff val="40000"/>
              </a:schemeClr>
            </a:solidFill>
            <a:ln>
              <a:noFill/>
            </a:ln>
            <a:effectLst/>
          </c:spPr>
          <c:invertIfNegative val="0"/>
          <c:cat>
            <c:strRef>
              <c:f>'Charities Clean'!$D$95:$P$95</c:f>
              <c:strCache>
                <c:ptCount val="13"/>
                <c:pt idx="0">
                  <c:v>FY14</c:v>
                </c:pt>
                <c:pt idx="1">
                  <c:v>FY15</c:v>
                </c:pt>
                <c:pt idx="2">
                  <c:v>FY16</c:v>
                </c:pt>
                <c:pt idx="3">
                  <c:v>FY17</c:v>
                </c:pt>
                <c:pt idx="4">
                  <c:v>FY18</c:v>
                </c:pt>
                <c:pt idx="5">
                  <c:v>FY19</c:v>
                </c:pt>
                <c:pt idx="6">
                  <c:v>FY20</c:v>
                </c:pt>
                <c:pt idx="7">
                  <c:v>FY21</c:v>
                </c:pt>
                <c:pt idx="8">
                  <c:v>FY22</c:v>
                </c:pt>
                <c:pt idx="9">
                  <c:v>FY23</c:v>
                </c:pt>
                <c:pt idx="10">
                  <c:v>FY24</c:v>
                </c:pt>
                <c:pt idx="11">
                  <c:v>FY25</c:v>
                </c:pt>
                <c:pt idx="12">
                  <c:v>FY26E</c:v>
                </c:pt>
              </c:strCache>
            </c:strRef>
          </c:cat>
          <c:val>
            <c:numRef>
              <c:f>'Charities Clean'!$D$97:$P$97</c:f>
              <c:numCache>
                <c:formatCode>#,##0</c:formatCode>
                <c:ptCount val="13"/>
                <c:pt idx="0">
                  <c:v>4520.5136790571414</c:v>
                </c:pt>
                <c:pt idx="1">
                  <c:v>4608.0631497809982</c:v>
                </c:pt>
                <c:pt idx="2">
                  <c:v>5185.9511107761145</c:v>
                </c:pt>
                <c:pt idx="3">
                  <c:v>4749.2389666727049</c:v>
                </c:pt>
                <c:pt idx="4">
                  <c:v>5036.6100676991882</c:v>
                </c:pt>
                <c:pt idx="5">
                  <c:v>6402.7469813728567</c:v>
                </c:pt>
                <c:pt idx="6">
                  <c:v>6448.2294454816747</c:v>
                </c:pt>
                <c:pt idx="7">
                  <c:v>6965.2175729048522</c:v>
                </c:pt>
                <c:pt idx="8">
                  <c:v>7787.2364264805219</c:v>
                </c:pt>
                <c:pt idx="9">
                  <c:v>7728.1353312565698</c:v>
                </c:pt>
                <c:pt idx="10">
                  <c:v>8815.7113581172198</c:v>
                </c:pt>
                <c:pt idx="11">
                  <c:v>8012.9893766023297</c:v>
                </c:pt>
                <c:pt idx="12">
                  <c:v>7716.2167205156202</c:v>
                </c:pt>
              </c:numCache>
            </c:numRef>
          </c:val>
          <c:extLst>
            <c:ext xmlns:c16="http://schemas.microsoft.com/office/drawing/2014/chart" uri="{C3380CC4-5D6E-409C-BE32-E72D297353CC}">
              <c16:uniqueId val="{00000000-F8B4-40C7-B2BB-15CD105B6B5E}"/>
            </c:ext>
          </c:extLst>
        </c:ser>
        <c:ser>
          <c:idx val="0"/>
          <c:order val="1"/>
          <c:tx>
            <c:strRef>
              <c:f>'Charities Clean'!$B$98</c:f>
              <c:strCache>
                <c:ptCount val="1"/>
                <c:pt idx="0">
                  <c:v>Charity Lotteries</c:v>
                </c:pt>
              </c:strCache>
            </c:strRef>
          </c:tx>
          <c:spPr>
            <a:solidFill>
              <a:schemeClr val="tx2"/>
            </a:solidFill>
            <a:ln>
              <a:noFill/>
            </a:ln>
            <a:effectLst/>
          </c:spPr>
          <c:invertIfNegative val="0"/>
          <c:cat>
            <c:strRef>
              <c:f>'Charities Clean'!$D$95:$P$95</c:f>
              <c:strCache>
                <c:ptCount val="13"/>
                <c:pt idx="0">
                  <c:v>FY14</c:v>
                </c:pt>
                <c:pt idx="1">
                  <c:v>FY15</c:v>
                </c:pt>
                <c:pt idx="2">
                  <c:v>FY16</c:v>
                </c:pt>
                <c:pt idx="3">
                  <c:v>FY17</c:v>
                </c:pt>
                <c:pt idx="4">
                  <c:v>FY18</c:v>
                </c:pt>
                <c:pt idx="5">
                  <c:v>FY19</c:v>
                </c:pt>
                <c:pt idx="6">
                  <c:v>FY20</c:v>
                </c:pt>
                <c:pt idx="7">
                  <c:v>FY21</c:v>
                </c:pt>
                <c:pt idx="8">
                  <c:v>FY22</c:v>
                </c:pt>
                <c:pt idx="9">
                  <c:v>FY23</c:v>
                </c:pt>
                <c:pt idx="10">
                  <c:v>FY24</c:v>
                </c:pt>
                <c:pt idx="11">
                  <c:v>FY25</c:v>
                </c:pt>
                <c:pt idx="12">
                  <c:v>FY26E</c:v>
                </c:pt>
              </c:strCache>
            </c:strRef>
          </c:cat>
          <c:val>
            <c:numRef>
              <c:f>'Charities Clean'!$D$98:$P$98</c:f>
              <c:numCache>
                <c:formatCode>#,##0</c:formatCode>
                <c:ptCount val="13"/>
                <c:pt idx="0">
                  <c:v>250.53099799999998</c:v>
                </c:pt>
                <c:pt idx="1">
                  <c:v>280.63555100000002</c:v>
                </c:pt>
                <c:pt idx="2">
                  <c:v>301.83625899999998</c:v>
                </c:pt>
                <c:pt idx="3">
                  <c:v>322.97193499999997</c:v>
                </c:pt>
                <c:pt idx="4">
                  <c:v>338.91087399999998</c:v>
                </c:pt>
                <c:pt idx="5">
                  <c:v>358.61609099999998</c:v>
                </c:pt>
                <c:pt idx="6">
                  <c:v>403.91947500000003</c:v>
                </c:pt>
                <c:pt idx="7">
                  <c:v>481.68653699999999</c:v>
                </c:pt>
                <c:pt idx="8">
                  <c:v>542.61698200000001</c:v>
                </c:pt>
                <c:pt idx="9">
                  <c:v>551.32062199999996</c:v>
                </c:pt>
                <c:pt idx="10">
                  <c:v>563.80523399999993</c:v>
                </c:pt>
                <c:pt idx="11">
                  <c:v>594.44617199999993</c:v>
                </c:pt>
                <c:pt idx="12">
                  <c:v>660.88989283337173</c:v>
                </c:pt>
              </c:numCache>
            </c:numRef>
          </c:val>
          <c:extLst>
            <c:ext xmlns:c16="http://schemas.microsoft.com/office/drawing/2014/chart" uri="{C3380CC4-5D6E-409C-BE32-E72D297353CC}">
              <c16:uniqueId val="{00000001-F8B4-40C7-B2BB-15CD105B6B5E}"/>
            </c:ext>
          </c:extLst>
        </c:ser>
        <c:ser>
          <c:idx val="2"/>
          <c:order val="2"/>
          <c:spPr>
            <a:solidFill>
              <a:schemeClr val="accent3"/>
            </a:solidFill>
            <a:ln>
              <a:noFill/>
            </a:ln>
            <a:effectLst/>
          </c:spPr>
          <c:invertIfNegative val="0"/>
          <c:dLbls>
            <c:dLbl>
              <c:idx val="0"/>
              <c:tx>
                <c:rich>
                  <a:bodyPr/>
                  <a:lstStyle/>
                  <a:p>
                    <a:fld id="{43A9E2C0-E560-4EF9-B35E-A90AD04D7F6F}" type="CELLRANGE">
                      <a:rPr lang="en-US"/>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F8B4-40C7-B2BB-15CD105B6B5E}"/>
                </c:ext>
              </c:extLst>
            </c:dLbl>
            <c:dLbl>
              <c:idx val="1"/>
              <c:tx>
                <c:rich>
                  <a:bodyPr/>
                  <a:lstStyle/>
                  <a:p>
                    <a:fld id="{3DAB23B4-6CDD-4F5C-ADE5-032DFF12BA57}"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8B4-40C7-B2BB-15CD105B6B5E}"/>
                </c:ext>
              </c:extLst>
            </c:dLbl>
            <c:dLbl>
              <c:idx val="2"/>
              <c:tx>
                <c:rich>
                  <a:bodyPr/>
                  <a:lstStyle/>
                  <a:p>
                    <a:fld id="{DFD09638-B4CD-423F-8A93-E49A733303BC}"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8B4-40C7-B2BB-15CD105B6B5E}"/>
                </c:ext>
              </c:extLst>
            </c:dLbl>
            <c:dLbl>
              <c:idx val="3"/>
              <c:tx>
                <c:rich>
                  <a:bodyPr/>
                  <a:lstStyle/>
                  <a:p>
                    <a:fld id="{E5048503-CFE8-492B-9A5A-EEBA70C2361D}"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F8B4-40C7-B2BB-15CD105B6B5E}"/>
                </c:ext>
              </c:extLst>
            </c:dLbl>
            <c:dLbl>
              <c:idx val="4"/>
              <c:tx>
                <c:rich>
                  <a:bodyPr/>
                  <a:lstStyle/>
                  <a:p>
                    <a:fld id="{C5D44023-CBC4-4AF3-BAE9-494F78B9C530}"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8B4-40C7-B2BB-15CD105B6B5E}"/>
                </c:ext>
              </c:extLst>
            </c:dLbl>
            <c:dLbl>
              <c:idx val="5"/>
              <c:tx>
                <c:rich>
                  <a:bodyPr/>
                  <a:lstStyle/>
                  <a:p>
                    <a:fld id="{3F4E1F9E-F9CF-4DFB-9859-FFD24BAE33F1}"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8B4-40C7-B2BB-15CD105B6B5E}"/>
                </c:ext>
              </c:extLst>
            </c:dLbl>
            <c:dLbl>
              <c:idx val="6"/>
              <c:tx>
                <c:rich>
                  <a:bodyPr/>
                  <a:lstStyle/>
                  <a:p>
                    <a:fld id="{FD9DA5D8-342A-4820-8F36-3EBB1866E71D}"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8B4-40C7-B2BB-15CD105B6B5E}"/>
                </c:ext>
              </c:extLst>
            </c:dLbl>
            <c:dLbl>
              <c:idx val="7"/>
              <c:tx>
                <c:rich>
                  <a:bodyPr/>
                  <a:lstStyle/>
                  <a:p>
                    <a:fld id="{BF5B3ACD-F65D-49BC-B08C-0FDA4D519162}"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8B4-40C7-B2BB-15CD105B6B5E}"/>
                </c:ext>
              </c:extLst>
            </c:dLbl>
            <c:dLbl>
              <c:idx val="8"/>
              <c:tx>
                <c:rich>
                  <a:bodyPr/>
                  <a:lstStyle/>
                  <a:p>
                    <a:fld id="{F36FC0AA-7B52-417B-9B5C-03E216A5630F}"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8B4-40C7-B2BB-15CD105B6B5E}"/>
                </c:ext>
              </c:extLst>
            </c:dLbl>
            <c:dLbl>
              <c:idx val="9"/>
              <c:tx>
                <c:rich>
                  <a:bodyPr/>
                  <a:lstStyle/>
                  <a:p>
                    <a:fld id="{6222FA33-B2FE-4BB2-A3FC-1E9D8A0D6948}"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8B4-40C7-B2BB-15CD105B6B5E}"/>
                </c:ext>
              </c:extLst>
            </c:dLbl>
            <c:dLbl>
              <c:idx val="10"/>
              <c:tx>
                <c:rich>
                  <a:bodyPr/>
                  <a:lstStyle/>
                  <a:p>
                    <a:fld id="{B51F8C90-E479-420E-9634-814B88E53C9D}"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F8B4-40C7-B2BB-15CD105B6B5E}"/>
                </c:ext>
              </c:extLst>
            </c:dLbl>
            <c:dLbl>
              <c:idx val="11"/>
              <c:tx>
                <c:rich>
                  <a:bodyPr/>
                  <a:lstStyle/>
                  <a:p>
                    <a:fld id="{F1994C60-90FE-4B92-BED8-A60CFEFDE2D7}"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F8B4-40C7-B2BB-15CD105B6B5E}"/>
                </c:ext>
              </c:extLst>
            </c:dLbl>
            <c:dLbl>
              <c:idx val="12"/>
              <c:tx>
                <c:rich>
                  <a:bodyPr/>
                  <a:lstStyle/>
                  <a:p>
                    <a:fld id="{3A90F5A7-7699-4BC3-8D98-44E833E783AB}"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F8B4-40C7-B2BB-15CD105B6B5E}"/>
                </c:ext>
              </c:extLst>
            </c:dLbl>
            <c:spPr>
              <a:noFill/>
              <a:ln>
                <a:noFill/>
              </a:ln>
              <a:effectLst/>
            </c:spPr>
            <c:txPr>
              <a:bodyPr wrap="square" lIns="38100" tIns="19050" rIns="38100" bIns="19050" anchor="ctr">
                <a:spAutoFit/>
              </a:bodyPr>
              <a:lstStyle/>
              <a:p>
                <a:pPr>
                  <a:defRPr b="1">
                    <a:solidFill>
                      <a:schemeClr val="tx2"/>
                    </a:solidFill>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'Charities Clean'!$D$95:$P$95</c:f>
              <c:strCache>
                <c:ptCount val="13"/>
                <c:pt idx="0">
                  <c:v>FY14</c:v>
                </c:pt>
                <c:pt idx="1">
                  <c:v>FY15</c:v>
                </c:pt>
                <c:pt idx="2">
                  <c:v>FY16</c:v>
                </c:pt>
                <c:pt idx="3">
                  <c:v>FY17</c:v>
                </c:pt>
                <c:pt idx="4">
                  <c:v>FY18</c:v>
                </c:pt>
                <c:pt idx="5">
                  <c:v>FY19</c:v>
                </c:pt>
                <c:pt idx="6">
                  <c:v>FY20</c:v>
                </c:pt>
                <c:pt idx="7">
                  <c:v>FY21</c:v>
                </c:pt>
                <c:pt idx="8">
                  <c:v>FY22</c:v>
                </c:pt>
                <c:pt idx="9">
                  <c:v>FY23</c:v>
                </c:pt>
                <c:pt idx="10">
                  <c:v>FY24</c:v>
                </c:pt>
                <c:pt idx="11">
                  <c:v>FY25</c:v>
                </c:pt>
                <c:pt idx="12">
                  <c:v>FY26E</c:v>
                </c:pt>
              </c:strCache>
            </c:strRef>
          </c:cat>
          <c:val>
            <c:numRef>
              <c:f>'Charities Clean'!$D$103:$P$103</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5="http://schemas.microsoft.com/office/drawing/2012/chart" uri="{02D57815-91ED-43cb-92C2-25804820EDAC}">
              <c15:datalabelsRange>
                <c15:f>'Charities Clean'!$D$101:$P$101</c15:f>
                <c15:dlblRangeCache>
                  <c:ptCount val="13"/>
                  <c:pt idx="0">
                    <c:v>5.3%</c:v>
                  </c:pt>
                  <c:pt idx="1">
                    <c:v>5.7%</c:v>
                  </c:pt>
                  <c:pt idx="2">
                    <c:v>5.5%</c:v>
                  </c:pt>
                  <c:pt idx="3">
                    <c:v>6.4%</c:v>
                  </c:pt>
                  <c:pt idx="4">
                    <c:v>6.3%</c:v>
                  </c:pt>
                  <c:pt idx="5">
                    <c:v>5.3%</c:v>
                  </c:pt>
                  <c:pt idx="6">
                    <c:v>5.9%</c:v>
                  </c:pt>
                  <c:pt idx="7">
                    <c:v>6.5%</c:v>
                  </c:pt>
                  <c:pt idx="8">
                    <c:v>6.5%</c:v>
                  </c:pt>
                  <c:pt idx="9">
                    <c:v>6.7%</c:v>
                  </c:pt>
                  <c:pt idx="10">
                    <c:v>6.0%</c:v>
                  </c:pt>
                  <c:pt idx="11">
                    <c:v>6.9%</c:v>
                  </c:pt>
                  <c:pt idx="12">
                    <c:v>7.9%</c:v>
                  </c:pt>
                </c15:dlblRangeCache>
              </c15:datalabelsRange>
            </c:ext>
            <c:ext xmlns:c16="http://schemas.microsoft.com/office/drawing/2014/chart" uri="{C3380CC4-5D6E-409C-BE32-E72D297353CC}">
              <c16:uniqueId val="{0000000F-F8B4-40C7-B2BB-15CD105B6B5E}"/>
            </c:ext>
          </c:extLst>
        </c:ser>
        <c:dLbls>
          <c:showLegendKey val="0"/>
          <c:showVal val="0"/>
          <c:showCatName val="0"/>
          <c:showSerName val="0"/>
          <c:showPercent val="0"/>
          <c:showBubbleSize val="0"/>
        </c:dLbls>
        <c:gapWidth val="150"/>
        <c:overlap val="100"/>
        <c:axId val="561789119"/>
        <c:axId val="561788159"/>
      </c:barChart>
      <c:catAx>
        <c:axId val="56178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n-US"/>
          </a:p>
        </c:txPr>
        <c:crossAx val="561788159"/>
        <c:crosses val="autoZero"/>
        <c:auto val="0"/>
        <c:lblAlgn val="ctr"/>
        <c:lblOffset val="100"/>
        <c:noMultiLvlLbl val="0"/>
      </c:catAx>
      <c:valAx>
        <c:axId val="561788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561789119"/>
        <c:crosses val="autoZero"/>
        <c:crossBetween val="between"/>
        <c:dispUnits>
          <c:builtInUnit val="thousands"/>
        </c:dispUnits>
      </c:valAx>
    </c:plotArea>
    <c:legend>
      <c:legendPos val="b"/>
      <c:legendEntry>
        <c:idx val="2"/>
        <c:delete val="1"/>
      </c:legendEntry>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568803418803416E-2"/>
          <c:y val="4.8959027777777775E-2"/>
          <c:w val="0.89729871794871796"/>
          <c:h val="0.74851666666666672"/>
        </c:manualLayout>
      </c:layout>
      <c:lineChart>
        <c:grouping val="standard"/>
        <c:varyColors val="0"/>
        <c:ser>
          <c:idx val="0"/>
          <c:order val="0"/>
          <c:tx>
            <c:strRef>
              <c:f>Onboarding!$C$2</c:f>
              <c:strCache>
                <c:ptCount val="1"/>
                <c:pt idx="0">
                  <c:v>Mater</c:v>
                </c:pt>
              </c:strCache>
            </c:strRef>
          </c:tx>
          <c:spPr>
            <a:ln w="15875" cap="rnd">
              <a:solidFill>
                <a:schemeClr val="tx2"/>
              </a:solidFill>
              <a:round/>
            </a:ln>
            <a:effectLst/>
          </c:spPr>
          <c:marker>
            <c:symbol val="none"/>
          </c:marker>
          <c:dPt>
            <c:idx val="317"/>
            <c:marker>
              <c:symbol val="diamond"/>
              <c:size val="9"/>
              <c:spPr>
                <a:solidFill>
                  <a:schemeClr val="tx2"/>
                </a:solidFill>
                <a:ln w="9525">
                  <a:noFill/>
                </a:ln>
                <a:effectLst/>
              </c:spPr>
            </c:marker>
            <c:bubble3D val="0"/>
            <c:extLst>
              <c:ext xmlns:c16="http://schemas.microsoft.com/office/drawing/2014/chart" uri="{C3380CC4-5D6E-409C-BE32-E72D297353CC}">
                <c16:uniqueId val="{00000000-CC99-4D1E-9B89-33613AE1EB93}"/>
              </c:ext>
            </c:extLst>
          </c:dPt>
          <c:dPt>
            <c:idx val="909"/>
            <c:marker>
              <c:symbol val="diamond"/>
              <c:size val="9"/>
              <c:spPr>
                <a:solidFill>
                  <a:schemeClr val="tx2"/>
                </a:solidFill>
                <a:ln w="9525">
                  <a:noFill/>
                </a:ln>
                <a:effectLst/>
              </c:spPr>
            </c:marker>
            <c:bubble3D val="0"/>
            <c:extLst>
              <c:ext xmlns:c16="http://schemas.microsoft.com/office/drawing/2014/chart" uri="{C3380CC4-5D6E-409C-BE32-E72D297353CC}">
                <c16:uniqueId val="{00000001-CC99-4D1E-9B89-33613AE1EB93}"/>
              </c:ext>
            </c:extLst>
          </c:dPt>
          <c:cat>
            <c:numRef>
              <c:f>Onboarding!$B$7:$B$2564</c:f>
              <c:numCache>
                <c:formatCode>m/d/yyyy</c:formatCode>
                <c:ptCount val="2558"/>
                <c:pt idx="0">
                  <c:v>43101</c:v>
                </c:pt>
                <c:pt idx="1">
                  <c:v>43102</c:v>
                </c:pt>
                <c:pt idx="2">
                  <c:v>43103</c:v>
                </c:pt>
                <c:pt idx="3">
                  <c:v>43104</c:v>
                </c:pt>
                <c:pt idx="4">
                  <c:v>43105</c:v>
                </c:pt>
                <c:pt idx="5">
                  <c:v>43106</c:v>
                </c:pt>
                <c:pt idx="6">
                  <c:v>43107</c:v>
                </c:pt>
                <c:pt idx="7">
                  <c:v>43108</c:v>
                </c:pt>
                <c:pt idx="8">
                  <c:v>43109</c:v>
                </c:pt>
                <c:pt idx="9">
                  <c:v>43110</c:v>
                </c:pt>
                <c:pt idx="10">
                  <c:v>43111</c:v>
                </c:pt>
                <c:pt idx="11">
                  <c:v>43112</c:v>
                </c:pt>
                <c:pt idx="12">
                  <c:v>43113</c:v>
                </c:pt>
                <c:pt idx="13">
                  <c:v>43114</c:v>
                </c:pt>
                <c:pt idx="14">
                  <c:v>43115</c:v>
                </c:pt>
                <c:pt idx="15">
                  <c:v>43116</c:v>
                </c:pt>
                <c:pt idx="16">
                  <c:v>43117</c:v>
                </c:pt>
                <c:pt idx="17">
                  <c:v>43118</c:v>
                </c:pt>
                <c:pt idx="18">
                  <c:v>43119</c:v>
                </c:pt>
                <c:pt idx="19">
                  <c:v>43120</c:v>
                </c:pt>
                <c:pt idx="20">
                  <c:v>43121</c:v>
                </c:pt>
                <c:pt idx="21">
                  <c:v>43122</c:v>
                </c:pt>
                <c:pt idx="22">
                  <c:v>43123</c:v>
                </c:pt>
                <c:pt idx="23">
                  <c:v>43124</c:v>
                </c:pt>
                <c:pt idx="24">
                  <c:v>43125</c:v>
                </c:pt>
                <c:pt idx="25">
                  <c:v>43126</c:v>
                </c:pt>
                <c:pt idx="26">
                  <c:v>43127</c:v>
                </c:pt>
                <c:pt idx="27">
                  <c:v>43128</c:v>
                </c:pt>
                <c:pt idx="28">
                  <c:v>43129</c:v>
                </c:pt>
                <c:pt idx="29">
                  <c:v>43130</c:v>
                </c:pt>
                <c:pt idx="30">
                  <c:v>43131</c:v>
                </c:pt>
                <c:pt idx="31">
                  <c:v>43132</c:v>
                </c:pt>
                <c:pt idx="32">
                  <c:v>43133</c:v>
                </c:pt>
                <c:pt idx="33">
                  <c:v>43134</c:v>
                </c:pt>
                <c:pt idx="34">
                  <c:v>43135</c:v>
                </c:pt>
                <c:pt idx="35">
                  <c:v>43136</c:v>
                </c:pt>
                <c:pt idx="36">
                  <c:v>43137</c:v>
                </c:pt>
                <c:pt idx="37">
                  <c:v>43138</c:v>
                </c:pt>
                <c:pt idx="38">
                  <c:v>43139</c:v>
                </c:pt>
                <c:pt idx="39">
                  <c:v>43140</c:v>
                </c:pt>
                <c:pt idx="40">
                  <c:v>43141</c:v>
                </c:pt>
                <c:pt idx="41">
                  <c:v>43142</c:v>
                </c:pt>
                <c:pt idx="42">
                  <c:v>43143</c:v>
                </c:pt>
                <c:pt idx="43">
                  <c:v>43144</c:v>
                </c:pt>
                <c:pt idx="44">
                  <c:v>43145</c:v>
                </c:pt>
                <c:pt idx="45">
                  <c:v>43146</c:v>
                </c:pt>
                <c:pt idx="46">
                  <c:v>43147</c:v>
                </c:pt>
                <c:pt idx="47">
                  <c:v>43148</c:v>
                </c:pt>
                <c:pt idx="48">
                  <c:v>43149</c:v>
                </c:pt>
                <c:pt idx="49">
                  <c:v>43150</c:v>
                </c:pt>
                <c:pt idx="50">
                  <c:v>43151</c:v>
                </c:pt>
                <c:pt idx="51">
                  <c:v>43152</c:v>
                </c:pt>
                <c:pt idx="52">
                  <c:v>43153</c:v>
                </c:pt>
                <c:pt idx="53">
                  <c:v>43154</c:v>
                </c:pt>
                <c:pt idx="54">
                  <c:v>43155</c:v>
                </c:pt>
                <c:pt idx="55">
                  <c:v>43156</c:v>
                </c:pt>
                <c:pt idx="56">
                  <c:v>43157</c:v>
                </c:pt>
                <c:pt idx="57">
                  <c:v>43158</c:v>
                </c:pt>
                <c:pt idx="58">
                  <c:v>43159</c:v>
                </c:pt>
                <c:pt idx="59">
                  <c:v>43160</c:v>
                </c:pt>
                <c:pt idx="60">
                  <c:v>43161</c:v>
                </c:pt>
                <c:pt idx="61">
                  <c:v>43162</c:v>
                </c:pt>
                <c:pt idx="62">
                  <c:v>43163</c:v>
                </c:pt>
                <c:pt idx="63">
                  <c:v>43164</c:v>
                </c:pt>
                <c:pt idx="64">
                  <c:v>43165</c:v>
                </c:pt>
                <c:pt idx="65">
                  <c:v>43166</c:v>
                </c:pt>
                <c:pt idx="66">
                  <c:v>43167</c:v>
                </c:pt>
                <c:pt idx="67">
                  <c:v>43168</c:v>
                </c:pt>
                <c:pt idx="68">
                  <c:v>43169</c:v>
                </c:pt>
                <c:pt idx="69">
                  <c:v>43170</c:v>
                </c:pt>
                <c:pt idx="70">
                  <c:v>43171</c:v>
                </c:pt>
                <c:pt idx="71">
                  <c:v>43172</c:v>
                </c:pt>
                <c:pt idx="72">
                  <c:v>43173</c:v>
                </c:pt>
                <c:pt idx="73">
                  <c:v>43174</c:v>
                </c:pt>
                <c:pt idx="74">
                  <c:v>43175</c:v>
                </c:pt>
                <c:pt idx="75">
                  <c:v>43176</c:v>
                </c:pt>
                <c:pt idx="76">
                  <c:v>43177</c:v>
                </c:pt>
                <c:pt idx="77">
                  <c:v>43178</c:v>
                </c:pt>
                <c:pt idx="78">
                  <c:v>43179</c:v>
                </c:pt>
                <c:pt idx="79">
                  <c:v>43180</c:v>
                </c:pt>
                <c:pt idx="80">
                  <c:v>43181</c:v>
                </c:pt>
                <c:pt idx="81">
                  <c:v>43182</c:v>
                </c:pt>
                <c:pt idx="82">
                  <c:v>43183</c:v>
                </c:pt>
                <c:pt idx="83">
                  <c:v>43184</c:v>
                </c:pt>
                <c:pt idx="84">
                  <c:v>43185</c:v>
                </c:pt>
                <c:pt idx="85">
                  <c:v>43186</c:v>
                </c:pt>
                <c:pt idx="86">
                  <c:v>43187</c:v>
                </c:pt>
                <c:pt idx="87">
                  <c:v>43188</c:v>
                </c:pt>
                <c:pt idx="88">
                  <c:v>43189</c:v>
                </c:pt>
                <c:pt idx="89">
                  <c:v>43190</c:v>
                </c:pt>
                <c:pt idx="90">
                  <c:v>43191</c:v>
                </c:pt>
                <c:pt idx="91">
                  <c:v>43192</c:v>
                </c:pt>
                <c:pt idx="92">
                  <c:v>43193</c:v>
                </c:pt>
                <c:pt idx="93">
                  <c:v>43194</c:v>
                </c:pt>
                <c:pt idx="94">
                  <c:v>43195</c:v>
                </c:pt>
                <c:pt idx="95">
                  <c:v>43196</c:v>
                </c:pt>
                <c:pt idx="96">
                  <c:v>43197</c:v>
                </c:pt>
                <c:pt idx="97">
                  <c:v>43198</c:v>
                </c:pt>
                <c:pt idx="98">
                  <c:v>43199</c:v>
                </c:pt>
                <c:pt idx="99">
                  <c:v>43200</c:v>
                </c:pt>
                <c:pt idx="100">
                  <c:v>43201</c:v>
                </c:pt>
                <c:pt idx="101">
                  <c:v>43202</c:v>
                </c:pt>
                <c:pt idx="102">
                  <c:v>43203</c:v>
                </c:pt>
                <c:pt idx="103">
                  <c:v>43204</c:v>
                </c:pt>
                <c:pt idx="104">
                  <c:v>43205</c:v>
                </c:pt>
                <c:pt idx="105">
                  <c:v>43206</c:v>
                </c:pt>
                <c:pt idx="106">
                  <c:v>43207</c:v>
                </c:pt>
                <c:pt idx="107">
                  <c:v>43208</c:v>
                </c:pt>
                <c:pt idx="108">
                  <c:v>43209</c:v>
                </c:pt>
                <c:pt idx="109">
                  <c:v>43210</c:v>
                </c:pt>
                <c:pt idx="110">
                  <c:v>43211</c:v>
                </c:pt>
                <c:pt idx="111">
                  <c:v>43212</c:v>
                </c:pt>
                <c:pt idx="112">
                  <c:v>43213</c:v>
                </c:pt>
                <c:pt idx="113">
                  <c:v>43214</c:v>
                </c:pt>
                <c:pt idx="114">
                  <c:v>43215</c:v>
                </c:pt>
                <c:pt idx="115">
                  <c:v>43216</c:v>
                </c:pt>
                <c:pt idx="116">
                  <c:v>43217</c:v>
                </c:pt>
                <c:pt idx="117">
                  <c:v>43218</c:v>
                </c:pt>
                <c:pt idx="118">
                  <c:v>43219</c:v>
                </c:pt>
                <c:pt idx="119">
                  <c:v>43220</c:v>
                </c:pt>
                <c:pt idx="120">
                  <c:v>43221</c:v>
                </c:pt>
                <c:pt idx="121">
                  <c:v>43222</c:v>
                </c:pt>
                <c:pt idx="122">
                  <c:v>43223</c:v>
                </c:pt>
                <c:pt idx="123">
                  <c:v>43224</c:v>
                </c:pt>
                <c:pt idx="124">
                  <c:v>43225</c:v>
                </c:pt>
                <c:pt idx="125">
                  <c:v>43226</c:v>
                </c:pt>
                <c:pt idx="126">
                  <c:v>43227</c:v>
                </c:pt>
                <c:pt idx="127">
                  <c:v>43228</c:v>
                </c:pt>
                <c:pt idx="128">
                  <c:v>43229</c:v>
                </c:pt>
                <c:pt idx="129">
                  <c:v>43230</c:v>
                </c:pt>
                <c:pt idx="130">
                  <c:v>43231</c:v>
                </c:pt>
                <c:pt idx="131">
                  <c:v>43232</c:v>
                </c:pt>
                <c:pt idx="132">
                  <c:v>43233</c:v>
                </c:pt>
                <c:pt idx="133">
                  <c:v>43234</c:v>
                </c:pt>
                <c:pt idx="134">
                  <c:v>43235</c:v>
                </c:pt>
                <c:pt idx="135">
                  <c:v>43236</c:v>
                </c:pt>
                <c:pt idx="136">
                  <c:v>43237</c:v>
                </c:pt>
                <c:pt idx="137">
                  <c:v>43238</c:v>
                </c:pt>
                <c:pt idx="138">
                  <c:v>43239</c:v>
                </c:pt>
                <c:pt idx="139">
                  <c:v>43240</c:v>
                </c:pt>
                <c:pt idx="140">
                  <c:v>43241</c:v>
                </c:pt>
                <c:pt idx="141">
                  <c:v>43242</c:v>
                </c:pt>
                <c:pt idx="142">
                  <c:v>43243</c:v>
                </c:pt>
                <c:pt idx="143">
                  <c:v>43244</c:v>
                </c:pt>
                <c:pt idx="144">
                  <c:v>43245</c:v>
                </c:pt>
                <c:pt idx="145">
                  <c:v>43246</c:v>
                </c:pt>
                <c:pt idx="146">
                  <c:v>43247</c:v>
                </c:pt>
                <c:pt idx="147">
                  <c:v>43248</c:v>
                </c:pt>
                <c:pt idx="148">
                  <c:v>43249</c:v>
                </c:pt>
                <c:pt idx="149">
                  <c:v>43250</c:v>
                </c:pt>
                <c:pt idx="150">
                  <c:v>43251</c:v>
                </c:pt>
                <c:pt idx="151">
                  <c:v>43252</c:v>
                </c:pt>
                <c:pt idx="152">
                  <c:v>43253</c:v>
                </c:pt>
                <c:pt idx="153">
                  <c:v>43254</c:v>
                </c:pt>
                <c:pt idx="154">
                  <c:v>43255</c:v>
                </c:pt>
                <c:pt idx="155">
                  <c:v>43256</c:v>
                </c:pt>
                <c:pt idx="156">
                  <c:v>43257</c:v>
                </c:pt>
                <c:pt idx="157">
                  <c:v>43258</c:v>
                </c:pt>
                <c:pt idx="158">
                  <c:v>43259</c:v>
                </c:pt>
                <c:pt idx="159">
                  <c:v>43260</c:v>
                </c:pt>
                <c:pt idx="160">
                  <c:v>43261</c:v>
                </c:pt>
                <c:pt idx="161">
                  <c:v>43262</c:v>
                </c:pt>
                <c:pt idx="162">
                  <c:v>43263</c:v>
                </c:pt>
                <c:pt idx="163">
                  <c:v>43264</c:v>
                </c:pt>
                <c:pt idx="164">
                  <c:v>43265</c:v>
                </c:pt>
                <c:pt idx="165">
                  <c:v>43266</c:v>
                </c:pt>
                <c:pt idx="166">
                  <c:v>43267</c:v>
                </c:pt>
                <c:pt idx="167">
                  <c:v>43268</c:v>
                </c:pt>
                <c:pt idx="168">
                  <c:v>43269</c:v>
                </c:pt>
                <c:pt idx="169">
                  <c:v>43270</c:v>
                </c:pt>
                <c:pt idx="170">
                  <c:v>43271</c:v>
                </c:pt>
                <c:pt idx="171">
                  <c:v>43272</c:v>
                </c:pt>
                <c:pt idx="172">
                  <c:v>43273</c:v>
                </c:pt>
                <c:pt idx="173">
                  <c:v>43274</c:v>
                </c:pt>
                <c:pt idx="174">
                  <c:v>43275</c:v>
                </c:pt>
                <c:pt idx="175">
                  <c:v>43276</c:v>
                </c:pt>
                <c:pt idx="176">
                  <c:v>43277</c:v>
                </c:pt>
                <c:pt idx="177">
                  <c:v>43278</c:v>
                </c:pt>
                <c:pt idx="178">
                  <c:v>43279</c:v>
                </c:pt>
                <c:pt idx="179">
                  <c:v>43280</c:v>
                </c:pt>
                <c:pt idx="180">
                  <c:v>43281</c:v>
                </c:pt>
                <c:pt idx="181">
                  <c:v>43282</c:v>
                </c:pt>
                <c:pt idx="182">
                  <c:v>43283</c:v>
                </c:pt>
                <c:pt idx="183">
                  <c:v>43284</c:v>
                </c:pt>
                <c:pt idx="184">
                  <c:v>43285</c:v>
                </c:pt>
                <c:pt idx="185">
                  <c:v>43286</c:v>
                </c:pt>
                <c:pt idx="186">
                  <c:v>43287</c:v>
                </c:pt>
                <c:pt idx="187">
                  <c:v>43288</c:v>
                </c:pt>
                <c:pt idx="188">
                  <c:v>43289</c:v>
                </c:pt>
                <c:pt idx="189">
                  <c:v>43290</c:v>
                </c:pt>
                <c:pt idx="190">
                  <c:v>43291</c:v>
                </c:pt>
                <c:pt idx="191">
                  <c:v>43292</c:v>
                </c:pt>
                <c:pt idx="192">
                  <c:v>43293</c:v>
                </c:pt>
                <c:pt idx="193">
                  <c:v>43294</c:v>
                </c:pt>
                <c:pt idx="194">
                  <c:v>43295</c:v>
                </c:pt>
                <c:pt idx="195">
                  <c:v>43296</c:v>
                </c:pt>
                <c:pt idx="196">
                  <c:v>43297</c:v>
                </c:pt>
                <c:pt idx="197">
                  <c:v>43298</c:v>
                </c:pt>
                <c:pt idx="198">
                  <c:v>43299</c:v>
                </c:pt>
                <c:pt idx="199">
                  <c:v>43300</c:v>
                </c:pt>
                <c:pt idx="200">
                  <c:v>43301</c:v>
                </c:pt>
                <c:pt idx="201">
                  <c:v>43302</c:v>
                </c:pt>
                <c:pt idx="202">
                  <c:v>43303</c:v>
                </c:pt>
                <c:pt idx="203">
                  <c:v>43304</c:v>
                </c:pt>
                <c:pt idx="204">
                  <c:v>43305</c:v>
                </c:pt>
                <c:pt idx="205">
                  <c:v>43306</c:v>
                </c:pt>
                <c:pt idx="206">
                  <c:v>43307</c:v>
                </c:pt>
                <c:pt idx="207">
                  <c:v>43308</c:v>
                </c:pt>
                <c:pt idx="208">
                  <c:v>43309</c:v>
                </c:pt>
                <c:pt idx="209">
                  <c:v>43310</c:v>
                </c:pt>
                <c:pt idx="210">
                  <c:v>43311</c:v>
                </c:pt>
                <c:pt idx="211">
                  <c:v>43312</c:v>
                </c:pt>
                <c:pt idx="212">
                  <c:v>43313</c:v>
                </c:pt>
                <c:pt idx="213">
                  <c:v>43314</c:v>
                </c:pt>
                <c:pt idx="214">
                  <c:v>43315</c:v>
                </c:pt>
                <c:pt idx="215">
                  <c:v>43316</c:v>
                </c:pt>
                <c:pt idx="216">
                  <c:v>43317</c:v>
                </c:pt>
                <c:pt idx="217">
                  <c:v>43318</c:v>
                </c:pt>
                <c:pt idx="218">
                  <c:v>43319</c:v>
                </c:pt>
                <c:pt idx="219">
                  <c:v>43320</c:v>
                </c:pt>
                <c:pt idx="220">
                  <c:v>43321</c:v>
                </c:pt>
                <c:pt idx="221">
                  <c:v>43322</c:v>
                </c:pt>
                <c:pt idx="222">
                  <c:v>43323</c:v>
                </c:pt>
                <c:pt idx="223">
                  <c:v>43324</c:v>
                </c:pt>
                <c:pt idx="224">
                  <c:v>43325</c:v>
                </c:pt>
                <c:pt idx="225">
                  <c:v>43326</c:v>
                </c:pt>
                <c:pt idx="226">
                  <c:v>43327</c:v>
                </c:pt>
                <c:pt idx="227">
                  <c:v>43328</c:v>
                </c:pt>
                <c:pt idx="228">
                  <c:v>43329</c:v>
                </c:pt>
                <c:pt idx="229">
                  <c:v>43330</c:v>
                </c:pt>
                <c:pt idx="230">
                  <c:v>43331</c:v>
                </c:pt>
                <c:pt idx="231">
                  <c:v>43332</c:v>
                </c:pt>
                <c:pt idx="232">
                  <c:v>43333</c:v>
                </c:pt>
                <c:pt idx="233">
                  <c:v>43334</c:v>
                </c:pt>
                <c:pt idx="234">
                  <c:v>43335</c:v>
                </c:pt>
                <c:pt idx="235">
                  <c:v>43336</c:v>
                </c:pt>
                <c:pt idx="236">
                  <c:v>43337</c:v>
                </c:pt>
                <c:pt idx="237">
                  <c:v>43338</c:v>
                </c:pt>
                <c:pt idx="238">
                  <c:v>43339</c:v>
                </c:pt>
                <c:pt idx="239">
                  <c:v>43340</c:v>
                </c:pt>
                <c:pt idx="240">
                  <c:v>43341</c:v>
                </c:pt>
                <c:pt idx="241">
                  <c:v>43342</c:v>
                </c:pt>
                <c:pt idx="242">
                  <c:v>43343</c:v>
                </c:pt>
                <c:pt idx="243">
                  <c:v>43344</c:v>
                </c:pt>
                <c:pt idx="244">
                  <c:v>43345</c:v>
                </c:pt>
                <c:pt idx="245">
                  <c:v>43346</c:v>
                </c:pt>
                <c:pt idx="246">
                  <c:v>43347</c:v>
                </c:pt>
                <c:pt idx="247">
                  <c:v>43348</c:v>
                </c:pt>
                <c:pt idx="248">
                  <c:v>43349</c:v>
                </c:pt>
                <c:pt idx="249">
                  <c:v>43350</c:v>
                </c:pt>
                <c:pt idx="250">
                  <c:v>43351</c:v>
                </c:pt>
                <c:pt idx="251">
                  <c:v>43352</c:v>
                </c:pt>
                <c:pt idx="252">
                  <c:v>43353</c:v>
                </c:pt>
                <c:pt idx="253">
                  <c:v>43354</c:v>
                </c:pt>
                <c:pt idx="254">
                  <c:v>43355</c:v>
                </c:pt>
                <c:pt idx="255">
                  <c:v>43356</c:v>
                </c:pt>
                <c:pt idx="256">
                  <c:v>43357</c:v>
                </c:pt>
                <c:pt idx="257">
                  <c:v>43358</c:v>
                </c:pt>
                <c:pt idx="258">
                  <c:v>43359</c:v>
                </c:pt>
                <c:pt idx="259">
                  <c:v>43360</c:v>
                </c:pt>
                <c:pt idx="260">
                  <c:v>43361</c:v>
                </c:pt>
                <c:pt idx="261">
                  <c:v>43362</c:v>
                </c:pt>
                <c:pt idx="262">
                  <c:v>43363</c:v>
                </c:pt>
                <c:pt idx="263">
                  <c:v>43364</c:v>
                </c:pt>
                <c:pt idx="264">
                  <c:v>43365</c:v>
                </c:pt>
                <c:pt idx="265">
                  <c:v>43366</c:v>
                </c:pt>
                <c:pt idx="266">
                  <c:v>43367</c:v>
                </c:pt>
                <c:pt idx="267">
                  <c:v>43368</c:v>
                </c:pt>
                <c:pt idx="268">
                  <c:v>43369</c:v>
                </c:pt>
                <c:pt idx="269">
                  <c:v>43370</c:v>
                </c:pt>
                <c:pt idx="270">
                  <c:v>43371</c:v>
                </c:pt>
                <c:pt idx="271">
                  <c:v>43372</c:v>
                </c:pt>
                <c:pt idx="272">
                  <c:v>43373</c:v>
                </c:pt>
                <c:pt idx="273">
                  <c:v>43374</c:v>
                </c:pt>
                <c:pt idx="274">
                  <c:v>43375</c:v>
                </c:pt>
                <c:pt idx="275">
                  <c:v>43376</c:v>
                </c:pt>
                <c:pt idx="276">
                  <c:v>43377</c:v>
                </c:pt>
                <c:pt idx="277">
                  <c:v>43378</c:v>
                </c:pt>
                <c:pt idx="278">
                  <c:v>43379</c:v>
                </c:pt>
                <c:pt idx="279">
                  <c:v>43380</c:v>
                </c:pt>
                <c:pt idx="280">
                  <c:v>43381</c:v>
                </c:pt>
                <c:pt idx="281">
                  <c:v>43382</c:v>
                </c:pt>
                <c:pt idx="282">
                  <c:v>43383</c:v>
                </c:pt>
                <c:pt idx="283">
                  <c:v>43384</c:v>
                </c:pt>
                <c:pt idx="284">
                  <c:v>43385</c:v>
                </c:pt>
                <c:pt idx="285">
                  <c:v>43386</c:v>
                </c:pt>
                <c:pt idx="286">
                  <c:v>43387</c:v>
                </c:pt>
                <c:pt idx="287">
                  <c:v>43388</c:v>
                </c:pt>
                <c:pt idx="288">
                  <c:v>43389</c:v>
                </c:pt>
                <c:pt idx="289">
                  <c:v>43390</c:v>
                </c:pt>
                <c:pt idx="290">
                  <c:v>43391</c:v>
                </c:pt>
                <c:pt idx="291">
                  <c:v>43392</c:v>
                </c:pt>
                <c:pt idx="292">
                  <c:v>43393</c:v>
                </c:pt>
                <c:pt idx="293">
                  <c:v>43394</c:v>
                </c:pt>
                <c:pt idx="294">
                  <c:v>43395</c:v>
                </c:pt>
                <c:pt idx="295">
                  <c:v>43396</c:v>
                </c:pt>
                <c:pt idx="296">
                  <c:v>43397</c:v>
                </c:pt>
                <c:pt idx="297">
                  <c:v>43398</c:v>
                </c:pt>
                <c:pt idx="298">
                  <c:v>43399</c:v>
                </c:pt>
                <c:pt idx="299">
                  <c:v>43400</c:v>
                </c:pt>
                <c:pt idx="300">
                  <c:v>43401</c:v>
                </c:pt>
                <c:pt idx="301">
                  <c:v>43402</c:v>
                </c:pt>
                <c:pt idx="302">
                  <c:v>43403</c:v>
                </c:pt>
                <c:pt idx="303">
                  <c:v>43404</c:v>
                </c:pt>
                <c:pt idx="304">
                  <c:v>43405</c:v>
                </c:pt>
                <c:pt idx="305">
                  <c:v>43406</c:v>
                </c:pt>
                <c:pt idx="306">
                  <c:v>43407</c:v>
                </c:pt>
                <c:pt idx="307">
                  <c:v>43408</c:v>
                </c:pt>
                <c:pt idx="308">
                  <c:v>43409</c:v>
                </c:pt>
                <c:pt idx="309">
                  <c:v>43410</c:v>
                </c:pt>
                <c:pt idx="310">
                  <c:v>43411</c:v>
                </c:pt>
                <c:pt idx="311">
                  <c:v>43412</c:v>
                </c:pt>
                <c:pt idx="312">
                  <c:v>43413</c:v>
                </c:pt>
                <c:pt idx="313">
                  <c:v>43414</c:v>
                </c:pt>
                <c:pt idx="314">
                  <c:v>43415</c:v>
                </c:pt>
                <c:pt idx="315">
                  <c:v>43416</c:v>
                </c:pt>
                <c:pt idx="316">
                  <c:v>43417</c:v>
                </c:pt>
                <c:pt idx="317">
                  <c:v>43418</c:v>
                </c:pt>
                <c:pt idx="318">
                  <c:v>43419</c:v>
                </c:pt>
                <c:pt idx="319">
                  <c:v>43420</c:v>
                </c:pt>
                <c:pt idx="320">
                  <c:v>43421</c:v>
                </c:pt>
                <c:pt idx="321">
                  <c:v>43422</c:v>
                </c:pt>
                <c:pt idx="322">
                  <c:v>43423</c:v>
                </c:pt>
                <c:pt idx="323">
                  <c:v>43424</c:v>
                </c:pt>
                <c:pt idx="324">
                  <c:v>43425</c:v>
                </c:pt>
                <c:pt idx="325">
                  <c:v>43426</c:v>
                </c:pt>
                <c:pt idx="326">
                  <c:v>43427</c:v>
                </c:pt>
                <c:pt idx="327">
                  <c:v>43428</c:v>
                </c:pt>
                <c:pt idx="328">
                  <c:v>43429</c:v>
                </c:pt>
                <c:pt idx="329">
                  <c:v>43430</c:v>
                </c:pt>
                <c:pt idx="330">
                  <c:v>43431</c:v>
                </c:pt>
                <c:pt idx="331">
                  <c:v>43432</c:v>
                </c:pt>
                <c:pt idx="332">
                  <c:v>43433</c:v>
                </c:pt>
                <c:pt idx="333">
                  <c:v>43434</c:v>
                </c:pt>
                <c:pt idx="334">
                  <c:v>43435</c:v>
                </c:pt>
                <c:pt idx="335">
                  <c:v>43436</c:v>
                </c:pt>
                <c:pt idx="336">
                  <c:v>43437</c:v>
                </c:pt>
                <c:pt idx="337">
                  <c:v>43438</c:v>
                </c:pt>
                <c:pt idx="338">
                  <c:v>43439</c:v>
                </c:pt>
                <c:pt idx="339">
                  <c:v>43440</c:v>
                </c:pt>
                <c:pt idx="340">
                  <c:v>43441</c:v>
                </c:pt>
                <c:pt idx="341">
                  <c:v>43442</c:v>
                </c:pt>
                <c:pt idx="342">
                  <c:v>43443</c:v>
                </c:pt>
                <c:pt idx="343">
                  <c:v>43444</c:v>
                </c:pt>
                <c:pt idx="344">
                  <c:v>43445</c:v>
                </c:pt>
                <c:pt idx="345">
                  <c:v>43446</c:v>
                </c:pt>
                <c:pt idx="346">
                  <c:v>43447</c:v>
                </c:pt>
                <c:pt idx="347">
                  <c:v>43448</c:v>
                </c:pt>
                <c:pt idx="348">
                  <c:v>43449</c:v>
                </c:pt>
                <c:pt idx="349">
                  <c:v>43450</c:v>
                </c:pt>
                <c:pt idx="350">
                  <c:v>43451</c:v>
                </c:pt>
                <c:pt idx="351">
                  <c:v>43452</c:v>
                </c:pt>
                <c:pt idx="352">
                  <c:v>43453</c:v>
                </c:pt>
                <c:pt idx="353">
                  <c:v>43454</c:v>
                </c:pt>
                <c:pt idx="354">
                  <c:v>43455</c:v>
                </c:pt>
                <c:pt idx="355">
                  <c:v>43456</c:v>
                </c:pt>
                <c:pt idx="356">
                  <c:v>43457</c:v>
                </c:pt>
                <c:pt idx="357">
                  <c:v>43458</c:v>
                </c:pt>
                <c:pt idx="358">
                  <c:v>43459</c:v>
                </c:pt>
                <c:pt idx="359">
                  <c:v>43460</c:v>
                </c:pt>
                <c:pt idx="360">
                  <c:v>43461</c:v>
                </c:pt>
                <c:pt idx="361">
                  <c:v>43462</c:v>
                </c:pt>
                <c:pt idx="362">
                  <c:v>43463</c:v>
                </c:pt>
                <c:pt idx="363">
                  <c:v>43464</c:v>
                </c:pt>
                <c:pt idx="364">
                  <c:v>43465</c:v>
                </c:pt>
                <c:pt idx="365">
                  <c:v>43466</c:v>
                </c:pt>
                <c:pt idx="366">
                  <c:v>43467</c:v>
                </c:pt>
                <c:pt idx="367">
                  <c:v>43468</c:v>
                </c:pt>
                <c:pt idx="368">
                  <c:v>43469</c:v>
                </c:pt>
                <c:pt idx="369">
                  <c:v>43470</c:v>
                </c:pt>
                <c:pt idx="370">
                  <c:v>43471</c:v>
                </c:pt>
                <c:pt idx="371">
                  <c:v>43472</c:v>
                </c:pt>
                <c:pt idx="372">
                  <c:v>43473</c:v>
                </c:pt>
                <c:pt idx="373">
                  <c:v>43474</c:v>
                </c:pt>
                <c:pt idx="374">
                  <c:v>43475</c:v>
                </c:pt>
                <c:pt idx="375">
                  <c:v>43476</c:v>
                </c:pt>
                <c:pt idx="376">
                  <c:v>43477</c:v>
                </c:pt>
                <c:pt idx="377">
                  <c:v>43478</c:v>
                </c:pt>
                <c:pt idx="378">
                  <c:v>43479</c:v>
                </c:pt>
                <c:pt idx="379">
                  <c:v>43480</c:v>
                </c:pt>
                <c:pt idx="380">
                  <c:v>43481</c:v>
                </c:pt>
                <c:pt idx="381">
                  <c:v>43482</c:v>
                </c:pt>
                <c:pt idx="382">
                  <c:v>43483</c:v>
                </c:pt>
                <c:pt idx="383">
                  <c:v>43484</c:v>
                </c:pt>
                <c:pt idx="384">
                  <c:v>43485</c:v>
                </c:pt>
                <c:pt idx="385">
                  <c:v>43486</c:v>
                </c:pt>
                <c:pt idx="386">
                  <c:v>43487</c:v>
                </c:pt>
                <c:pt idx="387">
                  <c:v>43488</c:v>
                </c:pt>
                <c:pt idx="388">
                  <c:v>43489</c:v>
                </c:pt>
                <c:pt idx="389">
                  <c:v>43490</c:v>
                </c:pt>
                <c:pt idx="390">
                  <c:v>43491</c:v>
                </c:pt>
                <c:pt idx="391">
                  <c:v>43492</c:v>
                </c:pt>
                <c:pt idx="392">
                  <c:v>43493</c:v>
                </c:pt>
                <c:pt idx="393">
                  <c:v>43494</c:v>
                </c:pt>
                <c:pt idx="394">
                  <c:v>43495</c:v>
                </c:pt>
                <c:pt idx="395">
                  <c:v>43496</c:v>
                </c:pt>
                <c:pt idx="396">
                  <c:v>43497</c:v>
                </c:pt>
                <c:pt idx="397">
                  <c:v>43498</c:v>
                </c:pt>
                <c:pt idx="398">
                  <c:v>43499</c:v>
                </c:pt>
                <c:pt idx="399">
                  <c:v>43500</c:v>
                </c:pt>
                <c:pt idx="400">
                  <c:v>43501</c:v>
                </c:pt>
                <c:pt idx="401">
                  <c:v>43502</c:v>
                </c:pt>
                <c:pt idx="402">
                  <c:v>43503</c:v>
                </c:pt>
                <c:pt idx="403">
                  <c:v>43504</c:v>
                </c:pt>
                <c:pt idx="404">
                  <c:v>43505</c:v>
                </c:pt>
                <c:pt idx="405">
                  <c:v>43506</c:v>
                </c:pt>
                <c:pt idx="406">
                  <c:v>43507</c:v>
                </c:pt>
                <c:pt idx="407">
                  <c:v>43508</c:v>
                </c:pt>
                <c:pt idx="408">
                  <c:v>43509</c:v>
                </c:pt>
                <c:pt idx="409">
                  <c:v>43510</c:v>
                </c:pt>
                <c:pt idx="410">
                  <c:v>43511</c:v>
                </c:pt>
                <c:pt idx="411">
                  <c:v>43512</c:v>
                </c:pt>
                <c:pt idx="412">
                  <c:v>43513</c:v>
                </c:pt>
                <c:pt idx="413">
                  <c:v>43514</c:v>
                </c:pt>
                <c:pt idx="414">
                  <c:v>43515</c:v>
                </c:pt>
                <c:pt idx="415">
                  <c:v>43516</c:v>
                </c:pt>
                <c:pt idx="416">
                  <c:v>43517</c:v>
                </c:pt>
                <c:pt idx="417">
                  <c:v>43518</c:v>
                </c:pt>
                <c:pt idx="418">
                  <c:v>43519</c:v>
                </c:pt>
                <c:pt idx="419">
                  <c:v>43520</c:v>
                </c:pt>
                <c:pt idx="420">
                  <c:v>43521</c:v>
                </c:pt>
                <c:pt idx="421">
                  <c:v>43522</c:v>
                </c:pt>
                <c:pt idx="422">
                  <c:v>43523</c:v>
                </c:pt>
                <c:pt idx="423">
                  <c:v>43524</c:v>
                </c:pt>
                <c:pt idx="424">
                  <c:v>43525</c:v>
                </c:pt>
                <c:pt idx="425">
                  <c:v>43526</c:v>
                </c:pt>
                <c:pt idx="426">
                  <c:v>43527</c:v>
                </c:pt>
                <c:pt idx="427">
                  <c:v>43528</c:v>
                </c:pt>
                <c:pt idx="428">
                  <c:v>43529</c:v>
                </c:pt>
                <c:pt idx="429">
                  <c:v>43530</c:v>
                </c:pt>
                <c:pt idx="430">
                  <c:v>43531</c:v>
                </c:pt>
                <c:pt idx="431">
                  <c:v>43532</c:v>
                </c:pt>
                <c:pt idx="432">
                  <c:v>43533</c:v>
                </c:pt>
                <c:pt idx="433">
                  <c:v>43534</c:v>
                </c:pt>
                <c:pt idx="434">
                  <c:v>43535</c:v>
                </c:pt>
                <c:pt idx="435">
                  <c:v>43536</c:v>
                </c:pt>
                <c:pt idx="436">
                  <c:v>43537</c:v>
                </c:pt>
                <c:pt idx="437">
                  <c:v>43538</c:v>
                </c:pt>
                <c:pt idx="438">
                  <c:v>43539</c:v>
                </c:pt>
                <c:pt idx="439">
                  <c:v>43540</c:v>
                </c:pt>
                <c:pt idx="440">
                  <c:v>43541</c:v>
                </c:pt>
                <c:pt idx="441">
                  <c:v>43542</c:v>
                </c:pt>
                <c:pt idx="442">
                  <c:v>43543</c:v>
                </c:pt>
                <c:pt idx="443">
                  <c:v>43544</c:v>
                </c:pt>
                <c:pt idx="444">
                  <c:v>43545</c:v>
                </c:pt>
                <c:pt idx="445">
                  <c:v>43546</c:v>
                </c:pt>
                <c:pt idx="446">
                  <c:v>43547</c:v>
                </c:pt>
                <c:pt idx="447">
                  <c:v>43548</c:v>
                </c:pt>
                <c:pt idx="448">
                  <c:v>43549</c:v>
                </c:pt>
                <c:pt idx="449">
                  <c:v>43550</c:v>
                </c:pt>
                <c:pt idx="450">
                  <c:v>43551</c:v>
                </c:pt>
                <c:pt idx="451">
                  <c:v>43552</c:v>
                </c:pt>
                <c:pt idx="452">
                  <c:v>43553</c:v>
                </c:pt>
                <c:pt idx="453">
                  <c:v>43554</c:v>
                </c:pt>
                <c:pt idx="454">
                  <c:v>43555</c:v>
                </c:pt>
                <c:pt idx="455">
                  <c:v>43556</c:v>
                </c:pt>
                <c:pt idx="456">
                  <c:v>43557</c:v>
                </c:pt>
                <c:pt idx="457">
                  <c:v>43558</c:v>
                </c:pt>
                <c:pt idx="458">
                  <c:v>43559</c:v>
                </c:pt>
                <c:pt idx="459">
                  <c:v>43560</c:v>
                </c:pt>
                <c:pt idx="460">
                  <c:v>43561</c:v>
                </c:pt>
                <c:pt idx="461">
                  <c:v>43562</c:v>
                </c:pt>
                <c:pt idx="462">
                  <c:v>43563</c:v>
                </c:pt>
                <c:pt idx="463">
                  <c:v>43564</c:v>
                </c:pt>
                <c:pt idx="464">
                  <c:v>43565</c:v>
                </c:pt>
                <c:pt idx="465">
                  <c:v>43566</c:v>
                </c:pt>
                <c:pt idx="466">
                  <c:v>43567</c:v>
                </c:pt>
                <c:pt idx="467">
                  <c:v>43568</c:v>
                </c:pt>
                <c:pt idx="468">
                  <c:v>43569</c:v>
                </c:pt>
                <c:pt idx="469">
                  <c:v>43570</c:v>
                </c:pt>
                <c:pt idx="470">
                  <c:v>43571</c:v>
                </c:pt>
                <c:pt idx="471">
                  <c:v>43572</c:v>
                </c:pt>
                <c:pt idx="472">
                  <c:v>43573</c:v>
                </c:pt>
                <c:pt idx="473">
                  <c:v>43574</c:v>
                </c:pt>
                <c:pt idx="474">
                  <c:v>43575</c:v>
                </c:pt>
                <c:pt idx="475">
                  <c:v>43576</c:v>
                </c:pt>
                <c:pt idx="476">
                  <c:v>43577</c:v>
                </c:pt>
                <c:pt idx="477">
                  <c:v>43578</c:v>
                </c:pt>
                <c:pt idx="478">
                  <c:v>43579</c:v>
                </c:pt>
                <c:pt idx="479">
                  <c:v>43580</c:v>
                </c:pt>
                <c:pt idx="480">
                  <c:v>43581</c:v>
                </c:pt>
                <c:pt idx="481">
                  <c:v>43582</c:v>
                </c:pt>
                <c:pt idx="482">
                  <c:v>43583</c:v>
                </c:pt>
                <c:pt idx="483">
                  <c:v>43584</c:v>
                </c:pt>
                <c:pt idx="484">
                  <c:v>43585</c:v>
                </c:pt>
                <c:pt idx="485">
                  <c:v>43586</c:v>
                </c:pt>
                <c:pt idx="486">
                  <c:v>43587</c:v>
                </c:pt>
                <c:pt idx="487">
                  <c:v>43588</c:v>
                </c:pt>
                <c:pt idx="488">
                  <c:v>43589</c:v>
                </c:pt>
                <c:pt idx="489">
                  <c:v>43590</c:v>
                </c:pt>
                <c:pt idx="490">
                  <c:v>43591</c:v>
                </c:pt>
                <c:pt idx="491">
                  <c:v>43592</c:v>
                </c:pt>
                <c:pt idx="492">
                  <c:v>43593</c:v>
                </c:pt>
                <c:pt idx="493">
                  <c:v>43594</c:v>
                </c:pt>
                <c:pt idx="494">
                  <c:v>43595</c:v>
                </c:pt>
                <c:pt idx="495">
                  <c:v>43596</c:v>
                </c:pt>
                <c:pt idx="496">
                  <c:v>43597</c:v>
                </c:pt>
                <c:pt idx="497">
                  <c:v>43598</c:v>
                </c:pt>
                <c:pt idx="498">
                  <c:v>43599</c:v>
                </c:pt>
                <c:pt idx="499">
                  <c:v>43600</c:v>
                </c:pt>
                <c:pt idx="500">
                  <c:v>43601</c:v>
                </c:pt>
                <c:pt idx="501">
                  <c:v>43602</c:v>
                </c:pt>
                <c:pt idx="502">
                  <c:v>43603</c:v>
                </c:pt>
                <c:pt idx="503">
                  <c:v>43604</c:v>
                </c:pt>
                <c:pt idx="504">
                  <c:v>43605</c:v>
                </c:pt>
                <c:pt idx="505">
                  <c:v>43606</c:v>
                </c:pt>
                <c:pt idx="506">
                  <c:v>43607</c:v>
                </c:pt>
                <c:pt idx="507">
                  <c:v>43608</c:v>
                </c:pt>
                <c:pt idx="508">
                  <c:v>43609</c:v>
                </c:pt>
                <c:pt idx="509">
                  <c:v>43610</c:v>
                </c:pt>
                <c:pt idx="510">
                  <c:v>43611</c:v>
                </c:pt>
                <c:pt idx="511">
                  <c:v>43612</c:v>
                </c:pt>
                <c:pt idx="512">
                  <c:v>43613</c:v>
                </c:pt>
                <c:pt idx="513">
                  <c:v>43614</c:v>
                </c:pt>
                <c:pt idx="514">
                  <c:v>43615</c:v>
                </c:pt>
                <c:pt idx="515">
                  <c:v>43616</c:v>
                </c:pt>
                <c:pt idx="516">
                  <c:v>43617</c:v>
                </c:pt>
                <c:pt idx="517">
                  <c:v>43618</c:v>
                </c:pt>
                <c:pt idx="518">
                  <c:v>43619</c:v>
                </c:pt>
                <c:pt idx="519">
                  <c:v>43620</c:v>
                </c:pt>
                <c:pt idx="520">
                  <c:v>43621</c:v>
                </c:pt>
                <c:pt idx="521">
                  <c:v>43622</c:v>
                </c:pt>
                <c:pt idx="522">
                  <c:v>43623</c:v>
                </c:pt>
                <c:pt idx="523">
                  <c:v>43624</c:v>
                </c:pt>
                <c:pt idx="524">
                  <c:v>43625</c:v>
                </c:pt>
                <c:pt idx="525">
                  <c:v>43626</c:v>
                </c:pt>
                <c:pt idx="526">
                  <c:v>43627</c:v>
                </c:pt>
                <c:pt idx="527">
                  <c:v>43628</c:v>
                </c:pt>
                <c:pt idx="528">
                  <c:v>43629</c:v>
                </c:pt>
                <c:pt idx="529">
                  <c:v>43630</c:v>
                </c:pt>
                <c:pt idx="530">
                  <c:v>43631</c:v>
                </c:pt>
                <c:pt idx="531">
                  <c:v>43632</c:v>
                </c:pt>
                <c:pt idx="532">
                  <c:v>43633</c:v>
                </c:pt>
                <c:pt idx="533">
                  <c:v>43634</c:v>
                </c:pt>
                <c:pt idx="534">
                  <c:v>43635</c:v>
                </c:pt>
                <c:pt idx="535">
                  <c:v>43636</c:v>
                </c:pt>
                <c:pt idx="536">
                  <c:v>43637</c:v>
                </c:pt>
                <c:pt idx="537">
                  <c:v>43638</c:v>
                </c:pt>
                <c:pt idx="538">
                  <c:v>43639</c:v>
                </c:pt>
                <c:pt idx="539">
                  <c:v>43640</c:v>
                </c:pt>
                <c:pt idx="540">
                  <c:v>43641</c:v>
                </c:pt>
                <c:pt idx="541">
                  <c:v>43642</c:v>
                </c:pt>
                <c:pt idx="542">
                  <c:v>43643</c:v>
                </c:pt>
                <c:pt idx="543">
                  <c:v>43644</c:v>
                </c:pt>
                <c:pt idx="544">
                  <c:v>43645</c:v>
                </c:pt>
                <c:pt idx="545">
                  <c:v>43646</c:v>
                </c:pt>
                <c:pt idx="546">
                  <c:v>43647</c:v>
                </c:pt>
                <c:pt idx="547">
                  <c:v>43648</c:v>
                </c:pt>
                <c:pt idx="548">
                  <c:v>43649</c:v>
                </c:pt>
                <c:pt idx="549">
                  <c:v>43650</c:v>
                </c:pt>
                <c:pt idx="550">
                  <c:v>43651</c:v>
                </c:pt>
                <c:pt idx="551">
                  <c:v>43652</c:v>
                </c:pt>
                <c:pt idx="552">
                  <c:v>43653</c:v>
                </c:pt>
                <c:pt idx="553">
                  <c:v>43654</c:v>
                </c:pt>
                <c:pt idx="554">
                  <c:v>43655</c:v>
                </c:pt>
                <c:pt idx="555">
                  <c:v>43656</c:v>
                </c:pt>
                <c:pt idx="556">
                  <c:v>43657</c:v>
                </c:pt>
                <c:pt idx="557">
                  <c:v>43658</c:v>
                </c:pt>
                <c:pt idx="558">
                  <c:v>43659</c:v>
                </c:pt>
                <c:pt idx="559">
                  <c:v>43660</c:v>
                </c:pt>
                <c:pt idx="560">
                  <c:v>43661</c:v>
                </c:pt>
                <c:pt idx="561">
                  <c:v>43662</c:v>
                </c:pt>
                <c:pt idx="562">
                  <c:v>43663</c:v>
                </c:pt>
                <c:pt idx="563">
                  <c:v>43664</c:v>
                </c:pt>
                <c:pt idx="564">
                  <c:v>43665</c:v>
                </c:pt>
                <c:pt idx="565">
                  <c:v>43666</c:v>
                </c:pt>
                <c:pt idx="566">
                  <c:v>43667</c:v>
                </c:pt>
                <c:pt idx="567">
                  <c:v>43668</c:v>
                </c:pt>
                <c:pt idx="568">
                  <c:v>43669</c:v>
                </c:pt>
                <c:pt idx="569">
                  <c:v>43670</c:v>
                </c:pt>
                <c:pt idx="570">
                  <c:v>43671</c:v>
                </c:pt>
                <c:pt idx="571">
                  <c:v>43672</c:v>
                </c:pt>
                <c:pt idx="572">
                  <c:v>43673</c:v>
                </c:pt>
                <c:pt idx="573">
                  <c:v>43674</c:v>
                </c:pt>
                <c:pt idx="574">
                  <c:v>43675</c:v>
                </c:pt>
                <c:pt idx="575">
                  <c:v>43676</c:v>
                </c:pt>
                <c:pt idx="576">
                  <c:v>43677</c:v>
                </c:pt>
                <c:pt idx="577">
                  <c:v>43678</c:v>
                </c:pt>
                <c:pt idx="578">
                  <c:v>43679</c:v>
                </c:pt>
                <c:pt idx="579">
                  <c:v>43680</c:v>
                </c:pt>
                <c:pt idx="580">
                  <c:v>43681</c:v>
                </c:pt>
                <c:pt idx="581">
                  <c:v>43682</c:v>
                </c:pt>
                <c:pt idx="582">
                  <c:v>43683</c:v>
                </c:pt>
                <c:pt idx="583">
                  <c:v>43684</c:v>
                </c:pt>
                <c:pt idx="584">
                  <c:v>43685</c:v>
                </c:pt>
                <c:pt idx="585">
                  <c:v>43686</c:v>
                </c:pt>
                <c:pt idx="586">
                  <c:v>43687</c:v>
                </c:pt>
                <c:pt idx="587">
                  <c:v>43688</c:v>
                </c:pt>
                <c:pt idx="588">
                  <c:v>43689</c:v>
                </c:pt>
                <c:pt idx="589">
                  <c:v>43690</c:v>
                </c:pt>
                <c:pt idx="590">
                  <c:v>43691</c:v>
                </c:pt>
                <c:pt idx="591">
                  <c:v>43692</c:v>
                </c:pt>
                <c:pt idx="592">
                  <c:v>43693</c:v>
                </c:pt>
                <c:pt idx="593">
                  <c:v>43694</c:v>
                </c:pt>
                <c:pt idx="594">
                  <c:v>43695</c:v>
                </c:pt>
                <c:pt idx="595">
                  <c:v>43696</c:v>
                </c:pt>
                <c:pt idx="596">
                  <c:v>43697</c:v>
                </c:pt>
                <c:pt idx="597">
                  <c:v>43698</c:v>
                </c:pt>
                <c:pt idx="598">
                  <c:v>43699</c:v>
                </c:pt>
                <c:pt idx="599">
                  <c:v>43700</c:v>
                </c:pt>
                <c:pt idx="600">
                  <c:v>43701</c:v>
                </c:pt>
                <c:pt idx="601">
                  <c:v>43702</c:v>
                </c:pt>
                <c:pt idx="602">
                  <c:v>43703</c:v>
                </c:pt>
                <c:pt idx="603">
                  <c:v>43704</c:v>
                </c:pt>
                <c:pt idx="604">
                  <c:v>43705</c:v>
                </c:pt>
                <c:pt idx="605">
                  <c:v>43706</c:v>
                </c:pt>
                <c:pt idx="606">
                  <c:v>43707</c:v>
                </c:pt>
                <c:pt idx="607">
                  <c:v>43708</c:v>
                </c:pt>
                <c:pt idx="608">
                  <c:v>43709</c:v>
                </c:pt>
                <c:pt idx="609">
                  <c:v>43710</c:v>
                </c:pt>
                <c:pt idx="610">
                  <c:v>43711</c:v>
                </c:pt>
                <c:pt idx="611">
                  <c:v>43712</c:v>
                </c:pt>
                <c:pt idx="612">
                  <c:v>43713</c:v>
                </c:pt>
                <c:pt idx="613">
                  <c:v>43714</c:v>
                </c:pt>
                <c:pt idx="614">
                  <c:v>43715</c:v>
                </c:pt>
                <c:pt idx="615">
                  <c:v>43716</c:v>
                </c:pt>
                <c:pt idx="616">
                  <c:v>43717</c:v>
                </c:pt>
                <c:pt idx="617">
                  <c:v>43718</c:v>
                </c:pt>
                <c:pt idx="618">
                  <c:v>43719</c:v>
                </c:pt>
                <c:pt idx="619">
                  <c:v>43720</c:v>
                </c:pt>
                <c:pt idx="620">
                  <c:v>43721</c:v>
                </c:pt>
                <c:pt idx="621">
                  <c:v>43722</c:v>
                </c:pt>
                <c:pt idx="622">
                  <c:v>43723</c:v>
                </c:pt>
                <c:pt idx="623">
                  <c:v>43724</c:v>
                </c:pt>
                <c:pt idx="624">
                  <c:v>43725</c:v>
                </c:pt>
                <c:pt idx="625">
                  <c:v>43726</c:v>
                </c:pt>
                <c:pt idx="626">
                  <c:v>43727</c:v>
                </c:pt>
                <c:pt idx="627">
                  <c:v>43728</c:v>
                </c:pt>
                <c:pt idx="628">
                  <c:v>43729</c:v>
                </c:pt>
                <c:pt idx="629">
                  <c:v>43730</c:v>
                </c:pt>
                <c:pt idx="630">
                  <c:v>43731</c:v>
                </c:pt>
                <c:pt idx="631">
                  <c:v>43732</c:v>
                </c:pt>
                <c:pt idx="632">
                  <c:v>43733</c:v>
                </c:pt>
                <c:pt idx="633">
                  <c:v>43734</c:v>
                </c:pt>
                <c:pt idx="634">
                  <c:v>43735</c:v>
                </c:pt>
                <c:pt idx="635">
                  <c:v>43736</c:v>
                </c:pt>
                <c:pt idx="636">
                  <c:v>43737</c:v>
                </c:pt>
                <c:pt idx="637">
                  <c:v>43738</c:v>
                </c:pt>
                <c:pt idx="638">
                  <c:v>43739</c:v>
                </c:pt>
                <c:pt idx="639">
                  <c:v>43740</c:v>
                </c:pt>
                <c:pt idx="640">
                  <c:v>43741</c:v>
                </c:pt>
                <c:pt idx="641">
                  <c:v>43742</c:v>
                </c:pt>
                <c:pt idx="642">
                  <c:v>43743</c:v>
                </c:pt>
                <c:pt idx="643">
                  <c:v>43744</c:v>
                </c:pt>
                <c:pt idx="644">
                  <c:v>43745</c:v>
                </c:pt>
                <c:pt idx="645">
                  <c:v>43746</c:v>
                </c:pt>
                <c:pt idx="646">
                  <c:v>43747</c:v>
                </c:pt>
                <c:pt idx="647">
                  <c:v>43748</c:v>
                </c:pt>
                <c:pt idx="648">
                  <c:v>43749</c:v>
                </c:pt>
                <c:pt idx="649">
                  <c:v>43750</c:v>
                </c:pt>
                <c:pt idx="650">
                  <c:v>43751</c:v>
                </c:pt>
                <c:pt idx="651">
                  <c:v>43752</c:v>
                </c:pt>
                <c:pt idx="652">
                  <c:v>43753</c:v>
                </c:pt>
                <c:pt idx="653">
                  <c:v>43754</c:v>
                </c:pt>
                <c:pt idx="654">
                  <c:v>43755</c:v>
                </c:pt>
                <c:pt idx="655">
                  <c:v>43756</c:v>
                </c:pt>
                <c:pt idx="656">
                  <c:v>43757</c:v>
                </c:pt>
                <c:pt idx="657">
                  <c:v>43758</c:v>
                </c:pt>
                <c:pt idx="658">
                  <c:v>43759</c:v>
                </c:pt>
                <c:pt idx="659">
                  <c:v>43760</c:v>
                </c:pt>
                <c:pt idx="660">
                  <c:v>43761</c:v>
                </c:pt>
                <c:pt idx="661">
                  <c:v>43762</c:v>
                </c:pt>
                <c:pt idx="662">
                  <c:v>43763</c:v>
                </c:pt>
                <c:pt idx="663">
                  <c:v>43764</c:v>
                </c:pt>
                <c:pt idx="664">
                  <c:v>43765</c:v>
                </c:pt>
                <c:pt idx="665">
                  <c:v>43766</c:v>
                </c:pt>
                <c:pt idx="666">
                  <c:v>43767</c:v>
                </c:pt>
                <c:pt idx="667">
                  <c:v>43768</c:v>
                </c:pt>
                <c:pt idx="668">
                  <c:v>43769</c:v>
                </c:pt>
                <c:pt idx="669">
                  <c:v>43770</c:v>
                </c:pt>
                <c:pt idx="670">
                  <c:v>43771</c:v>
                </c:pt>
                <c:pt idx="671">
                  <c:v>43772</c:v>
                </c:pt>
                <c:pt idx="672">
                  <c:v>43773</c:v>
                </c:pt>
                <c:pt idx="673">
                  <c:v>43774</c:v>
                </c:pt>
                <c:pt idx="674">
                  <c:v>43775</c:v>
                </c:pt>
                <c:pt idx="675">
                  <c:v>43776</c:v>
                </c:pt>
                <c:pt idx="676">
                  <c:v>43777</c:v>
                </c:pt>
                <c:pt idx="677">
                  <c:v>43778</c:v>
                </c:pt>
                <c:pt idx="678">
                  <c:v>43779</c:v>
                </c:pt>
                <c:pt idx="679">
                  <c:v>43780</c:v>
                </c:pt>
                <c:pt idx="680">
                  <c:v>43781</c:v>
                </c:pt>
                <c:pt idx="681">
                  <c:v>43782</c:v>
                </c:pt>
                <c:pt idx="682">
                  <c:v>43783</c:v>
                </c:pt>
                <c:pt idx="683">
                  <c:v>43784</c:v>
                </c:pt>
                <c:pt idx="684">
                  <c:v>43785</c:v>
                </c:pt>
                <c:pt idx="685">
                  <c:v>43786</c:v>
                </c:pt>
                <c:pt idx="686">
                  <c:v>43787</c:v>
                </c:pt>
                <c:pt idx="687">
                  <c:v>43788</c:v>
                </c:pt>
                <c:pt idx="688">
                  <c:v>43789</c:v>
                </c:pt>
                <c:pt idx="689">
                  <c:v>43790</c:v>
                </c:pt>
                <c:pt idx="690">
                  <c:v>43791</c:v>
                </c:pt>
                <c:pt idx="691">
                  <c:v>43792</c:v>
                </c:pt>
                <c:pt idx="692">
                  <c:v>43793</c:v>
                </c:pt>
                <c:pt idx="693">
                  <c:v>43794</c:v>
                </c:pt>
                <c:pt idx="694">
                  <c:v>43795</c:v>
                </c:pt>
                <c:pt idx="695">
                  <c:v>43796</c:v>
                </c:pt>
                <c:pt idx="696">
                  <c:v>43797</c:v>
                </c:pt>
                <c:pt idx="697">
                  <c:v>43798</c:v>
                </c:pt>
                <c:pt idx="698">
                  <c:v>43799</c:v>
                </c:pt>
                <c:pt idx="699">
                  <c:v>43800</c:v>
                </c:pt>
                <c:pt idx="700">
                  <c:v>43801</c:v>
                </c:pt>
                <c:pt idx="701">
                  <c:v>43802</c:v>
                </c:pt>
                <c:pt idx="702">
                  <c:v>43803</c:v>
                </c:pt>
                <c:pt idx="703">
                  <c:v>43804</c:v>
                </c:pt>
                <c:pt idx="704">
                  <c:v>43805</c:v>
                </c:pt>
                <c:pt idx="705">
                  <c:v>43806</c:v>
                </c:pt>
                <c:pt idx="706">
                  <c:v>43807</c:v>
                </c:pt>
                <c:pt idx="707">
                  <c:v>43808</c:v>
                </c:pt>
                <c:pt idx="708">
                  <c:v>43809</c:v>
                </c:pt>
                <c:pt idx="709">
                  <c:v>43810</c:v>
                </c:pt>
                <c:pt idx="710">
                  <c:v>43811</c:v>
                </c:pt>
                <c:pt idx="711">
                  <c:v>43812</c:v>
                </c:pt>
                <c:pt idx="712">
                  <c:v>43813</c:v>
                </c:pt>
                <c:pt idx="713">
                  <c:v>43814</c:v>
                </c:pt>
                <c:pt idx="714">
                  <c:v>43815</c:v>
                </c:pt>
                <c:pt idx="715">
                  <c:v>43816</c:v>
                </c:pt>
                <c:pt idx="716">
                  <c:v>43817</c:v>
                </c:pt>
                <c:pt idx="717">
                  <c:v>43818</c:v>
                </c:pt>
                <c:pt idx="718">
                  <c:v>43819</c:v>
                </c:pt>
                <c:pt idx="719">
                  <c:v>43820</c:v>
                </c:pt>
                <c:pt idx="720">
                  <c:v>43821</c:v>
                </c:pt>
                <c:pt idx="721">
                  <c:v>43822</c:v>
                </c:pt>
                <c:pt idx="722">
                  <c:v>43823</c:v>
                </c:pt>
                <c:pt idx="723">
                  <c:v>43824</c:v>
                </c:pt>
                <c:pt idx="724">
                  <c:v>43825</c:v>
                </c:pt>
                <c:pt idx="725">
                  <c:v>43826</c:v>
                </c:pt>
                <c:pt idx="726">
                  <c:v>43827</c:v>
                </c:pt>
                <c:pt idx="727">
                  <c:v>43828</c:v>
                </c:pt>
                <c:pt idx="728">
                  <c:v>43829</c:v>
                </c:pt>
                <c:pt idx="729">
                  <c:v>43830</c:v>
                </c:pt>
                <c:pt idx="730">
                  <c:v>43831</c:v>
                </c:pt>
                <c:pt idx="731">
                  <c:v>43832</c:v>
                </c:pt>
                <c:pt idx="732">
                  <c:v>43833</c:v>
                </c:pt>
                <c:pt idx="733">
                  <c:v>43834</c:v>
                </c:pt>
                <c:pt idx="734">
                  <c:v>43835</c:v>
                </c:pt>
                <c:pt idx="735">
                  <c:v>43836</c:v>
                </c:pt>
                <c:pt idx="736">
                  <c:v>43837</c:v>
                </c:pt>
                <c:pt idx="737">
                  <c:v>43838</c:v>
                </c:pt>
                <c:pt idx="738">
                  <c:v>43839</c:v>
                </c:pt>
                <c:pt idx="739">
                  <c:v>43840</c:v>
                </c:pt>
                <c:pt idx="740">
                  <c:v>43841</c:v>
                </c:pt>
                <c:pt idx="741">
                  <c:v>43842</c:v>
                </c:pt>
                <c:pt idx="742">
                  <c:v>43843</c:v>
                </c:pt>
                <c:pt idx="743">
                  <c:v>43844</c:v>
                </c:pt>
                <c:pt idx="744">
                  <c:v>43845</c:v>
                </c:pt>
                <c:pt idx="745">
                  <c:v>43846</c:v>
                </c:pt>
                <c:pt idx="746">
                  <c:v>43847</c:v>
                </c:pt>
                <c:pt idx="747">
                  <c:v>43848</c:v>
                </c:pt>
                <c:pt idx="748">
                  <c:v>43849</c:v>
                </c:pt>
                <c:pt idx="749">
                  <c:v>43850</c:v>
                </c:pt>
                <c:pt idx="750">
                  <c:v>43851</c:v>
                </c:pt>
                <c:pt idx="751">
                  <c:v>43852</c:v>
                </c:pt>
                <c:pt idx="752">
                  <c:v>43853</c:v>
                </c:pt>
                <c:pt idx="753">
                  <c:v>43854</c:v>
                </c:pt>
                <c:pt idx="754">
                  <c:v>43855</c:v>
                </c:pt>
                <c:pt idx="755">
                  <c:v>43856</c:v>
                </c:pt>
                <c:pt idx="756">
                  <c:v>43857</c:v>
                </c:pt>
                <c:pt idx="757">
                  <c:v>43858</c:v>
                </c:pt>
                <c:pt idx="758">
                  <c:v>43859</c:v>
                </c:pt>
                <c:pt idx="759">
                  <c:v>43860</c:v>
                </c:pt>
                <c:pt idx="760">
                  <c:v>43861</c:v>
                </c:pt>
                <c:pt idx="761">
                  <c:v>43862</c:v>
                </c:pt>
                <c:pt idx="762">
                  <c:v>43863</c:v>
                </c:pt>
                <c:pt idx="763">
                  <c:v>43864</c:v>
                </c:pt>
                <c:pt idx="764">
                  <c:v>43865</c:v>
                </c:pt>
                <c:pt idx="765">
                  <c:v>43866</c:v>
                </c:pt>
                <c:pt idx="766">
                  <c:v>43867</c:v>
                </c:pt>
                <c:pt idx="767">
                  <c:v>43868</c:v>
                </c:pt>
                <c:pt idx="768">
                  <c:v>43869</c:v>
                </c:pt>
                <c:pt idx="769">
                  <c:v>43870</c:v>
                </c:pt>
                <c:pt idx="770">
                  <c:v>43871</c:v>
                </c:pt>
                <c:pt idx="771">
                  <c:v>43872</c:v>
                </c:pt>
                <c:pt idx="772">
                  <c:v>43873</c:v>
                </c:pt>
                <c:pt idx="773">
                  <c:v>43874</c:v>
                </c:pt>
                <c:pt idx="774">
                  <c:v>43875</c:v>
                </c:pt>
                <c:pt idx="775">
                  <c:v>43876</c:v>
                </c:pt>
                <c:pt idx="776">
                  <c:v>43877</c:v>
                </c:pt>
                <c:pt idx="777">
                  <c:v>43878</c:v>
                </c:pt>
                <c:pt idx="778">
                  <c:v>43879</c:v>
                </c:pt>
                <c:pt idx="779">
                  <c:v>43880</c:v>
                </c:pt>
                <c:pt idx="780">
                  <c:v>43881</c:v>
                </c:pt>
                <c:pt idx="781">
                  <c:v>43882</c:v>
                </c:pt>
                <c:pt idx="782">
                  <c:v>43883</c:v>
                </c:pt>
                <c:pt idx="783">
                  <c:v>43884</c:v>
                </c:pt>
                <c:pt idx="784">
                  <c:v>43885</c:v>
                </c:pt>
                <c:pt idx="785">
                  <c:v>43886</c:v>
                </c:pt>
                <c:pt idx="786">
                  <c:v>43887</c:v>
                </c:pt>
                <c:pt idx="787">
                  <c:v>43888</c:v>
                </c:pt>
                <c:pt idx="788">
                  <c:v>43889</c:v>
                </c:pt>
                <c:pt idx="789">
                  <c:v>43890</c:v>
                </c:pt>
                <c:pt idx="790">
                  <c:v>43891</c:v>
                </c:pt>
                <c:pt idx="791">
                  <c:v>43892</c:v>
                </c:pt>
                <c:pt idx="792">
                  <c:v>43893</c:v>
                </c:pt>
                <c:pt idx="793">
                  <c:v>43894</c:v>
                </c:pt>
                <c:pt idx="794">
                  <c:v>43895</c:v>
                </c:pt>
                <c:pt idx="795">
                  <c:v>43896</c:v>
                </c:pt>
                <c:pt idx="796">
                  <c:v>43897</c:v>
                </c:pt>
                <c:pt idx="797">
                  <c:v>43898</c:v>
                </c:pt>
                <c:pt idx="798">
                  <c:v>43899</c:v>
                </c:pt>
                <c:pt idx="799">
                  <c:v>43900</c:v>
                </c:pt>
                <c:pt idx="800">
                  <c:v>43901</c:v>
                </c:pt>
                <c:pt idx="801">
                  <c:v>43902</c:v>
                </c:pt>
                <c:pt idx="802">
                  <c:v>43903</c:v>
                </c:pt>
                <c:pt idx="803">
                  <c:v>43904</c:v>
                </c:pt>
                <c:pt idx="804">
                  <c:v>43905</c:v>
                </c:pt>
                <c:pt idx="805">
                  <c:v>43906</c:v>
                </c:pt>
                <c:pt idx="806">
                  <c:v>43907</c:v>
                </c:pt>
                <c:pt idx="807">
                  <c:v>43908</c:v>
                </c:pt>
                <c:pt idx="808">
                  <c:v>43909</c:v>
                </c:pt>
                <c:pt idx="809">
                  <c:v>43910</c:v>
                </c:pt>
                <c:pt idx="810">
                  <c:v>43911</c:v>
                </c:pt>
                <c:pt idx="811">
                  <c:v>43912</c:v>
                </c:pt>
                <c:pt idx="812">
                  <c:v>43913</c:v>
                </c:pt>
                <c:pt idx="813">
                  <c:v>43914</c:v>
                </c:pt>
                <c:pt idx="814">
                  <c:v>43915</c:v>
                </c:pt>
                <c:pt idx="815">
                  <c:v>43916</c:v>
                </c:pt>
                <c:pt idx="816">
                  <c:v>43917</c:v>
                </c:pt>
                <c:pt idx="817">
                  <c:v>43918</c:v>
                </c:pt>
                <c:pt idx="818">
                  <c:v>43919</c:v>
                </c:pt>
                <c:pt idx="819">
                  <c:v>43920</c:v>
                </c:pt>
                <c:pt idx="820">
                  <c:v>43921</c:v>
                </c:pt>
                <c:pt idx="821">
                  <c:v>43922</c:v>
                </c:pt>
                <c:pt idx="822">
                  <c:v>43923</c:v>
                </c:pt>
                <c:pt idx="823">
                  <c:v>43924</c:v>
                </c:pt>
                <c:pt idx="824">
                  <c:v>43925</c:v>
                </c:pt>
                <c:pt idx="825">
                  <c:v>43926</c:v>
                </c:pt>
                <c:pt idx="826">
                  <c:v>43927</c:v>
                </c:pt>
                <c:pt idx="827">
                  <c:v>43928</c:v>
                </c:pt>
                <c:pt idx="828">
                  <c:v>43929</c:v>
                </c:pt>
                <c:pt idx="829">
                  <c:v>43930</c:v>
                </c:pt>
                <c:pt idx="830">
                  <c:v>43931</c:v>
                </c:pt>
                <c:pt idx="831">
                  <c:v>43932</c:v>
                </c:pt>
                <c:pt idx="832">
                  <c:v>43933</c:v>
                </c:pt>
                <c:pt idx="833">
                  <c:v>43934</c:v>
                </c:pt>
                <c:pt idx="834">
                  <c:v>43935</c:v>
                </c:pt>
                <c:pt idx="835">
                  <c:v>43936</c:v>
                </c:pt>
                <c:pt idx="836">
                  <c:v>43937</c:v>
                </c:pt>
                <c:pt idx="837">
                  <c:v>43938</c:v>
                </c:pt>
                <c:pt idx="838">
                  <c:v>43939</c:v>
                </c:pt>
                <c:pt idx="839">
                  <c:v>43940</c:v>
                </c:pt>
                <c:pt idx="840">
                  <c:v>43941</c:v>
                </c:pt>
                <c:pt idx="841">
                  <c:v>43942</c:v>
                </c:pt>
                <c:pt idx="842">
                  <c:v>43943</c:v>
                </c:pt>
                <c:pt idx="843">
                  <c:v>43944</c:v>
                </c:pt>
                <c:pt idx="844">
                  <c:v>43945</c:v>
                </c:pt>
                <c:pt idx="845">
                  <c:v>43946</c:v>
                </c:pt>
                <c:pt idx="846">
                  <c:v>43947</c:v>
                </c:pt>
                <c:pt idx="847">
                  <c:v>43948</c:v>
                </c:pt>
                <c:pt idx="848">
                  <c:v>43949</c:v>
                </c:pt>
                <c:pt idx="849">
                  <c:v>43950</c:v>
                </c:pt>
                <c:pt idx="850">
                  <c:v>43951</c:v>
                </c:pt>
                <c:pt idx="851">
                  <c:v>43952</c:v>
                </c:pt>
                <c:pt idx="852">
                  <c:v>43953</c:v>
                </c:pt>
                <c:pt idx="853">
                  <c:v>43954</c:v>
                </c:pt>
                <c:pt idx="854">
                  <c:v>43955</c:v>
                </c:pt>
                <c:pt idx="855">
                  <c:v>43956</c:v>
                </c:pt>
                <c:pt idx="856">
                  <c:v>43957</c:v>
                </c:pt>
                <c:pt idx="857">
                  <c:v>43958</c:v>
                </c:pt>
                <c:pt idx="858">
                  <c:v>43959</c:v>
                </c:pt>
                <c:pt idx="859">
                  <c:v>43960</c:v>
                </c:pt>
                <c:pt idx="860">
                  <c:v>43961</c:v>
                </c:pt>
                <c:pt idx="861">
                  <c:v>43962</c:v>
                </c:pt>
                <c:pt idx="862">
                  <c:v>43963</c:v>
                </c:pt>
                <c:pt idx="863">
                  <c:v>43964</c:v>
                </c:pt>
                <c:pt idx="864">
                  <c:v>43965</c:v>
                </c:pt>
                <c:pt idx="865">
                  <c:v>43966</c:v>
                </c:pt>
                <c:pt idx="866">
                  <c:v>43967</c:v>
                </c:pt>
                <c:pt idx="867">
                  <c:v>43968</c:v>
                </c:pt>
                <c:pt idx="868">
                  <c:v>43969</c:v>
                </c:pt>
                <c:pt idx="869">
                  <c:v>43970</c:v>
                </c:pt>
                <c:pt idx="870">
                  <c:v>43971</c:v>
                </c:pt>
                <c:pt idx="871">
                  <c:v>43972</c:v>
                </c:pt>
                <c:pt idx="872">
                  <c:v>43973</c:v>
                </c:pt>
                <c:pt idx="873">
                  <c:v>43974</c:v>
                </c:pt>
                <c:pt idx="874">
                  <c:v>43975</c:v>
                </c:pt>
                <c:pt idx="875">
                  <c:v>43976</c:v>
                </c:pt>
                <c:pt idx="876">
                  <c:v>43977</c:v>
                </c:pt>
                <c:pt idx="877">
                  <c:v>43978</c:v>
                </c:pt>
                <c:pt idx="878">
                  <c:v>43979</c:v>
                </c:pt>
                <c:pt idx="879">
                  <c:v>43980</c:v>
                </c:pt>
                <c:pt idx="880">
                  <c:v>43981</c:v>
                </c:pt>
                <c:pt idx="881">
                  <c:v>43982</c:v>
                </c:pt>
                <c:pt idx="882">
                  <c:v>43983</c:v>
                </c:pt>
                <c:pt idx="883">
                  <c:v>43984</c:v>
                </c:pt>
                <c:pt idx="884">
                  <c:v>43985</c:v>
                </c:pt>
                <c:pt idx="885">
                  <c:v>43986</c:v>
                </c:pt>
                <c:pt idx="886">
                  <c:v>43987</c:v>
                </c:pt>
                <c:pt idx="887">
                  <c:v>43988</c:v>
                </c:pt>
                <c:pt idx="888">
                  <c:v>43989</c:v>
                </c:pt>
                <c:pt idx="889">
                  <c:v>43990</c:v>
                </c:pt>
                <c:pt idx="890">
                  <c:v>43991</c:v>
                </c:pt>
                <c:pt idx="891">
                  <c:v>43992</c:v>
                </c:pt>
                <c:pt idx="892">
                  <c:v>43993</c:v>
                </c:pt>
                <c:pt idx="893">
                  <c:v>43994</c:v>
                </c:pt>
                <c:pt idx="894">
                  <c:v>43995</c:v>
                </c:pt>
                <c:pt idx="895">
                  <c:v>43996</c:v>
                </c:pt>
                <c:pt idx="896">
                  <c:v>43997</c:v>
                </c:pt>
                <c:pt idx="897">
                  <c:v>43998</c:v>
                </c:pt>
                <c:pt idx="898">
                  <c:v>43999</c:v>
                </c:pt>
                <c:pt idx="899">
                  <c:v>44000</c:v>
                </c:pt>
                <c:pt idx="900">
                  <c:v>44001</c:v>
                </c:pt>
                <c:pt idx="901">
                  <c:v>44002</c:v>
                </c:pt>
                <c:pt idx="902">
                  <c:v>44003</c:v>
                </c:pt>
                <c:pt idx="903">
                  <c:v>44004</c:v>
                </c:pt>
                <c:pt idx="904">
                  <c:v>44005</c:v>
                </c:pt>
                <c:pt idx="905">
                  <c:v>44006</c:v>
                </c:pt>
                <c:pt idx="906">
                  <c:v>44007</c:v>
                </c:pt>
                <c:pt idx="907">
                  <c:v>44008</c:v>
                </c:pt>
                <c:pt idx="908">
                  <c:v>44009</c:v>
                </c:pt>
                <c:pt idx="909">
                  <c:v>44010</c:v>
                </c:pt>
                <c:pt idx="910">
                  <c:v>44011</c:v>
                </c:pt>
                <c:pt idx="911">
                  <c:v>44012</c:v>
                </c:pt>
                <c:pt idx="912">
                  <c:v>44013</c:v>
                </c:pt>
                <c:pt idx="913">
                  <c:v>44014</c:v>
                </c:pt>
                <c:pt idx="914">
                  <c:v>44015</c:v>
                </c:pt>
                <c:pt idx="915">
                  <c:v>44016</c:v>
                </c:pt>
                <c:pt idx="916">
                  <c:v>44017</c:v>
                </c:pt>
                <c:pt idx="917">
                  <c:v>44018</c:v>
                </c:pt>
                <c:pt idx="918">
                  <c:v>44019</c:v>
                </c:pt>
                <c:pt idx="919">
                  <c:v>44020</c:v>
                </c:pt>
                <c:pt idx="920">
                  <c:v>44021</c:v>
                </c:pt>
                <c:pt idx="921">
                  <c:v>44022</c:v>
                </c:pt>
                <c:pt idx="922">
                  <c:v>44023</c:v>
                </c:pt>
                <c:pt idx="923">
                  <c:v>44024</c:v>
                </c:pt>
                <c:pt idx="924">
                  <c:v>44025</c:v>
                </c:pt>
                <c:pt idx="925">
                  <c:v>44026</c:v>
                </c:pt>
                <c:pt idx="926">
                  <c:v>44027</c:v>
                </c:pt>
                <c:pt idx="927">
                  <c:v>44028</c:v>
                </c:pt>
                <c:pt idx="928">
                  <c:v>44029</c:v>
                </c:pt>
                <c:pt idx="929">
                  <c:v>44030</c:v>
                </c:pt>
                <c:pt idx="930">
                  <c:v>44031</c:v>
                </c:pt>
                <c:pt idx="931">
                  <c:v>44032</c:v>
                </c:pt>
                <c:pt idx="932">
                  <c:v>44033</c:v>
                </c:pt>
                <c:pt idx="933">
                  <c:v>44034</c:v>
                </c:pt>
                <c:pt idx="934">
                  <c:v>44035</c:v>
                </c:pt>
                <c:pt idx="935">
                  <c:v>44036</c:v>
                </c:pt>
                <c:pt idx="936">
                  <c:v>44037</c:v>
                </c:pt>
                <c:pt idx="937">
                  <c:v>44038</c:v>
                </c:pt>
                <c:pt idx="938">
                  <c:v>44039</c:v>
                </c:pt>
                <c:pt idx="939">
                  <c:v>44040</c:v>
                </c:pt>
                <c:pt idx="940">
                  <c:v>44041</c:v>
                </c:pt>
                <c:pt idx="941">
                  <c:v>44042</c:v>
                </c:pt>
                <c:pt idx="942">
                  <c:v>44043</c:v>
                </c:pt>
                <c:pt idx="943">
                  <c:v>44044</c:v>
                </c:pt>
                <c:pt idx="944">
                  <c:v>44045</c:v>
                </c:pt>
                <c:pt idx="945">
                  <c:v>44046</c:v>
                </c:pt>
                <c:pt idx="946">
                  <c:v>44047</c:v>
                </c:pt>
                <c:pt idx="947">
                  <c:v>44048</c:v>
                </c:pt>
                <c:pt idx="948">
                  <c:v>44049</c:v>
                </c:pt>
                <c:pt idx="949">
                  <c:v>44050</c:v>
                </c:pt>
                <c:pt idx="950">
                  <c:v>44051</c:v>
                </c:pt>
                <c:pt idx="951">
                  <c:v>44052</c:v>
                </c:pt>
                <c:pt idx="952">
                  <c:v>44053</c:v>
                </c:pt>
                <c:pt idx="953">
                  <c:v>44054</c:v>
                </c:pt>
                <c:pt idx="954">
                  <c:v>44055</c:v>
                </c:pt>
                <c:pt idx="955">
                  <c:v>44056</c:v>
                </c:pt>
                <c:pt idx="956">
                  <c:v>44057</c:v>
                </c:pt>
                <c:pt idx="957">
                  <c:v>44058</c:v>
                </c:pt>
                <c:pt idx="958">
                  <c:v>44059</c:v>
                </c:pt>
                <c:pt idx="959">
                  <c:v>44060</c:v>
                </c:pt>
                <c:pt idx="960">
                  <c:v>44061</c:v>
                </c:pt>
                <c:pt idx="961">
                  <c:v>44062</c:v>
                </c:pt>
                <c:pt idx="962">
                  <c:v>44063</c:v>
                </c:pt>
                <c:pt idx="963">
                  <c:v>44064</c:v>
                </c:pt>
                <c:pt idx="964">
                  <c:v>44065</c:v>
                </c:pt>
                <c:pt idx="965">
                  <c:v>44066</c:v>
                </c:pt>
                <c:pt idx="966">
                  <c:v>44067</c:v>
                </c:pt>
                <c:pt idx="967">
                  <c:v>44068</c:v>
                </c:pt>
                <c:pt idx="968">
                  <c:v>44069</c:v>
                </c:pt>
                <c:pt idx="969">
                  <c:v>44070</c:v>
                </c:pt>
                <c:pt idx="970">
                  <c:v>44071</c:v>
                </c:pt>
                <c:pt idx="971">
                  <c:v>44072</c:v>
                </c:pt>
                <c:pt idx="972">
                  <c:v>44073</c:v>
                </c:pt>
                <c:pt idx="973">
                  <c:v>44074</c:v>
                </c:pt>
                <c:pt idx="974">
                  <c:v>44075</c:v>
                </c:pt>
                <c:pt idx="975">
                  <c:v>44076</c:v>
                </c:pt>
                <c:pt idx="976">
                  <c:v>44077</c:v>
                </c:pt>
                <c:pt idx="977">
                  <c:v>44078</c:v>
                </c:pt>
                <c:pt idx="978">
                  <c:v>44079</c:v>
                </c:pt>
                <c:pt idx="979">
                  <c:v>44080</c:v>
                </c:pt>
                <c:pt idx="980">
                  <c:v>44081</c:v>
                </c:pt>
                <c:pt idx="981">
                  <c:v>44082</c:v>
                </c:pt>
                <c:pt idx="982">
                  <c:v>44083</c:v>
                </c:pt>
                <c:pt idx="983">
                  <c:v>44084</c:v>
                </c:pt>
                <c:pt idx="984">
                  <c:v>44085</c:v>
                </c:pt>
                <c:pt idx="985">
                  <c:v>44086</c:v>
                </c:pt>
                <c:pt idx="986">
                  <c:v>44087</c:v>
                </c:pt>
                <c:pt idx="987">
                  <c:v>44088</c:v>
                </c:pt>
                <c:pt idx="988">
                  <c:v>44089</c:v>
                </c:pt>
                <c:pt idx="989">
                  <c:v>44090</c:v>
                </c:pt>
                <c:pt idx="990">
                  <c:v>44091</c:v>
                </c:pt>
                <c:pt idx="991">
                  <c:v>44092</c:v>
                </c:pt>
                <c:pt idx="992">
                  <c:v>44093</c:v>
                </c:pt>
                <c:pt idx="993">
                  <c:v>44094</c:v>
                </c:pt>
                <c:pt idx="994">
                  <c:v>44095</c:v>
                </c:pt>
                <c:pt idx="995">
                  <c:v>44096</c:v>
                </c:pt>
                <c:pt idx="996">
                  <c:v>44097</c:v>
                </c:pt>
                <c:pt idx="997">
                  <c:v>44098</c:v>
                </c:pt>
                <c:pt idx="998">
                  <c:v>44099</c:v>
                </c:pt>
                <c:pt idx="999">
                  <c:v>44100</c:v>
                </c:pt>
                <c:pt idx="1000">
                  <c:v>44101</c:v>
                </c:pt>
                <c:pt idx="1001">
                  <c:v>44102</c:v>
                </c:pt>
                <c:pt idx="1002">
                  <c:v>44103</c:v>
                </c:pt>
                <c:pt idx="1003">
                  <c:v>44104</c:v>
                </c:pt>
                <c:pt idx="1004">
                  <c:v>44105</c:v>
                </c:pt>
                <c:pt idx="1005">
                  <c:v>44106</c:v>
                </c:pt>
                <c:pt idx="1006">
                  <c:v>44107</c:v>
                </c:pt>
                <c:pt idx="1007">
                  <c:v>44108</c:v>
                </c:pt>
                <c:pt idx="1008">
                  <c:v>44109</c:v>
                </c:pt>
                <c:pt idx="1009">
                  <c:v>44110</c:v>
                </c:pt>
                <c:pt idx="1010">
                  <c:v>44111</c:v>
                </c:pt>
                <c:pt idx="1011">
                  <c:v>44112</c:v>
                </c:pt>
                <c:pt idx="1012">
                  <c:v>44113</c:v>
                </c:pt>
                <c:pt idx="1013">
                  <c:v>44114</c:v>
                </c:pt>
                <c:pt idx="1014">
                  <c:v>44115</c:v>
                </c:pt>
                <c:pt idx="1015">
                  <c:v>44116</c:v>
                </c:pt>
                <c:pt idx="1016">
                  <c:v>44117</c:v>
                </c:pt>
                <c:pt idx="1017">
                  <c:v>44118</c:v>
                </c:pt>
                <c:pt idx="1018">
                  <c:v>44119</c:v>
                </c:pt>
                <c:pt idx="1019">
                  <c:v>44120</c:v>
                </c:pt>
                <c:pt idx="1020">
                  <c:v>44121</c:v>
                </c:pt>
                <c:pt idx="1021">
                  <c:v>44122</c:v>
                </c:pt>
                <c:pt idx="1022">
                  <c:v>44123</c:v>
                </c:pt>
                <c:pt idx="1023">
                  <c:v>44124</c:v>
                </c:pt>
                <c:pt idx="1024">
                  <c:v>44125</c:v>
                </c:pt>
                <c:pt idx="1025">
                  <c:v>44126</c:v>
                </c:pt>
                <c:pt idx="1026">
                  <c:v>44127</c:v>
                </c:pt>
                <c:pt idx="1027">
                  <c:v>44128</c:v>
                </c:pt>
                <c:pt idx="1028">
                  <c:v>44129</c:v>
                </c:pt>
                <c:pt idx="1029">
                  <c:v>44130</c:v>
                </c:pt>
                <c:pt idx="1030">
                  <c:v>44131</c:v>
                </c:pt>
                <c:pt idx="1031">
                  <c:v>44132</c:v>
                </c:pt>
                <c:pt idx="1032">
                  <c:v>44133</c:v>
                </c:pt>
                <c:pt idx="1033">
                  <c:v>44134</c:v>
                </c:pt>
                <c:pt idx="1034">
                  <c:v>44135</c:v>
                </c:pt>
                <c:pt idx="1035">
                  <c:v>44136</c:v>
                </c:pt>
                <c:pt idx="1036">
                  <c:v>44137</c:v>
                </c:pt>
                <c:pt idx="1037">
                  <c:v>44138</c:v>
                </c:pt>
                <c:pt idx="1038">
                  <c:v>44139</c:v>
                </c:pt>
                <c:pt idx="1039">
                  <c:v>44140</c:v>
                </c:pt>
                <c:pt idx="1040">
                  <c:v>44141</c:v>
                </c:pt>
                <c:pt idx="1041">
                  <c:v>44142</c:v>
                </c:pt>
                <c:pt idx="1042">
                  <c:v>44143</c:v>
                </c:pt>
                <c:pt idx="1043">
                  <c:v>44144</c:v>
                </c:pt>
                <c:pt idx="1044">
                  <c:v>44145</c:v>
                </c:pt>
                <c:pt idx="1045">
                  <c:v>44146</c:v>
                </c:pt>
                <c:pt idx="1046">
                  <c:v>44147</c:v>
                </c:pt>
                <c:pt idx="1047">
                  <c:v>44148</c:v>
                </c:pt>
                <c:pt idx="1048">
                  <c:v>44149</c:v>
                </c:pt>
                <c:pt idx="1049">
                  <c:v>44150</c:v>
                </c:pt>
                <c:pt idx="1050">
                  <c:v>44151</c:v>
                </c:pt>
                <c:pt idx="1051">
                  <c:v>44152</c:v>
                </c:pt>
                <c:pt idx="1052">
                  <c:v>44153</c:v>
                </c:pt>
                <c:pt idx="1053">
                  <c:v>44154</c:v>
                </c:pt>
                <c:pt idx="1054">
                  <c:v>44155</c:v>
                </c:pt>
                <c:pt idx="1055">
                  <c:v>44156</c:v>
                </c:pt>
                <c:pt idx="1056">
                  <c:v>44157</c:v>
                </c:pt>
                <c:pt idx="1057">
                  <c:v>44158</c:v>
                </c:pt>
                <c:pt idx="1058">
                  <c:v>44159</c:v>
                </c:pt>
                <c:pt idx="1059">
                  <c:v>44160</c:v>
                </c:pt>
                <c:pt idx="1060">
                  <c:v>44161</c:v>
                </c:pt>
                <c:pt idx="1061">
                  <c:v>44162</c:v>
                </c:pt>
                <c:pt idx="1062">
                  <c:v>44163</c:v>
                </c:pt>
                <c:pt idx="1063">
                  <c:v>44164</c:v>
                </c:pt>
                <c:pt idx="1064">
                  <c:v>44165</c:v>
                </c:pt>
                <c:pt idx="1065">
                  <c:v>44166</c:v>
                </c:pt>
                <c:pt idx="1066">
                  <c:v>44167</c:v>
                </c:pt>
                <c:pt idx="1067">
                  <c:v>44168</c:v>
                </c:pt>
                <c:pt idx="1068">
                  <c:v>44169</c:v>
                </c:pt>
                <c:pt idx="1069">
                  <c:v>44170</c:v>
                </c:pt>
                <c:pt idx="1070">
                  <c:v>44171</c:v>
                </c:pt>
                <c:pt idx="1071">
                  <c:v>44172</c:v>
                </c:pt>
                <c:pt idx="1072">
                  <c:v>44173</c:v>
                </c:pt>
                <c:pt idx="1073">
                  <c:v>44174</c:v>
                </c:pt>
                <c:pt idx="1074">
                  <c:v>44175</c:v>
                </c:pt>
                <c:pt idx="1075">
                  <c:v>44176</c:v>
                </c:pt>
                <c:pt idx="1076">
                  <c:v>44177</c:v>
                </c:pt>
                <c:pt idx="1077">
                  <c:v>44178</c:v>
                </c:pt>
                <c:pt idx="1078">
                  <c:v>44179</c:v>
                </c:pt>
                <c:pt idx="1079">
                  <c:v>44180</c:v>
                </c:pt>
                <c:pt idx="1080">
                  <c:v>44181</c:v>
                </c:pt>
                <c:pt idx="1081">
                  <c:v>44182</c:v>
                </c:pt>
                <c:pt idx="1082">
                  <c:v>44183</c:v>
                </c:pt>
                <c:pt idx="1083">
                  <c:v>44184</c:v>
                </c:pt>
                <c:pt idx="1084">
                  <c:v>44185</c:v>
                </c:pt>
                <c:pt idx="1085">
                  <c:v>44186</c:v>
                </c:pt>
                <c:pt idx="1086">
                  <c:v>44187</c:v>
                </c:pt>
                <c:pt idx="1087">
                  <c:v>44188</c:v>
                </c:pt>
                <c:pt idx="1088">
                  <c:v>44189</c:v>
                </c:pt>
                <c:pt idx="1089">
                  <c:v>44190</c:v>
                </c:pt>
                <c:pt idx="1090">
                  <c:v>44191</c:v>
                </c:pt>
                <c:pt idx="1091">
                  <c:v>44192</c:v>
                </c:pt>
                <c:pt idx="1092">
                  <c:v>44193</c:v>
                </c:pt>
                <c:pt idx="1093">
                  <c:v>44194</c:v>
                </c:pt>
                <c:pt idx="1094">
                  <c:v>44195</c:v>
                </c:pt>
                <c:pt idx="1095">
                  <c:v>44196</c:v>
                </c:pt>
                <c:pt idx="1096">
                  <c:v>44197</c:v>
                </c:pt>
                <c:pt idx="1097">
                  <c:v>44198</c:v>
                </c:pt>
                <c:pt idx="1098">
                  <c:v>44199</c:v>
                </c:pt>
                <c:pt idx="1099">
                  <c:v>44200</c:v>
                </c:pt>
                <c:pt idx="1100">
                  <c:v>44201</c:v>
                </c:pt>
                <c:pt idx="1101">
                  <c:v>44202</c:v>
                </c:pt>
                <c:pt idx="1102">
                  <c:v>44203</c:v>
                </c:pt>
                <c:pt idx="1103">
                  <c:v>44204</c:v>
                </c:pt>
                <c:pt idx="1104">
                  <c:v>44205</c:v>
                </c:pt>
                <c:pt idx="1105">
                  <c:v>44206</c:v>
                </c:pt>
                <c:pt idx="1106">
                  <c:v>44207</c:v>
                </c:pt>
                <c:pt idx="1107">
                  <c:v>44208</c:v>
                </c:pt>
                <c:pt idx="1108">
                  <c:v>44209</c:v>
                </c:pt>
                <c:pt idx="1109">
                  <c:v>44210</c:v>
                </c:pt>
                <c:pt idx="1110">
                  <c:v>44211</c:v>
                </c:pt>
                <c:pt idx="1111">
                  <c:v>44212</c:v>
                </c:pt>
                <c:pt idx="1112">
                  <c:v>44213</c:v>
                </c:pt>
                <c:pt idx="1113">
                  <c:v>44214</c:v>
                </c:pt>
                <c:pt idx="1114">
                  <c:v>44215</c:v>
                </c:pt>
                <c:pt idx="1115">
                  <c:v>44216</c:v>
                </c:pt>
                <c:pt idx="1116">
                  <c:v>44217</c:v>
                </c:pt>
                <c:pt idx="1117">
                  <c:v>44218</c:v>
                </c:pt>
                <c:pt idx="1118">
                  <c:v>44219</c:v>
                </c:pt>
                <c:pt idx="1119">
                  <c:v>44220</c:v>
                </c:pt>
                <c:pt idx="1120">
                  <c:v>44221</c:v>
                </c:pt>
                <c:pt idx="1121">
                  <c:v>44222</c:v>
                </c:pt>
                <c:pt idx="1122">
                  <c:v>44223</c:v>
                </c:pt>
                <c:pt idx="1123">
                  <c:v>44224</c:v>
                </c:pt>
                <c:pt idx="1124">
                  <c:v>44225</c:v>
                </c:pt>
                <c:pt idx="1125">
                  <c:v>44226</c:v>
                </c:pt>
                <c:pt idx="1126">
                  <c:v>44227</c:v>
                </c:pt>
                <c:pt idx="1127">
                  <c:v>44228</c:v>
                </c:pt>
                <c:pt idx="1128">
                  <c:v>44229</c:v>
                </c:pt>
                <c:pt idx="1129">
                  <c:v>44230</c:v>
                </c:pt>
                <c:pt idx="1130">
                  <c:v>44231</c:v>
                </c:pt>
                <c:pt idx="1131">
                  <c:v>44232</c:v>
                </c:pt>
                <c:pt idx="1132">
                  <c:v>44233</c:v>
                </c:pt>
                <c:pt idx="1133">
                  <c:v>44234</c:v>
                </c:pt>
                <c:pt idx="1134">
                  <c:v>44235</c:v>
                </c:pt>
                <c:pt idx="1135">
                  <c:v>44236</c:v>
                </c:pt>
                <c:pt idx="1136">
                  <c:v>44237</c:v>
                </c:pt>
                <c:pt idx="1137">
                  <c:v>44238</c:v>
                </c:pt>
                <c:pt idx="1138">
                  <c:v>44239</c:v>
                </c:pt>
                <c:pt idx="1139">
                  <c:v>44240</c:v>
                </c:pt>
                <c:pt idx="1140">
                  <c:v>44241</c:v>
                </c:pt>
                <c:pt idx="1141">
                  <c:v>44242</c:v>
                </c:pt>
                <c:pt idx="1142">
                  <c:v>44243</c:v>
                </c:pt>
                <c:pt idx="1143">
                  <c:v>44244</c:v>
                </c:pt>
                <c:pt idx="1144">
                  <c:v>44245</c:v>
                </c:pt>
                <c:pt idx="1145">
                  <c:v>44246</c:v>
                </c:pt>
                <c:pt idx="1146">
                  <c:v>44247</c:v>
                </c:pt>
                <c:pt idx="1147">
                  <c:v>44248</c:v>
                </c:pt>
                <c:pt idx="1148">
                  <c:v>44249</c:v>
                </c:pt>
                <c:pt idx="1149">
                  <c:v>44250</c:v>
                </c:pt>
                <c:pt idx="1150">
                  <c:v>44251</c:v>
                </c:pt>
                <c:pt idx="1151">
                  <c:v>44252</c:v>
                </c:pt>
                <c:pt idx="1152">
                  <c:v>44253</c:v>
                </c:pt>
                <c:pt idx="1153">
                  <c:v>44254</c:v>
                </c:pt>
                <c:pt idx="1154">
                  <c:v>44255</c:v>
                </c:pt>
                <c:pt idx="1155">
                  <c:v>44256</c:v>
                </c:pt>
                <c:pt idx="1156">
                  <c:v>44257</c:v>
                </c:pt>
                <c:pt idx="1157">
                  <c:v>44258</c:v>
                </c:pt>
                <c:pt idx="1158">
                  <c:v>44259</c:v>
                </c:pt>
                <c:pt idx="1159">
                  <c:v>44260</c:v>
                </c:pt>
                <c:pt idx="1160">
                  <c:v>44261</c:v>
                </c:pt>
                <c:pt idx="1161">
                  <c:v>44262</c:v>
                </c:pt>
                <c:pt idx="1162">
                  <c:v>44263</c:v>
                </c:pt>
                <c:pt idx="1163">
                  <c:v>44264</c:v>
                </c:pt>
                <c:pt idx="1164">
                  <c:v>44265</c:v>
                </c:pt>
                <c:pt idx="1165">
                  <c:v>44266</c:v>
                </c:pt>
                <c:pt idx="1166">
                  <c:v>44267</c:v>
                </c:pt>
                <c:pt idx="1167">
                  <c:v>44268</c:v>
                </c:pt>
                <c:pt idx="1168">
                  <c:v>44269</c:v>
                </c:pt>
                <c:pt idx="1169">
                  <c:v>44270</c:v>
                </c:pt>
                <c:pt idx="1170">
                  <c:v>44271</c:v>
                </c:pt>
                <c:pt idx="1171">
                  <c:v>44272</c:v>
                </c:pt>
                <c:pt idx="1172">
                  <c:v>44273</c:v>
                </c:pt>
                <c:pt idx="1173">
                  <c:v>44274</c:v>
                </c:pt>
                <c:pt idx="1174">
                  <c:v>44275</c:v>
                </c:pt>
                <c:pt idx="1175">
                  <c:v>44276</c:v>
                </c:pt>
                <c:pt idx="1176">
                  <c:v>44277</c:v>
                </c:pt>
                <c:pt idx="1177">
                  <c:v>44278</c:v>
                </c:pt>
                <c:pt idx="1178">
                  <c:v>44279</c:v>
                </c:pt>
                <c:pt idx="1179">
                  <c:v>44280</c:v>
                </c:pt>
                <c:pt idx="1180">
                  <c:v>44281</c:v>
                </c:pt>
                <c:pt idx="1181">
                  <c:v>44282</c:v>
                </c:pt>
                <c:pt idx="1182">
                  <c:v>44283</c:v>
                </c:pt>
                <c:pt idx="1183">
                  <c:v>44284</c:v>
                </c:pt>
                <c:pt idx="1184">
                  <c:v>44285</c:v>
                </c:pt>
                <c:pt idx="1185">
                  <c:v>44286</c:v>
                </c:pt>
                <c:pt idx="1186">
                  <c:v>44287</c:v>
                </c:pt>
                <c:pt idx="1187">
                  <c:v>44288</c:v>
                </c:pt>
                <c:pt idx="1188">
                  <c:v>44289</c:v>
                </c:pt>
                <c:pt idx="1189">
                  <c:v>44290</c:v>
                </c:pt>
                <c:pt idx="1190">
                  <c:v>44291</c:v>
                </c:pt>
                <c:pt idx="1191">
                  <c:v>44292</c:v>
                </c:pt>
                <c:pt idx="1192">
                  <c:v>44293</c:v>
                </c:pt>
                <c:pt idx="1193">
                  <c:v>44294</c:v>
                </c:pt>
                <c:pt idx="1194">
                  <c:v>44295</c:v>
                </c:pt>
                <c:pt idx="1195">
                  <c:v>44296</c:v>
                </c:pt>
                <c:pt idx="1196">
                  <c:v>44297</c:v>
                </c:pt>
                <c:pt idx="1197">
                  <c:v>44298</c:v>
                </c:pt>
                <c:pt idx="1198">
                  <c:v>44299</c:v>
                </c:pt>
                <c:pt idx="1199">
                  <c:v>44300</c:v>
                </c:pt>
                <c:pt idx="1200">
                  <c:v>44301</c:v>
                </c:pt>
                <c:pt idx="1201">
                  <c:v>44302</c:v>
                </c:pt>
                <c:pt idx="1202">
                  <c:v>44303</c:v>
                </c:pt>
                <c:pt idx="1203">
                  <c:v>44304</c:v>
                </c:pt>
                <c:pt idx="1204">
                  <c:v>44305</c:v>
                </c:pt>
                <c:pt idx="1205">
                  <c:v>44306</c:v>
                </c:pt>
                <c:pt idx="1206">
                  <c:v>44307</c:v>
                </c:pt>
                <c:pt idx="1207">
                  <c:v>44308</c:v>
                </c:pt>
                <c:pt idx="1208">
                  <c:v>44309</c:v>
                </c:pt>
                <c:pt idx="1209">
                  <c:v>44310</c:v>
                </c:pt>
                <c:pt idx="1210">
                  <c:v>44311</c:v>
                </c:pt>
                <c:pt idx="1211">
                  <c:v>44312</c:v>
                </c:pt>
                <c:pt idx="1212">
                  <c:v>44313</c:v>
                </c:pt>
                <c:pt idx="1213">
                  <c:v>44314</c:v>
                </c:pt>
                <c:pt idx="1214">
                  <c:v>44315</c:v>
                </c:pt>
                <c:pt idx="1215">
                  <c:v>44316</c:v>
                </c:pt>
                <c:pt idx="1216">
                  <c:v>44317</c:v>
                </c:pt>
                <c:pt idx="1217">
                  <c:v>44318</c:v>
                </c:pt>
                <c:pt idx="1218">
                  <c:v>44319</c:v>
                </c:pt>
                <c:pt idx="1219">
                  <c:v>44320</c:v>
                </c:pt>
                <c:pt idx="1220">
                  <c:v>44321</c:v>
                </c:pt>
                <c:pt idx="1221">
                  <c:v>44322</c:v>
                </c:pt>
                <c:pt idx="1222">
                  <c:v>44323</c:v>
                </c:pt>
                <c:pt idx="1223">
                  <c:v>44324</c:v>
                </c:pt>
                <c:pt idx="1224">
                  <c:v>44325</c:v>
                </c:pt>
                <c:pt idx="1225">
                  <c:v>44326</c:v>
                </c:pt>
                <c:pt idx="1226">
                  <c:v>44327</c:v>
                </c:pt>
                <c:pt idx="1227">
                  <c:v>44328</c:v>
                </c:pt>
                <c:pt idx="1228">
                  <c:v>44329</c:v>
                </c:pt>
                <c:pt idx="1229">
                  <c:v>44330</c:v>
                </c:pt>
                <c:pt idx="1230">
                  <c:v>44331</c:v>
                </c:pt>
                <c:pt idx="1231">
                  <c:v>44332</c:v>
                </c:pt>
                <c:pt idx="1232">
                  <c:v>44333</c:v>
                </c:pt>
                <c:pt idx="1233">
                  <c:v>44334</c:v>
                </c:pt>
                <c:pt idx="1234">
                  <c:v>44335</c:v>
                </c:pt>
                <c:pt idx="1235">
                  <c:v>44336</c:v>
                </c:pt>
                <c:pt idx="1236">
                  <c:v>44337</c:v>
                </c:pt>
                <c:pt idx="1237">
                  <c:v>44338</c:v>
                </c:pt>
                <c:pt idx="1238">
                  <c:v>44339</c:v>
                </c:pt>
                <c:pt idx="1239">
                  <c:v>44340</c:v>
                </c:pt>
                <c:pt idx="1240">
                  <c:v>44341</c:v>
                </c:pt>
                <c:pt idx="1241">
                  <c:v>44342</c:v>
                </c:pt>
                <c:pt idx="1242">
                  <c:v>44343</c:v>
                </c:pt>
                <c:pt idx="1243">
                  <c:v>44344</c:v>
                </c:pt>
                <c:pt idx="1244">
                  <c:v>44345</c:v>
                </c:pt>
                <c:pt idx="1245">
                  <c:v>44346</c:v>
                </c:pt>
                <c:pt idx="1246">
                  <c:v>44347</c:v>
                </c:pt>
                <c:pt idx="1247">
                  <c:v>44348</c:v>
                </c:pt>
                <c:pt idx="1248">
                  <c:v>44349</c:v>
                </c:pt>
                <c:pt idx="1249">
                  <c:v>44350</c:v>
                </c:pt>
                <c:pt idx="1250">
                  <c:v>44351</c:v>
                </c:pt>
                <c:pt idx="1251">
                  <c:v>44352</c:v>
                </c:pt>
                <c:pt idx="1252">
                  <c:v>44353</c:v>
                </c:pt>
                <c:pt idx="1253">
                  <c:v>44354</c:v>
                </c:pt>
                <c:pt idx="1254">
                  <c:v>44355</c:v>
                </c:pt>
                <c:pt idx="1255">
                  <c:v>44356</c:v>
                </c:pt>
                <c:pt idx="1256">
                  <c:v>44357</c:v>
                </c:pt>
                <c:pt idx="1257">
                  <c:v>44358</c:v>
                </c:pt>
                <c:pt idx="1258">
                  <c:v>44359</c:v>
                </c:pt>
                <c:pt idx="1259">
                  <c:v>44360</c:v>
                </c:pt>
                <c:pt idx="1260">
                  <c:v>44361</c:v>
                </c:pt>
                <c:pt idx="1261">
                  <c:v>44362</c:v>
                </c:pt>
                <c:pt idx="1262">
                  <c:v>44363</c:v>
                </c:pt>
                <c:pt idx="1263">
                  <c:v>44364</c:v>
                </c:pt>
                <c:pt idx="1264">
                  <c:v>44365</c:v>
                </c:pt>
                <c:pt idx="1265">
                  <c:v>44366</c:v>
                </c:pt>
                <c:pt idx="1266">
                  <c:v>44367</c:v>
                </c:pt>
                <c:pt idx="1267">
                  <c:v>44368</c:v>
                </c:pt>
                <c:pt idx="1268">
                  <c:v>44369</c:v>
                </c:pt>
                <c:pt idx="1269">
                  <c:v>44370</c:v>
                </c:pt>
                <c:pt idx="1270">
                  <c:v>44371</c:v>
                </c:pt>
                <c:pt idx="1271">
                  <c:v>44372</c:v>
                </c:pt>
                <c:pt idx="1272">
                  <c:v>44373</c:v>
                </c:pt>
                <c:pt idx="1273">
                  <c:v>44374</c:v>
                </c:pt>
                <c:pt idx="1274">
                  <c:v>44375</c:v>
                </c:pt>
                <c:pt idx="1275">
                  <c:v>44376</c:v>
                </c:pt>
                <c:pt idx="1276">
                  <c:v>44377</c:v>
                </c:pt>
                <c:pt idx="1277">
                  <c:v>44378</c:v>
                </c:pt>
                <c:pt idx="1278">
                  <c:v>44379</c:v>
                </c:pt>
                <c:pt idx="1279">
                  <c:v>44380</c:v>
                </c:pt>
                <c:pt idx="1280">
                  <c:v>44381</c:v>
                </c:pt>
                <c:pt idx="1281">
                  <c:v>44382</c:v>
                </c:pt>
                <c:pt idx="1282">
                  <c:v>44383</c:v>
                </c:pt>
                <c:pt idx="1283">
                  <c:v>44384</c:v>
                </c:pt>
                <c:pt idx="1284">
                  <c:v>44385</c:v>
                </c:pt>
                <c:pt idx="1285">
                  <c:v>44386</c:v>
                </c:pt>
                <c:pt idx="1286">
                  <c:v>44387</c:v>
                </c:pt>
                <c:pt idx="1287">
                  <c:v>44388</c:v>
                </c:pt>
                <c:pt idx="1288">
                  <c:v>44389</c:v>
                </c:pt>
                <c:pt idx="1289">
                  <c:v>44390</c:v>
                </c:pt>
                <c:pt idx="1290">
                  <c:v>44391</c:v>
                </c:pt>
                <c:pt idx="1291">
                  <c:v>44392</c:v>
                </c:pt>
                <c:pt idx="1292">
                  <c:v>44393</c:v>
                </c:pt>
                <c:pt idx="1293">
                  <c:v>44394</c:v>
                </c:pt>
                <c:pt idx="1294">
                  <c:v>44395</c:v>
                </c:pt>
                <c:pt idx="1295">
                  <c:v>44396</c:v>
                </c:pt>
                <c:pt idx="1296">
                  <c:v>44397</c:v>
                </c:pt>
                <c:pt idx="1297">
                  <c:v>44398</c:v>
                </c:pt>
                <c:pt idx="1298">
                  <c:v>44399</c:v>
                </c:pt>
                <c:pt idx="1299">
                  <c:v>44400</c:v>
                </c:pt>
                <c:pt idx="1300">
                  <c:v>44401</c:v>
                </c:pt>
                <c:pt idx="1301">
                  <c:v>44402</c:v>
                </c:pt>
                <c:pt idx="1302">
                  <c:v>44403</c:v>
                </c:pt>
                <c:pt idx="1303">
                  <c:v>44404</c:v>
                </c:pt>
                <c:pt idx="1304">
                  <c:v>44405</c:v>
                </c:pt>
                <c:pt idx="1305">
                  <c:v>44406</c:v>
                </c:pt>
                <c:pt idx="1306">
                  <c:v>44407</c:v>
                </c:pt>
                <c:pt idx="1307">
                  <c:v>44408</c:v>
                </c:pt>
                <c:pt idx="1308">
                  <c:v>44409</c:v>
                </c:pt>
                <c:pt idx="1309">
                  <c:v>44410</c:v>
                </c:pt>
                <c:pt idx="1310">
                  <c:v>44411</c:v>
                </c:pt>
                <c:pt idx="1311">
                  <c:v>44412</c:v>
                </c:pt>
                <c:pt idx="1312">
                  <c:v>44413</c:v>
                </c:pt>
                <c:pt idx="1313">
                  <c:v>44414</c:v>
                </c:pt>
                <c:pt idx="1314">
                  <c:v>44415</c:v>
                </c:pt>
                <c:pt idx="1315">
                  <c:v>44416</c:v>
                </c:pt>
                <c:pt idx="1316">
                  <c:v>44417</c:v>
                </c:pt>
                <c:pt idx="1317">
                  <c:v>44418</c:v>
                </c:pt>
                <c:pt idx="1318">
                  <c:v>44419</c:v>
                </c:pt>
                <c:pt idx="1319">
                  <c:v>44420</c:v>
                </c:pt>
                <c:pt idx="1320">
                  <c:v>44421</c:v>
                </c:pt>
                <c:pt idx="1321">
                  <c:v>44422</c:v>
                </c:pt>
                <c:pt idx="1322">
                  <c:v>44423</c:v>
                </c:pt>
                <c:pt idx="1323">
                  <c:v>44424</c:v>
                </c:pt>
                <c:pt idx="1324">
                  <c:v>44425</c:v>
                </c:pt>
                <c:pt idx="1325">
                  <c:v>44426</c:v>
                </c:pt>
                <c:pt idx="1326">
                  <c:v>44427</c:v>
                </c:pt>
                <c:pt idx="1327">
                  <c:v>44428</c:v>
                </c:pt>
                <c:pt idx="1328">
                  <c:v>44429</c:v>
                </c:pt>
                <c:pt idx="1329">
                  <c:v>44430</c:v>
                </c:pt>
                <c:pt idx="1330">
                  <c:v>44431</c:v>
                </c:pt>
                <c:pt idx="1331">
                  <c:v>44432</c:v>
                </c:pt>
                <c:pt idx="1332">
                  <c:v>44433</c:v>
                </c:pt>
                <c:pt idx="1333">
                  <c:v>44434</c:v>
                </c:pt>
                <c:pt idx="1334">
                  <c:v>44435</c:v>
                </c:pt>
                <c:pt idx="1335">
                  <c:v>44436</c:v>
                </c:pt>
                <c:pt idx="1336">
                  <c:v>44437</c:v>
                </c:pt>
                <c:pt idx="1337">
                  <c:v>44438</c:v>
                </c:pt>
                <c:pt idx="1338">
                  <c:v>44439</c:v>
                </c:pt>
                <c:pt idx="1339">
                  <c:v>44440</c:v>
                </c:pt>
                <c:pt idx="1340">
                  <c:v>44441</c:v>
                </c:pt>
                <c:pt idx="1341">
                  <c:v>44442</c:v>
                </c:pt>
                <c:pt idx="1342">
                  <c:v>44443</c:v>
                </c:pt>
                <c:pt idx="1343">
                  <c:v>44444</c:v>
                </c:pt>
                <c:pt idx="1344">
                  <c:v>44445</c:v>
                </c:pt>
                <c:pt idx="1345">
                  <c:v>44446</c:v>
                </c:pt>
                <c:pt idx="1346">
                  <c:v>44447</c:v>
                </c:pt>
                <c:pt idx="1347">
                  <c:v>44448</c:v>
                </c:pt>
                <c:pt idx="1348">
                  <c:v>44449</c:v>
                </c:pt>
                <c:pt idx="1349">
                  <c:v>44450</c:v>
                </c:pt>
                <c:pt idx="1350">
                  <c:v>44451</c:v>
                </c:pt>
                <c:pt idx="1351">
                  <c:v>44452</c:v>
                </c:pt>
                <c:pt idx="1352">
                  <c:v>44453</c:v>
                </c:pt>
                <c:pt idx="1353">
                  <c:v>44454</c:v>
                </c:pt>
                <c:pt idx="1354">
                  <c:v>44455</c:v>
                </c:pt>
                <c:pt idx="1355">
                  <c:v>44456</c:v>
                </c:pt>
                <c:pt idx="1356">
                  <c:v>44457</c:v>
                </c:pt>
                <c:pt idx="1357">
                  <c:v>44458</c:v>
                </c:pt>
                <c:pt idx="1358">
                  <c:v>44459</c:v>
                </c:pt>
                <c:pt idx="1359">
                  <c:v>44460</c:v>
                </c:pt>
                <c:pt idx="1360">
                  <c:v>44461</c:v>
                </c:pt>
                <c:pt idx="1361">
                  <c:v>44462</c:v>
                </c:pt>
                <c:pt idx="1362">
                  <c:v>44463</c:v>
                </c:pt>
                <c:pt idx="1363">
                  <c:v>44464</c:v>
                </c:pt>
                <c:pt idx="1364">
                  <c:v>44465</c:v>
                </c:pt>
                <c:pt idx="1365">
                  <c:v>44466</c:v>
                </c:pt>
                <c:pt idx="1366">
                  <c:v>44467</c:v>
                </c:pt>
                <c:pt idx="1367">
                  <c:v>44468</c:v>
                </c:pt>
                <c:pt idx="1368">
                  <c:v>44469</c:v>
                </c:pt>
                <c:pt idx="1369">
                  <c:v>44470</c:v>
                </c:pt>
                <c:pt idx="1370">
                  <c:v>44471</c:v>
                </c:pt>
                <c:pt idx="1371">
                  <c:v>44472</c:v>
                </c:pt>
                <c:pt idx="1372">
                  <c:v>44473</c:v>
                </c:pt>
                <c:pt idx="1373">
                  <c:v>44474</c:v>
                </c:pt>
                <c:pt idx="1374">
                  <c:v>44475</c:v>
                </c:pt>
                <c:pt idx="1375">
                  <c:v>44476</c:v>
                </c:pt>
                <c:pt idx="1376">
                  <c:v>44477</c:v>
                </c:pt>
                <c:pt idx="1377">
                  <c:v>44478</c:v>
                </c:pt>
                <c:pt idx="1378">
                  <c:v>44479</c:v>
                </c:pt>
                <c:pt idx="1379">
                  <c:v>44480</c:v>
                </c:pt>
                <c:pt idx="1380">
                  <c:v>44481</c:v>
                </c:pt>
                <c:pt idx="1381">
                  <c:v>44482</c:v>
                </c:pt>
                <c:pt idx="1382">
                  <c:v>44483</c:v>
                </c:pt>
                <c:pt idx="1383">
                  <c:v>44484</c:v>
                </c:pt>
                <c:pt idx="1384">
                  <c:v>44485</c:v>
                </c:pt>
                <c:pt idx="1385">
                  <c:v>44486</c:v>
                </c:pt>
                <c:pt idx="1386">
                  <c:v>44487</c:v>
                </c:pt>
                <c:pt idx="1387">
                  <c:v>44488</c:v>
                </c:pt>
                <c:pt idx="1388">
                  <c:v>44489</c:v>
                </c:pt>
                <c:pt idx="1389">
                  <c:v>44490</c:v>
                </c:pt>
                <c:pt idx="1390">
                  <c:v>44491</c:v>
                </c:pt>
                <c:pt idx="1391">
                  <c:v>44492</c:v>
                </c:pt>
                <c:pt idx="1392">
                  <c:v>44493</c:v>
                </c:pt>
                <c:pt idx="1393">
                  <c:v>44494</c:v>
                </c:pt>
                <c:pt idx="1394">
                  <c:v>44495</c:v>
                </c:pt>
                <c:pt idx="1395">
                  <c:v>44496</c:v>
                </c:pt>
                <c:pt idx="1396">
                  <c:v>44497</c:v>
                </c:pt>
                <c:pt idx="1397">
                  <c:v>44498</c:v>
                </c:pt>
                <c:pt idx="1398">
                  <c:v>44499</c:v>
                </c:pt>
                <c:pt idx="1399">
                  <c:v>44500</c:v>
                </c:pt>
                <c:pt idx="1400">
                  <c:v>44501</c:v>
                </c:pt>
                <c:pt idx="1401">
                  <c:v>44502</c:v>
                </c:pt>
                <c:pt idx="1402">
                  <c:v>44503</c:v>
                </c:pt>
                <c:pt idx="1403">
                  <c:v>44504</c:v>
                </c:pt>
                <c:pt idx="1404">
                  <c:v>44505</c:v>
                </c:pt>
                <c:pt idx="1405">
                  <c:v>44506</c:v>
                </c:pt>
                <c:pt idx="1406">
                  <c:v>44507</c:v>
                </c:pt>
                <c:pt idx="1407">
                  <c:v>44508</c:v>
                </c:pt>
                <c:pt idx="1408">
                  <c:v>44509</c:v>
                </c:pt>
                <c:pt idx="1409">
                  <c:v>44510</c:v>
                </c:pt>
                <c:pt idx="1410">
                  <c:v>44511</c:v>
                </c:pt>
                <c:pt idx="1411">
                  <c:v>44512</c:v>
                </c:pt>
                <c:pt idx="1412">
                  <c:v>44513</c:v>
                </c:pt>
                <c:pt idx="1413">
                  <c:v>44514</c:v>
                </c:pt>
                <c:pt idx="1414">
                  <c:v>44515</c:v>
                </c:pt>
                <c:pt idx="1415">
                  <c:v>44516</c:v>
                </c:pt>
                <c:pt idx="1416">
                  <c:v>44517</c:v>
                </c:pt>
                <c:pt idx="1417">
                  <c:v>44518</c:v>
                </c:pt>
                <c:pt idx="1418">
                  <c:v>44519</c:v>
                </c:pt>
                <c:pt idx="1419">
                  <c:v>44520</c:v>
                </c:pt>
                <c:pt idx="1420">
                  <c:v>44521</c:v>
                </c:pt>
                <c:pt idx="1421">
                  <c:v>44522</c:v>
                </c:pt>
                <c:pt idx="1422">
                  <c:v>44523</c:v>
                </c:pt>
                <c:pt idx="1423">
                  <c:v>44524</c:v>
                </c:pt>
                <c:pt idx="1424">
                  <c:v>44525</c:v>
                </c:pt>
                <c:pt idx="1425">
                  <c:v>44526</c:v>
                </c:pt>
                <c:pt idx="1426">
                  <c:v>44527</c:v>
                </c:pt>
                <c:pt idx="1427">
                  <c:v>44528</c:v>
                </c:pt>
                <c:pt idx="1428">
                  <c:v>44529</c:v>
                </c:pt>
                <c:pt idx="1429">
                  <c:v>44530</c:v>
                </c:pt>
                <c:pt idx="1430">
                  <c:v>44531</c:v>
                </c:pt>
                <c:pt idx="1431">
                  <c:v>44532</c:v>
                </c:pt>
                <c:pt idx="1432">
                  <c:v>44533</c:v>
                </c:pt>
                <c:pt idx="1433">
                  <c:v>44534</c:v>
                </c:pt>
                <c:pt idx="1434">
                  <c:v>44535</c:v>
                </c:pt>
                <c:pt idx="1435">
                  <c:v>44536</c:v>
                </c:pt>
                <c:pt idx="1436">
                  <c:v>44537</c:v>
                </c:pt>
                <c:pt idx="1437">
                  <c:v>44538</c:v>
                </c:pt>
                <c:pt idx="1438">
                  <c:v>44539</c:v>
                </c:pt>
                <c:pt idx="1439">
                  <c:v>44540</c:v>
                </c:pt>
                <c:pt idx="1440">
                  <c:v>44541</c:v>
                </c:pt>
                <c:pt idx="1441">
                  <c:v>44542</c:v>
                </c:pt>
                <c:pt idx="1442">
                  <c:v>44543</c:v>
                </c:pt>
                <c:pt idx="1443">
                  <c:v>44544</c:v>
                </c:pt>
                <c:pt idx="1444">
                  <c:v>44545</c:v>
                </c:pt>
                <c:pt idx="1445">
                  <c:v>44546</c:v>
                </c:pt>
                <c:pt idx="1446">
                  <c:v>44547</c:v>
                </c:pt>
                <c:pt idx="1447">
                  <c:v>44548</c:v>
                </c:pt>
                <c:pt idx="1448">
                  <c:v>44549</c:v>
                </c:pt>
                <c:pt idx="1449">
                  <c:v>44550</c:v>
                </c:pt>
                <c:pt idx="1450">
                  <c:v>44551</c:v>
                </c:pt>
                <c:pt idx="1451">
                  <c:v>44552</c:v>
                </c:pt>
                <c:pt idx="1452">
                  <c:v>44553</c:v>
                </c:pt>
                <c:pt idx="1453">
                  <c:v>44554</c:v>
                </c:pt>
                <c:pt idx="1454">
                  <c:v>44555</c:v>
                </c:pt>
                <c:pt idx="1455">
                  <c:v>44556</c:v>
                </c:pt>
                <c:pt idx="1456">
                  <c:v>44557</c:v>
                </c:pt>
                <c:pt idx="1457">
                  <c:v>44558</c:v>
                </c:pt>
                <c:pt idx="1458">
                  <c:v>44559</c:v>
                </c:pt>
                <c:pt idx="1459">
                  <c:v>44560</c:v>
                </c:pt>
                <c:pt idx="1460">
                  <c:v>44561</c:v>
                </c:pt>
                <c:pt idx="1461">
                  <c:v>44562</c:v>
                </c:pt>
                <c:pt idx="1462">
                  <c:v>44563</c:v>
                </c:pt>
                <c:pt idx="1463">
                  <c:v>44564</c:v>
                </c:pt>
                <c:pt idx="1464">
                  <c:v>44565</c:v>
                </c:pt>
                <c:pt idx="1465">
                  <c:v>44566</c:v>
                </c:pt>
                <c:pt idx="1466">
                  <c:v>44567</c:v>
                </c:pt>
                <c:pt idx="1467">
                  <c:v>44568</c:v>
                </c:pt>
                <c:pt idx="1468">
                  <c:v>44569</c:v>
                </c:pt>
                <c:pt idx="1469">
                  <c:v>44570</c:v>
                </c:pt>
                <c:pt idx="1470">
                  <c:v>44571</c:v>
                </c:pt>
                <c:pt idx="1471">
                  <c:v>44572</c:v>
                </c:pt>
                <c:pt idx="1472">
                  <c:v>44573</c:v>
                </c:pt>
                <c:pt idx="1473">
                  <c:v>44574</c:v>
                </c:pt>
                <c:pt idx="1474">
                  <c:v>44575</c:v>
                </c:pt>
                <c:pt idx="1475">
                  <c:v>44576</c:v>
                </c:pt>
                <c:pt idx="1476">
                  <c:v>44577</c:v>
                </c:pt>
                <c:pt idx="1477">
                  <c:v>44578</c:v>
                </c:pt>
                <c:pt idx="1478">
                  <c:v>44579</c:v>
                </c:pt>
                <c:pt idx="1479">
                  <c:v>44580</c:v>
                </c:pt>
                <c:pt idx="1480">
                  <c:v>44581</c:v>
                </c:pt>
                <c:pt idx="1481">
                  <c:v>44582</c:v>
                </c:pt>
                <c:pt idx="1482">
                  <c:v>44583</c:v>
                </c:pt>
                <c:pt idx="1483">
                  <c:v>44584</c:v>
                </c:pt>
                <c:pt idx="1484">
                  <c:v>44585</c:v>
                </c:pt>
                <c:pt idx="1485">
                  <c:v>44586</c:v>
                </c:pt>
                <c:pt idx="1486">
                  <c:v>44587</c:v>
                </c:pt>
                <c:pt idx="1487">
                  <c:v>44588</c:v>
                </c:pt>
                <c:pt idx="1488">
                  <c:v>44589</c:v>
                </c:pt>
                <c:pt idx="1489">
                  <c:v>44590</c:v>
                </c:pt>
                <c:pt idx="1490">
                  <c:v>44591</c:v>
                </c:pt>
                <c:pt idx="1491">
                  <c:v>44592</c:v>
                </c:pt>
                <c:pt idx="1492">
                  <c:v>44593</c:v>
                </c:pt>
                <c:pt idx="1493">
                  <c:v>44594</c:v>
                </c:pt>
                <c:pt idx="1494">
                  <c:v>44595</c:v>
                </c:pt>
                <c:pt idx="1495">
                  <c:v>44596</c:v>
                </c:pt>
                <c:pt idx="1496">
                  <c:v>44597</c:v>
                </c:pt>
                <c:pt idx="1497">
                  <c:v>44598</c:v>
                </c:pt>
                <c:pt idx="1498">
                  <c:v>44599</c:v>
                </c:pt>
                <c:pt idx="1499">
                  <c:v>44600</c:v>
                </c:pt>
                <c:pt idx="1500">
                  <c:v>44601</c:v>
                </c:pt>
                <c:pt idx="1501">
                  <c:v>44602</c:v>
                </c:pt>
                <c:pt idx="1502">
                  <c:v>44603</c:v>
                </c:pt>
                <c:pt idx="1503">
                  <c:v>44604</c:v>
                </c:pt>
                <c:pt idx="1504">
                  <c:v>44605</c:v>
                </c:pt>
                <c:pt idx="1505">
                  <c:v>44606</c:v>
                </c:pt>
                <c:pt idx="1506">
                  <c:v>44607</c:v>
                </c:pt>
                <c:pt idx="1507">
                  <c:v>44608</c:v>
                </c:pt>
                <c:pt idx="1508">
                  <c:v>44609</c:v>
                </c:pt>
                <c:pt idx="1509">
                  <c:v>44610</c:v>
                </c:pt>
                <c:pt idx="1510">
                  <c:v>44611</c:v>
                </c:pt>
                <c:pt idx="1511">
                  <c:v>44612</c:v>
                </c:pt>
                <c:pt idx="1512">
                  <c:v>44613</c:v>
                </c:pt>
                <c:pt idx="1513">
                  <c:v>44614</c:v>
                </c:pt>
                <c:pt idx="1514">
                  <c:v>44615</c:v>
                </c:pt>
                <c:pt idx="1515">
                  <c:v>44616</c:v>
                </c:pt>
                <c:pt idx="1516">
                  <c:v>44617</c:v>
                </c:pt>
                <c:pt idx="1517">
                  <c:v>44618</c:v>
                </c:pt>
                <c:pt idx="1518">
                  <c:v>44619</c:v>
                </c:pt>
                <c:pt idx="1519">
                  <c:v>44620</c:v>
                </c:pt>
                <c:pt idx="1520">
                  <c:v>44621</c:v>
                </c:pt>
                <c:pt idx="1521">
                  <c:v>44622</c:v>
                </c:pt>
                <c:pt idx="1522">
                  <c:v>44623</c:v>
                </c:pt>
                <c:pt idx="1523">
                  <c:v>44624</c:v>
                </c:pt>
                <c:pt idx="1524">
                  <c:v>44625</c:v>
                </c:pt>
                <c:pt idx="1525">
                  <c:v>44626</c:v>
                </c:pt>
                <c:pt idx="1526">
                  <c:v>44627</c:v>
                </c:pt>
                <c:pt idx="1527">
                  <c:v>44628</c:v>
                </c:pt>
                <c:pt idx="1528">
                  <c:v>44629</c:v>
                </c:pt>
                <c:pt idx="1529">
                  <c:v>44630</c:v>
                </c:pt>
                <c:pt idx="1530">
                  <c:v>44631</c:v>
                </c:pt>
                <c:pt idx="1531">
                  <c:v>44632</c:v>
                </c:pt>
                <c:pt idx="1532">
                  <c:v>44633</c:v>
                </c:pt>
                <c:pt idx="1533">
                  <c:v>44634</c:v>
                </c:pt>
                <c:pt idx="1534">
                  <c:v>44635</c:v>
                </c:pt>
                <c:pt idx="1535">
                  <c:v>44636</c:v>
                </c:pt>
                <c:pt idx="1536">
                  <c:v>44637</c:v>
                </c:pt>
                <c:pt idx="1537">
                  <c:v>44638</c:v>
                </c:pt>
                <c:pt idx="1538">
                  <c:v>44639</c:v>
                </c:pt>
                <c:pt idx="1539">
                  <c:v>44640</c:v>
                </c:pt>
                <c:pt idx="1540">
                  <c:v>44641</c:v>
                </c:pt>
                <c:pt idx="1541">
                  <c:v>44642</c:v>
                </c:pt>
                <c:pt idx="1542">
                  <c:v>44643</c:v>
                </c:pt>
                <c:pt idx="1543">
                  <c:v>44644</c:v>
                </c:pt>
                <c:pt idx="1544">
                  <c:v>44645</c:v>
                </c:pt>
                <c:pt idx="1545">
                  <c:v>44646</c:v>
                </c:pt>
                <c:pt idx="1546">
                  <c:v>44647</c:v>
                </c:pt>
                <c:pt idx="1547">
                  <c:v>44648</c:v>
                </c:pt>
                <c:pt idx="1548">
                  <c:v>44649</c:v>
                </c:pt>
                <c:pt idx="1549">
                  <c:v>44650</c:v>
                </c:pt>
                <c:pt idx="1550">
                  <c:v>44651</c:v>
                </c:pt>
                <c:pt idx="1551">
                  <c:v>44652</c:v>
                </c:pt>
                <c:pt idx="1552">
                  <c:v>44653</c:v>
                </c:pt>
                <c:pt idx="1553">
                  <c:v>44654</c:v>
                </c:pt>
                <c:pt idx="1554">
                  <c:v>44655</c:v>
                </c:pt>
                <c:pt idx="1555">
                  <c:v>44656</c:v>
                </c:pt>
                <c:pt idx="1556">
                  <c:v>44657</c:v>
                </c:pt>
                <c:pt idx="1557">
                  <c:v>44658</c:v>
                </c:pt>
                <c:pt idx="1558">
                  <c:v>44659</c:v>
                </c:pt>
                <c:pt idx="1559">
                  <c:v>44660</c:v>
                </c:pt>
                <c:pt idx="1560">
                  <c:v>44661</c:v>
                </c:pt>
                <c:pt idx="1561">
                  <c:v>44662</c:v>
                </c:pt>
                <c:pt idx="1562">
                  <c:v>44663</c:v>
                </c:pt>
                <c:pt idx="1563">
                  <c:v>44664</c:v>
                </c:pt>
                <c:pt idx="1564">
                  <c:v>44665</c:v>
                </c:pt>
                <c:pt idx="1565">
                  <c:v>44666</c:v>
                </c:pt>
                <c:pt idx="1566">
                  <c:v>44667</c:v>
                </c:pt>
                <c:pt idx="1567">
                  <c:v>44668</c:v>
                </c:pt>
                <c:pt idx="1568">
                  <c:v>44669</c:v>
                </c:pt>
                <c:pt idx="1569">
                  <c:v>44670</c:v>
                </c:pt>
                <c:pt idx="1570">
                  <c:v>44671</c:v>
                </c:pt>
                <c:pt idx="1571">
                  <c:v>44672</c:v>
                </c:pt>
                <c:pt idx="1572">
                  <c:v>44673</c:v>
                </c:pt>
                <c:pt idx="1573">
                  <c:v>44674</c:v>
                </c:pt>
                <c:pt idx="1574">
                  <c:v>44675</c:v>
                </c:pt>
                <c:pt idx="1575">
                  <c:v>44676</c:v>
                </c:pt>
                <c:pt idx="1576">
                  <c:v>44677</c:v>
                </c:pt>
                <c:pt idx="1577">
                  <c:v>44678</c:v>
                </c:pt>
                <c:pt idx="1578">
                  <c:v>44679</c:v>
                </c:pt>
                <c:pt idx="1579">
                  <c:v>44680</c:v>
                </c:pt>
                <c:pt idx="1580">
                  <c:v>44681</c:v>
                </c:pt>
                <c:pt idx="1581">
                  <c:v>44682</c:v>
                </c:pt>
                <c:pt idx="1582">
                  <c:v>44683</c:v>
                </c:pt>
                <c:pt idx="1583">
                  <c:v>44684</c:v>
                </c:pt>
                <c:pt idx="1584">
                  <c:v>44685</c:v>
                </c:pt>
                <c:pt idx="1585">
                  <c:v>44686</c:v>
                </c:pt>
                <c:pt idx="1586">
                  <c:v>44687</c:v>
                </c:pt>
                <c:pt idx="1587">
                  <c:v>44688</c:v>
                </c:pt>
                <c:pt idx="1588">
                  <c:v>44689</c:v>
                </c:pt>
                <c:pt idx="1589">
                  <c:v>44690</c:v>
                </c:pt>
                <c:pt idx="1590">
                  <c:v>44691</c:v>
                </c:pt>
                <c:pt idx="1591">
                  <c:v>44692</c:v>
                </c:pt>
                <c:pt idx="1592">
                  <c:v>44693</c:v>
                </c:pt>
                <c:pt idx="1593">
                  <c:v>44694</c:v>
                </c:pt>
                <c:pt idx="1594">
                  <c:v>44695</c:v>
                </c:pt>
                <c:pt idx="1595">
                  <c:v>44696</c:v>
                </c:pt>
                <c:pt idx="1596">
                  <c:v>44697</c:v>
                </c:pt>
                <c:pt idx="1597">
                  <c:v>44698</c:v>
                </c:pt>
                <c:pt idx="1598">
                  <c:v>44699</c:v>
                </c:pt>
                <c:pt idx="1599">
                  <c:v>44700</c:v>
                </c:pt>
                <c:pt idx="1600">
                  <c:v>44701</c:v>
                </c:pt>
                <c:pt idx="1601">
                  <c:v>44702</c:v>
                </c:pt>
                <c:pt idx="1602">
                  <c:v>44703</c:v>
                </c:pt>
                <c:pt idx="1603">
                  <c:v>44704</c:v>
                </c:pt>
                <c:pt idx="1604">
                  <c:v>44705</c:v>
                </c:pt>
                <c:pt idx="1605">
                  <c:v>44706</c:v>
                </c:pt>
                <c:pt idx="1606">
                  <c:v>44707</c:v>
                </c:pt>
                <c:pt idx="1607">
                  <c:v>44708</c:v>
                </c:pt>
                <c:pt idx="1608">
                  <c:v>44709</c:v>
                </c:pt>
                <c:pt idx="1609">
                  <c:v>44710</c:v>
                </c:pt>
                <c:pt idx="1610">
                  <c:v>44711</c:v>
                </c:pt>
                <c:pt idx="1611">
                  <c:v>44712</c:v>
                </c:pt>
                <c:pt idx="1612">
                  <c:v>44713</c:v>
                </c:pt>
                <c:pt idx="1613">
                  <c:v>44714</c:v>
                </c:pt>
                <c:pt idx="1614">
                  <c:v>44715</c:v>
                </c:pt>
                <c:pt idx="1615">
                  <c:v>44716</c:v>
                </c:pt>
                <c:pt idx="1616">
                  <c:v>44717</c:v>
                </c:pt>
                <c:pt idx="1617">
                  <c:v>44718</c:v>
                </c:pt>
                <c:pt idx="1618">
                  <c:v>44719</c:v>
                </c:pt>
                <c:pt idx="1619">
                  <c:v>44720</c:v>
                </c:pt>
                <c:pt idx="1620">
                  <c:v>44721</c:v>
                </c:pt>
                <c:pt idx="1621">
                  <c:v>44722</c:v>
                </c:pt>
                <c:pt idx="1622">
                  <c:v>44723</c:v>
                </c:pt>
                <c:pt idx="1623">
                  <c:v>44724</c:v>
                </c:pt>
                <c:pt idx="1624">
                  <c:v>44725</c:v>
                </c:pt>
                <c:pt idx="1625">
                  <c:v>44726</c:v>
                </c:pt>
                <c:pt idx="1626">
                  <c:v>44727</c:v>
                </c:pt>
                <c:pt idx="1627">
                  <c:v>44728</c:v>
                </c:pt>
                <c:pt idx="1628">
                  <c:v>44729</c:v>
                </c:pt>
                <c:pt idx="1629">
                  <c:v>44730</c:v>
                </c:pt>
                <c:pt idx="1630">
                  <c:v>44731</c:v>
                </c:pt>
                <c:pt idx="1631">
                  <c:v>44732</c:v>
                </c:pt>
                <c:pt idx="1632">
                  <c:v>44733</c:v>
                </c:pt>
                <c:pt idx="1633">
                  <c:v>44734</c:v>
                </c:pt>
                <c:pt idx="1634">
                  <c:v>44735</c:v>
                </c:pt>
                <c:pt idx="1635">
                  <c:v>44736</c:v>
                </c:pt>
                <c:pt idx="1636">
                  <c:v>44737</c:v>
                </c:pt>
                <c:pt idx="1637">
                  <c:v>44738</c:v>
                </c:pt>
                <c:pt idx="1638">
                  <c:v>44739</c:v>
                </c:pt>
                <c:pt idx="1639">
                  <c:v>44740</c:v>
                </c:pt>
                <c:pt idx="1640">
                  <c:v>44741</c:v>
                </c:pt>
                <c:pt idx="1641">
                  <c:v>44742</c:v>
                </c:pt>
                <c:pt idx="1642">
                  <c:v>44743</c:v>
                </c:pt>
                <c:pt idx="1643">
                  <c:v>44744</c:v>
                </c:pt>
                <c:pt idx="1644">
                  <c:v>44745</c:v>
                </c:pt>
                <c:pt idx="1645">
                  <c:v>44746</c:v>
                </c:pt>
                <c:pt idx="1646">
                  <c:v>44747</c:v>
                </c:pt>
                <c:pt idx="1647">
                  <c:v>44748</c:v>
                </c:pt>
                <c:pt idx="1648">
                  <c:v>44749</c:v>
                </c:pt>
                <c:pt idx="1649">
                  <c:v>44750</c:v>
                </c:pt>
                <c:pt idx="1650">
                  <c:v>44751</c:v>
                </c:pt>
                <c:pt idx="1651">
                  <c:v>44752</c:v>
                </c:pt>
                <c:pt idx="1652">
                  <c:v>44753</c:v>
                </c:pt>
                <c:pt idx="1653">
                  <c:v>44754</c:v>
                </c:pt>
                <c:pt idx="1654">
                  <c:v>44755</c:v>
                </c:pt>
                <c:pt idx="1655">
                  <c:v>44756</c:v>
                </c:pt>
                <c:pt idx="1656">
                  <c:v>44757</c:v>
                </c:pt>
                <c:pt idx="1657">
                  <c:v>44758</c:v>
                </c:pt>
                <c:pt idx="1658">
                  <c:v>44759</c:v>
                </c:pt>
                <c:pt idx="1659">
                  <c:v>44760</c:v>
                </c:pt>
                <c:pt idx="1660">
                  <c:v>44761</c:v>
                </c:pt>
                <c:pt idx="1661">
                  <c:v>44762</c:v>
                </c:pt>
                <c:pt idx="1662">
                  <c:v>44763</c:v>
                </c:pt>
                <c:pt idx="1663">
                  <c:v>44764</c:v>
                </c:pt>
                <c:pt idx="1664">
                  <c:v>44765</c:v>
                </c:pt>
                <c:pt idx="1665">
                  <c:v>44766</c:v>
                </c:pt>
                <c:pt idx="1666">
                  <c:v>44767</c:v>
                </c:pt>
                <c:pt idx="1667">
                  <c:v>44768</c:v>
                </c:pt>
                <c:pt idx="1668">
                  <c:v>44769</c:v>
                </c:pt>
                <c:pt idx="1669">
                  <c:v>44770</c:v>
                </c:pt>
                <c:pt idx="1670">
                  <c:v>44771</c:v>
                </c:pt>
                <c:pt idx="1671">
                  <c:v>44772</c:v>
                </c:pt>
                <c:pt idx="1672">
                  <c:v>44773</c:v>
                </c:pt>
                <c:pt idx="1673">
                  <c:v>44774</c:v>
                </c:pt>
                <c:pt idx="1674">
                  <c:v>44775</c:v>
                </c:pt>
                <c:pt idx="1675">
                  <c:v>44776</c:v>
                </c:pt>
                <c:pt idx="1676">
                  <c:v>44777</c:v>
                </c:pt>
                <c:pt idx="1677">
                  <c:v>44778</c:v>
                </c:pt>
                <c:pt idx="1678">
                  <c:v>44779</c:v>
                </c:pt>
                <c:pt idx="1679">
                  <c:v>44780</c:v>
                </c:pt>
                <c:pt idx="1680">
                  <c:v>44781</c:v>
                </c:pt>
                <c:pt idx="1681">
                  <c:v>44782</c:v>
                </c:pt>
                <c:pt idx="1682">
                  <c:v>44783</c:v>
                </c:pt>
                <c:pt idx="1683">
                  <c:v>44784</c:v>
                </c:pt>
                <c:pt idx="1684">
                  <c:v>44785</c:v>
                </c:pt>
                <c:pt idx="1685">
                  <c:v>44786</c:v>
                </c:pt>
                <c:pt idx="1686">
                  <c:v>44787</c:v>
                </c:pt>
                <c:pt idx="1687">
                  <c:v>44788</c:v>
                </c:pt>
                <c:pt idx="1688">
                  <c:v>44789</c:v>
                </c:pt>
                <c:pt idx="1689">
                  <c:v>44790</c:v>
                </c:pt>
                <c:pt idx="1690">
                  <c:v>44791</c:v>
                </c:pt>
                <c:pt idx="1691">
                  <c:v>44792</c:v>
                </c:pt>
                <c:pt idx="1692">
                  <c:v>44793</c:v>
                </c:pt>
                <c:pt idx="1693">
                  <c:v>44794</c:v>
                </c:pt>
                <c:pt idx="1694">
                  <c:v>44795</c:v>
                </c:pt>
                <c:pt idx="1695">
                  <c:v>44796</c:v>
                </c:pt>
                <c:pt idx="1696">
                  <c:v>44797</c:v>
                </c:pt>
                <c:pt idx="1697">
                  <c:v>44798</c:v>
                </c:pt>
                <c:pt idx="1698">
                  <c:v>44799</c:v>
                </c:pt>
                <c:pt idx="1699">
                  <c:v>44800</c:v>
                </c:pt>
                <c:pt idx="1700">
                  <c:v>44801</c:v>
                </c:pt>
                <c:pt idx="1701">
                  <c:v>44802</c:v>
                </c:pt>
                <c:pt idx="1702">
                  <c:v>44803</c:v>
                </c:pt>
                <c:pt idx="1703">
                  <c:v>44804</c:v>
                </c:pt>
                <c:pt idx="1704">
                  <c:v>44805</c:v>
                </c:pt>
                <c:pt idx="1705">
                  <c:v>44806</c:v>
                </c:pt>
                <c:pt idx="1706">
                  <c:v>44807</c:v>
                </c:pt>
                <c:pt idx="1707">
                  <c:v>44808</c:v>
                </c:pt>
                <c:pt idx="1708">
                  <c:v>44809</c:v>
                </c:pt>
                <c:pt idx="1709">
                  <c:v>44810</c:v>
                </c:pt>
                <c:pt idx="1710">
                  <c:v>44811</c:v>
                </c:pt>
                <c:pt idx="1711">
                  <c:v>44812</c:v>
                </c:pt>
                <c:pt idx="1712">
                  <c:v>44813</c:v>
                </c:pt>
                <c:pt idx="1713">
                  <c:v>44814</c:v>
                </c:pt>
                <c:pt idx="1714">
                  <c:v>44815</c:v>
                </c:pt>
                <c:pt idx="1715">
                  <c:v>44816</c:v>
                </c:pt>
                <c:pt idx="1716">
                  <c:v>44817</c:v>
                </c:pt>
                <c:pt idx="1717">
                  <c:v>44818</c:v>
                </c:pt>
                <c:pt idx="1718">
                  <c:v>44819</c:v>
                </c:pt>
                <c:pt idx="1719">
                  <c:v>44820</c:v>
                </c:pt>
                <c:pt idx="1720">
                  <c:v>44821</c:v>
                </c:pt>
                <c:pt idx="1721">
                  <c:v>44822</c:v>
                </c:pt>
                <c:pt idx="1722">
                  <c:v>44823</c:v>
                </c:pt>
                <c:pt idx="1723">
                  <c:v>44824</c:v>
                </c:pt>
                <c:pt idx="1724">
                  <c:v>44825</c:v>
                </c:pt>
                <c:pt idx="1725">
                  <c:v>44826</c:v>
                </c:pt>
                <c:pt idx="1726">
                  <c:v>44827</c:v>
                </c:pt>
                <c:pt idx="1727">
                  <c:v>44828</c:v>
                </c:pt>
                <c:pt idx="1728">
                  <c:v>44829</c:v>
                </c:pt>
                <c:pt idx="1729">
                  <c:v>44830</c:v>
                </c:pt>
                <c:pt idx="1730">
                  <c:v>44831</c:v>
                </c:pt>
                <c:pt idx="1731">
                  <c:v>44832</c:v>
                </c:pt>
                <c:pt idx="1732">
                  <c:v>44833</c:v>
                </c:pt>
                <c:pt idx="1733">
                  <c:v>44834</c:v>
                </c:pt>
                <c:pt idx="1734">
                  <c:v>44835</c:v>
                </c:pt>
                <c:pt idx="1735">
                  <c:v>44836</c:v>
                </c:pt>
                <c:pt idx="1736">
                  <c:v>44837</c:v>
                </c:pt>
                <c:pt idx="1737">
                  <c:v>44838</c:v>
                </c:pt>
                <c:pt idx="1738">
                  <c:v>44839</c:v>
                </c:pt>
                <c:pt idx="1739">
                  <c:v>44840</c:v>
                </c:pt>
                <c:pt idx="1740">
                  <c:v>44841</c:v>
                </c:pt>
                <c:pt idx="1741">
                  <c:v>44842</c:v>
                </c:pt>
                <c:pt idx="1742">
                  <c:v>44843</c:v>
                </c:pt>
                <c:pt idx="1743">
                  <c:v>44844</c:v>
                </c:pt>
                <c:pt idx="1744">
                  <c:v>44845</c:v>
                </c:pt>
                <c:pt idx="1745">
                  <c:v>44846</c:v>
                </c:pt>
                <c:pt idx="1746">
                  <c:v>44847</c:v>
                </c:pt>
                <c:pt idx="1747">
                  <c:v>44848</c:v>
                </c:pt>
                <c:pt idx="1748">
                  <c:v>44849</c:v>
                </c:pt>
                <c:pt idx="1749">
                  <c:v>44850</c:v>
                </c:pt>
                <c:pt idx="1750">
                  <c:v>44851</c:v>
                </c:pt>
                <c:pt idx="1751">
                  <c:v>44852</c:v>
                </c:pt>
                <c:pt idx="1752">
                  <c:v>44853</c:v>
                </c:pt>
                <c:pt idx="1753">
                  <c:v>44854</c:v>
                </c:pt>
                <c:pt idx="1754">
                  <c:v>44855</c:v>
                </c:pt>
                <c:pt idx="1755">
                  <c:v>44856</c:v>
                </c:pt>
                <c:pt idx="1756">
                  <c:v>44857</c:v>
                </c:pt>
                <c:pt idx="1757">
                  <c:v>44858</c:v>
                </c:pt>
                <c:pt idx="1758">
                  <c:v>44859</c:v>
                </c:pt>
                <c:pt idx="1759">
                  <c:v>44860</c:v>
                </c:pt>
                <c:pt idx="1760">
                  <c:v>44861</c:v>
                </c:pt>
                <c:pt idx="1761">
                  <c:v>44862</c:v>
                </c:pt>
                <c:pt idx="1762">
                  <c:v>44863</c:v>
                </c:pt>
                <c:pt idx="1763">
                  <c:v>44864</c:v>
                </c:pt>
                <c:pt idx="1764">
                  <c:v>44865</c:v>
                </c:pt>
                <c:pt idx="1765">
                  <c:v>44866</c:v>
                </c:pt>
                <c:pt idx="1766">
                  <c:v>44867</c:v>
                </c:pt>
                <c:pt idx="1767">
                  <c:v>44868</c:v>
                </c:pt>
                <c:pt idx="1768">
                  <c:v>44869</c:v>
                </c:pt>
                <c:pt idx="1769">
                  <c:v>44870</c:v>
                </c:pt>
                <c:pt idx="1770">
                  <c:v>44871</c:v>
                </c:pt>
                <c:pt idx="1771">
                  <c:v>44872</c:v>
                </c:pt>
                <c:pt idx="1772">
                  <c:v>44873</c:v>
                </c:pt>
                <c:pt idx="1773">
                  <c:v>44874</c:v>
                </c:pt>
                <c:pt idx="1774">
                  <c:v>44875</c:v>
                </c:pt>
                <c:pt idx="1775">
                  <c:v>44876</c:v>
                </c:pt>
                <c:pt idx="1776">
                  <c:v>44877</c:v>
                </c:pt>
                <c:pt idx="1777">
                  <c:v>44878</c:v>
                </c:pt>
                <c:pt idx="1778">
                  <c:v>44879</c:v>
                </c:pt>
                <c:pt idx="1779">
                  <c:v>44880</c:v>
                </c:pt>
                <c:pt idx="1780">
                  <c:v>44881</c:v>
                </c:pt>
                <c:pt idx="1781">
                  <c:v>44882</c:v>
                </c:pt>
                <c:pt idx="1782">
                  <c:v>44883</c:v>
                </c:pt>
                <c:pt idx="1783">
                  <c:v>44884</c:v>
                </c:pt>
                <c:pt idx="1784">
                  <c:v>44885</c:v>
                </c:pt>
                <c:pt idx="1785">
                  <c:v>44886</c:v>
                </c:pt>
                <c:pt idx="1786">
                  <c:v>44887</c:v>
                </c:pt>
                <c:pt idx="1787">
                  <c:v>44888</c:v>
                </c:pt>
                <c:pt idx="1788">
                  <c:v>44889</c:v>
                </c:pt>
                <c:pt idx="1789">
                  <c:v>44890</c:v>
                </c:pt>
                <c:pt idx="1790">
                  <c:v>44891</c:v>
                </c:pt>
                <c:pt idx="1791">
                  <c:v>44892</c:v>
                </c:pt>
                <c:pt idx="1792">
                  <c:v>44893</c:v>
                </c:pt>
                <c:pt idx="1793">
                  <c:v>44894</c:v>
                </c:pt>
                <c:pt idx="1794">
                  <c:v>44895</c:v>
                </c:pt>
                <c:pt idx="1795">
                  <c:v>44896</c:v>
                </c:pt>
                <c:pt idx="1796">
                  <c:v>44897</c:v>
                </c:pt>
                <c:pt idx="1797">
                  <c:v>44898</c:v>
                </c:pt>
                <c:pt idx="1798">
                  <c:v>44899</c:v>
                </c:pt>
                <c:pt idx="1799">
                  <c:v>44900</c:v>
                </c:pt>
                <c:pt idx="1800">
                  <c:v>44901</c:v>
                </c:pt>
                <c:pt idx="1801">
                  <c:v>44902</c:v>
                </c:pt>
                <c:pt idx="1802">
                  <c:v>44903</c:v>
                </c:pt>
                <c:pt idx="1803">
                  <c:v>44904</c:v>
                </c:pt>
                <c:pt idx="1804">
                  <c:v>44905</c:v>
                </c:pt>
                <c:pt idx="1805">
                  <c:v>44906</c:v>
                </c:pt>
                <c:pt idx="1806">
                  <c:v>44907</c:v>
                </c:pt>
                <c:pt idx="1807">
                  <c:v>44908</c:v>
                </c:pt>
                <c:pt idx="1808">
                  <c:v>44909</c:v>
                </c:pt>
                <c:pt idx="1809">
                  <c:v>44910</c:v>
                </c:pt>
                <c:pt idx="1810">
                  <c:v>44911</c:v>
                </c:pt>
                <c:pt idx="1811">
                  <c:v>44912</c:v>
                </c:pt>
                <c:pt idx="1812">
                  <c:v>44913</c:v>
                </c:pt>
                <c:pt idx="1813">
                  <c:v>44914</c:v>
                </c:pt>
                <c:pt idx="1814">
                  <c:v>44915</c:v>
                </c:pt>
                <c:pt idx="1815">
                  <c:v>44916</c:v>
                </c:pt>
                <c:pt idx="1816">
                  <c:v>44917</c:v>
                </c:pt>
                <c:pt idx="1817">
                  <c:v>44918</c:v>
                </c:pt>
                <c:pt idx="1818">
                  <c:v>44919</c:v>
                </c:pt>
                <c:pt idx="1819">
                  <c:v>44920</c:v>
                </c:pt>
                <c:pt idx="1820">
                  <c:v>44921</c:v>
                </c:pt>
                <c:pt idx="1821">
                  <c:v>44922</c:v>
                </c:pt>
                <c:pt idx="1822">
                  <c:v>44923</c:v>
                </c:pt>
                <c:pt idx="1823">
                  <c:v>44924</c:v>
                </c:pt>
                <c:pt idx="1824">
                  <c:v>44925</c:v>
                </c:pt>
                <c:pt idx="1825">
                  <c:v>44926</c:v>
                </c:pt>
                <c:pt idx="1826">
                  <c:v>44927</c:v>
                </c:pt>
                <c:pt idx="1827">
                  <c:v>44928</c:v>
                </c:pt>
                <c:pt idx="1828">
                  <c:v>44929</c:v>
                </c:pt>
                <c:pt idx="1829">
                  <c:v>44930</c:v>
                </c:pt>
                <c:pt idx="1830">
                  <c:v>44931</c:v>
                </c:pt>
                <c:pt idx="1831">
                  <c:v>44932</c:v>
                </c:pt>
                <c:pt idx="1832">
                  <c:v>44933</c:v>
                </c:pt>
                <c:pt idx="1833">
                  <c:v>44934</c:v>
                </c:pt>
                <c:pt idx="1834">
                  <c:v>44935</c:v>
                </c:pt>
                <c:pt idx="1835">
                  <c:v>44936</c:v>
                </c:pt>
                <c:pt idx="1836">
                  <c:v>44937</c:v>
                </c:pt>
                <c:pt idx="1837">
                  <c:v>44938</c:v>
                </c:pt>
                <c:pt idx="1838">
                  <c:v>44939</c:v>
                </c:pt>
                <c:pt idx="1839">
                  <c:v>44940</c:v>
                </c:pt>
                <c:pt idx="1840">
                  <c:v>44941</c:v>
                </c:pt>
                <c:pt idx="1841">
                  <c:v>44942</c:v>
                </c:pt>
                <c:pt idx="1842">
                  <c:v>44943</c:v>
                </c:pt>
                <c:pt idx="1843">
                  <c:v>44944</c:v>
                </c:pt>
                <c:pt idx="1844">
                  <c:v>44945</c:v>
                </c:pt>
                <c:pt idx="1845">
                  <c:v>44946</c:v>
                </c:pt>
                <c:pt idx="1846">
                  <c:v>44947</c:v>
                </c:pt>
                <c:pt idx="1847">
                  <c:v>44948</c:v>
                </c:pt>
                <c:pt idx="1848">
                  <c:v>44949</c:v>
                </c:pt>
                <c:pt idx="1849">
                  <c:v>44950</c:v>
                </c:pt>
                <c:pt idx="1850">
                  <c:v>44951</c:v>
                </c:pt>
                <c:pt idx="1851">
                  <c:v>44952</c:v>
                </c:pt>
                <c:pt idx="1852">
                  <c:v>44953</c:v>
                </c:pt>
                <c:pt idx="1853">
                  <c:v>44954</c:v>
                </c:pt>
                <c:pt idx="1854">
                  <c:v>44955</c:v>
                </c:pt>
                <c:pt idx="1855">
                  <c:v>44956</c:v>
                </c:pt>
                <c:pt idx="1856">
                  <c:v>44957</c:v>
                </c:pt>
                <c:pt idx="1857">
                  <c:v>44958</c:v>
                </c:pt>
                <c:pt idx="1858">
                  <c:v>44959</c:v>
                </c:pt>
                <c:pt idx="1859">
                  <c:v>44960</c:v>
                </c:pt>
                <c:pt idx="1860">
                  <c:v>44961</c:v>
                </c:pt>
                <c:pt idx="1861">
                  <c:v>44962</c:v>
                </c:pt>
                <c:pt idx="1862">
                  <c:v>44963</c:v>
                </c:pt>
                <c:pt idx="1863">
                  <c:v>44964</c:v>
                </c:pt>
                <c:pt idx="1864">
                  <c:v>44965</c:v>
                </c:pt>
                <c:pt idx="1865">
                  <c:v>44966</c:v>
                </c:pt>
                <c:pt idx="1866">
                  <c:v>44967</c:v>
                </c:pt>
                <c:pt idx="1867">
                  <c:v>44968</c:v>
                </c:pt>
                <c:pt idx="1868">
                  <c:v>44969</c:v>
                </c:pt>
                <c:pt idx="1869">
                  <c:v>44970</c:v>
                </c:pt>
                <c:pt idx="1870">
                  <c:v>44971</c:v>
                </c:pt>
                <c:pt idx="1871">
                  <c:v>44972</c:v>
                </c:pt>
                <c:pt idx="1872">
                  <c:v>44973</c:v>
                </c:pt>
                <c:pt idx="1873">
                  <c:v>44974</c:v>
                </c:pt>
                <c:pt idx="1874">
                  <c:v>44975</c:v>
                </c:pt>
                <c:pt idx="1875">
                  <c:v>44976</c:v>
                </c:pt>
                <c:pt idx="1876">
                  <c:v>44977</c:v>
                </c:pt>
                <c:pt idx="1877">
                  <c:v>44978</c:v>
                </c:pt>
                <c:pt idx="1878">
                  <c:v>44979</c:v>
                </c:pt>
                <c:pt idx="1879">
                  <c:v>44980</c:v>
                </c:pt>
                <c:pt idx="1880">
                  <c:v>44981</c:v>
                </c:pt>
                <c:pt idx="1881">
                  <c:v>44982</c:v>
                </c:pt>
                <c:pt idx="1882">
                  <c:v>44983</c:v>
                </c:pt>
                <c:pt idx="1883">
                  <c:v>44984</c:v>
                </c:pt>
                <c:pt idx="1884">
                  <c:v>44985</c:v>
                </c:pt>
                <c:pt idx="1885">
                  <c:v>44986</c:v>
                </c:pt>
                <c:pt idx="1886">
                  <c:v>44987</c:v>
                </c:pt>
                <c:pt idx="1887">
                  <c:v>44988</c:v>
                </c:pt>
                <c:pt idx="1888">
                  <c:v>44989</c:v>
                </c:pt>
                <c:pt idx="1889">
                  <c:v>44990</c:v>
                </c:pt>
                <c:pt idx="1890">
                  <c:v>44991</c:v>
                </c:pt>
                <c:pt idx="1891">
                  <c:v>44992</c:v>
                </c:pt>
                <c:pt idx="1892">
                  <c:v>44993</c:v>
                </c:pt>
                <c:pt idx="1893">
                  <c:v>44994</c:v>
                </c:pt>
                <c:pt idx="1894">
                  <c:v>44995</c:v>
                </c:pt>
                <c:pt idx="1895">
                  <c:v>44996</c:v>
                </c:pt>
                <c:pt idx="1896">
                  <c:v>44997</c:v>
                </c:pt>
                <c:pt idx="1897">
                  <c:v>44998</c:v>
                </c:pt>
                <c:pt idx="1898">
                  <c:v>44999</c:v>
                </c:pt>
                <c:pt idx="1899">
                  <c:v>45000</c:v>
                </c:pt>
                <c:pt idx="1900">
                  <c:v>45001</c:v>
                </c:pt>
                <c:pt idx="1901">
                  <c:v>45002</c:v>
                </c:pt>
                <c:pt idx="1902">
                  <c:v>45003</c:v>
                </c:pt>
                <c:pt idx="1903">
                  <c:v>45004</c:v>
                </c:pt>
                <c:pt idx="1904">
                  <c:v>45005</c:v>
                </c:pt>
                <c:pt idx="1905">
                  <c:v>45006</c:v>
                </c:pt>
                <c:pt idx="1906">
                  <c:v>45007</c:v>
                </c:pt>
                <c:pt idx="1907">
                  <c:v>45008</c:v>
                </c:pt>
                <c:pt idx="1908">
                  <c:v>45009</c:v>
                </c:pt>
                <c:pt idx="1909">
                  <c:v>45010</c:v>
                </c:pt>
                <c:pt idx="1910">
                  <c:v>45011</c:v>
                </c:pt>
                <c:pt idx="1911">
                  <c:v>45012</c:v>
                </c:pt>
                <c:pt idx="1912">
                  <c:v>45013</c:v>
                </c:pt>
                <c:pt idx="1913">
                  <c:v>45014</c:v>
                </c:pt>
                <c:pt idx="1914">
                  <c:v>45015</c:v>
                </c:pt>
                <c:pt idx="1915">
                  <c:v>45016</c:v>
                </c:pt>
                <c:pt idx="1916">
                  <c:v>45017</c:v>
                </c:pt>
                <c:pt idx="1917">
                  <c:v>45018</c:v>
                </c:pt>
                <c:pt idx="1918">
                  <c:v>45019</c:v>
                </c:pt>
                <c:pt idx="1919">
                  <c:v>45020</c:v>
                </c:pt>
                <c:pt idx="1920">
                  <c:v>45021</c:v>
                </c:pt>
                <c:pt idx="1921">
                  <c:v>45022</c:v>
                </c:pt>
                <c:pt idx="1922">
                  <c:v>45023</c:v>
                </c:pt>
                <c:pt idx="1923">
                  <c:v>45024</c:v>
                </c:pt>
                <c:pt idx="1924">
                  <c:v>45025</c:v>
                </c:pt>
                <c:pt idx="1925">
                  <c:v>45026</c:v>
                </c:pt>
                <c:pt idx="1926">
                  <c:v>45027</c:v>
                </c:pt>
                <c:pt idx="1927">
                  <c:v>45028</c:v>
                </c:pt>
                <c:pt idx="1928">
                  <c:v>45029</c:v>
                </c:pt>
                <c:pt idx="1929">
                  <c:v>45030</c:v>
                </c:pt>
                <c:pt idx="1930">
                  <c:v>45031</c:v>
                </c:pt>
                <c:pt idx="1931">
                  <c:v>45032</c:v>
                </c:pt>
                <c:pt idx="1932">
                  <c:v>45033</c:v>
                </c:pt>
                <c:pt idx="1933">
                  <c:v>45034</c:v>
                </c:pt>
                <c:pt idx="1934">
                  <c:v>45035</c:v>
                </c:pt>
                <c:pt idx="1935">
                  <c:v>45036</c:v>
                </c:pt>
                <c:pt idx="1936">
                  <c:v>45037</c:v>
                </c:pt>
                <c:pt idx="1937">
                  <c:v>45038</c:v>
                </c:pt>
                <c:pt idx="1938">
                  <c:v>45039</c:v>
                </c:pt>
                <c:pt idx="1939">
                  <c:v>45040</c:v>
                </c:pt>
                <c:pt idx="1940">
                  <c:v>45041</c:v>
                </c:pt>
                <c:pt idx="1941">
                  <c:v>45042</c:v>
                </c:pt>
                <c:pt idx="1942">
                  <c:v>45043</c:v>
                </c:pt>
                <c:pt idx="1943">
                  <c:v>45044</c:v>
                </c:pt>
                <c:pt idx="1944">
                  <c:v>45045</c:v>
                </c:pt>
                <c:pt idx="1945">
                  <c:v>45046</c:v>
                </c:pt>
                <c:pt idx="1946">
                  <c:v>45047</c:v>
                </c:pt>
                <c:pt idx="1947">
                  <c:v>45048</c:v>
                </c:pt>
                <c:pt idx="1948">
                  <c:v>45049</c:v>
                </c:pt>
                <c:pt idx="1949">
                  <c:v>45050</c:v>
                </c:pt>
                <c:pt idx="1950">
                  <c:v>45051</c:v>
                </c:pt>
                <c:pt idx="1951">
                  <c:v>45052</c:v>
                </c:pt>
                <c:pt idx="1952">
                  <c:v>45053</c:v>
                </c:pt>
                <c:pt idx="1953">
                  <c:v>45054</c:v>
                </c:pt>
                <c:pt idx="1954">
                  <c:v>45055</c:v>
                </c:pt>
                <c:pt idx="1955">
                  <c:v>45056</c:v>
                </c:pt>
                <c:pt idx="1956">
                  <c:v>45057</c:v>
                </c:pt>
                <c:pt idx="1957">
                  <c:v>45058</c:v>
                </c:pt>
                <c:pt idx="1958">
                  <c:v>45059</c:v>
                </c:pt>
                <c:pt idx="1959">
                  <c:v>45060</c:v>
                </c:pt>
                <c:pt idx="1960">
                  <c:v>45061</c:v>
                </c:pt>
                <c:pt idx="1961">
                  <c:v>45062</c:v>
                </c:pt>
                <c:pt idx="1962">
                  <c:v>45063</c:v>
                </c:pt>
                <c:pt idx="1963">
                  <c:v>45064</c:v>
                </c:pt>
                <c:pt idx="1964">
                  <c:v>45065</c:v>
                </c:pt>
                <c:pt idx="1965">
                  <c:v>45066</c:v>
                </c:pt>
                <c:pt idx="1966">
                  <c:v>45067</c:v>
                </c:pt>
                <c:pt idx="1967">
                  <c:v>45068</c:v>
                </c:pt>
                <c:pt idx="1968">
                  <c:v>45069</c:v>
                </c:pt>
                <c:pt idx="1969">
                  <c:v>45070</c:v>
                </c:pt>
                <c:pt idx="1970">
                  <c:v>45071</c:v>
                </c:pt>
                <c:pt idx="1971">
                  <c:v>45072</c:v>
                </c:pt>
                <c:pt idx="1972">
                  <c:v>45073</c:v>
                </c:pt>
                <c:pt idx="1973">
                  <c:v>45074</c:v>
                </c:pt>
                <c:pt idx="1974">
                  <c:v>45075</c:v>
                </c:pt>
                <c:pt idx="1975">
                  <c:v>45076</c:v>
                </c:pt>
                <c:pt idx="1976">
                  <c:v>45077</c:v>
                </c:pt>
                <c:pt idx="1977">
                  <c:v>45078</c:v>
                </c:pt>
                <c:pt idx="1978">
                  <c:v>45079</c:v>
                </c:pt>
                <c:pt idx="1979">
                  <c:v>45080</c:v>
                </c:pt>
                <c:pt idx="1980">
                  <c:v>45081</c:v>
                </c:pt>
                <c:pt idx="1981">
                  <c:v>45082</c:v>
                </c:pt>
                <c:pt idx="1982">
                  <c:v>45083</c:v>
                </c:pt>
                <c:pt idx="1983">
                  <c:v>45084</c:v>
                </c:pt>
                <c:pt idx="1984">
                  <c:v>45085</c:v>
                </c:pt>
                <c:pt idx="1985">
                  <c:v>45086</c:v>
                </c:pt>
                <c:pt idx="1986">
                  <c:v>45087</c:v>
                </c:pt>
                <c:pt idx="1987">
                  <c:v>45088</c:v>
                </c:pt>
                <c:pt idx="1988">
                  <c:v>45089</c:v>
                </c:pt>
                <c:pt idx="1989">
                  <c:v>45090</c:v>
                </c:pt>
                <c:pt idx="1990">
                  <c:v>45091</c:v>
                </c:pt>
                <c:pt idx="1991">
                  <c:v>45092</c:v>
                </c:pt>
                <c:pt idx="1992">
                  <c:v>45093</c:v>
                </c:pt>
                <c:pt idx="1993">
                  <c:v>45094</c:v>
                </c:pt>
                <c:pt idx="1994">
                  <c:v>45095</c:v>
                </c:pt>
                <c:pt idx="1995">
                  <c:v>45096</c:v>
                </c:pt>
                <c:pt idx="1996">
                  <c:v>45097</c:v>
                </c:pt>
                <c:pt idx="1997">
                  <c:v>45098</c:v>
                </c:pt>
                <c:pt idx="1998">
                  <c:v>45099</c:v>
                </c:pt>
                <c:pt idx="1999">
                  <c:v>45100</c:v>
                </c:pt>
                <c:pt idx="2000">
                  <c:v>45101</c:v>
                </c:pt>
                <c:pt idx="2001">
                  <c:v>45102</c:v>
                </c:pt>
                <c:pt idx="2002">
                  <c:v>45103</c:v>
                </c:pt>
                <c:pt idx="2003">
                  <c:v>45104</c:v>
                </c:pt>
                <c:pt idx="2004">
                  <c:v>45105</c:v>
                </c:pt>
                <c:pt idx="2005">
                  <c:v>45106</c:v>
                </c:pt>
                <c:pt idx="2006">
                  <c:v>45107</c:v>
                </c:pt>
                <c:pt idx="2007">
                  <c:v>45108</c:v>
                </c:pt>
                <c:pt idx="2008">
                  <c:v>45109</c:v>
                </c:pt>
                <c:pt idx="2009">
                  <c:v>45110</c:v>
                </c:pt>
                <c:pt idx="2010">
                  <c:v>45111</c:v>
                </c:pt>
                <c:pt idx="2011">
                  <c:v>45112</c:v>
                </c:pt>
                <c:pt idx="2012">
                  <c:v>45113</c:v>
                </c:pt>
                <c:pt idx="2013">
                  <c:v>45114</c:v>
                </c:pt>
                <c:pt idx="2014">
                  <c:v>45115</c:v>
                </c:pt>
                <c:pt idx="2015">
                  <c:v>45116</c:v>
                </c:pt>
                <c:pt idx="2016">
                  <c:v>45117</c:v>
                </c:pt>
                <c:pt idx="2017">
                  <c:v>45118</c:v>
                </c:pt>
                <c:pt idx="2018">
                  <c:v>45119</c:v>
                </c:pt>
                <c:pt idx="2019">
                  <c:v>45120</c:v>
                </c:pt>
                <c:pt idx="2020">
                  <c:v>45121</c:v>
                </c:pt>
                <c:pt idx="2021">
                  <c:v>45122</c:v>
                </c:pt>
                <c:pt idx="2022">
                  <c:v>45123</c:v>
                </c:pt>
                <c:pt idx="2023">
                  <c:v>45124</c:v>
                </c:pt>
                <c:pt idx="2024">
                  <c:v>45125</c:v>
                </c:pt>
                <c:pt idx="2025">
                  <c:v>45126</c:v>
                </c:pt>
                <c:pt idx="2026">
                  <c:v>45127</c:v>
                </c:pt>
                <c:pt idx="2027">
                  <c:v>45128</c:v>
                </c:pt>
                <c:pt idx="2028">
                  <c:v>45129</c:v>
                </c:pt>
                <c:pt idx="2029">
                  <c:v>45130</c:v>
                </c:pt>
                <c:pt idx="2030">
                  <c:v>45131</c:v>
                </c:pt>
                <c:pt idx="2031">
                  <c:v>45132</c:v>
                </c:pt>
                <c:pt idx="2032">
                  <c:v>45133</c:v>
                </c:pt>
                <c:pt idx="2033">
                  <c:v>45134</c:v>
                </c:pt>
                <c:pt idx="2034">
                  <c:v>45135</c:v>
                </c:pt>
                <c:pt idx="2035">
                  <c:v>45136</c:v>
                </c:pt>
                <c:pt idx="2036">
                  <c:v>45137</c:v>
                </c:pt>
                <c:pt idx="2037">
                  <c:v>45138</c:v>
                </c:pt>
                <c:pt idx="2038">
                  <c:v>45139</c:v>
                </c:pt>
                <c:pt idx="2039">
                  <c:v>45140</c:v>
                </c:pt>
                <c:pt idx="2040">
                  <c:v>45141</c:v>
                </c:pt>
                <c:pt idx="2041">
                  <c:v>45142</c:v>
                </c:pt>
                <c:pt idx="2042">
                  <c:v>45143</c:v>
                </c:pt>
                <c:pt idx="2043">
                  <c:v>45144</c:v>
                </c:pt>
                <c:pt idx="2044">
                  <c:v>45145</c:v>
                </c:pt>
                <c:pt idx="2045">
                  <c:v>45146</c:v>
                </c:pt>
                <c:pt idx="2046">
                  <c:v>45147</c:v>
                </c:pt>
                <c:pt idx="2047">
                  <c:v>45148</c:v>
                </c:pt>
                <c:pt idx="2048">
                  <c:v>45149</c:v>
                </c:pt>
                <c:pt idx="2049">
                  <c:v>45150</c:v>
                </c:pt>
                <c:pt idx="2050">
                  <c:v>45151</c:v>
                </c:pt>
                <c:pt idx="2051">
                  <c:v>45152</c:v>
                </c:pt>
                <c:pt idx="2052">
                  <c:v>45153</c:v>
                </c:pt>
                <c:pt idx="2053">
                  <c:v>45154</c:v>
                </c:pt>
                <c:pt idx="2054">
                  <c:v>45155</c:v>
                </c:pt>
                <c:pt idx="2055">
                  <c:v>45156</c:v>
                </c:pt>
                <c:pt idx="2056">
                  <c:v>45157</c:v>
                </c:pt>
                <c:pt idx="2057">
                  <c:v>45158</c:v>
                </c:pt>
                <c:pt idx="2058">
                  <c:v>45159</c:v>
                </c:pt>
                <c:pt idx="2059">
                  <c:v>45160</c:v>
                </c:pt>
                <c:pt idx="2060">
                  <c:v>45161</c:v>
                </c:pt>
                <c:pt idx="2061">
                  <c:v>45162</c:v>
                </c:pt>
                <c:pt idx="2062">
                  <c:v>45163</c:v>
                </c:pt>
                <c:pt idx="2063">
                  <c:v>45164</c:v>
                </c:pt>
                <c:pt idx="2064">
                  <c:v>45165</c:v>
                </c:pt>
                <c:pt idx="2065">
                  <c:v>45166</c:v>
                </c:pt>
                <c:pt idx="2066">
                  <c:v>45167</c:v>
                </c:pt>
                <c:pt idx="2067">
                  <c:v>45168</c:v>
                </c:pt>
                <c:pt idx="2068">
                  <c:v>45169</c:v>
                </c:pt>
                <c:pt idx="2069">
                  <c:v>45170</c:v>
                </c:pt>
                <c:pt idx="2070">
                  <c:v>45171</c:v>
                </c:pt>
                <c:pt idx="2071">
                  <c:v>45172</c:v>
                </c:pt>
                <c:pt idx="2072">
                  <c:v>45173</c:v>
                </c:pt>
                <c:pt idx="2073">
                  <c:v>45174</c:v>
                </c:pt>
                <c:pt idx="2074">
                  <c:v>45175</c:v>
                </c:pt>
                <c:pt idx="2075">
                  <c:v>45176</c:v>
                </c:pt>
                <c:pt idx="2076">
                  <c:v>45177</c:v>
                </c:pt>
                <c:pt idx="2077">
                  <c:v>45178</c:v>
                </c:pt>
                <c:pt idx="2078">
                  <c:v>45179</c:v>
                </c:pt>
                <c:pt idx="2079">
                  <c:v>45180</c:v>
                </c:pt>
                <c:pt idx="2080">
                  <c:v>45181</c:v>
                </c:pt>
                <c:pt idx="2081">
                  <c:v>45182</c:v>
                </c:pt>
                <c:pt idx="2082">
                  <c:v>45183</c:v>
                </c:pt>
                <c:pt idx="2083">
                  <c:v>45184</c:v>
                </c:pt>
                <c:pt idx="2084">
                  <c:v>45185</c:v>
                </c:pt>
                <c:pt idx="2085">
                  <c:v>45186</c:v>
                </c:pt>
                <c:pt idx="2086">
                  <c:v>45187</c:v>
                </c:pt>
                <c:pt idx="2087">
                  <c:v>45188</c:v>
                </c:pt>
                <c:pt idx="2088">
                  <c:v>45189</c:v>
                </c:pt>
                <c:pt idx="2089">
                  <c:v>45190</c:v>
                </c:pt>
                <c:pt idx="2090">
                  <c:v>45191</c:v>
                </c:pt>
                <c:pt idx="2091">
                  <c:v>45192</c:v>
                </c:pt>
                <c:pt idx="2092">
                  <c:v>45193</c:v>
                </c:pt>
                <c:pt idx="2093">
                  <c:v>45194</c:v>
                </c:pt>
                <c:pt idx="2094">
                  <c:v>45195</c:v>
                </c:pt>
                <c:pt idx="2095">
                  <c:v>45196</c:v>
                </c:pt>
                <c:pt idx="2096">
                  <c:v>45197</c:v>
                </c:pt>
                <c:pt idx="2097">
                  <c:v>45198</c:v>
                </c:pt>
                <c:pt idx="2098">
                  <c:v>45199</c:v>
                </c:pt>
                <c:pt idx="2099">
                  <c:v>45200</c:v>
                </c:pt>
                <c:pt idx="2100">
                  <c:v>45201</c:v>
                </c:pt>
                <c:pt idx="2101">
                  <c:v>45202</c:v>
                </c:pt>
                <c:pt idx="2102">
                  <c:v>45203</c:v>
                </c:pt>
                <c:pt idx="2103">
                  <c:v>45204</c:v>
                </c:pt>
                <c:pt idx="2104">
                  <c:v>45205</c:v>
                </c:pt>
                <c:pt idx="2105">
                  <c:v>45206</c:v>
                </c:pt>
                <c:pt idx="2106">
                  <c:v>45207</c:v>
                </c:pt>
                <c:pt idx="2107">
                  <c:v>45208</c:v>
                </c:pt>
                <c:pt idx="2108">
                  <c:v>45209</c:v>
                </c:pt>
                <c:pt idx="2109">
                  <c:v>45210</c:v>
                </c:pt>
                <c:pt idx="2110">
                  <c:v>45211</c:v>
                </c:pt>
                <c:pt idx="2111">
                  <c:v>45212</c:v>
                </c:pt>
                <c:pt idx="2112">
                  <c:v>45213</c:v>
                </c:pt>
                <c:pt idx="2113">
                  <c:v>45214</c:v>
                </c:pt>
                <c:pt idx="2114">
                  <c:v>45215</c:v>
                </c:pt>
                <c:pt idx="2115">
                  <c:v>45216</c:v>
                </c:pt>
                <c:pt idx="2116">
                  <c:v>45217</c:v>
                </c:pt>
                <c:pt idx="2117">
                  <c:v>45218</c:v>
                </c:pt>
                <c:pt idx="2118">
                  <c:v>45219</c:v>
                </c:pt>
                <c:pt idx="2119">
                  <c:v>45220</c:v>
                </c:pt>
                <c:pt idx="2120">
                  <c:v>45221</c:v>
                </c:pt>
                <c:pt idx="2121">
                  <c:v>45222</c:v>
                </c:pt>
                <c:pt idx="2122">
                  <c:v>45223</c:v>
                </c:pt>
                <c:pt idx="2123">
                  <c:v>45224</c:v>
                </c:pt>
                <c:pt idx="2124">
                  <c:v>45225</c:v>
                </c:pt>
                <c:pt idx="2125">
                  <c:v>45226</c:v>
                </c:pt>
                <c:pt idx="2126">
                  <c:v>45227</c:v>
                </c:pt>
                <c:pt idx="2127">
                  <c:v>45228</c:v>
                </c:pt>
                <c:pt idx="2128">
                  <c:v>45229</c:v>
                </c:pt>
                <c:pt idx="2129">
                  <c:v>45230</c:v>
                </c:pt>
                <c:pt idx="2130">
                  <c:v>45231</c:v>
                </c:pt>
                <c:pt idx="2131">
                  <c:v>45232</c:v>
                </c:pt>
                <c:pt idx="2132">
                  <c:v>45233</c:v>
                </c:pt>
                <c:pt idx="2133">
                  <c:v>45234</c:v>
                </c:pt>
                <c:pt idx="2134">
                  <c:v>45235</c:v>
                </c:pt>
                <c:pt idx="2135">
                  <c:v>45236</c:v>
                </c:pt>
                <c:pt idx="2136">
                  <c:v>45237</c:v>
                </c:pt>
                <c:pt idx="2137">
                  <c:v>45238</c:v>
                </c:pt>
                <c:pt idx="2138">
                  <c:v>45239</c:v>
                </c:pt>
                <c:pt idx="2139">
                  <c:v>45240</c:v>
                </c:pt>
                <c:pt idx="2140">
                  <c:v>45241</c:v>
                </c:pt>
                <c:pt idx="2141">
                  <c:v>45242</c:v>
                </c:pt>
                <c:pt idx="2142">
                  <c:v>45243</c:v>
                </c:pt>
                <c:pt idx="2143">
                  <c:v>45244</c:v>
                </c:pt>
                <c:pt idx="2144">
                  <c:v>45245</c:v>
                </c:pt>
                <c:pt idx="2145">
                  <c:v>45246</c:v>
                </c:pt>
                <c:pt idx="2146">
                  <c:v>45247</c:v>
                </c:pt>
                <c:pt idx="2147">
                  <c:v>45248</c:v>
                </c:pt>
                <c:pt idx="2148">
                  <c:v>45249</c:v>
                </c:pt>
                <c:pt idx="2149">
                  <c:v>45250</c:v>
                </c:pt>
                <c:pt idx="2150">
                  <c:v>45251</c:v>
                </c:pt>
                <c:pt idx="2151">
                  <c:v>45252</c:v>
                </c:pt>
                <c:pt idx="2152">
                  <c:v>45253</c:v>
                </c:pt>
                <c:pt idx="2153">
                  <c:v>45254</c:v>
                </c:pt>
                <c:pt idx="2154">
                  <c:v>45255</c:v>
                </c:pt>
                <c:pt idx="2155">
                  <c:v>45256</c:v>
                </c:pt>
                <c:pt idx="2156">
                  <c:v>45257</c:v>
                </c:pt>
                <c:pt idx="2157">
                  <c:v>45258</c:v>
                </c:pt>
                <c:pt idx="2158">
                  <c:v>45259</c:v>
                </c:pt>
                <c:pt idx="2159">
                  <c:v>45260</c:v>
                </c:pt>
                <c:pt idx="2160">
                  <c:v>45261</c:v>
                </c:pt>
                <c:pt idx="2161">
                  <c:v>45262</c:v>
                </c:pt>
                <c:pt idx="2162">
                  <c:v>45263</c:v>
                </c:pt>
                <c:pt idx="2163">
                  <c:v>45264</c:v>
                </c:pt>
                <c:pt idx="2164">
                  <c:v>45265</c:v>
                </c:pt>
                <c:pt idx="2165">
                  <c:v>45266</c:v>
                </c:pt>
                <c:pt idx="2166">
                  <c:v>45267</c:v>
                </c:pt>
                <c:pt idx="2167">
                  <c:v>45268</c:v>
                </c:pt>
                <c:pt idx="2168">
                  <c:v>45269</c:v>
                </c:pt>
                <c:pt idx="2169">
                  <c:v>45270</c:v>
                </c:pt>
                <c:pt idx="2170">
                  <c:v>45271</c:v>
                </c:pt>
                <c:pt idx="2171">
                  <c:v>45272</c:v>
                </c:pt>
                <c:pt idx="2172">
                  <c:v>45273</c:v>
                </c:pt>
                <c:pt idx="2173">
                  <c:v>45274</c:v>
                </c:pt>
                <c:pt idx="2174">
                  <c:v>45275</c:v>
                </c:pt>
                <c:pt idx="2175">
                  <c:v>45276</c:v>
                </c:pt>
                <c:pt idx="2176">
                  <c:v>45277</c:v>
                </c:pt>
                <c:pt idx="2177">
                  <c:v>45278</c:v>
                </c:pt>
                <c:pt idx="2178">
                  <c:v>45279</c:v>
                </c:pt>
                <c:pt idx="2179">
                  <c:v>45280</c:v>
                </c:pt>
                <c:pt idx="2180">
                  <c:v>45281</c:v>
                </c:pt>
                <c:pt idx="2181">
                  <c:v>45282</c:v>
                </c:pt>
                <c:pt idx="2182">
                  <c:v>45283</c:v>
                </c:pt>
                <c:pt idx="2183">
                  <c:v>45284</c:v>
                </c:pt>
                <c:pt idx="2184">
                  <c:v>45285</c:v>
                </c:pt>
                <c:pt idx="2185">
                  <c:v>45286</c:v>
                </c:pt>
                <c:pt idx="2186">
                  <c:v>45287</c:v>
                </c:pt>
                <c:pt idx="2187">
                  <c:v>45288</c:v>
                </c:pt>
                <c:pt idx="2188">
                  <c:v>45289</c:v>
                </c:pt>
                <c:pt idx="2189">
                  <c:v>45290</c:v>
                </c:pt>
                <c:pt idx="2190">
                  <c:v>45291</c:v>
                </c:pt>
                <c:pt idx="2191">
                  <c:v>45292</c:v>
                </c:pt>
                <c:pt idx="2192">
                  <c:v>45293</c:v>
                </c:pt>
                <c:pt idx="2193">
                  <c:v>45294</c:v>
                </c:pt>
                <c:pt idx="2194">
                  <c:v>45295</c:v>
                </c:pt>
                <c:pt idx="2195">
                  <c:v>45296</c:v>
                </c:pt>
                <c:pt idx="2196">
                  <c:v>45297</c:v>
                </c:pt>
                <c:pt idx="2197">
                  <c:v>45298</c:v>
                </c:pt>
                <c:pt idx="2198">
                  <c:v>45299</c:v>
                </c:pt>
                <c:pt idx="2199">
                  <c:v>45300</c:v>
                </c:pt>
                <c:pt idx="2200">
                  <c:v>45301</c:v>
                </c:pt>
                <c:pt idx="2201">
                  <c:v>45302</c:v>
                </c:pt>
                <c:pt idx="2202">
                  <c:v>45303</c:v>
                </c:pt>
                <c:pt idx="2203">
                  <c:v>45304</c:v>
                </c:pt>
                <c:pt idx="2204">
                  <c:v>45305</c:v>
                </c:pt>
                <c:pt idx="2205">
                  <c:v>45306</c:v>
                </c:pt>
                <c:pt idx="2206">
                  <c:v>45307</c:v>
                </c:pt>
                <c:pt idx="2207">
                  <c:v>45308</c:v>
                </c:pt>
                <c:pt idx="2208">
                  <c:v>45309</c:v>
                </c:pt>
                <c:pt idx="2209">
                  <c:v>45310</c:v>
                </c:pt>
                <c:pt idx="2210">
                  <c:v>45311</c:v>
                </c:pt>
                <c:pt idx="2211">
                  <c:v>45312</c:v>
                </c:pt>
                <c:pt idx="2212">
                  <c:v>45313</c:v>
                </c:pt>
                <c:pt idx="2213">
                  <c:v>45314</c:v>
                </c:pt>
                <c:pt idx="2214">
                  <c:v>45315</c:v>
                </c:pt>
                <c:pt idx="2215">
                  <c:v>45316</c:v>
                </c:pt>
                <c:pt idx="2216">
                  <c:v>45317</c:v>
                </c:pt>
                <c:pt idx="2217">
                  <c:v>45318</c:v>
                </c:pt>
                <c:pt idx="2218">
                  <c:v>45319</c:v>
                </c:pt>
                <c:pt idx="2219">
                  <c:v>45320</c:v>
                </c:pt>
                <c:pt idx="2220">
                  <c:v>45321</c:v>
                </c:pt>
                <c:pt idx="2221">
                  <c:v>45322</c:v>
                </c:pt>
                <c:pt idx="2222">
                  <c:v>45323</c:v>
                </c:pt>
                <c:pt idx="2223">
                  <c:v>45324</c:v>
                </c:pt>
                <c:pt idx="2224">
                  <c:v>45325</c:v>
                </c:pt>
                <c:pt idx="2225">
                  <c:v>45326</c:v>
                </c:pt>
                <c:pt idx="2226">
                  <c:v>45327</c:v>
                </c:pt>
                <c:pt idx="2227">
                  <c:v>45328</c:v>
                </c:pt>
                <c:pt idx="2228">
                  <c:v>45329</c:v>
                </c:pt>
                <c:pt idx="2229">
                  <c:v>45330</c:v>
                </c:pt>
                <c:pt idx="2230">
                  <c:v>45331</c:v>
                </c:pt>
                <c:pt idx="2231">
                  <c:v>45332</c:v>
                </c:pt>
                <c:pt idx="2232">
                  <c:v>45333</c:v>
                </c:pt>
                <c:pt idx="2233">
                  <c:v>45334</c:v>
                </c:pt>
                <c:pt idx="2234">
                  <c:v>45335</c:v>
                </c:pt>
                <c:pt idx="2235">
                  <c:v>45336</c:v>
                </c:pt>
                <c:pt idx="2236">
                  <c:v>45337</c:v>
                </c:pt>
                <c:pt idx="2237">
                  <c:v>45338</c:v>
                </c:pt>
                <c:pt idx="2238">
                  <c:v>45339</c:v>
                </c:pt>
                <c:pt idx="2239">
                  <c:v>45340</c:v>
                </c:pt>
                <c:pt idx="2240">
                  <c:v>45341</c:v>
                </c:pt>
                <c:pt idx="2241">
                  <c:v>45342</c:v>
                </c:pt>
                <c:pt idx="2242">
                  <c:v>45343</c:v>
                </c:pt>
                <c:pt idx="2243">
                  <c:v>45344</c:v>
                </c:pt>
                <c:pt idx="2244">
                  <c:v>45345</c:v>
                </c:pt>
                <c:pt idx="2245">
                  <c:v>45346</c:v>
                </c:pt>
                <c:pt idx="2246">
                  <c:v>45347</c:v>
                </c:pt>
                <c:pt idx="2247">
                  <c:v>45348</c:v>
                </c:pt>
                <c:pt idx="2248">
                  <c:v>45349</c:v>
                </c:pt>
                <c:pt idx="2249">
                  <c:v>45350</c:v>
                </c:pt>
                <c:pt idx="2250">
                  <c:v>45351</c:v>
                </c:pt>
                <c:pt idx="2251">
                  <c:v>45352</c:v>
                </c:pt>
                <c:pt idx="2252">
                  <c:v>45353</c:v>
                </c:pt>
                <c:pt idx="2253">
                  <c:v>45354</c:v>
                </c:pt>
                <c:pt idx="2254">
                  <c:v>45355</c:v>
                </c:pt>
                <c:pt idx="2255">
                  <c:v>45356</c:v>
                </c:pt>
                <c:pt idx="2256">
                  <c:v>45357</c:v>
                </c:pt>
                <c:pt idx="2257">
                  <c:v>45358</c:v>
                </c:pt>
                <c:pt idx="2258">
                  <c:v>45359</c:v>
                </c:pt>
                <c:pt idx="2259">
                  <c:v>45360</c:v>
                </c:pt>
                <c:pt idx="2260">
                  <c:v>45361</c:v>
                </c:pt>
                <c:pt idx="2261">
                  <c:v>45362</c:v>
                </c:pt>
                <c:pt idx="2262">
                  <c:v>45363</c:v>
                </c:pt>
                <c:pt idx="2263">
                  <c:v>45364</c:v>
                </c:pt>
                <c:pt idx="2264">
                  <c:v>45365</c:v>
                </c:pt>
                <c:pt idx="2265">
                  <c:v>45366</c:v>
                </c:pt>
                <c:pt idx="2266">
                  <c:v>45367</c:v>
                </c:pt>
                <c:pt idx="2267">
                  <c:v>45368</c:v>
                </c:pt>
                <c:pt idx="2268">
                  <c:v>45369</c:v>
                </c:pt>
                <c:pt idx="2269">
                  <c:v>45370</c:v>
                </c:pt>
                <c:pt idx="2270">
                  <c:v>45371</c:v>
                </c:pt>
                <c:pt idx="2271">
                  <c:v>45372</c:v>
                </c:pt>
                <c:pt idx="2272">
                  <c:v>45373</c:v>
                </c:pt>
                <c:pt idx="2273">
                  <c:v>45374</c:v>
                </c:pt>
                <c:pt idx="2274">
                  <c:v>45375</c:v>
                </c:pt>
                <c:pt idx="2275">
                  <c:v>45376</c:v>
                </c:pt>
                <c:pt idx="2276">
                  <c:v>45377</c:v>
                </c:pt>
                <c:pt idx="2277">
                  <c:v>45378</c:v>
                </c:pt>
                <c:pt idx="2278">
                  <c:v>45379</c:v>
                </c:pt>
                <c:pt idx="2279">
                  <c:v>45380</c:v>
                </c:pt>
                <c:pt idx="2280">
                  <c:v>45381</c:v>
                </c:pt>
                <c:pt idx="2281">
                  <c:v>45382</c:v>
                </c:pt>
                <c:pt idx="2282">
                  <c:v>45383</c:v>
                </c:pt>
                <c:pt idx="2283">
                  <c:v>45384</c:v>
                </c:pt>
                <c:pt idx="2284">
                  <c:v>45385</c:v>
                </c:pt>
                <c:pt idx="2285">
                  <c:v>45386</c:v>
                </c:pt>
                <c:pt idx="2286">
                  <c:v>45387</c:v>
                </c:pt>
                <c:pt idx="2287">
                  <c:v>45388</c:v>
                </c:pt>
                <c:pt idx="2288">
                  <c:v>45389</c:v>
                </c:pt>
                <c:pt idx="2289">
                  <c:v>45390</c:v>
                </c:pt>
                <c:pt idx="2290">
                  <c:v>45391</c:v>
                </c:pt>
                <c:pt idx="2291">
                  <c:v>45392</c:v>
                </c:pt>
                <c:pt idx="2292">
                  <c:v>45393</c:v>
                </c:pt>
                <c:pt idx="2293">
                  <c:v>45394</c:v>
                </c:pt>
                <c:pt idx="2294">
                  <c:v>45395</c:v>
                </c:pt>
                <c:pt idx="2295">
                  <c:v>45396</c:v>
                </c:pt>
                <c:pt idx="2296">
                  <c:v>45397</c:v>
                </c:pt>
                <c:pt idx="2297">
                  <c:v>45398</c:v>
                </c:pt>
                <c:pt idx="2298">
                  <c:v>45399</c:v>
                </c:pt>
                <c:pt idx="2299">
                  <c:v>45400</c:v>
                </c:pt>
                <c:pt idx="2300">
                  <c:v>45401</c:v>
                </c:pt>
                <c:pt idx="2301">
                  <c:v>45402</c:v>
                </c:pt>
                <c:pt idx="2302">
                  <c:v>45403</c:v>
                </c:pt>
                <c:pt idx="2303">
                  <c:v>45404</c:v>
                </c:pt>
                <c:pt idx="2304">
                  <c:v>45405</c:v>
                </c:pt>
                <c:pt idx="2305">
                  <c:v>45406</c:v>
                </c:pt>
                <c:pt idx="2306">
                  <c:v>45407</c:v>
                </c:pt>
                <c:pt idx="2307">
                  <c:v>45408</c:v>
                </c:pt>
                <c:pt idx="2308">
                  <c:v>45409</c:v>
                </c:pt>
                <c:pt idx="2309">
                  <c:v>45410</c:v>
                </c:pt>
                <c:pt idx="2310">
                  <c:v>45411</c:v>
                </c:pt>
                <c:pt idx="2311">
                  <c:v>45412</c:v>
                </c:pt>
                <c:pt idx="2312">
                  <c:v>45413</c:v>
                </c:pt>
                <c:pt idx="2313">
                  <c:v>45414</c:v>
                </c:pt>
                <c:pt idx="2314">
                  <c:v>45415</c:v>
                </c:pt>
                <c:pt idx="2315">
                  <c:v>45416</c:v>
                </c:pt>
                <c:pt idx="2316">
                  <c:v>45417</c:v>
                </c:pt>
                <c:pt idx="2317">
                  <c:v>45418</c:v>
                </c:pt>
                <c:pt idx="2318">
                  <c:v>45419</c:v>
                </c:pt>
                <c:pt idx="2319">
                  <c:v>45420</c:v>
                </c:pt>
                <c:pt idx="2320">
                  <c:v>45421</c:v>
                </c:pt>
                <c:pt idx="2321">
                  <c:v>45422</c:v>
                </c:pt>
                <c:pt idx="2322">
                  <c:v>45423</c:v>
                </c:pt>
                <c:pt idx="2323">
                  <c:v>45424</c:v>
                </c:pt>
                <c:pt idx="2324">
                  <c:v>45425</c:v>
                </c:pt>
                <c:pt idx="2325">
                  <c:v>45426</c:v>
                </c:pt>
                <c:pt idx="2326">
                  <c:v>45427</c:v>
                </c:pt>
                <c:pt idx="2327">
                  <c:v>45428</c:v>
                </c:pt>
                <c:pt idx="2328">
                  <c:v>45429</c:v>
                </c:pt>
                <c:pt idx="2329">
                  <c:v>45430</c:v>
                </c:pt>
                <c:pt idx="2330">
                  <c:v>45431</c:v>
                </c:pt>
                <c:pt idx="2331">
                  <c:v>45432</c:v>
                </c:pt>
                <c:pt idx="2332">
                  <c:v>45433</c:v>
                </c:pt>
                <c:pt idx="2333">
                  <c:v>45434</c:v>
                </c:pt>
                <c:pt idx="2334">
                  <c:v>45435</c:v>
                </c:pt>
                <c:pt idx="2335">
                  <c:v>45436</c:v>
                </c:pt>
                <c:pt idx="2336">
                  <c:v>45437</c:v>
                </c:pt>
                <c:pt idx="2337">
                  <c:v>45438</c:v>
                </c:pt>
                <c:pt idx="2338">
                  <c:v>45439</c:v>
                </c:pt>
                <c:pt idx="2339">
                  <c:v>45440</c:v>
                </c:pt>
                <c:pt idx="2340">
                  <c:v>45441</c:v>
                </c:pt>
                <c:pt idx="2341">
                  <c:v>45442</c:v>
                </c:pt>
                <c:pt idx="2342">
                  <c:v>45443</c:v>
                </c:pt>
                <c:pt idx="2343">
                  <c:v>45444</c:v>
                </c:pt>
                <c:pt idx="2344">
                  <c:v>45445</c:v>
                </c:pt>
                <c:pt idx="2345">
                  <c:v>45446</c:v>
                </c:pt>
                <c:pt idx="2346">
                  <c:v>45447</c:v>
                </c:pt>
                <c:pt idx="2347">
                  <c:v>45448</c:v>
                </c:pt>
                <c:pt idx="2348">
                  <c:v>45449</c:v>
                </c:pt>
                <c:pt idx="2349">
                  <c:v>45450</c:v>
                </c:pt>
                <c:pt idx="2350">
                  <c:v>45451</c:v>
                </c:pt>
                <c:pt idx="2351">
                  <c:v>45452</c:v>
                </c:pt>
                <c:pt idx="2352">
                  <c:v>45453</c:v>
                </c:pt>
                <c:pt idx="2353">
                  <c:v>45454</c:v>
                </c:pt>
                <c:pt idx="2354">
                  <c:v>45455</c:v>
                </c:pt>
                <c:pt idx="2355">
                  <c:v>45456</c:v>
                </c:pt>
                <c:pt idx="2356">
                  <c:v>45457</c:v>
                </c:pt>
                <c:pt idx="2357">
                  <c:v>45458</c:v>
                </c:pt>
                <c:pt idx="2358">
                  <c:v>45459</c:v>
                </c:pt>
                <c:pt idx="2359">
                  <c:v>45460</c:v>
                </c:pt>
                <c:pt idx="2360">
                  <c:v>45461</c:v>
                </c:pt>
                <c:pt idx="2361">
                  <c:v>45462</c:v>
                </c:pt>
                <c:pt idx="2362">
                  <c:v>45463</c:v>
                </c:pt>
                <c:pt idx="2363">
                  <c:v>45464</c:v>
                </c:pt>
                <c:pt idx="2364">
                  <c:v>45465</c:v>
                </c:pt>
                <c:pt idx="2365">
                  <c:v>45466</c:v>
                </c:pt>
                <c:pt idx="2366">
                  <c:v>45467</c:v>
                </c:pt>
                <c:pt idx="2367">
                  <c:v>45468</c:v>
                </c:pt>
                <c:pt idx="2368">
                  <c:v>45469</c:v>
                </c:pt>
                <c:pt idx="2369">
                  <c:v>45470</c:v>
                </c:pt>
                <c:pt idx="2370">
                  <c:v>45471</c:v>
                </c:pt>
                <c:pt idx="2371">
                  <c:v>45472</c:v>
                </c:pt>
                <c:pt idx="2372">
                  <c:v>45473</c:v>
                </c:pt>
                <c:pt idx="2373">
                  <c:v>45474</c:v>
                </c:pt>
                <c:pt idx="2374">
                  <c:v>45475</c:v>
                </c:pt>
                <c:pt idx="2375">
                  <c:v>45476</c:v>
                </c:pt>
                <c:pt idx="2376">
                  <c:v>45477</c:v>
                </c:pt>
                <c:pt idx="2377">
                  <c:v>45478</c:v>
                </c:pt>
                <c:pt idx="2378">
                  <c:v>45479</c:v>
                </c:pt>
                <c:pt idx="2379">
                  <c:v>45480</c:v>
                </c:pt>
                <c:pt idx="2380">
                  <c:v>45481</c:v>
                </c:pt>
                <c:pt idx="2381">
                  <c:v>45482</c:v>
                </c:pt>
                <c:pt idx="2382">
                  <c:v>45483</c:v>
                </c:pt>
                <c:pt idx="2383">
                  <c:v>45484</c:v>
                </c:pt>
                <c:pt idx="2384">
                  <c:v>45485</c:v>
                </c:pt>
                <c:pt idx="2385">
                  <c:v>45486</c:v>
                </c:pt>
                <c:pt idx="2386">
                  <c:v>45487</c:v>
                </c:pt>
                <c:pt idx="2387">
                  <c:v>45488</c:v>
                </c:pt>
                <c:pt idx="2388">
                  <c:v>45489</c:v>
                </c:pt>
                <c:pt idx="2389">
                  <c:v>45490</c:v>
                </c:pt>
                <c:pt idx="2390">
                  <c:v>45491</c:v>
                </c:pt>
                <c:pt idx="2391">
                  <c:v>45492</c:v>
                </c:pt>
                <c:pt idx="2392">
                  <c:v>45493</c:v>
                </c:pt>
                <c:pt idx="2393">
                  <c:v>45494</c:v>
                </c:pt>
                <c:pt idx="2394">
                  <c:v>45495</c:v>
                </c:pt>
                <c:pt idx="2395">
                  <c:v>45496</c:v>
                </c:pt>
                <c:pt idx="2396">
                  <c:v>45497</c:v>
                </c:pt>
                <c:pt idx="2397">
                  <c:v>45498</c:v>
                </c:pt>
                <c:pt idx="2398">
                  <c:v>45499</c:v>
                </c:pt>
                <c:pt idx="2399">
                  <c:v>45500</c:v>
                </c:pt>
                <c:pt idx="2400">
                  <c:v>45501</c:v>
                </c:pt>
                <c:pt idx="2401">
                  <c:v>45502</c:v>
                </c:pt>
                <c:pt idx="2402">
                  <c:v>45503</c:v>
                </c:pt>
                <c:pt idx="2403">
                  <c:v>45504</c:v>
                </c:pt>
                <c:pt idx="2404">
                  <c:v>45505</c:v>
                </c:pt>
                <c:pt idx="2405">
                  <c:v>45506</c:v>
                </c:pt>
                <c:pt idx="2406">
                  <c:v>45507</c:v>
                </c:pt>
                <c:pt idx="2407">
                  <c:v>45508</c:v>
                </c:pt>
                <c:pt idx="2408">
                  <c:v>45509</c:v>
                </c:pt>
                <c:pt idx="2409">
                  <c:v>45510</c:v>
                </c:pt>
                <c:pt idx="2410">
                  <c:v>45511</c:v>
                </c:pt>
                <c:pt idx="2411">
                  <c:v>45512</c:v>
                </c:pt>
                <c:pt idx="2412">
                  <c:v>45513</c:v>
                </c:pt>
                <c:pt idx="2413">
                  <c:v>45514</c:v>
                </c:pt>
                <c:pt idx="2414">
                  <c:v>45515</c:v>
                </c:pt>
                <c:pt idx="2415">
                  <c:v>45516</c:v>
                </c:pt>
                <c:pt idx="2416">
                  <c:v>45517</c:v>
                </c:pt>
                <c:pt idx="2417">
                  <c:v>45518</c:v>
                </c:pt>
                <c:pt idx="2418">
                  <c:v>45519</c:v>
                </c:pt>
                <c:pt idx="2419">
                  <c:v>45520</c:v>
                </c:pt>
                <c:pt idx="2420">
                  <c:v>45521</c:v>
                </c:pt>
                <c:pt idx="2421">
                  <c:v>45522</c:v>
                </c:pt>
                <c:pt idx="2422">
                  <c:v>45523</c:v>
                </c:pt>
                <c:pt idx="2423">
                  <c:v>45524</c:v>
                </c:pt>
                <c:pt idx="2424">
                  <c:v>45525</c:v>
                </c:pt>
                <c:pt idx="2425">
                  <c:v>45526</c:v>
                </c:pt>
                <c:pt idx="2426">
                  <c:v>45527</c:v>
                </c:pt>
                <c:pt idx="2427">
                  <c:v>45528</c:v>
                </c:pt>
                <c:pt idx="2428">
                  <c:v>45529</c:v>
                </c:pt>
                <c:pt idx="2429">
                  <c:v>45530</c:v>
                </c:pt>
                <c:pt idx="2430">
                  <c:v>45531</c:v>
                </c:pt>
                <c:pt idx="2431">
                  <c:v>45532</c:v>
                </c:pt>
                <c:pt idx="2432">
                  <c:v>45533</c:v>
                </c:pt>
                <c:pt idx="2433">
                  <c:v>45534</c:v>
                </c:pt>
                <c:pt idx="2434">
                  <c:v>45535</c:v>
                </c:pt>
                <c:pt idx="2435">
                  <c:v>45536</c:v>
                </c:pt>
                <c:pt idx="2436">
                  <c:v>45537</c:v>
                </c:pt>
                <c:pt idx="2437">
                  <c:v>45538</c:v>
                </c:pt>
                <c:pt idx="2438">
                  <c:v>45539</c:v>
                </c:pt>
                <c:pt idx="2439">
                  <c:v>45540</c:v>
                </c:pt>
                <c:pt idx="2440">
                  <c:v>45541</c:v>
                </c:pt>
                <c:pt idx="2441">
                  <c:v>45542</c:v>
                </c:pt>
                <c:pt idx="2442">
                  <c:v>45543</c:v>
                </c:pt>
                <c:pt idx="2443">
                  <c:v>45544</c:v>
                </c:pt>
                <c:pt idx="2444">
                  <c:v>45545</c:v>
                </c:pt>
                <c:pt idx="2445">
                  <c:v>45546</c:v>
                </c:pt>
                <c:pt idx="2446">
                  <c:v>45547</c:v>
                </c:pt>
                <c:pt idx="2447">
                  <c:v>45548</c:v>
                </c:pt>
                <c:pt idx="2448">
                  <c:v>45549</c:v>
                </c:pt>
                <c:pt idx="2449">
                  <c:v>45550</c:v>
                </c:pt>
                <c:pt idx="2450">
                  <c:v>45551</c:v>
                </c:pt>
                <c:pt idx="2451">
                  <c:v>45552</c:v>
                </c:pt>
                <c:pt idx="2452">
                  <c:v>45553</c:v>
                </c:pt>
                <c:pt idx="2453">
                  <c:v>45554</c:v>
                </c:pt>
                <c:pt idx="2454">
                  <c:v>45555</c:v>
                </c:pt>
                <c:pt idx="2455">
                  <c:v>45556</c:v>
                </c:pt>
                <c:pt idx="2456">
                  <c:v>45557</c:v>
                </c:pt>
                <c:pt idx="2457">
                  <c:v>45558</c:v>
                </c:pt>
                <c:pt idx="2458">
                  <c:v>45559</c:v>
                </c:pt>
                <c:pt idx="2459">
                  <c:v>45560</c:v>
                </c:pt>
                <c:pt idx="2460">
                  <c:v>45561</c:v>
                </c:pt>
                <c:pt idx="2461">
                  <c:v>45562</c:v>
                </c:pt>
                <c:pt idx="2462">
                  <c:v>45563</c:v>
                </c:pt>
                <c:pt idx="2463">
                  <c:v>45564</c:v>
                </c:pt>
                <c:pt idx="2464">
                  <c:v>45565</c:v>
                </c:pt>
                <c:pt idx="2465">
                  <c:v>45566</c:v>
                </c:pt>
                <c:pt idx="2466">
                  <c:v>45567</c:v>
                </c:pt>
                <c:pt idx="2467">
                  <c:v>45568</c:v>
                </c:pt>
                <c:pt idx="2468">
                  <c:v>45569</c:v>
                </c:pt>
                <c:pt idx="2469">
                  <c:v>45570</c:v>
                </c:pt>
                <c:pt idx="2470">
                  <c:v>45571</c:v>
                </c:pt>
                <c:pt idx="2471">
                  <c:v>45572</c:v>
                </c:pt>
                <c:pt idx="2472">
                  <c:v>45573</c:v>
                </c:pt>
                <c:pt idx="2473">
                  <c:v>45574</c:v>
                </c:pt>
                <c:pt idx="2474">
                  <c:v>45575</c:v>
                </c:pt>
                <c:pt idx="2475">
                  <c:v>45576</c:v>
                </c:pt>
                <c:pt idx="2476">
                  <c:v>45577</c:v>
                </c:pt>
                <c:pt idx="2477">
                  <c:v>45578</c:v>
                </c:pt>
                <c:pt idx="2478">
                  <c:v>45579</c:v>
                </c:pt>
                <c:pt idx="2479">
                  <c:v>45580</c:v>
                </c:pt>
                <c:pt idx="2480">
                  <c:v>45581</c:v>
                </c:pt>
                <c:pt idx="2481">
                  <c:v>45582</c:v>
                </c:pt>
                <c:pt idx="2482">
                  <c:v>45583</c:v>
                </c:pt>
                <c:pt idx="2483">
                  <c:v>45584</c:v>
                </c:pt>
                <c:pt idx="2484">
                  <c:v>45585</c:v>
                </c:pt>
                <c:pt idx="2485">
                  <c:v>45586</c:v>
                </c:pt>
                <c:pt idx="2486">
                  <c:v>45587</c:v>
                </c:pt>
                <c:pt idx="2487">
                  <c:v>45588</c:v>
                </c:pt>
                <c:pt idx="2488">
                  <c:v>45589</c:v>
                </c:pt>
                <c:pt idx="2489">
                  <c:v>45590</c:v>
                </c:pt>
                <c:pt idx="2490">
                  <c:v>45591</c:v>
                </c:pt>
                <c:pt idx="2491">
                  <c:v>45592</c:v>
                </c:pt>
                <c:pt idx="2492">
                  <c:v>45593</c:v>
                </c:pt>
                <c:pt idx="2493">
                  <c:v>45594</c:v>
                </c:pt>
                <c:pt idx="2494">
                  <c:v>45595</c:v>
                </c:pt>
                <c:pt idx="2495">
                  <c:v>45596</c:v>
                </c:pt>
                <c:pt idx="2496">
                  <c:v>45597</c:v>
                </c:pt>
                <c:pt idx="2497">
                  <c:v>45598</c:v>
                </c:pt>
                <c:pt idx="2498">
                  <c:v>45599</c:v>
                </c:pt>
                <c:pt idx="2499">
                  <c:v>45600</c:v>
                </c:pt>
                <c:pt idx="2500">
                  <c:v>45601</c:v>
                </c:pt>
                <c:pt idx="2501">
                  <c:v>45602</c:v>
                </c:pt>
                <c:pt idx="2502">
                  <c:v>45603</c:v>
                </c:pt>
                <c:pt idx="2503">
                  <c:v>45604</c:v>
                </c:pt>
                <c:pt idx="2504">
                  <c:v>45605</c:v>
                </c:pt>
                <c:pt idx="2505">
                  <c:v>45606</c:v>
                </c:pt>
                <c:pt idx="2506">
                  <c:v>45607</c:v>
                </c:pt>
                <c:pt idx="2507">
                  <c:v>45608</c:v>
                </c:pt>
                <c:pt idx="2508">
                  <c:v>45609</c:v>
                </c:pt>
                <c:pt idx="2509">
                  <c:v>45610</c:v>
                </c:pt>
                <c:pt idx="2510">
                  <c:v>45611</c:v>
                </c:pt>
                <c:pt idx="2511">
                  <c:v>45612</c:v>
                </c:pt>
                <c:pt idx="2512">
                  <c:v>45613</c:v>
                </c:pt>
                <c:pt idx="2513">
                  <c:v>45614</c:v>
                </c:pt>
                <c:pt idx="2514">
                  <c:v>45615</c:v>
                </c:pt>
                <c:pt idx="2515">
                  <c:v>45616</c:v>
                </c:pt>
                <c:pt idx="2516">
                  <c:v>45617</c:v>
                </c:pt>
                <c:pt idx="2517">
                  <c:v>45618</c:v>
                </c:pt>
                <c:pt idx="2518">
                  <c:v>45619</c:v>
                </c:pt>
                <c:pt idx="2519">
                  <c:v>45620</c:v>
                </c:pt>
                <c:pt idx="2520">
                  <c:v>45621</c:v>
                </c:pt>
                <c:pt idx="2521">
                  <c:v>45622</c:v>
                </c:pt>
                <c:pt idx="2522">
                  <c:v>45623</c:v>
                </c:pt>
                <c:pt idx="2523">
                  <c:v>45624</c:v>
                </c:pt>
                <c:pt idx="2524">
                  <c:v>45625</c:v>
                </c:pt>
                <c:pt idx="2525">
                  <c:v>45626</c:v>
                </c:pt>
                <c:pt idx="2526">
                  <c:v>45627</c:v>
                </c:pt>
                <c:pt idx="2527">
                  <c:v>45628</c:v>
                </c:pt>
                <c:pt idx="2528">
                  <c:v>45629</c:v>
                </c:pt>
                <c:pt idx="2529">
                  <c:v>45630</c:v>
                </c:pt>
                <c:pt idx="2530">
                  <c:v>45631</c:v>
                </c:pt>
                <c:pt idx="2531">
                  <c:v>45632</c:v>
                </c:pt>
                <c:pt idx="2532">
                  <c:v>45633</c:v>
                </c:pt>
                <c:pt idx="2533">
                  <c:v>45634</c:v>
                </c:pt>
                <c:pt idx="2534">
                  <c:v>45635</c:v>
                </c:pt>
                <c:pt idx="2535">
                  <c:v>45636</c:v>
                </c:pt>
                <c:pt idx="2536">
                  <c:v>45637</c:v>
                </c:pt>
                <c:pt idx="2537">
                  <c:v>45638</c:v>
                </c:pt>
                <c:pt idx="2538">
                  <c:v>45639</c:v>
                </c:pt>
                <c:pt idx="2539">
                  <c:v>45640</c:v>
                </c:pt>
                <c:pt idx="2540">
                  <c:v>45641</c:v>
                </c:pt>
                <c:pt idx="2541">
                  <c:v>45642</c:v>
                </c:pt>
                <c:pt idx="2542">
                  <c:v>45643</c:v>
                </c:pt>
                <c:pt idx="2543">
                  <c:v>45644</c:v>
                </c:pt>
                <c:pt idx="2544">
                  <c:v>45645</c:v>
                </c:pt>
                <c:pt idx="2545">
                  <c:v>45646</c:v>
                </c:pt>
                <c:pt idx="2546">
                  <c:v>45647</c:v>
                </c:pt>
                <c:pt idx="2547">
                  <c:v>45648</c:v>
                </c:pt>
                <c:pt idx="2548">
                  <c:v>45649</c:v>
                </c:pt>
                <c:pt idx="2549">
                  <c:v>45650</c:v>
                </c:pt>
                <c:pt idx="2550">
                  <c:v>45651</c:v>
                </c:pt>
                <c:pt idx="2551">
                  <c:v>45652</c:v>
                </c:pt>
                <c:pt idx="2552">
                  <c:v>45653</c:v>
                </c:pt>
                <c:pt idx="2553">
                  <c:v>45654</c:v>
                </c:pt>
                <c:pt idx="2554">
                  <c:v>45655</c:v>
                </c:pt>
                <c:pt idx="2555">
                  <c:v>45656</c:v>
                </c:pt>
                <c:pt idx="2556">
                  <c:v>45657</c:v>
                </c:pt>
                <c:pt idx="2557">
                  <c:v>45658</c:v>
                </c:pt>
              </c:numCache>
            </c:numRef>
          </c:cat>
          <c:val>
            <c:numRef>
              <c:f>Onboarding!$C$7:$C$2564</c:f>
              <c:numCache>
                <c:formatCode>General</c:formatCode>
                <c:ptCount val="2558"/>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5</c:v>
                </c:pt>
                <c:pt idx="317">
                  <c:v>5</c:v>
                </c:pt>
                <c:pt idx="318">
                  <c:v>5</c:v>
                </c:pt>
                <c:pt idx="319">
                  <c:v>5</c:v>
                </c:pt>
                <c:pt idx="320">
                  <c:v>5</c:v>
                </c:pt>
                <c:pt idx="321">
                  <c:v>5</c:v>
                </c:pt>
                <c:pt idx="322">
                  <c:v>5</c:v>
                </c:pt>
                <c:pt idx="323">
                  <c:v>5</c:v>
                </c:pt>
                <c:pt idx="324">
                  <c:v>5</c:v>
                </c:pt>
                <c:pt idx="325">
                  <c:v>5</c:v>
                </c:pt>
                <c:pt idx="326">
                  <c:v>5</c:v>
                </c:pt>
                <c:pt idx="327">
                  <c:v>5</c:v>
                </c:pt>
                <c:pt idx="328">
                  <c:v>5</c:v>
                </c:pt>
                <c:pt idx="329">
                  <c:v>5</c:v>
                </c:pt>
                <c:pt idx="330">
                  <c:v>5</c:v>
                </c:pt>
                <c:pt idx="331">
                  <c:v>5</c:v>
                </c:pt>
                <c:pt idx="332">
                  <c:v>5</c:v>
                </c:pt>
                <c:pt idx="333">
                  <c:v>5</c:v>
                </c:pt>
                <c:pt idx="334">
                  <c:v>5</c:v>
                </c:pt>
                <c:pt idx="335">
                  <c:v>5</c:v>
                </c:pt>
                <c:pt idx="336">
                  <c:v>5</c:v>
                </c:pt>
                <c:pt idx="337">
                  <c:v>5</c:v>
                </c:pt>
                <c:pt idx="338">
                  <c:v>5</c:v>
                </c:pt>
                <c:pt idx="339">
                  <c:v>5</c:v>
                </c:pt>
                <c:pt idx="340">
                  <c:v>5</c:v>
                </c:pt>
                <c:pt idx="341">
                  <c:v>5</c:v>
                </c:pt>
                <c:pt idx="342">
                  <c:v>5</c:v>
                </c:pt>
                <c:pt idx="343">
                  <c:v>5</c:v>
                </c:pt>
                <c:pt idx="344">
                  <c:v>5</c:v>
                </c:pt>
                <c:pt idx="345">
                  <c:v>5</c:v>
                </c:pt>
                <c:pt idx="346">
                  <c:v>5</c:v>
                </c:pt>
                <c:pt idx="347">
                  <c:v>5</c:v>
                </c:pt>
                <c:pt idx="348">
                  <c:v>5</c:v>
                </c:pt>
                <c:pt idx="349">
                  <c:v>5</c:v>
                </c:pt>
                <c:pt idx="350">
                  <c:v>5</c:v>
                </c:pt>
                <c:pt idx="351">
                  <c:v>5</c:v>
                </c:pt>
                <c:pt idx="352">
                  <c:v>5</c:v>
                </c:pt>
                <c:pt idx="353">
                  <c:v>5</c:v>
                </c:pt>
                <c:pt idx="354">
                  <c:v>5</c:v>
                </c:pt>
                <c:pt idx="355">
                  <c:v>5</c:v>
                </c:pt>
                <c:pt idx="356">
                  <c:v>5</c:v>
                </c:pt>
                <c:pt idx="357">
                  <c:v>5</c:v>
                </c:pt>
                <c:pt idx="358">
                  <c:v>5</c:v>
                </c:pt>
                <c:pt idx="359">
                  <c:v>5</c:v>
                </c:pt>
                <c:pt idx="360">
                  <c:v>5</c:v>
                </c:pt>
                <c:pt idx="361">
                  <c:v>5</c:v>
                </c:pt>
                <c:pt idx="362">
                  <c:v>5</c:v>
                </c:pt>
                <c:pt idx="363">
                  <c:v>5</c:v>
                </c:pt>
                <c:pt idx="364">
                  <c:v>5</c:v>
                </c:pt>
                <c:pt idx="365">
                  <c:v>5</c:v>
                </c:pt>
                <c:pt idx="366">
                  <c:v>5</c:v>
                </c:pt>
                <c:pt idx="367">
                  <c:v>5</c:v>
                </c:pt>
                <c:pt idx="368">
                  <c:v>5</c:v>
                </c:pt>
                <c:pt idx="369">
                  <c:v>5</c:v>
                </c:pt>
                <c:pt idx="370">
                  <c:v>5</c:v>
                </c:pt>
                <c:pt idx="371">
                  <c:v>5</c:v>
                </c:pt>
                <c:pt idx="372">
                  <c:v>5</c:v>
                </c:pt>
                <c:pt idx="373">
                  <c:v>5</c:v>
                </c:pt>
                <c:pt idx="374">
                  <c:v>5</c:v>
                </c:pt>
                <c:pt idx="375">
                  <c:v>5</c:v>
                </c:pt>
                <c:pt idx="376">
                  <c:v>5</c:v>
                </c:pt>
                <c:pt idx="377">
                  <c:v>5</c:v>
                </c:pt>
                <c:pt idx="378">
                  <c:v>5</c:v>
                </c:pt>
                <c:pt idx="379">
                  <c:v>5</c:v>
                </c:pt>
                <c:pt idx="380">
                  <c:v>5</c:v>
                </c:pt>
                <c:pt idx="381">
                  <c:v>5</c:v>
                </c:pt>
                <c:pt idx="382">
                  <c:v>5</c:v>
                </c:pt>
                <c:pt idx="383">
                  <c:v>5</c:v>
                </c:pt>
                <c:pt idx="384">
                  <c:v>5</c:v>
                </c:pt>
                <c:pt idx="385">
                  <c:v>5</c:v>
                </c:pt>
                <c:pt idx="386">
                  <c:v>5</c:v>
                </c:pt>
                <c:pt idx="387">
                  <c:v>5</c:v>
                </c:pt>
                <c:pt idx="388">
                  <c:v>5</c:v>
                </c:pt>
                <c:pt idx="389">
                  <c:v>5</c:v>
                </c:pt>
                <c:pt idx="390">
                  <c:v>5</c:v>
                </c:pt>
                <c:pt idx="391">
                  <c:v>5</c:v>
                </c:pt>
                <c:pt idx="392">
                  <c:v>5</c:v>
                </c:pt>
                <c:pt idx="393">
                  <c:v>5</c:v>
                </c:pt>
                <c:pt idx="394">
                  <c:v>5</c:v>
                </c:pt>
                <c:pt idx="395">
                  <c:v>5</c:v>
                </c:pt>
                <c:pt idx="396">
                  <c:v>5</c:v>
                </c:pt>
                <c:pt idx="397">
                  <c:v>5</c:v>
                </c:pt>
                <c:pt idx="398">
                  <c:v>5</c:v>
                </c:pt>
                <c:pt idx="399">
                  <c:v>5</c:v>
                </c:pt>
                <c:pt idx="400">
                  <c:v>5</c:v>
                </c:pt>
                <c:pt idx="401">
                  <c:v>5</c:v>
                </c:pt>
                <c:pt idx="402">
                  <c:v>5</c:v>
                </c:pt>
                <c:pt idx="403">
                  <c:v>5</c:v>
                </c:pt>
                <c:pt idx="404">
                  <c:v>5</c:v>
                </c:pt>
                <c:pt idx="405">
                  <c:v>5</c:v>
                </c:pt>
                <c:pt idx="406">
                  <c:v>5</c:v>
                </c:pt>
                <c:pt idx="407">
                  <c:v>5</c:v>
                </c:pt>
                <c:pt idx="408">
                  <c:v>5</c:v>
                </c:pt>
                <c:pt idx="409">
                  <c:v>5</c:v>
                </c:pt>
                <c:pt idx="410">
                  <c:v>5</c:v>
                </c:pt>
                <c:pt idx="411">
                  <c:v>5</c:v>
                </c:pt>
                <c:pt idx="412">
                  <c:v>5</c:v>
                </c:pt>
                <c:pt idx="413">
                  <c:v>5</c:v>
                </c:pt>
                <c:pt idx="414">
                  <c:v>5</c:v>
                </c:pt>
                <c:pt idx="415">
                  <c:v>5</c:v>
                </c:pt>
                <c:pt idx="416">
                  <c:v>5</c:v>
                </c:pt>
                <c:pt idx="417">
                  <c:v>5</c:v>
                </c:pt>
                <c:pt idx="418">
                  <c:v>5</c:v>
                </c:pt>
                <c:pt idx="419">
                  <c:v>5</c:v>
                </c:pt>
                <c:pt idx="420">
                  <c:v>5</c:v>
                </c:pt>
                <c:pt idx="421">
                  <c:v>5</c:v>
                </c:pt>
                <c:pt idx="422">
                  <c:v>5</c:v>
                </c:pt>
                <c:pt idx="423">
                  <c:v>5</c:v>
                </c:pt>
                <c:pt idx="424">
                  <c:v>5</c:v>
                </c:pt>
                <c:pt idx="425">
                  <c:v>5</c:v>
                </c:pt>
                <c:pt idx="426">
                  <c:v>5</c:v>
                </c:pt>
                <c:pt idx="427">
                  <c:v>5</c:v>
                </c:pt>
                <c:pt idx="428">
                  <c:v>5</c:v>
                </c:pt>
                <c:pt idx="429">
                  <c:v>5</c:v>
                </c:pt>
                <c:pt idx="430">
                  <c:v>5</c:v>
                </c:pt>
                <c:pt idx="431">
                  <c:v>5</c:v>
                </c:pt>
                <c:pt idx="432">
                  <c:v>5</c:v>
                </c:pt>
                <c:pt idx="433">
                  <c:v>5</c:v>
                </c:pt>
                <c:pt idx="434">
                  <c:v>5</c:v>
                </c:pt>
                <c:pt idx="435">
                  <c:v>5</c:v>
                </c:pt>
                <c:pt idx="436">
                  <c:v>5</c:v>
                </c:pt>
                <c:pt idx="437">
                  <c:v>5</c:v>
                </c:pt>
                <c:pt idx="438">
                  <c:v>5</c:v>
                </c:pt>
                <c:pt idx="439">
                  <c:v>5</c:v>
                </c:pt>
                <c:pt idx="440">
                  <c:v>5</c:v>
                </c:pt>
                <c:pt idx="441">
                  <c:v>5</c:v>
                </c:pt>
                <c:pt idx="442">
                  <c:v>5</c:v>
                </c:pt>
                <c:pt idx="443">
                  <c:v>5</c:v>
                </c:pt>
                <c:pt idx="444">
                  <c:v>5</c:v>
                </c:pt>
                <c:pt idx="445">
                  <c:v>5</c:v>
                </c:pt>
                <c:pt idx="446">
                  <c:v>5</c:v>
                </c:pt>
                <c:pt idx="447">
                  <c:v>5</c:v>
                </c:pt>
                <c:pt idx="448">
                  <c:v>5</c:v>
                </c:pt>
                <c:pt idx="449">
                  <c:v>5</c:v>
                </c:pt>
                <c:pt idx="450">
                  <c:v>5</c:v>
                </c:pt>
                <c:pt idx="451">
                  <c:v>5</c:v>
                </c:pt>
                <c:pt idx="452">
                  <c:v>5</c:v>
                </c:pt>
                <c:pt idx="453">
                  <c:v>5</c:v>
                </c:pt>
                <c:pt idx="454">
                  <c:v>5</c:v>
                </c:pt>
                <c:pt idx="455">
                  <c:v>5</c:v>
                </c:pt>
                <c:pt idx="456">
                  <c:v>5</c:v>
                </c:pt>
                <c:pt idx="457">
                  <c:v>5</c:v>
                </c:pt>
                <c:pt idx="458">
                  <c:v>5</c:v>
                </c:pt>
                <c:pt idx="459">
                  <c:v>5</c:v>
                </c:pt>
                <c:pt idx="460">
                  <c:v>5</c:v>
                </c:pt>
                <c:pt idx="461">
                  <c:v>5</c:v>
                </c:pt>
                <c:pt idx="462">
                  <c:v>5</c:v>
                </c:pt>
                <c:pt idx="463">
                  <c:v>5</c:v>
                </c:pt>
                <c:pt idx="464">
                  <c:v>5</c:v>
                </c:pt>
                <c:pt idx="465">
                  <c:v>5</c:v>
                </c:pt>
                <c:pt idx="466">
                  <c:v>5</c:v>
                </c:pt>
                <c:pt idx="467">
                  <c:v>5</c:v>
                </c:pt>
                <c:pt idx="468">
                  <c:v>5</c:v>
                </c:pt>
                <c:pt idx="469">
                  <c:v>5</c:v>
                </c:pt>
                <c:pt idx="470">
                  <c:v>5</c:v>
                </c:pt>
                <c:pt idx="471">
                  <c:v>5</c:v>
                </c:pt>
                <c:pt idx="472">
                  <c:v>5</c:v>
                </c:pt>
                <c:pt idx="473">
                  <c:v>5</c:v>
                </c:pt>
                <c:pt idx="474">
                  <c:v>5</c:v>
                </c:pt>
                <c:pt idx="475">
                  <c:v>5</c:v>
                </c:pt>
                <c:pt idx="476">
                  <c:v>5</c:v>
                </c:pt>
                <c:pt idx="477">
                  <c:v>5</c:v>
                </c:pt>
                <c:pt idx="478">
                  <c:v>5</c:v>
                </c:pt>
                <c:pt idx="479">
                  <c:v>5</c:v>
                </c:pt>
                <c:pt idx="480">
                  <c:v>5</c:v>
                </c:pt>
                <c:pt idx="481">
                  <c:v>5</c:v>
                </c:pt>
                <c:pt idx="482">
                  <c:v>5</c:v>
                </c:pt>
                <c:pt idx="483">
                  <c:v>5</c:v>
                </c:pt>
                <c:pt idx="484">
                  <c:v>5</c:v>
                </c:pt>
                <c:pt idx="485">
                  <c:v>5</c:v>
                </c:pt>
                <c:pt idx="486">
                  <c:v>5</c:v>
                </c:pt>
                <c:pt idx="487">
                  <c:v>5</c:v>
                </c:pt>
                <c:pt idx="488">
                  <c:v>5</c:v>
                </c:pt>
                <c:pt idx="489">
                  <c:v>5</c:v>
                </c:pt>
                <c:pt idx="490">
                  <c:v>5</c:v>
                </c:pt>
                <c:pt idx="491">
                  <c:v>5</c:v>
                </c:pt>
                <c:pt idx="492">
                  <c:v>5</c:v>
                </c:pt>
                <c:pt idx="493">
                  <c:v>5</c:v>
                </c:pt>
                <c:pt idx="494">
                  <c:v>5</c:v>
                </c:pt>
                <c:pt idx="495">
                  <c:v>5</c:v>
                </c:pt>
                <c:pt idx="496">
                  <c:v>5</c:v>
                </c:pt>
                <c:pt idx="497">
                  <c:v>5</c:v>
                </c:pt>
                <c:pt idx="498">
                  <c:v>5</c:v>
                </c:pt>
                <c:pt idx="499">
                  <c:v>5</c:v>
                </c:pt>
                <c:pt idx="500">
                  <c:v>5</c:v>
                </c:pt>
                <c:pt idx="501">
                  <c:v>5</c:v>
                </c:pt>
                <c:pt idx="502">
                  <c:v>5</c:v>
                </c:pt>
                <c:pt idx="503">
                  <c:v>5</c:v>
                </c:pt>
                <c:pt idx="504">
                  <c:v>5</c:v>
                </c:pt>
                <c:pt idx="505">
                  <c:v>5</c:v>
                </c:pt>
                <c:pt idx="506">
                  <c:v>5</c:v>
                </c:pt>
                <c:pt idx="507">
                  <c:v>5</c:v>
                </c:pt>
                <c:pt idx="508">
                  <c:v>5</c:v>
                </c:pt>
                <c:pt idx="509">
                  <c:v>5</c:v>
                </c:pt>
                <c:pt idx="510">
                  <c:v>5</c:v>
                </c:pt>
                <c:pt idx="511">
                  <c:v>5</c:v>
                </c:pt>
                <c:pt idx="512">
                  <c:v>5</c:v>
                </c:pt>
                <c:pt idx="513">
                  <c:v>5</c:v>
                </c:pt>
                <c:pt idx="514">
                  <c:v>5</c:v>
                </c:pt>
                <c:pt idx="515">
                  <c:v>5</c:v>
                </c:pt>
                <c:pt idx="516">
                  <c:v>5</c:v>
                </c:pt>
                <c:pt idx="517">
                  <c:v>5</c:v>
                </c:pt>
                <c:pt idx="518">
                  <c:v>5</c:v>
                </c:pt>
                <c:pt idx="519">
                  <c:v>5</c:v>
                </c:pt>
                <c:pt idx="520">
                  <c:v>5</c:v>
                </c:pt>
                <c:pt idx="521">
                  <c:v>5</c:v>
                </c:pt>
                <c:pt idx="522">
                  <c:v>5</c:v>
                </c:pt>
                <c:pt idx="523">
                  <c:v>5</c:v>
                </c:pt>
                <c:pt idx="524">
                  <c:v>5</c:v>
                </c:pt>
                <c:pt idx="525">
                  <c:v>5</c:v>
                </c:pt>
                <c:pt idx="526">
                  <c:v>5</c:v>
                </c:pt>
                <c:pt idx="527">
                  <c:v>5</c:v>
                </c:pt>
                <c:pt idx="528">
                  <c:v>5</c:v>
                </c:pt>
                <c:pt idx="529">
                  <c:v>5</c:v>
                </c:pt>
                <c:pt idx="530">
                  <c:v>5</c:v>
                </c:pt>
                <c:pt idx="531">
                  <c:v>5</c:v>
                </c:pt>
                <c:pt idx="532">
                  <c:v>5</c:v>
                </c:pt>
                <c:pt idx="533">
                  <c:v>5</c:v>
                </c:pt>
                <c:pt idx="534">
                  <c:v>5</c:v>
                </c:pt>
                <c:pt idx="535">
                  <c:v>5</c:v>
                </c:pt>
                <c:pt idx="536">
                  <c:v>5</c:v>
                </c:pt>
                <c:pt idx="537">
                  <c:v>5</c:v>
                </c:pt>
                <c:pt idx="538">
                  <c:v>5</c:v>
                </c:pt>
                <c:pt idx="539">
                  <c:v>5</c:v>
                </c:pt>
                <c:pt idx="540">
                  <c:v>5</c:v>
                </c:pt>
                <c:pt idx="541">
                  <c:v>5</c:v>
                </c:pt>
                <c:pt idx="542">
                  <c:v>5</c:v>
                </c:pt>
                <c:pt idx="543">
                  <c:v>5</c:v>
                </c:pt>
                <c:pt idx="544">
                  <c:v>5</c:v>
                </c:pt>
                <c:pt idx="545">
                  <c:v>5</c:v>
                </c:pt>
                <c:pt idx="546">
                  <c:v>5</c:v>
                </c:pt>
                <c:pt idx="547">
                  <c:v>5</c:v>
                </c:pt>
                <c:pt idx="548">
                  <c:v>5</c:v>
                </c:pt>
                <c:pt idx="549">
                  <c:v>5</c:v>
                </c:pt>
                <c:pt idx="550">
                  <c:v>5</c:v>
                </c:pt>
                <c:pt idx="551">
                  <c:v>5</c:v>
                </c:pt>
                <c:pt idx="552">
                  <c:v>5</c:v>
                </c:pt>
                <c:pt idx="553">
                  <c:v>5</c:v>
                </c:pt>
                <c:pt idx="554">
                  <c:v>5</c:v>
                </c:pt>
                <c:pt idx="555">
                  <c:v>5</c:v>
                </c:pt>
                <c:pt idx="556">
                  <c:v>5</c:v>
                </c:pt>
                <c:pt idx="557">
                  <c:v>5</c:v>
                </c:pt>
                <c:pt idx="558">
                  <c:v>5</c:v>
                </c:pt>
                <c:pt idx="559">
                  <c:v>5</c:v>
                </c:pt>
                <c:pt idx="560">
                  <c:v>5</c:v>
                </c:pt>
                <c:pt idx="561">
                  <c:v>5</c:v>
                </c:pt>
                <c:pt idx="562">
                  <c:v>5</c:v>
                </c:pt>
                <c:pt idx="563">
                  <c:v>5</c:v>
                </c:pt>
                <c:pt idx="564">
                  <c:v>5</c:v>
                </c:pt>
                <c:pt idx="565">
                  <c:v>5</c:v>
                </c:pt>
                <c:pt idx="566">
                  <c:v>5</c:v>
                </c:pt>
                <c:pt idx="567">
                  <c:v>5</c:v>
                </c:pt>
                <c:pt idx="568">
                  <c:v>5</c:v>
                </c:pt>
                <c:pt idx="569">
                  <c:v>5</c:v>
                </c:pt>
                <c:pt idx="570">
                  <c:v>5</c:v>
                </c:pt>
                <c:pt idx="571">
                  <c:v>5</c:v>
                </c:pt>
                <c:pt idx="572">
                  <c:v>5</c:v>
                </c:pt>
                <c:pt idx="573">
                  <c:v>5</c:v>
                </c:pt>
                <c:pt idx="574">
                  <c:v>5</c:v>
                </c:pt>
                <c:pt idx="575">
                  <c:v>5</c:v>
                </c:pt>
                <c:pt idx="576">
                  <c:v>5</c:v>
                </c:pt>
                <c:pt idx="577">
                  <c:v>5</c:v>
                </c:pt>
                <c:pt idx="578">
                  <c:v>5</c:v>
                </c:pt>
                <c:pt idx="579">
                  <c:v>5</c:v>
                </c:pt>
                <c:pt idx="580">
                  <c:v>5</c:v>
                </c:pt>
                <c:pt idx="581">
                  <c:v>5</c:v>
                </c:pt>
                <c:pt idx="582">
                  <c:v>5</c:v>
                </c:pt>
                <c:pt idx="583">
                  <c:v>5</c:v>
                </c:pt>
                <c:pt idx="584">
                  <c:v>5</c:v>
                </c:pt>
                <c:pt idx="585">
                  <c:v>5</c:v>
                </c:pt>
                <c:pt idx="586">
                  <c:v>5</c:v>
                </c:pt>
                <c:pt idx="587">
                  <c:v>5</c:v>
                </c:pt>
                <c:pt idx="588">
                  <c:v>5</c:v>
                </c:pt>
                <c:pt idx="589">
                  <c:v>5</c:v>
                </c:pt>
                <c:pt idx="590">
                  <c:v>5</c:v>
                </c:pt>
                <c:pt idx="591">
                  <c:v>5</c:v>
                </c:pt>
                <c:pt idx="592">
                  <c:v>5</c:v>
                </c:pt>
                <c:pt idx="593">
                  <c:v>5</c:v>
                </c:pt>
                <c:pt idx="594">
                  <c:v>5</c:v>
                </c:pt>
                <c:pt idx="595">
                  <c:v>5</c:v>
                </c:pt>
                <c:pt idx="596">
                  <c:v>5</c:v>
                </c:pt>
                <c:pt idx="597">
                  <c:v>5</c:v>
                </c:pt>
                <c:pt idx="598">
                  <c:v>5</c:v>
                </c:pt>
                <c:pt idx="599">
                  <c:v>5</c:v>
                </c:pt>
                <c:pt idx="600">
                  <c:v>5</c:v>
                </c:pt>
                <c:pt idx="601">
                  <c:v>5</c:v>
                </c:pt>
                <c:pt idx="602">
                  <c:v>5</c:v>
                </c:pt>
                <c:pt idx="603">
                  <c:v>5</c:v>
                </c:pt>
                <c:pt idx="604">
                  <c:v>5</c:v>
                </c:pt>
                <c:pt idx="605">
                  <c:v>5</c:v>
                </c:pt>
                <c:pt idx="606">
                  <c:v>5</c:v>
                </c:pt>
                <c:pt idx="607">
                  <c:v>5</c:v>
                </c:pt>
                <c:pt idx="608">
                  <c:v>5</c:v>
                </c:pt>
                <c:pt idx="609">
                  <c:v>5</c:v>
                </c:pt>
                <c:pt idx="610">
                  <c:v>5</c:v>
                </c:pt>
                <c:pt idx="611">
                  <c:v>5</c:v>
                </c:pt>
                <c:pt idx="612">
                  <c:v>5</c:v>
                </c:pt>
                <c:pt idx="613">
                  <c:v>5</c:v>
                </c:pt>
                <c:pt idx="614">
                  <c:v>5</c:v>
                </c:pt>
                <c:pt idx="615">
                  <c:v>5</c:v>
                </c:pt>
                <c:pt idx="616">
                  <c:v>5</c:v>
                </c:pt>
                <c:pt idx="617">
                  <c:v>5</c:v>
                </c:pt>
                <c:pt idx="618">
                  <c:v>5</c:v>
                </c:pt>
                <c:pt idx="619">
                  <c:v>5</c:v>
                </c:pt>
                <c:pt idx="620">
                  <c:v>5</c:v>
                </c:pt>
                <c:pt idx="621">
                  <c:v>5</c:v>
                </c:pt>
                <c:pt idx="622">
                  <c:v>5</c:v>
                </c:pt>
                <c:pt idx="623">
                  <c:v>5</c:v>
                </c:pt>
                <c:pt idx="624">
                  <c:v>5</c:v>
                </c:pt>
                <c:pt idx="625">
                  <c:v>5</c:v>
                </c:pt>
                <c:pt idx="626">
                  <c:v>5</c:v>
                </c:pt>
                <c:pt idx="627">
                  <c:v>5</c:v>
                </c:pt>
                <c:pt idx="628">
                  <c:v>5</c:v>
                </c:pt>
                <c:pt idx="629">
                  <c:v>5</c:v>
                </c:pt>
                <c:pt idx="630">
                  <c:v>5</c:v>
                </c:pt>
                <c:pt idx="631">
                  <c:v>5</c:v>
                </c:pt>
                <c:pt idx="632">
                  <c:v>5</c:v>
                </c:pt>
                <c:pt idx="633">
                  <c:v>5</c:v>
                </c:pt>
                <c:pt idx="634">
                  <c:v>5</c:v>
                </c:pt>
                <c:pt idx="635">
                  <c:v>5</c:v>
                </c:pt>
                <c:pt idx="636">
                  <c:v>5</c:v>
                </c:pt>
                <c:pt idx="637">
                  <c:v>5</c:v>
                </c:pt>
                <c:pt idx="638">
                  <c:v>5</c:v>
                </c:pt>
                <c:pt idx="639">
                  <c:v>5</c:v>
                </c:pt>
                <c:pt idx="640">
                  <c:v>5</c:v>
                </c:pt>
                <c:pt idx="641">
                  <c:v>5</c:v>
                </c:pt>
                <c:pt idx="642">
                  <c:v>5</c:v>
                </c:pt>
                <c:pt idx="643">
                  <c:v>5</c:v>
                </c:pt>
                <c:pt idx="644">
                  <c:v>5</c:v>
                </c:pt>
                <c:pt idx="645">
                  <c:v>5</c:v>
                </c:pt>
                <c:pt idx="646">
                  <c:v>5</c:v>
                </c:pt>
                <c:pt idx="647">
                  <c:v>5</c:v>
                </c:pt>
                <c:pt idx="648">
                  <c:v>5</c:v>
                </c:pt>
                <c:pt idx="649">
                  <c:v>5</c:v>
                </c:pt>
                <c:pt idx="650">
                  <c:v>5</c:v>
                </c:pt>
                <c:pt idx="651">
                  <c:v>5</c:v>
                </c:pt>
                <c:pt idx="652">
                  <c:v>5</c:v>
                </c:pt>
                <c:pt idx="653">
                  <c:v>5</c:v>
                </c:pt>
                <c:pt idx="654">
                  <c:v>5</c:v>
                </c:pt>
                <c:pt idx="655">
                  <c:v>5</c:v>
                </c:pt>
                <c:pt idx="656">
                  <c:v>5</c:v>
                </c:pt>
                <c:pt idx="657">
                  <c:v>5</c:v>
                </c:pt>
                <c:pt idx="658">
                  <c:v>5</c:v>
                </c:pt>
                <c:pt idx="659">
                  <c:v>5</c:v>
                </c:pt>
                <c:pt idx="660">
                  <c:v>5</c:v>
                </c:pt>
                <c:pt idx="661">
                  <c:v>5</c:v>
                </c:pt>
                <c:pt idx="662">
                  <c:v>5</c:v>
                </c:pt>
                <c:pt idx="663">
                  <c:v>5</c:v>
                </c:pt>
                <c:pt idx="664">
                  <c:v>5</c:v>
                </c:pt>
                <c:pt idx="665">
                  <c:v>5</c:v>
                </c:pt>
                <c:pt idx="666">
                  <c:v>5</c:v>
                </c:pt>
                <c:pt idx="667">
                  <c:v>5</c:v>
                </c:pt>
                <c:pt idx="668">
                  <c:v>5</c:v>
                </c:pt>
                <c:pt idx="669">
                  <c:v>5</c:v>
                </c:pt>
                <c:pt idx="670">
                  <c:v>5</c:v>
                </c:pt>
                <c:pt idx="671">
                  <c:v>5</c:v>
                </c:pt>
                <c:pt idx="672">
                  <c:v>5</c:v>
                </c:pt>
                <c:pt idx="673">
                  <c:v>5</c:v>
                </c:pt>
                <c:pt idx="674">
                  <c:v>5</c:v>
                </c:pt>
                <c:pt idx="675">
                  <c:v>5</c:v>
                </c:pt>
                <c:pt idx="676">
                  <c:v>5</c:v>
                </c:pt>
                <c:pt idx="677">
                  <c:v>5</c:v>
                </c:pt>
                <c:pt idx="678">
                  <c:v>5</c:v>
                </c:pt>
                <c:pt idx="679">
                  <c:v>5</c:v>
                </c:pt>
                <c:pt idx="680">
                  <c:v>5</c:v>
                </c:pt>
                <c:pt idx="681">
                  <c:v>5</c:v>
                </c:pt>
                <c:pt idx="682">
                  <c:v>5</c:v>
                </c:pt>
                <c:pt idx="683">
                  <c:v>5</c:v>
                </c:pt>
                <c:pt idx="684">
                  <c:v>5</c:v>
                </c:pt>
                <c:pt idx="685">
                  <c:v>5</c:v>
                </c:pt>
                <c:pt idx="686">
                  <c:v>5</c:v>
                </c:pt>
                <c:pt idx="687">
                  <c:v>5</c:v>
                </c:pt>
                <c:pt idx="688">
                  <c:v>5</c:v>
                </c:pt>
                <c:pt idx="689">
                  <c:v>5</c:v>
                </c:pt>
                <c:pt idx="690">
                  <c:v>5</c:v>
                </c:pt>
                <c:pt idx="691">
                  <c:v>5</c:v>
                </c:pt>
                <c:pt idx="692">
                  <c:v>5</c:v>
                </c:pt>
                <c:pt idx="693">
                  <c:v>5</c:v>
                </c:pt>
                <c:pt idx="694">
                  <c:v>5</c:v>
                </c:pt>
                <c:pt idx="695">
                  <c:v>5</c:v>
                </c:pt>
                <c:pt idx="696">
                  <c:v>5</c:v>
                </c:pt>
                <c:pt idx="697">
                  <c:v>5</c:v>
                </c:pt>
                <c:pt idx="698">
                  <c:v>5</c:v>
                </c:pt>
                <c:pt idx="699">
                  <c:v>5</c:v>
                </c:pt>
                <c:pt idx="700">
                  <c:v>5</c:v>
                </c:pt>
                <c:pt idx="701">
                  <c:v>5</c:v>
                </c:pt>
                <c:pt idx="702">
                  <c:v>5</c:v>
                </c:pt>
                <c:pt idx="703">
                  <c:v>5</c:v>
                </c:pt>
                <c:pt idx="704">
                  <c:v>5</c:v>
                </c:pt>
                <c:pt idx="705">
                  <c:v>5</c:v>
                </c:pt>
                <c:pt idx="706">
                  <c:v>5</c:v>
                </c:pt>
                <c:pt idx="707">
                  <c:v>5</c:v>
                </c:pt>
                <c:pt idx="708">
                  <c:v>5</c:v>
                </c:pt>
                <c:pt idx="709">
                  <c:v>5</c:v>
                </c:pt>
                <c:pt idx="710">
                  <c:v>5</c:v>
                </c:pt>
                <c:pt idx="711">
                  <c:v>5</c:v>
                </c:pt>
                <c:pt idx="712">
                  <c:v>5</c:v>
                </c:pt>
                <c:pt idx="713">
                  <c:v>5</c:v>
                </c:pt>
                <c:pt idx="714">
                  <c:v>5</c:v>
                </c:pt>
                <c:pt idx="715">
                  <c:v>5</c:v>
                </c:pt>
                <c:pt idx="716">
                  <c:v>5</c:v>
                </c:pt>
                <c:pt idx="717">
                  <c:v>5</c:v>
                </c:pt>
                <c:pt idx="718">
                  <c:v>5</c:v>
                </c:pt>
                <c:pt idx="719">
                  <c:v>5</c:v>
                </c:pt>
                <c:pt idx="720">
                  <c:v>5</c:v>
                </c:pt>
                <c:pt idx="721">
                  <c:v>5</c:v>
                </c:pt>
                <c:pt idx="722">
                  <c:v>5</c:v>
                </c:pt>
                <c:pt idx="723">
                  <c:v>5</c:v>
                </c:pt>
                <c:pt idx="724">
                  <c:v>5</c:v>
                </c:pt>
                <c:pt idx="725">
                  <c:v>5</c:v>
                </c:pt>
                <c:pt idx="726">
                  <c:v>5</c:v>
                </c:pt>
                <c:pt idx="727">
                  <c:v>5</c:v>
                </c:pt>
                <c:pt idx="728">
                  <c:v>5</c:v>
                </c:pt>
                <c:pt idx="729">
                  <c:v>5</c:v>
                </c:pt>
                <c:pt idx="730">
                  <c:v>5</c:v>
                </c:pt>
                <c:pt idx="731">
                  <c:v>5</c:v>
                </c:pt>
                <c:pt idx="732">
                  <c:v>5</c:v>
                </c:pt>
                <c:pt idx="733">
                  <c:v>5</c:v>
                </c:pt>
                <c:pt idx="734">
                  <c:v>5</c:v>
                </c:pt>
                <c:pt idx="735">
                  <c:v>5</c:v>
                </c:pt>
                <c:pt idx="736">
                  <c:v>5</c:v>
                </c:pt>
                <c:pt idx="737">
                  <c:v>5</c:v>
                </c:pt>
                <c:pt idx="738">
                  <c:v>5</c:v>
                </c:pt>
                <c:pt idx="739">
                  <c:v>5</c:v>
                </c:pt>
                <c:pt idx="740">
                  <c:v>5</c:v>
                </c:pt>
                <c:pt idx="741">
                  <c:v>5</c:v>
                </c:pt>
                <c:pt idx="742">
                  <c:v>5</c:v>
                </c:pt>
                <c:pt idx="743">
                  <c:v>5</c:v>
                </c:pt>
                <c:pt idx="744">
                  <c:v>5</c:v>
                </c:pt>
                <c:pt idx="745">
                  <c:v>5</c:v>
                </c:pt>
                <c:pt idx="746">
                  <c:v>5</c:v>
                </c:pt>
                <c:pt idx="747">
                  <c:v>5</c:v>
                </c:pt>
                <c:pt idx="748">
                  <c:v>5</c:v>
                </c:pt>
                <c:pt idx="749">
                  <c:v>5</c:v>
                </c:pt>
                <c:pt idx="750">
                  <c:v>5</c:v>
                </c:pt>
                <c:pt idx="751">
                  <c:v>5</c:v>
                </c:pt>
                <c:pt idx="752">
                  <c:v>5</c:v>
                </c:pt>
                <c:pt idx="753">
                  <c:v>5</c:v>
                </c:pt>
                <c:pt idx="754">
                  <c:v>5</c:v>
                </c:pt>
                <c:pt idx="755">
                  <c:v>5</c:v>
                </c:pt>
                <c:pt idx="756">
                  <c:v>5</c:v>
                </c:pt>
                <c:pt idx="757">
                  <c:v>5</c:v>
                </c:pt>
                <c:pt idx="758">
                  <c:v>5</c:v>
                </c:pt>
                <c:pt idx="759">
                  <c:v>5</c:v>
                </c:pt>
                <c:pt idx="760">
                  <c:v>5</c:v>
                </c:pt>
                <c:pt idx="761">
                  <c:v>5</c:v>
                </c:pt>
                <c:pt idx="762">
                  <c:v>5</c:v>
                </c:pt>
                <c:pt idx="763">
                  <c:v>5</c:v>
                </c:pt>
                <c:pt idx="764">
                  <c:v>5</c:v>
                </c:pt>
                <c:pt idx="765">
                  <c:v>5</c:v>
                </c:pt>
                <c:pt idx="766">
                  <c:v>5</c:v>
                </c:pt>
                <c:pt idx="767">
                  <c:v>5</c:v>
                </c:pt>
                <c:pt idx="768">
                  <c:v>5</c:v>
                </c:pt>
                <c:pt idx="769">
                  <c:v>5</c:v>
                </c:pt>
                <c:pt idx="770">
                  <c:v>5</c:v>
                </c:pt>
                <c:pt idx="771">
                  <c:v>5</c:v>
                </c:pt>
                <c:pt idx="772">
                  <c:v>5</c:v>
                </c:pt>
                <c:pt idx="773">
                  <c:v>5</c:v>
                </c:pt>
                <c:pt idx="774">
                  <c:v>5</c:v>
                </c:pt>
                <c:pt idx="775">
                  <c:v>5</c:v>
                </c:pt>
                <c:pt idx="776">
                  <c:v>5</c:v>
                </c:pt>
                <c:pt idx="777">
                  <c:v>5</c:v>
                </c:pt>
                <c:pt idx="778">
                  <c:v>5</c:v>
                </c:pt>
                <c:pt idx="779">
                  <c:v>5</c:v>
                </c:pt>
                <c:pt idx="780">
                  <c:v>5</c:v>
                </c:pt>
                <c:pt idx="781">
                  <c:v>5</c:v>
                </c:pt>
                <c:pt idx="782">
                  <c:v>5</c:v>
                </c:pt>
                <c:pt idx="783">
                  <c:v>5</c:v>
                </c:pt>
                <c:pt idx="784">
                  <c:v>5</c:v>
                </c:pt>
                <c:pt idx="785">
                  <c:v>5</c:v>
                </c:pt>
                <c:pt idx="786">
                  <c:v>5</c:v>
                </c:pt>
                <c:pt idx="787">
                  <c:v>5</c:v>
                </c:pt>
                <c:pt idx="788">
                  <c:v>5</c:v>
                </c:pt>
                <c:pt idx="789">
                  <c:v>5</c:v>
                </c:pt>
                <c:pt idx="790">
                  <c:v>5</c:v>
                </c:pt>
                <c:pt idx="791">
                  <c:v>5</c:v>
                </c:pt>
                <c:pt idx="792">
                  <c:v>5</c:v>
                </c:pt>
                <c:pt idx="793">
                  <c:v>5</c:v>
                </c:pt>
                <c:pt idx="794">
                  <c:v>5</c:v>
                </c:pt>
                <c:pt idx="795">
                  <c:v>5</c:v>
                </c:pt>
                <c:pt idx="796">
                  <c:v>5</c:v>
                </c:pt>
                <c:pt idx="797">
                  <c:v>5</c:v>
                </c:pt>
                <c:pt idx="798">
                  <c:v>5</c:v>
                </c:pt>
                <c:pt idx="799">
                  <c:v>5</c:v>
                </c:pt>
                <c:pt idx="800">
                  <c:v>5</c:v>
                </c:pt>
                <c:pt idx="801">
                  <c:v>5</c:v>
                </c:pt>
                <c:pt idx="802">
                  <c:v>5</c:v>
                </c:pt>
                <c:pt idx="803">
                  <c:v>5</c:v>
                </c:pt>
                <c:pt idx="804">
                  <c:v>5</c:v>
                </c:pt>
                <c:pt idx="805">
                  <c:v>5</c:v>
                </c:pt>
                <c:pt idx="806">
                  <c:v>5</c:v>
                </c:pt>
                <c:pt idx="807">
                  <c:v>5</c:v>
                </c:pt>
                <c:pt idx="808">
                  <c:v>5</c:v>
                </c:pt>
                <c:pt idx="809">
                  <c:v>5</c:v>
                </c:pt>
                <c:pt idx="810">
                  <c:v>5</c:v>
                </c:pt>
                <c:pt idx="811">
                  <c:v>5</c:v>
                </c:pt>
                <c:pt idx="812">
                  <c:v>5</c:v>
                </c:pt>
                <c:pt idx="813">
                  <c:v>5</c:v>
                </c:pt>
                <c:pt idx="814">
                  <c:v>5</c:v>
                </c:pt>
                <c:pt idx="815">
                  <c:v>5</c:v>
                </c:pt>
                <c:pt idx="816">
                  <c:v>5</c:v>
                </c:pt>
                <c:pt idx="817">
                  <c:v>5</c:v>
                </c:pt>
                <c:pt idx="818">
                  <c:v>5</c:v>
                </c:pt>
                <c:pt idx="819">
                  <c:v>5</c:v>
                </c:pt>
                <c:pt idx="820">
                  <c:v>5</c:v>
                </c:pt>
                <c:pt idx="821">
                  <c:v>5</c:v>
                </c:pt>
                <c:pt idx="822">
                  <c:v>5</c:v>
                </c:pt>
                <c:pt idx="823">
                  <c:v>5</c:v>
                </c:pt>
                <c:pt idx="824">
                  <c:v>5</c:v>
                </c:pt>
                <c:pt idx="825">
                  <c:v>5</c:v>
                </c:pt>
                <c:pt idx="826">
                  <c:v>5</c:v>
                </c:pt>
                <c:pt idx="827">
                  <c:v>5</c:v>
                </c:pt>
                <c:pt idx="828">
                  <c:v>5</c:v>
                </c:pt>
                <c:pt idx="829">
                  <c:v>5</c:v>
                </c:pt>
                <c:pt idx="830">
                  <c:v>5</c:v>
                </c:pt>
                <c:pt idx="831">
                  <c:v>5</c:v>
                </c:pt>
                <c:pt idx="832">
                  <c:v>5</c:v>
                </c:pt>
                <c:pt idx="833">
                  <c:v>5</c:v>
                </c:pt>
                <c:pt idx="834">
                  <c:v>5</c:v>
                </c:pt>
                <c:pt idx="835">
                  <c:v>5</c:v>
                </c:pt>
                <c:pt idx="836">
                  <c:v>5</c:v>
                </c:pt>
                <c:pt idx="837">
                  <c:v>5</c:v>
                </c:pt>
                <c:pt idx="838">
                  <c:v>5</c:v>
                </c:pt>
                <c:pt idx="839">
                  <c:v>5</c:v>
                </c:pt>
                <c:pt idx="840">
                  <c:v>5</c:v>
                </c:pt>
                <c:pt idx="841">
                  <c:v>5</c:v>
                </c:pt>
                <c:pt idx="842">
                  <c:v>5</c:v>
                </c:pt>
                <c:pt idx="843">
                  <c:v>5</c:v>
                </c:pt>
                <c:pt idx="844">
                  <c:v>5</c:v>
                </c:pt>
                <c:pt idx="845">
                  <c:v>5</c:v>
                </c:pt>
                <c:pt idx="846">
                  <c:v>5</c:v>
                </c:pt>
                <c:pt idx="847">
                  <c:v>5</c:v>
                </c:pt>
                <c:pt idx="848">
                  <c:v>5</c:v>
                </c:pt>
                <c:pt idx="849">
                  <c:v>5</c:v>
                </c:pt>
                <c:pt idx="850">
                  <c:v>5</c:v>
                </c:pt>
                <c:pt idx="851">
                  <c:v>5</c:v>
                </c:pt>
                <c:pt idx="852">
                  <c:v>5</c:v>
                </c:pt>
                <c:pt idx="853">
                  <c:v>5</c:v>
                </c:pt>
                <c:pt idx="854">
                  <c:v>5</c:v>
                </c:pt>
                <c:pt idx="855">
                  <c:v>5</c:v>
                </c:pt>
                <c:pt idx="856">
                  <c:v>5</c:v>
                </c:pt>
                <c:pt idx="857">
                  <c:v>5</c:v>
                </c:pt>
                <c:pt idx="858">
                  <c:v>5</c:v>
                </c:pt>
                <c:pt idx="859">
                  <c:v>5</c:v>
                </c:pt>
                <c:pt idx="860">
                  <c:v>5</c:v>
                </c:pt>
                <c:pt idx="861">
                  <c:v>5</c:v>
                </c:pt>
                <c:pt idx="862">
                  <c:v>5</c:v>
                </c:pt>
                <c:pt idx="863">
                  <c:v>5</c:v>
                </c:pt>
                <c:pt idx="864">
                  <c:v>5</c:v>
                </c:pt>
                <c:pt idx="865">
                  <c:v>5</c:v>
                </c:pt>
                <c:pt idx="866">
                  <c:v>5</c:v>
                </c:pt>
                <c:pt idx="867">
                  <c:v>5</c:v>
                </c:pt>
                <c:pt idx="868">
                  <c:v>5</c:v>
                </c:pt>
                <c:pt idx="869">
                  <c:v>5</c:v>
                </c:pt>
                <c:pt idx="870">
                  <c:v>5</c:v>
                </c:pt>
                <c:pt idx="871">
                  <c:v>5</c:v>
                </c:pt>
                <c:pt idx="872">
                  <c:v>5</c:v>
                </c:pt>
                <c:pt idx="873">
                  <c:v>5</c:v>
                </c:pt>
                <c:pt idx="874">
                  <c:v>5</c:v>
                </c:pt>
                <c:pt idx="875">
                  <c:v>5</c:v>
                </c:pt>
                <c:pt idx="876">
                  <c:v>5</c:v>
                </c:pt>
                <c:pt idx="877">
                  <c:v>5</c:v>
                </c:pt>
                <c:pt idx="878">
                  <c:v>5</c:v>
                </c:pt>
                <c:pt idx="879">
                  <c:v>5</c:v>
                </c:pt>
                <c:pt idx="880">
                  <c:v>5</c:v>
                </c:pt>
                <c:pt idx="881">
                  <c:v>5</c:v>
                </c:pt>
                <c:pt idx="882">
                  <c:v>5</c:v>
                </c:pt>
                <c:pt idx="883">
                  <c:v>5</c:v>
                </c:pt>
                <c:pt idx="884">
                  <c:v>5</c:v>
                </c:pt>
                <c:pt idx="885">
                  <c:v>5</c:v>
                </c:pt>
                <c:pt idx="886">
                  <c:v>5</c:v>
                </c:pt>
                <c:pt idx="887">
                  <c:v>5</c:v>
                </c:pt>
                <c:pt idx="888">
                  <c:v>5</c:v>
                </c:pt>
                <c:pt idx="889">
                  <c:v>5</c:v>
                </c:pt>
                <c:pt idx="890">
                  <c:v>5</c:v>
                </c:pt>
                <c:pt idx="891">
                  <c:v>5</c:v>
                </c:pt>
                <c:pt idx="892">
                  <c:v>5</c:v>
                </c:pt>
                <c:pt idx="893">
                  <c:v>5</c:v>
                </c:pt>
                <c:pt idx="894">
                  <c:v>5</c:v>
                </c:pt>
                <c:pt idx="895">
                  <c:v>5</c:v>
                </c:pt>
                <c:pt idx="896">
                  <c:v>5</c:v>
                </c:pt>
                <c:pt idx="897">
                  <c:v>5</c:v>
                </c:pt>
                <c:pt idx="898">
                  <c:v>5</c:v>
                </c:pt>
                <c:pt idx="899">
                  <c:v>5</c:v>
                </c:pt>
                <c:pt idx="900">
                  <c:v>5</c:v>
                </c:pt>
                <c:pt idx="901">
                  <c:v>5</c:v>
                </c:pt>
                <c:pt idx="902">
                  <c:v>5</c:v>
                </c:pt>
                <c:pt idx="903">
                  <c:v>5</c:v>
                </c:pt>
                <c:pt idx="904">
                  <c:v>5</c:v>
                </c:pt>
                <c:pt idx="905">
                  <c:v>5</c:v>
                </c:pt>
                <c:pt idx="906">
                  <c:v>5</c:v>
                </c:pt>
                <c:pt idx="907">
                  <c:v>5</c:v>
                </c:pt>
                <c:pt idx="908">
                  <c:v>5</c:v>
                </c:pt>
                <c:pt idx="909">
                  <c:v>5</c:v>
                </c:pt>
                <c:pt idx="910">
                  <c:v>5</c:v>
                </c:pt>
                <c:pt idx="911">
                  <c:v>5</c:v>
                </c:pt>
                <c:pt idx="912">
                  <c:v>5</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pt idx="1996">
                  <c:v>#N/A</c:v>
                </c:pt>
                <c:pt idx="1997">
                  <c:v>#N/A</c:v>
                </c:pt>
                <c:pt idx="1998">
                  <c:v>#N/A</c:v>
                </c:pt>
                <c:pt idx="1999">
                  <c:v>#N/A</c:v>
                </c:pt>
                <c:pt idx="2000">
                  <c:v>#N/A</c:v>
                </c:pt>
                <c:pt idx="2001">
                  <c:v>#N/A</c:v>
                </c:pt>
                <c:pt idx="2002">
                  <c:v>#N/A</c:v>
                </c:pt>
                <c:pt idx="2003">
                  <c:v>#N/A</c:v>
                </c:pt>
                <c:pt idx="2004">
                  <c:v>#N/A</c:v>
                </c:pt>
                <c:pt idx="2005">
                  <c:v>#N/A</c:v>
                </c:pt>
                <c:pt idx="2006">
                  <c:v>#N/A</c:v>
                </c:pt>
                <c:pt idx="2007">
                  <c:v>#N/A</c:v>
                </c:pt>
                <c:pt idx="2008">
                  <c:v>#N/A</c:v>
                </c:pt>
                <c:pt idx="2009">
                  <c:v>#N/A</c:v>
                </c:pt>
                <c:pt idx="2010">
                  <c:v>#N/A</c:v>
                </c:pt>
                <c:pt idx="2011">
                  <c:v>#N/A</c:v>
                </c:pt>
                <c:pt idx="2012">
                  <c:v>#N/A</c:v>
                </c:pt>
                <c:pt idx="2013">
                  <c:v>#N/A</c:v>
                </c:pt>
                <c:pt idx="2014">
                  <c:v>#N/A</c:v>
                </c:pt>
                <c:pt idx="2015">
                  <c:v>#N/A</c:v>
                </c:pt>
                <c:pt idx="2016">
                  <c:v>#N/A</c:v>
                </c:pt>
                <c:pt idx="2017">
                  <c:v>#N/A</c:v>
                </c:pt>
                <c:pt idx="2018">
                  <c:v>#N/A</c:v>
                </c:pt>
                <c:pt idx="2019">
                  <c:v>#N/A</c:v>
                </c:pt>
                <c:pt idx="2020">
                  <c:v>#N/A</c:v>
                </c:pt>
                <c:pt idx="2021">
                  <c:v>#N/A</c:v>
                </c:pt>
                <c:pt idx="2022">
                  <c:v>#N/A</c:v>
                </c:pt>
                <c:pt idx="2023">
                  <c:v>#N/A</c:v>
                </c:pt>
                <c:pt idx="2024">
                  <c:v>#N/A</c:v>
                </c:pt>
                <c:pt idx="2025">
                  <c:v>#N/A</c:v>
                </c:pt>
                <c:pt idx="2026">
                  <c:v>#N/A</c:v>
                </c:pt>
                <c:pt idx="2027">
                  <c:v>#N/A</c:v>
                </c:pt>
                <c:pt idx="2028">
                  <c:v>#N/A</c:v>
                </c:pt>
                <c:pt idx="2029">
                  <c:v>#N/A</c:v>
                </c:pt>
                <c:pt idx="2030">
                  <c:v>#N/A</c:v>
                </c:pt>
                <c:pt idx="2031">
                  <c:v>#N/A</c:v>
                </c:pt>
                <c:pt idx="2032">
                  <c:v>#N/A</c:v>
                </c:pt>
                <c:pt idx="2033">
                  <c:v>#N/A</c:v>
                </c:pt>
                <c:pt idx="2034">
                  <c:v>#N/A</c:v>
                </c:pt>
                <c:pt idx="2035">
                  <c:v>#N/A</c:v>
                </c:pt>
                <c:pt idx="2036">
                  <c:v>#N/A</c:v>
                </c:pt>
                <c:pt idx="2037">
                  <c:v>#N/A</c:v>
                </c:pt>
                <c:pt idx="2038">
                  <c:v>#N/A</c:v>
                </c:pt>
                <c:pt idx="2039">
                  <c:v>#N/A</c:v>
                </c:pt>
                <c:pt idx="2040">
                  <c:v>#N/A</c:v>
                </c:pt>
                <c:pt idx="2041">
                  <c:v>#N/A</c:v>
                </c:pt>
                <c:pt idx="2042">
                  <c:v>#N/A</c:v>
                </c:pt>
                <c:pt idx="2043">
                  <c:v>#N/A</c:v>
                </c:pt>
                <c:pt idx="2044">
                  <c:v>#N/A</c:v>
                </c:pt>
                <c:pt idx="2045">
                  <c:v>#N/A</c:v>
                </c:pt>
                <c:pt idx="2046">
                  <c:v>#N/A</c:v>
                </c:pt>
                <c:pt idx="2047">
                  <c:v>#N/A</c:v>
                </c:pt>
                <c:pt idx="2048">
                  <c:v>#N/A</c:v>
                </c:pt>
                <c:pt idx="2049">
                  <c:v>#N/A</c:v>
                </c:pt>
                <c:pt idx="2050">
                  <c:v>#N/A</c:v>
                </c:pt>
                <c:pt idx="2051">
                  <c:v>#N/A</c:v>
                </c:pt>
                <c:pt idx="2052">
                  <c:v>#N/A</c:v>
                </c:pt>
                <c:pt idx="2053">
                  <c:v>#N/A</c:v>
                </c:pt>
                <c:pt idx="2054">
                  <c:v>#N/A</c:v>
                </c:pt>
                <c:pt idx="2055">
                  <c:v>#N/A</c:v>
                </c:pt>
                <c:pt idx="2056">
                  <c:v>#N/A</c:v>
                </c:pt>
                <c:pt idx="2057">
                  <c:v>#N/A</c:v>
                </c:pt>
                <c:pt idx="2058">
                  <c:v>#N/A</c:v>
                </c:pt>
                <c:pt idx="2059">
                  <c:v>#N/A</c:v>
                </c:pt>
                <c:pt idx="2060">
                  <c:v>#N/A</c:v>
                </c:pt>
                <c:pt idx="2061">
                  <c:v>#N/A</c:v>
                </c:pt>
                <c:pt idx="2062">
                  <c:v>#N/A</c:v>
                </c:pt>
                <c:pt idx="2063">
                  <c:v>#N/A</c:v>
                </c:pt>
                <c:pt idx="2064">
                  <c:v>#N/A</c:v>
                </c:pt>
                <c:pt idx="2065">
                  <c:v>#N/A</c:v>
                </c:pt>
                <c:pt idx="2066">
                  <c:v>#N/A</c:v>
                </c:pt>
                <c:pt idx="2067">
                  <c:v>#N/A</c:v>
                </c:pt>
                <c:pt idx="2068">
                  <c:v>#N/A</c:v>
                </c:pt>
                <c:pt idx="2069">
                  <c:v>#N/A</c:v>
                </c:pt>
                <c:pt idx="2070">
                  <c:v>#N/A</c:v>
                </c:pt>
                <c:pt idx="2071">
                  <c:v>#N/A</c:v>
                </c:pt>
                <c:pt idx="2072">
                  <c:v>#N/A</c:v>
                </c:pt>
                <c:pt idx="2073">
                  <c:v>#N/A</c:v>
                </c:pt>
                <c:pt idx="2074">
                  <c:v>#N/A</c:v>
                </c:pt>
                <c:pt idx="2075">
                  <c:v>#N/A</c:v>
                </c:pt>
                <c:pt idx="2076">
                  <c:v>#N/A</c:v>
                </c:pt>
                <c:pt idx="2077">
                  <c:v>#N/A</c:v>
                </c:pt>
                <c:pt idx="2078">
                  <c:v>#N/A</c:v>
                </c:pt>
                <c:pt idx="2079">
                  <c:v>#N/A</c:v>
                </c:pt>
                <c:pt idx="2080">
                  <c:v>#N/A</c:v>
                </c:pt>
                <c:pt idx="2081">
                  <c:v>#N/A</c:v>
                </c:pt>
                <c:pt idx="2082">
                  <c:v>#N/A</c:v>
                </c:pt>
                <c:pt idx="2083">
                  <c:v>#N/A</c:v>
                </c:pt>
                <c:pt idx="2084">
                  <c:v>#N/A</c:v>
                </c:pt>
                <c:pt idx="2085">
                  <c:v>#N/A</c:v>
                </c:pt>
                <c:pt idx="2086">
                  <c:v>#N/A</c:v>
                </c:pt>
                <c:pt idx="2087">
                  <c:v>#N/A</c:v>
                </c:pt>
                <c:pt idx="2088">
                  <c:v>#N/A</c:v>
                </c:pt>
                <c:pt idx="2089">
                  <c:v>#N/A</c:v>
                </c:pt>
                <c:pt idx="2090">
                  <c:v>#N/A</c:v>
                </c:pt>
                <c:pt idx="2091">
                  <c:v>#N/A</c:v>
                </c:pt>
                <c:pt idx="2092">
                  <c:v>#N/A</c:v>
                </c:pt>
                <c:pt idx="2093">
                  <c:v>#N/A</c:v>
                </c:pt>
                <c:pt idx="2094">
                  <c:v>#N/A</c:v>
                </c:pt>
                <c:pt idx="2095">
                  <c:v>#N/A</c:v>
                </c:pt>
                <c:pt idx="2096">
                  <c:v>#N/A</c:v>
                </c:pt>
                <c:pt idx="2097">
                  <c:v>#N/A</c:v>
                </c:pt>
                <c:pt idx="2098">
                  <c:v>#N/A</c:v>
                </c:pt>
                <c:pt idx="2099">
                  <c:v>#N/A</c:v>
                </c:pt>
                <c:pt idx="2100">
                  <c:v>#N/A</c:v>
                </c:pt>
                <c:pt idx="2101">
                  <c:v>#N/A</c:v>
                </c:pt>
                <c:pt idx="2102">
                  <c:v>#N/A</c:v>
                </c:pt>
                <c:pt idx="2103">
                  <c:v>#N/A</c:v>
                </c:pt>
                <c:pt idx="2104">
                  <c:v>#N/A</c:v>
                </c:pt>
                <c:pt idx="2105">
                  <c:v>#N/A</c:v>
                </c:pt>
                <c:pt idx="2106">
                  <c:v>#N/A</c:v>
                </c:pt>
                <c:pt idx="2107">
                  <c:v>#N/A</c:v>
                </c:pt>
                <c:pt idx="2108">
                  <c:v>#N/A</c:v>
                </c:pt>
                <c:pt idx="2109">
                  <c:v>#N/A</c:v>
                </c:pt>
                <c:pt idx="2110">
                  <c:v>#N/A</c:v>
                </c:pt>
                <c:pt idx="2111">
                  <c:v>#N/A</c:v>
                </c:pt>
                <c:pt idx="2112">
                  <c:v>#N/A</c:v>
                </c:pt>
                <c:pt idx="2113">
                  <c:v>#N/A</c:v>
                </c:pt>
                <c:pt idx="2114">
                  <c:v>#N/A</c:v>
                </c:pt>
                <c:pt idx="2115">
                  <c:v>#N/A</c:v>
                </c:pt>
                <c:pt idx="2116">
                  <c:v>#N/A</c:v>
                </c:pt>
                <c:pt idx="2117">
                  <c:v>#N/A</c:v>
                </c:pt>
                <c:pt idx="2118">
                  <c:v>#N/A</c:v>
                </c:pt>
                <c:pt idx="2119">
                  <c:v>#N/A</c:v>
                </c:pt>
                <c:pt idx="2120">
                  <c:v>#N/A</c:v>
                </c:pt>
                <c:pt idx="2121">
                  <c:v>#N/A</c:v>
                </c:pt>
                <c:pt idx="2122">
                  <c:v>#N/A</c:v>
                </c:pt>
                <c:pt idx="2123">
                  <c:v>#N/A</c:v>
                </c:pt>
                <c:pt idx="2124">
                  <c:v>#N/A</c:v>
                </c:pt>
                <c:pt idx="2125">
                  <c:v>#N/A</c:v>
                </c:pt>
                <c:pt idx="2126">
                  <c:v>#N/A</c:v>
                </c:pt>
                <c:pt idx="2127">
                  <c:v>#N/A</c:v>
                </c:pt>
                <c:pt idx="2128">
                  <c:v>#N/A</c:v>
                </c:pt>
                <c:pt idx="2129">
                  <c:v>#N/A</c:v>
                </c:pt>
                <c:pt idx="2130">
                  <c:v>#N/A</c:v>
                </c:pt>
                <c:pt idx="2131">
                  <c:v>#N/A</c:v>
                </c:pt>
                <c:pt idx="2132">
                  <c:v>#N/A</c:v>
                </c:pt>
                <c:pt idx="2133">
                  <c:v>#N/A</c:v>
                </c:pt>
                <c:pt idx="2134">
                  <c:v>#N/A</c:v>
                </c:pt>
                <c:pt idx="2135">
                  <c:v>#N/A</c:v>
                </c:pt>
                <c:pt idx="2136">
                  <c:v>#N/A</c:v>
                </c:pt>
                <c:pt idx="2137">
                  <c:v>#N/A</c:v>
                </c:pt>
                <c:pt idx="2138">
                  <c:v>#N/A</c:v>
                </c:pt>
                <c:pt idx="2139">
                  <c:v>#N/A</c:v>
                </c:pt>
                <c:pt idx="2140">
                  <c:v>#N/A</c:v>
                </c:pt>
                <c:pt idx="2141">
                  <c:v>#N/A</c:v>
                </c:pt>
                <c:pt idx="2142">
                  <c:v>#N/A</c:v>
                </c:pt>
                <c:pt idx="2143">
                  <c:v>#N/A</c:v>
                </c:pt>
                <c:pt idx="2144">
                  <c:v>#N/A</c:v>
                </c:pt>
                <c:pt idx="2145">
                  <c:v>#N/A</c:v>
                </c:pt>
                <c:pt idx="2146">
                  <c:v>#N/A</c:v>
                </c:pt>
                <c:pt idx="2147">
                  <c:v>#N/A</c:v>
                </c:pt>
                <c:pt idx="2148">
                  <c:v>#N/A</c:v>
                </c:pt>
                <c:pt idx="2149">
                  <c:v>#N/A</c:v>
                </c:pt>
                <c:pt idx="2150">
                  <c:v>#N/A</c:v>
                </c:pt>
                <c:pt idx="2151">
                  <c:v>#N/A</c:v>
                </c:pt>
                <c:pt idx="2152">
                  <c:v>#N/A</c:v>
                </c:pt>
                <c:pt idx="2153">
                  <c:v>#N/A</c:v>
                </c:pt>
                <c:pt idx="2154">
                  <c:v>#N/A</c:v>
                </c:pt>
                <c:pt idx="2155">
                  <c:v>#N/A</c:v>
                </c:pt>
                <c:pt idx="2156">
                  <c:v>#N/A</c:v>
                </c:pt>
                <c:pt idx="2157">
                  <c:v>#N/A</c:v>
                </c:pt>
                <c:pt idx="2158">
                  <c:v>#N/A</c:v>
                </c:pt>
                <c:pt idx="2159">
                  <c:v>#N/A</c:v>
                </c:pt>
                <c:pt idx="2160">
                  <c:v>#N/A</c:v>
                </c:pt>
                <c:pt idx="2161">
                  <c:v>#N/A</c:v>
                </c:pt>
                <c:pt idx="2162">
                  <c:v>#N/A</c:v>
                </c:pt>
                <c:pt idx="2163">
                  <c:v>#N/A</c:v>
                </c:pt>
                <c:pt idx="2164">
                  <c:v>#N/A</c:v>
                </c:pt>
                <c:pt idx="2165">
                  <c:v>#N/A</c:v>
                </c:pt>
                <c:pt idx="2166">
                  <c:v>#N/A</c:v>
                </c:pt>
                <c:pt idx="2167">
                  <c:v>#N/A</c:v>
                </c:pt>
                <c:pt idx="2168">
                  <c:v>#N/A</c:v>
                </c:pt>
                <c:pt idx="2169">
                  <c:v>#N/A</c:v>
                </c:pt>
                <c:pt idx="2170">
                  <c:v>#N/A</c:v>
                </c:pt>
                <c:pt idx="2171">
                  <c:v>#N/A</c:v>
                </c:pt>
                <c:pt idx="2172">
                  <c:v>#N/A</c:v>
                </c:pt>
                <c:pt idx="2173">
                  <c:v>#N/A</c:v>
                </c:pt>
                <c:pt idx="2174">
                  <c:v>#N/A</c:v>
                </c:pt>
                <c:pt idx="2175">
                  <c:v>#N/A</c:v>
                </c:pt>
                <c:pt idx="2176">
                  <c:v>#N/A</c:v>
                </c:pt>
                <c:pt idx="2177">
                  <c:v>#N/A</c:v>
                </c:pt>
                <c:pt idx="2178">
                  <c:v>#N/A</c:v>
                </c:pt>
                <c:pt idx="2179">
                  <c:v>#N/A</c:v>
                </c:pt>
                <c:pt idx="2180">
                  <c:v>#N/A</c:v>
                </c:pt>
                <c:pt idx="2181">
                  <c:v>#N/A</c:v>
                </c:pt>
                <c:pt idx="2182">
                  <c:v>#N/A</c:v>
                </c:pt>
                <c:pt idx="2183">
                  <c:v>#N/A</c:v>
                </c:pt>
                <c:pt idx="2184">
                  <c:v>#N/A</c:v>
                </c:pt>
                <c:pt idx="2185">
                  <c:v>#N/A</c:v>
                </c:pt>
                <c:pt idx="2186">
                  <c:v>#N/A</c:v>
                </c:pt>
                <c:pt idx="2187">
                  <c:v>#N/A</c:v>
                </c:pt>
                <c:pt idx="2188">
                  <c:v>#N/A</c:v>
                </c:pt>
                <c:pt idx="2189">
                  <c:v>#N/A</c:v>
                </c:pt>
                <c:pt idx="2190">
                  <c:v>#N/A</c:v>
                </c:pt>
                <c:pt idx="2191">
                  <c:v>#N/A</c:v>
                </c:pt>
                <c:pt idx="2192">
                  <c:v>#N/A</c:v>
                </c:pt>
                <c:pt idx="2193">
                  <c:v>#N/A</c:v>
                </c:pt>
                <c:pt idx="2194">
                  <c:v>#N/A</c:v>
                </c:pt>
                <c:pt idx="2195">
                  <c:v>#N/A</c:v>
                </c:pt>
                <c:pt idx="2196">
                  <c:v>#N/A</c:v>
                </c:pt>
                <c:pt idx="2197">
                  <c:v>#N/A</c:v>
                </c:pt>
                <c:pt idx="2198">
                  <c:v>#N/A</c:v>
                </c:pt>
                <c:pt idx="2199">
                  <c:v>#N/A</c:v>
                </c:pt>
                <c:pt idx="2200">
                  <c:v>#N/A</c:v>
                </c:pt>
                <c:pt idx="2201">
                  <c:v>#N/A</c:v>
                </c:pt>
                <c:pt idx="2202">
                  <c:v>#N/A</c:v>
                </c:pt>
                <c:pt idx="2203">
                  <c:v>#N/A</c:v>
                </c:pt>
                <c:pt idx="2204">
                  <c:v>#N/A</c:v>
                </c:pt>
                <c:pt idx="2205">
                  <c:v>#N/A</c:v>
                </c:pt>
                <c:pt idx="2206">
                  <c:v>#N/A</c:v>
                </c:pt>
                <c:pt idx="2207">
                  <c:v>#N/A</c:v>
                </c:pt>
                <c:pt idx="2208">
                  <c:v>#N/A</c:v>
                </c:pt>
                <c:pt idx="2209">
                  <c:v>#N/A</c:v>
                </c:pt>
                <c:pt idx="2210">
                  <c:v>#N/A</c:v>
                </c:pt>
                <c:pt idx="2211">
                  <c:v>#N/A</c:v>
                </c:pt>
                <c:pt idx="2212">
                  <c:v>#N/A</c:v>
                </c:pt>
                <c:pt idx="2213">
                  <c:v>#N/A</c:v>
                </c:pt>
                <c:pt idx="2214">
                  <c:v>#N/A</c:v>
                </c:pt>
                <c:pt idx="2215">
                  <c:v>#N/A</c:v>
                </c:pt>
                <c:pt idx="2216">
                  <c:v>#N/A</c:v>
                </c:pt>
                <c:pt idx="2217">
                  <c:v>#N/A</c:v>
                </c:pt>
                <c:pt idx="2218">
                  <c:v>#N/A</c:v>
                </c:pt>
                <c:pt idx="2219">
                  <c:v>#N/A</c:v>
                </c:pt>
                <c:pt idx="2220">
                  <c:v>#N/A</c:v>
                </c:pt>
                <c:pt idx="2221">
                  <c:v>#N/A</c:v>
                </c:pt>
                <c:pt idx="2222">
                  <c:v>#N/A</c:v>
                </c:pt>
                <c:pt idx="2223">
                  <c:v>#N/A</c:v>
                </c:pt>
                <c:pt idx="2224">
                  <c:v>#N/A</c:v>
                </c:pt>
                <c:pt idx="2225">
                  <c:v>#N/A</c:v>
                </c:pt>
                <c:pt idx="2226">
                  <c:v>#N/A</c:v>
                </c:pt>
                <c:pt idx="2227">
                  <c:v>#N/A</c:v>
                </c:pt>
                <c:pt idx="2228">
                  <c:v>#N/A</c:v>
                </c:pt>
                <c:pt idx="2229">
                  <c:v>#N/A</c:v>
                </c:pt>
                <c:pt idx="2230">
                  <c:v>#N/A</c:v>
                </c:pt>
                <c:pt idx="2231">
                  <c:v>#N/A</c:v>
                </c:pt>
                <c:pt idx="2232">
                  <c:v>#N/A</c:v>
                </c:pt>
                <c:pt idx="2233">
                  <c:v>#N/A</c:v>
                </c:pt>
                <c:pt idx="2234">
                  <c:v>#N/A</c:v>
                </c:pt>
                <c:pt idx="2235">
                  <c:v>#N/A</c:v>
                </c:pt>
                <c:pt idx="2236">
                  <c:v>#N/A</c:v>
                </c:pt>
                <c:pt idx="2237">
                  <c:v>#N/A</c:v>
                </c:pt>
                <c:pt idx="2238">
                  <c:v>#N/A</c:v>
                </c:pt>
                <c:pt idx="2239">
                  <c:v>#N/A</c:v>
                </c:pt>
                <c:pt idx="2240">
                  <c:v>#N/A</c:v>
                </c:pt>
                <c:pt idx="2241">
                  <c:v>#N/A</c:v>
                </c:pt>
                <c:pt idx="2242">
                  <c:v>#N/A</c:v>
                </c:pt>
                <c:pt idx="2243">
                  <c:v>#N/A</c:v>
                </c:pt>
                <c:pt idx="2244">
                  <c:v>#N/A</c:v>
                </c:pt>
                <c:pt idx="2245">
                  <c:v>#N/A</c:v>
                </c:pt>
                <c:pt idx="2246">
                  <c:v>#N/A</c:v>
                </c:pt>
                <c:pt idx="2247">
                  <c:v>#N/A</c:v>
                </c:pt>
                <c:pt idx="2248">
                  <c:v>#N/A</c:v>
                </c:pt>
                <c:pt idx="2249">
                  <c:v>#N/A</c:v>
                </c:pt>
                <c:pt idx="2250">
                  <c:v>#N/A</c:v>
                </c:pt>
                <c:pt idx="2251">
                  <c:v>#N/A</c:v>
                </c:pt>
                <c:pt idx="2252">
                  <c:v>#N/A</c:v>
                </c:pt>
                <c:pt idx="2253">
                  <c:v>#N/A</c:v>
                </c:pt>
                <c:pt idx="2254">
                  <c:v>#N/A</c:v>
                </c:pt>
                <c:pt idx="2255">
                  <c:v>#N/A</c:v>
                </c:pt>
                <c:pt idx="2256">
                  <c:v>#N/A</c:v>
                </c:pt>
                <c:pt idx="2257">
                  <c:v>#N/A</c:v>
                </c:pt>
                <c:pt idx="2258">
                  <c:v>#N/A</c:v>
                </c:pt>
                <c:pt idx="2259">
                  <c:v>#N/A</c:v>
                </c:pt>
                <c:pt idx="2260">
                  <c:v>#N/A</c:v>
                </c:pt>
                <c:pt idx="2261">
                  <c:v>#N/A</c:v>
                </c:pt>
                <c:pt idx="2262">
                  <c:v>#N/A</c:v>
                </c:pt>
                <c:pt idx="2263">
                  <c:v>#N/A</c:v>
                </c:pt>
                <c:pt idx="2264">
                  <c:v>#N/A</c:v>
                </c:pt>
                <c:pt idx="2265">
                  <c:v>#N/A</c:v>
                </c:pt>
                <c:pt idx="2266">
                  <c:v>#N/A</c:v>
                </c:pt>
                <c:pt idx="2267">
                  <c:v>#N/A</c:v>
                </c:pt>
                <c:pt idx="2268">
                  <c:v>#N/A</c:v>
                </c:pt>
                <c:pt idx="2269">
                  <c:v>#N/A</c:v>
                </c:pt>
                <c:pt idx="2270">
                  <c:v>#N/A</c:v>
                </c:pt>
                <c:pt idx="2271">
                  <c:v>#N/A</c:v>
                </c:pt>
                <c:pt idx="2272">
                  <c:v>#N/A</c:v>
                </c:pt>
                <c:pt idx="2273">
                  <c:v>#N/A</c:v>
                </c:pt>
                <c:pt idx="2274">
                  <c:v>#N/A</c:v>
                </c:pt>
                <c:pt idx="2275">
                  <c:v>#N/A</c:v>
                </c:pt>
                <c:pt idx="2276">
                  <c:v>#N/A</c:v>
                </c:pt>
                <c:pt idx="2277">
                  <c:v>#N/A</c:v>
                </c:pt>
                <c:pt idx="2278">
                  <c:v>#N/A</c:v>
                </c:pt>
                <c:pt idx="2279">
                  <c:v>#N/A</c:v>
                </c:pt>
                <c:pt idx="2280">
                  <c:v>#N/A</c:v>
                </c:pt>
                <c:pt idx="2281">
                  <c:v>#N/A</c:v>
                </c:pt>
                <c:pt idx="2282">
                  <c:v>#N/A</c:v>
                </c:pt>
                <c:pt idx="2283">
                  <c:v>#N/A</c:v>
                </c:pt>
                <c:pt idx="2284">
                  <c:v>#N/A</c:v>
                </c:pt>
                <c:pt idx="2285">
                  <c:v>#N/A</c:v>
                </c:pt>
                <c:pt idx="2286">
                  <c:v>#N/A</c:v>
                </c:pt>
                <c:pt idx="2287">
                  <c:v>#N/A</c:v>
                </c:pt>
                <c:pt idx="2288">
                  <c:v>#N/A</c:v>
                </c:pt>
                <c:pt idx="2289">
                  <c:v>#N/A</c:v>
                </c:pt>
                <c:pt idx="2290">
                  <c:v>#N/A</c:v>
                </c:pt>
                <c:pt idx="2291">
                  <c:v>#N/A</c:v>
                </c:pt>
                <c:pt idx="2292">
                  <c:v>#N/A</c:v>
                </c:pt>
                <c:pt idx="2293">
                  <c:v>#N/A</c:v>
                </c:pt>
                <c:pt idx="2294">
                  <c:v>#N/A</c:v>
                </c:pt>
                <c:pt idx="2295">
                  <c:v>#N/A</c:v>
                </c:pt>
                <c:pt idx="2296">
                  <c:v>#N/A</c:v>
                </c:pt>
                <c:pt idx="2297">
                  <c:v>#N/A</c:v>
                </c:pt>
                <c:pt idx="2298">
                  <c:v>#N/A</c:v>
                </c:pt>
                <c:pt idx="2299">
                  <c:v>#N/A</c:v>
                </c:pt>
                <c:pt idx="2300">
                  <c:v>#N/A</c:v>
                </c:pt>
                <c:pt idx="2301">
                  <c:v>#N/A</c:v>
                </c:pt>
                <c:pt idx="2302">
                  <c:v>#N/A</c:v>
                </c:pt>
                <c:pt idx="2303">
                  <c:v>#N/A</c:v>
                </c:pt>
                <c:pt idx="2304">
                  <c:v>#N/A</c:v>
                </c:pt>
                <c:pt idx="2305">
                  <c:v>#N/A</c:v>
                </c:pt>
                <c:pt idx="2306">
                  <c:v>#N/A</c:v>
                </c:pt>
                <c:pt idx="2307">
                  <c:v>#N/A</c:v>
                </c:pt>
                <c:pt idx="2308">
                  <c:v>#N/A</c:v>
                </c:pt>
                <c:pt idx="2309">
                  <c:v>#N/A</c:v>
                </c:pt>
                <c:pt idx="2310">
                  <c:v>#N/A</c:v>
                </c:pt>
                <c:pt idx="2311">
                  <c:v>#N/A</c:v>
                </c:pt>
                <c:pt idx="2312">
                  <c:v>#N/A</c:v>
                </c:pt>
                <c:pt idx="2313">
                  <c:v>#N/A</c:v>
                </c:pt>
                <c:pt idx="2314">
                  <c:v>#N/A</c:v>
                </c:pt>
                <c:pt idx="2315">
                  <c:v>#N/A</c:v>
                </c:pt>
                <c:pt idx="2316">
                  <c:v>#N/A</c:v>
                </c:pt>
                <c:pt idx="2317">
                  <c:v>#N/A</c:v>
                </c:pt>
                <c:pt idx="2318">
                  <c:v>#N/A</c:v>
                </c:pt>
                <c:pt idx="2319">
                  <c:v>#N/A</c:v>
                </c:pt>
                <c:pt idx="2320">
                  <c:v>#N/A</c:v>
                </c:pt>
                <c:pt idx="2321">
                  <c:v>#N/A</c:v>
                </c:pt>
                <c:pt idx="2322">
                  <c:v>#N/A</c:v>
                </c:pt>
                <c:pt idx="2323">
                  <c:v>#N/A</c:v>
                </c:pt>
                <c:pt idx="2324">
                  <c:v>#N/A</c:v>
                </c:pt>
                <c:pt idx="2325">
                  <c:v>#N/A</c:v>
                </c:pt>
                <c:pt idx="2326">
                  <c:v>#N/A</c:v>
                </c:pt>
                <c:pt idx="2327">
                  <c:v>#N/A</c:v>
                </c:pt>
                <c:pt idx="2328">
                  <c:v>#N/A</c:v>
                </c:pt>
                <c:pt idx="2329">
                  <c:v>#N/A</c:v>
                </c:pt>
                <c:pt idx="2330">
                  <c:v>#N/A</c:v>
                </c:pt>
                <c:pt idx="2331">
                  <c:v>#N/A</c:v>
                </c:pt>
                <c:pt idx="2332">
                  <c:v>#N/A</c:v>
                </c:pt>
                <c:pt idx="2333">
                  <c:v>#N/A</c:v>
                </c:pt>
                <c:pt idx="2334">
                  <c:v>#N/A</c:v>
                </c:pt>
                <c:pt idx="2335">
                  <c:v>#N/A</c:v>
                </c:pt>
                <c:pt idx="2336">
                  <c:v>#N/A</c:v>
                </c:pt>
                <c:pt idx="2337">
                  <c:v>#N/A</c:v>
                </c:pt>
                <c:pt idx="2338">
                  <c:v>#N/A</c:v>
                </c:pt>
                <c:pt idx="2339">
                  <c:v>#N/A</c:v>
                </c:pt>
                <c:pt idx="2340">
                  <c:v>#N/A</c:v>
                </c:pt>
                <c:pt idx="2341">
                  <c:v>#N/A</c:v>
                </c:pt>
                <c:pt idx="2342">
                  <c:v>#N/A</c:v>
                </c:pt>
                <c:pt idx="2343">
                  <c:v>#N/A</c:v>
                </c:pt>
                <c:pt idx="2344">
                  <c:v>#N/A</c:v>
                </c:pt>
                <c:pt idx="2345">
                  <c:v>#N/A</c:v>
                </c:pt>
                <c:pt idx="2346">
                  <c:v>#N/A</c:v>
                </c:pt>
                <c:pt idx="2347">
                  <c:v>#N/A</c:v>
                </c:pt>
                <c:pt idx="2348">
                  <c:v>#N/A</c:v>
                </c:pt>
                <c:pt idx="2349">
                  <c:v>#N/A</c:v>
                </c:pt>
                <c:pt idx="2350">
                  <c:v>#N/A</c:v>
                </c:pt>
                <c:pt idx="2351">
                  <c:v>#N/A</c:v>
                </c:pt>
                <c:pt idx="2352">
                  <c:v>#N/A</c:v>
                </c:pt>
                <c:pt idx="2353">
                  <c:v>#N/A</c:v>
                </c:pt>
                <c:pt idx="2354">
                  <c:v>#N/A</c:v>
                </c:pt>
                <c:pt idx="2355">
                  <c:v>#N/A</c:v>
                </c:pt>
                <c:pt idx="2356">
                  <c:v>#N/A</c:v>
                </c:pt>
                <c:pt idx="2357">
                  <c:v>#N/A</c:v>
                </c:pt>
                <c:pt idx="2358">
                  <c:v>#N/A</c:v>
                </c:pt>
                <c:pt idx="2359">
                  <c:v>#N/A</c:v>
                </c:pt>
                <c:pt idx="2360">
                  <c:v>#N/A</c:v>
                </c:pt>
                <c:pt idx="2361">
                  <c:v>#N/A</c:v>
                </c:pt>
                <c:pt idx="2362">
                  <c:v>#N/A</c:v>
                </c:pt>
                <c:pt idx="2363">
                  <c:v>#N/A</c:v>
                </c:pt>
                <c:pt idx="2364">
                  <c:v>#N/A</c:v>
                </c:pt>
                <c:pt idx="2365">
                  <c:v>#N/A</c:v>
                </c:pt>
                <c:pt idx="2366">
                  <c:v>#N/A</c:v>
                </c:pt>
                <c:pt idx="2367">
                  <c:v>#N/A</c:v>
                </c:pt>
                <c:pt idx="2368">
                  <c:v>#N/A</c:v>
                </c:pt>
                <c:pt idx="2369">
                  <c:v>#N/A</c:v>
                </c:pt>
                <c:pt idx="2370">
                  <c:v>#N/A</c:v>
                </c:pt>
                <c:pt idx="2371">
                  <c:v>#N/A</c:v>
                </c:pt>
                <c:pt idx="2372">
                  <c:v>#N/A</c:v>
                </c:pt>
                <c:pt idx="2373">
                  <c:v>#N/A</c:v>
                </c:pt>
                <c:pt idx="2374">
                  <c:v>#N/A</c:v>
                </c:pt>
                <c:pt idx="2375">
                  <c:v>#N/A</c:v>
                </c:pt>
                <c:pt idx="2376">
                  <c:v>#N/A</c:v>
                </c:pt>
                <c:pt idx="2377">
                  <c:v>#N/A</c:v>
                </c:pt>
                <c:pt idx="2378">
                  <c:v>#N/A</c:v>
                </c:pt>
                <c:pt idx="2379">
                  <c:v>#N/A</c:v>
                </c:pt>
                <c:pt idx="2380">
                  <c:v>#N/A</c:v>
                </c:pt>
                <c:pt idx="2381">
                  <c:v>#N/A</c:v>
                </c:pt>
                <c:pt idx="2382">
                  <c:v>#N/A</c:v>
                </c:pt>
                <c:pt idx="2383">
                  <c:v>#N/A</c:v>
                </c:pt>
                <c:pt idx="2384">
                  <c:v>#N/A</c:v>
                </c:pt>
                <c:pt idx="2385">
                  <c:v>#N/A</c:v>
                </c:pt>
                <c:pt idx="2386">
                  <c:v>#N/A</c:v>
                </c:pt>
                <c:pt idx="2387">
                  <c:v>#N/A</c:v>
                </c:pt>
                <c:pt idx="2388">
                  <c:v>#N/A</c:v>
                </c:pt>
                <c:pt idx="2389">
                  <c:v>#N/A</c:v>
                </c:pt>
                <c:pt idx="2390">
                  <c:v>#N/A</c:v>
                </c:pt>
                <c:pt idx="2391">
                  <c:v>#N/A</c:v>
                </c:pt>
                <c:pt idx="2392">
                  <c:v>#N/A</c:v>
                </c:pt>
                <c:pt idx="2393">
                  <c:v>#N/A</c:v>
                </c:pt>
                <c:pt idx="2394">
                  <c:v>#N/A</c:v>
                </c:pt>
                <c:pt idx="2395">
                  <c:v>#N/A</c:v>
                </c:pt>
                <c:pt idx="2396">
                  <c:v>#N/A</c:v>
                </c:pt>
                <c:pt idx="2397">
                  <c:v>#N/A</c:v>
                </c:pt>
                <c:pt idx="2398">
                  <c:v>#N/A</c:v>
                </c:pt>
                <c:pt idx="2399">
                  <c:v>#N/A</c:v>
                </c:pt>
                <c:pt idx="2400">
                  <c:v>#N/A</c:v>
                </c:pt>
                <c:pt idx="2401">
                  <c:v>#N/A</c:v>
                </c:pt>
                <c:pt idx="2402">
                  <c:v>#N/A</c:v>
                </c:pt>
                <c:pt idx="2403">
                  <c:v>#N/A</c:v>
                </c:pt>
                <c:pt idx="2404">
                  <c:v>#N/A</c:v>
                </c:pt>
                <c:pt idx="2405">
                  <c:v>#N/A</c:v>
                </c:pt>
                <c:pt idx="2406">
                  <c:v>#N/A</c:v>
                </c:pt>
                <c:pt idx="2407">
                  <c:v>#N/A</c:v>
                </c:pt>
                <c:pt idx="2408">
                  <c:v>#N/A</c:v>
                </c:pt>
                <c:pt idx="2409">
                  <c:v>#N/A</c:v>
                </c:pt>
                <c:pt idx="2410">
                  <c:v>#N/A</c:v>
                </c:pt>
                <c:pt idx="2411">
                  <c:v>#N/A</c:v>
                </c:pt>
                <c:pt idx="2412">
                  <c:v>#N/A</c:v>
                </c:pt>
                <c:pt idx="2413">
                  <c:v>#N/A</c:v>
                </c:pt>
                <c:pt idx="2414">
                  <c:v>#N/A</c:v>
                </c:pt>
                <c:pt idx="2415">
                  <c:v>#N/A</c:v>
                </c:pt>
                <c:pt idx="2416">
                  <c:v>#N/A</c:v>
                </c:pt>
                <c:pt idx="2417">
                  <c:v>#N/A</c:v>
                </c:pt>
                <c:pt idx="2418">
                  <c:v>#N/A</c:v>
                </c:pt>
                <c:pt idx="2419">
                  <c:v>#N/A</c:v>
                </c:pt>
                <c:pt idx="2420">
                  <c:v>#N/A</c:v>
                </c:pt>
                <c:pt idx="2421">
                  <c:v>#N/A</c:v>
                </c:pt>
                <c:pt idx="2422">
                  <c:v>#N/A</c:v>
                </c:pt>
                <c:pt idx="2423">
                  <c:v>#N/A</c:v>
                </c:pt>
                <c:pt idx="2424">
                  <c:v>#N/A</c:v>
                </c:pt>
                <c:pt idx="2425">
                  <c:v>#N/A</c:v>
                </c:pt>
                <c:pt idx="2426">
                  <c:v>#N/A</c:v>
                </c:pt>
                <c:pt idx="2427">
                  <c:v>#N/A</c:v>
                </c:pt>
                <c:pt idx="2428">
                  <c:v>#N/A</c:v>
                </c:pt>
                <c:pt idx="2429">
                  <c:v>#N/A</c:v>
                </c:pt>
                <c:pt idx="2430">
                  <c:v>#N/A</c:v>
                </c:pt>
                <c:pt idx="2431">
                  <c:v>#N/A</c:v>
                </c:pt>
                <c:pt idx="2432">
                  <c:v>#N/A</c:v>
                </c:pt>
                <c:pt idx="2433">
                  <c:v>#N/A</c:v>
                </c:pt>
                <c:pt idx="2434">
                  <c:v>#N/A</c:v>
                </c:pt>
                <c:pt idx="2435">
                  <c:v>#N/A</c:v>
                </c:pt>
                <c:pt idx="2436">
                  <c:v>#N/A</c:v>
                </c:pt>
                <c:pt idx="2437">
                  <c:v>#N/A</c:v>
                </c:pt>
                <c:pt idx="2438">
                  <c:v>#N/A</c:v>
                </c:pt>
                <c:pt idx="2439">
                  <c:v>#N/A</c:v>
                </c:pt>
                <c:pt idx="2440">
                  <c:v>#N/A</c:v>
                </c:pt>
                <c:pt idx="2441">
                  <c:v>#N/A</c:v>
                </c:pt>
                <c:pt idx="2442">
                  <c:v>#N/A</c:v>
                </c:pt>
                <c:pt idx="2443">
                  <c:v>#N/A</c:v>
                </c:pt>
                <c:pt idx="2444">
                  <c:v>#N/A</c:v>
                </c:pt>
                <c:pt idx="2445">
                  <c:v>#N/A</c:v>
                </c:pt>
                <c:pt idx="2446">
                  <c:v>#N/A</c:v>
                </c:pt>
                <c:pt idx="2447">
                  <c:v>#N/A</c:v>
                </c:pt>
                <c:pt idx="2448">
                  <c:v>#N/A</c:v>
                </c:pt>
                <c:pt idx="2449">
                  <c:v>#N/A</c:v>
                </c:pt>
                <c:pt idx="2450">
                  <c:v>#N/A</c:v>
                </c:pt>
                <c:pt idx="2451">
                  <c:v>#N/A</c:v>
                </c:pt>
                <c:pt idx="2452">
                  <c:v>#N/A</c:v>
                </c:pt>
                <c:pt idx="2453">
                  <c:v>#N/A</c:v>
                </c:pt>
                <c:pt idx="2454">
                  <c:v>#N/A</c:v>
                </c:pt>
                <c:pt idx="2455">
                  <c:v>#N/A</c:v>
                </c:pt>
                <c:pt idx="2456">
                  <c:v>#N/A</c:v>
                </c:pt>
                <c:pt idx="2457">
                  <c:v>#N/A</c:v>
                </c:pt>
                <c:pt idx="2458">
                  <c:v>#N/A</c:v>
                </c:pt>
                <c:pt idx="2459">
                  <c:v>#N/A</c:v>
                </c:pt>
                <c:pt idx="2460">
                  <c:v>#N/A</c:v>
                </c:pt>
                <c:pt idx="2461">
                  <c:v>#N/A</c:v>
                </c:pt>
                <c:pt idx="2462">
                  <c:v>#N/A</c:v>
                </c:pt>
                <c:pt idx="2463">
                  <c:v>#N/A</c:v>
                </c:pt>
                <c:pt idx="2464">
                  <c:v>#N/A</c:v>
                </c:pt>
                <c:pt idx="2465">
                  <c:v>#N/A</c:v>
                </c:pt>
                <c:pt idx="2466">
                  <c:v>#N/A</c:v>
                </c:pt>
                <c:pt idx="2467">
                  <c:v>#N/A</c:v>
                </c:pt>
                <c:pt idx="2468">
                  <c:v>#N/A</c:v>
                </c:pt>
                <c:pt idx="2469">
                  <c:v>#N/A</c:v>
                </c:pt>
                <c:pt idx="2470">
                  <c:v>#N/A</c:v>
                </c:pt>
                <c:pt idx="2471">
                  <c:v>#N/A</c:v>
                </c:pt>
                <c:pt idx="2472">
                  <c:v>#N/A</c:v>
                </c:pt>
                <c:pt idx="2473">
                  <c:v>#N/A</c:v>
                </c:pt>
                <c:pt idx="2474">
                  <c:v>#N/A</c:v>
                </c:pt>
                <c:pt idx="2475">
                  <c:v>#N/A</c:v>
                </c:pt>
                <c:pt idx="2476">
                  <c:v>#N/A</c:v>
                </c:pt>
                <c:pt idx="2477">
                  <c:v>#N/A</c:v>
                </c:pt>
                <c:pt idx="2478">
                  <c:v>#N/A</c:v>
                </c:pt>
                <c:pt idx="2479">
                  <c:v>#N/A</c:v>
                </c:pt>
                <c:pt idx="2480">
                  <c:v>#N/A</c:v>
                </c:pt>
                <c:pt idx="2481">
                  <c:v>#N/A</c:v>
                </c:pt>
                <c:pt idx="2482">
                  <c:v>#N/A</c:v>
                </c:pt>
                <c:pt idx="2483">
                  <c:v>#N/A</c:v>
                </c:pt>
                <c:pt idx="2484">
                  <c:v>#N/A</c:v>
                </c:pt>
                <c:pt idx="2485">
                  <c:v>#N/A</c:v>
                </c:pt>
                <c:pt idx="2486">
                  <c:v>#N/A</c:v>
                </c:pt>
                <c:pt idx="2487">
                  <c:v>#N/A</c:v>
                </c:pt>
                <c:pt idx="2488">
                  <c:v>#N/A</c:v>
                </c:pt>
                <c:pt idx="2489">
                  <c:v>#N/A</c:v>
                </c:pt>
                <c:pt idx="2490">
                  <c:v>#N/A</c:v>
                </c:pt>
                <c:pt idx="2491">
                  <c:v>#N/A</c:v>
                </c:pt>
                <c:pt idx="2492">
                  <c:v>#N/A</c:v>
                </c:pt>
                <c:pt idx="2493">
                  <c:v>#N/A</c:v>
                </c:pt>
                <c:pt idx="2494">
                  <c:v>#N/A</c:v>
                </c:pt>
                <c:pt idx="2495">
                  <c:v>#N/A</c:v>
                </c:pt>
                <c:pt idx="2496">
                  <c:v>#N/A</c:v>
                </c:pt>
                <c:pt idx="2497">
                  <c:v>#N/A</c:v>
                </c:pt>
                <c:pt idx="2498">
                  <c:v>#N/A</c:v>
                </c:pt>
                <c:pt idx="2499">
                  <c:v>#N/A</c:v>
                </c:pt>
                <c:pt idx="2500">
                  <c:v>#N/A</c:v>
                </c:pt>
                <c:pt idx="2501">
                  <c:v>#N/A</c:v>
                </c:pt>
                <c:pt idx="2502">
                  <c:v>#N/A</c:v>
                </c:pt>
                <c:pt idx="2503">
                  <c:v>#N/A</c:v>
                </c:pt>
                <c:pt idx="2504">
                  <c:v>#N/A</c:v>
                </c:pt>
                <c:pt idx="2505">
                  <c:v>#N/A</c:v>
                </c:pt>
                <c:pt idx="2506">
                  <c:v>#N/A</c:v>
                </c:pt>
                <c:pt idx="2507">
                  <c:v>#N/A</c:v>
                </c:pt>
                <c:pt idx="2508">
                  <c:v>#N/A</c:v>
                </c:pt>
                <c:pt idx="2509">
                  <c:v>#N/A</c:v>
                </c:pt>
                <c:pt idx="2510">
                  <c:v>#N/A</c:v>
                </c:pt>
                <c:pt idx="2511">
                  <c:v>#N/A</c:v>
                </c:pt>
                <c:pt idx="2512">
                  <c:v>#N/A</c:v>
                </c:pt>
                <c:pt idx="2513">
                  <c:v>#N/A</c:v>
                </c:pt>
                <c:pt idx="2514">
                  <c:v>#N/A</c:v>
                </c:pt>
                <c:pt idx="2515">
                  <c:v>#N/A</c:v>
                </c:pt>
                <c:pt idx="2516">
                  <c:v>#N/A</c:v>
                </c:pt>
                <c:pt idx="2517">
                  <c:v>#N/A</c:v>
                </c:pt>
                <c:pt idx="2518">
                  <c:v>#N/A</c:v>
                </c:pt>
                <c:pt idx="2519">
                  <c:v>#N/A</c:v>
                </c:pt>
                <c:pt idx="2520">
                  <c:v>#N/A</c:v>
                </c:pt>
                <c:pt idx="2521">
                  <c:v>#N/A</c:v>
                </c:pt>
                <c:pt idx="2522">
                  <c:v>#N/A</c:v>
                </c:pt>
                <c:pt idx="2523">
                  <c:v>#N/A</c:v>
                </c:pt>
                <c:pt idx="2524">
                  <c:v>#N/A</c:v>
                </c:pt>
                <c:pt idx="2525">
                  <c:v>#N/A</c:v>
                </c:pt>
                <c:pt idx="2526">
                  <c:v>#N/A</c:v>
                </c:pt>
                <c:pt idx="2527">
                  <c:v>#N/A</c:v>
                </c:pt>
                <c:pt idx="2528">
                  <c:v>#N/A</c:v>
                </c:pt>
                <c:pt idx="2529">
                  <c:v>#N/A</c:v>
                </c:pt>
                <c:pt idx="2530">
                  <c:v>#N/A</c:v>
                </c:pt>
                <c:pt idx="2531">
                  <c:v>#N/A</c:v>
                </c:pt>
                <c:pt idx="2532">
                  <c:v>#N/A</c:v>
                </c:pt>
                <c:pt idx="2533">
                  <c:v>#N/A</c:v>
                </c:pt>
                <c:pt idx="2534">
                  <c:v>#N/A</c:v>
                </c:pt>
                <c:pt idx="2535">
                  <c:v>#N/A</c:v>
                </c:pt>
                <c:pt idx="2536">
                  <c:v>#N/A</c:v>
                </c:pt>
                <c:pt idx="2537">
                  <c:v>#N/A</c:v>
                </c:pt>
                <c:pt idx="2538">
                  <c:v>#N/A</c:v>
                </c:pt>
                <c:pt idx="2539">
                  <c:v>#N/A</c:v>
                </c:pt>
                <c:pt idx="2540">
                  <c:v>#N/A</c:v>
                </c:pt>
                <c:pt idx="2541">
                  <c:v>#N/A</c:v>
                </c:pt>
                <c:pt idx="2542">
                  <c:v>#N/A</c:v>
                </c:pt>
                <c:pt idx="2543">
                  <c:v>#N/A</c:v>
                </c:pt>
                <c:pt idx="2544">
                  <c:v>#N/A</c:v>
                </c:pt>
                <c:pt idx="2545">
                  <c:v>#N/A</c:v>
                </c:pt>
                <c:pt idx="2546">
                  <c:v>#N/A</c:v>
                </c:pt>
                <c:pt idx="2547">
                  <c:v>#N/A</c:v>
                </c:pt>
                <c:pt idx="2548">
                  <c:v>#N/A</c:v>
                </c:pt>
                <c:pt idx="2549">
                  <c:v>#N/A</c:v>
                </c:pt>
                <c:pt idx="2550">
                  <c:v>#N/A</c:v>
                </c:pt>
                <c:pt idx="2551">
                  <c:v>#N/A</c:v>
                </c:pt>
                <c:pt idx="2552">
                  <c:v>#N/A</c:v>
                </c:pt>
                <c:pt idx="2553">
                  <c:v>#N/A</c:v>
                </c:pt>
                <c:pt idx="2554">
                  <c:v>#N/A</c:v>
                </c:pt>
                <c:pt idx="2555">
                  <c:v>#N/A</c:v>
                </c:pt>
                <c:pt idx="2556">
                  <c:v>#N/A</c:v>
                </c:pt>
                <c:pt idx="2557">
                  <c:v>#N/A</c:v>
                </c:pt>
              </c:numCache>
            </c:numRef>
          </c:val>
          <c:smooth val="0"/>
          <c:extLst>
            <c:ext xmlns:c16="http://schemas.microsoft.com/office/drawing/2014/chart" uri="{C3380CC4-5D6E-409C-BE32-E72D297353CC}">
              <c16:uniqueId val="{00000002-CC99-4D1E-9B89-33613AE1EB93}"/>
            </c:ext>
          </c:extLst>
        </c:ser>
        <c:ser>
          <c:idx val="1"/>
          <c:order val="1"/>
          <c:tx>
            <c:strRef>
              <c:f>Onboarding!$D$2</c:f>
              <c:strCache>
                <c:ptCount val="1"/>
                <c:pt idx="0">
                  <c:v>Endeavour</c:v>
                </c:pt>
              </c:strCache>
            </c:strRef>
          </c:tx>
          <c:spPr>
            <a:ln w="15875" cap="rnd">
              <a:solidFill>
                <a:schemeClr val="bg2"/>
              </a:solidFill>
              <a:round/>
            </a:ln>
            <a:effectLst/>
          </c:spPr>
          <c:marker>
            <c:symbol val="none"/>
          </c:marker>
          <c:dPt>
            <c:idx val="592"/>
            <c:marker>
              <c:symbol val="diamond"/>
              <c:size val="9"/>
              <c:spPr>
                <a:solidFill>
                  <a:schemeClr val="bg2"/>
                </a:solidFill>
                <a:ln w="9525">
                  <a:noFill/>
                </a:ln>
                <a:effectLst/>
              </c:spPr>
            </c:marker>
            <c:bubble3D val="0"/>
            <c:extLst>
              <c:ext xmlns:c16="http://schemas.microsoft.com/office/drawing/2014/chart" uri="{C3380CC4-5D6E-409C-BE32-E72D297353CC}">
                <c16:uniqueId val="{00000003-CC99-4D1E-9B89-33613AE1EB93}"/>
              </c:ext>
            </c:extLst>
          </c:dPt>
          <c:dPt>
            <c:idx val="1002"/>
            <c:marker>
              <c:symbol val="diamond"/>
              <c:size val="9"/>
              <c:spPr>
                <a:solidFill>
                  <a:schemeClr val="bg2"/>
                </a:solidFill>
                <a:ln w="9525">
                  <a:noFill/>
                </a:ln>
                <a:effectLst/>
              </c:spPr>
            </c:marker>
            <c:bubble3D val="0"/>
            <c:extLst>
              <c:ext xmlns:c16="http://schemas.microsoft.com/office/drawing/2014/chart" uri="{C3380CC4-5D6E-409C-BE32-E72D297353CC}">
                <c16:uniqueId val="{00000004-CC99-4D1E-9B89-33613AE1EB93}"/>
              </c:ext>
            </c:extLst>
          </c:dPt>
          <c:cat>
            <c:numRef>
              <c:f>Onboarding!$B$7:$B$2564</c:f>
              <c:numCache>
                <c:formatCode>m/d/yyyy</c:formatCode>
                <c:ptCount val="2558"/>
                <c:pt idx="0">
                  <c:v>43101</c:v>
                </c:pt>
                <c:pt idx="1">
                  <c:v>43102</c:v>
                </c:pt>
                <c:pt idx="2">
                  <c:v>43103</c:v>
                </c:pt>
                <c:pt idx="3">
                  <c:v>43104</c:v>
                </c:pt>
                <c:pt idx="4">
                  <c:v>43105</c:v>
                </c:pt>
                <c:pt idx="5">
                  <c:v>43106</c:v>
                </c:pt>
                <c:pt idx="6">
                  <c:v>43107</c:v>
                </c:pt>
                <c:pt idx="7">
                  <c:v>43108</c:v>
                </c:pt>
                <c:pt idx="8">
                  <c:v>43109</c:v>
                </c:pt>
                <c:pt idx="9">
                  <c:v>43110</c:v>
                </c:pt>
                <c:pt idx="10">
                  <c:v>43111</c:v>
                </c:pt>
                <c:pt idx="11">
                  <c:v>43112</c:v>
                </c:pt>
                <c:pt idx="12">
                  <c:v>43113</c:v>
                </c:pt>
                <c:pt idx="13">
                  <c:v>43114</c:v>
                </c:pt>
                <c:pt idx="14">
                  <c:v>43115</c:v>
                </c:pt>
                <c:pt idx="15">
                  <c:v>43116</c:v>
                </c:pt>
                <c:pt idx="16">
                  <c:v>43117</c:v>
                </c:pt>
                <c:pt idx="17">
                  <c:v>43118</c:v>
                </c:pt>
                <c:pt idx="18">
                  <c:v>43119</c:v>
                </c:pt>
                <c:pt idx="19">
                  <c:v>43120</c:v>
                </c:pt>
                <c:pt idx="20">
                  <c:v>43121</c:v>
                </c:pt>
                <c:pt idx="21">
                  <c:v>43122</c:v>
                </c:pt>
                <c:pt idx="22">
                  <c:v>43123</c:v>
                </c:pt>
                <c:pt idx="23">
                  <c:v>43124</c:v>
                </c:pt>
                <c:pt idx="24">
                  <c:v>43125</c:v>
                </c:pt>
                <c:pt idx="25">
                  <c:v>43126</c:v>
                </c:pt>
                <c:pt idx="26">
                  <c:v>43127</c:v>
                </c:pt>
                <c:pt idx="27">
                  <c:v>43128</c:v>
                </c:pt>
                <c:pt idx="28">
                  <c:v>43129</c:v>
                </c:pt>
                <c:pt idx="29">
                  <c:v>43130</c:v>
                </c:pt>
                <c:pt idx="30">
                  <c:v>43131</c:v>
                </c:pt>
                <c:pt idx="31">
                  <c:v>43132</c:v>
                </c:pt>
                <c:pt idx="32">
                  <c:v>43133</c:v>
                </c:pt>
                <c:pt idx="33">
                  <c:v>43134</c:v>
                </c:pt>
                <c:pt idx="34">
                  <c:v>43135</c:v>
                </c:pt>
                <c:pt idx="35">
                  <c:v>43136</c:v>
                </c:pt>
                <c:pt idx="36">
                  <c:v>43137</c:v>
                </c:pt>
                <c:pt idx="37">
                  <c:v>43138</c:v>
                </c:pt>
                <c:pt idx="38">
                  <c:v>43139</c:v>
                </c:pt>
                <c:pt idx="39">
                  <c:v>43140</c:v>
                </c:pt>
                <c:pt idx="40">
                  <c:v>43141</c:v>
                </c:pt>
                <c:pt idx="41">
                  <c:v>43142</c:v>
                </c:pt>
                <c:pt idx="42">
                  <c:v>43143</c:v>
                </c:pt>
                <c:pt idx="43">
                  <c:v>43144</c:v>
                </c:pt>
                <c:pt idx="44">
                  <c:v>43145</c:v>
                </c:pt>
                <c:pt idx="45">
                  <c:v>43146</c:v>
                </c:pt>
                <c:pt idx="46">
                  <c:v>43147</c:v>
                </c:pt>
                <c:pt idx="47">
                  <c:v>43148</c:v>
                </c:pt>
                <c:pt idx="48">
                  <c:v>43149</c:v>
                </c:pt>
                <c:pt idx="49">
                  <c:v>43150</c:v>
                </c:pt>
                <c:pt idx="50">
                  <c:v>43151</c:v>
                </c:pt>
                <c:pt idx="51">
                  <c:v>43152</c:v>
                </c:pt>
                <c:pt idx="52">
                  <c:v>43153</c:v>
                </c:pt>
                <c:pt idx="53">
                  <c:v>43154</c:v>
                </c:pt>
                <c:pt idx="54">
                  <c:v>43155</c:v>
                </c:pt>
                <c:pt idx="55">
                  <c:v>43156</c:v>
                </c:pt>
                <c:pt idx="56">
                  <c:v>43157</c:v>
                </c:pt>
                <c:pt idx="57">
                  <c:v>43158</c:v>
                </c:pt>
                <c:pt idx="58">
                  <c:v>43159</c:v>
                </c:pt>
                <c:pt idx="59">
                  <c:v>43160</c:v>
                </c:pt>
                <c:pt idx="60">
                  <c:v>43161</c:v>
                </c:pt>
                <c:pt idx="61">
                  <c:v>43162</c:v>
                </c:pt>
                <c:pt idx="62">
                  <c:v>43163</c:v>
                </c:pt>
                <c:pt idx="63">
                  <c:v>43164</c:v>
                </c:pt>
                <c:pt idx="64">
                  <c:v>43165</c:v>
                </c:pt>
                <c:pt idx="65">
                  <c:v>43166</c:v>
                </c:pt>
                <c:pt idx="66">
                  <c:v>43167</c:v>
                </c:pt>
                <c:pt idx="67">
                  <c:v>43168</c:v>
                </c:pt>
                <c:pt idx="68">
                  <c:v>43169</c:v>
                </c:pt>
                <c:pt idx="69">
                  <c:v>43170</c:v>
                </c:pt>
                <c:pt idx="70">
                  <c:v>43171</c:v>
                </c:pt>
                <c:pt idx="71">
                  <c:v>43172</c:v>
                </c:pt>
                <c:pt idx="72">
                  <c:v>43173</c:v>
                </c:pt>
                <c:pt idx="73">
                  <c:v>43174</c:v>
                </c:pt>
                <c:pt idx="74">
                  <c:v>43175</c:v>
                </c:pt>
                <c:pt idx="75">
                  <c:v>43176</c:v>
                </c:pt>
                <c:pt idx="76">
                  <c:v>43177</c:v>
                </c:pt>
                <c:pt idx="77">
                  <c:v>43178</c:v>
                </c:pt>
                <c:pt idx="78">
                  <c:v>43179</c:v>
                </c:pt>
                <c:pt idx="79">
                  <c:v>43180</c:v>
                </c:pt>
                <c:pt idx="80">
                  <c:v>43181</c:v>
                </c:pt>
                <c:pt idx="81">
                  <c:v>43182</c:v>
                </c:pt>
                <c:pt idx="82">
                  <c:v>43183</c:v>
                </c:pt>
                <c:pt idx="83">
                  <c:v>43184</c:v>
                </c:pt>
                <c:pt idx="84">
                  <c:v>43185</c:v>
                </c:pt>
                <c:pt idx="85">
                  <c:v>43186</c:v>
                </c:pt>
                <c:pt idx="86">
                  <c:v>43187</c:v>
                </c:pt>
                <c:pt idx="87">
                  <c:v>43188</c:v>
                </c:pt>
                <c:pt idx="88">
                  <c:v>43189</c:v>
                </c:pt>
                <c:pt idx="89">
                  <c:v>43190</c:v>
                </c:pt>
                <c:pt idx="90">
                  <c:v>43191</c:v>
                </c:pt>
                <c:pt idx="91">
                  <c:v>43192</c:v>
                </c:pt>
                <c:pt idx="92">
                  <c:v>43193</c:v>
                </c:pt>
                <c:pt idx="93">
                  <c:v>43194</c:v>
                </c:pt>
                <c:pt idx="94">
                  <c:v>43195</c:v>
                </c:pt>
                <c:pt idx="95">
                  <c:v>43196</c:v>
                </c:pt>
                <c:pt idx="96">
                  <c:v>43197</c:v>
                </c:pt>
                <c:pt idx="97">
                  <c:v>43198</c:v>
                </c:pt>
                <c:pt idx="98">
                  <c:v>43199</c:v>
                </c:pt>
                <c:pt idx="99">
                  <c:v>43200</c:v>
                </c:pt>
                <c:pt idx="100">
                  <c:v>43201</c:v>
                </c:pt>
                <c:pt idx="101">
                  <c:v>43202</c:v>
                </c:pt>
                <c:pt idx="102">
                  <c:v>43203</c:v>
                </c:pt>
                <c:pt idx="103">
                  <c:v>43204</c:v>
                </c:pt>
                <c:pt idx="104">
                  <c:v>43205</c:v>
                </c:pt>
                <c:pt idx="105">
                  <c:v>43206</c:v>
                </c:pt>
                <c:pt idx="106">
                  <c:v>43207</c:v>
                </c:pt>
                <c:pt idx="107">
                  <c:v>43208</c:v>
                </c:pt>
                <c:pt idx="108">
                  <c:v>43209</c:v>
                </c:pt>
                <c:pt idx="109">
                  <c:v>43210</c:v>
                </c:pt>
                <c:pt idx="110">
                  <c:v>43211</c:v>
                </c:pt>
                <c:pt idx="111">
                  <c:v>43212</c:v>
                </c:pt>
                <c:pt idx="112">
                  <c:v>43213</c:v>
                </c:pt>
                <c:pt idx="113">
                  <c:v>43214</c:v>
                </c:pt>
                <c:pt idx="114">
                  <c:v>43215</c:v>
                </c:pt>
                <c:pt idx="115">
                  <c:v>43216</c:v>
                </c:pt>
                <c:pt idx="116">
                  <c:v>43217</c:v>
                </c:pt>
                <c:pt idx="117">
                  <c:v>43218</c:v>
                </c:pt>
                <c:pt idx="118">
                  <c:v>43219</c:v>
                </c:pt>
                <c:pt idx="119">
                  <c:v>43220</c:v>
                </c:pt>
                <c:pt idx="120">
                  <c:v>43221</c:v>
                </c:pt>
                <c:pt idx="121">
                  <c:v>43222</c:v>
                </c:pt>
                <c:pt idx="122">
                  <c:v>43223</c:v>
                </c:pt>
                <c:pt idx="123">
                  <c:v>43224</c:v>
                </c:pt>
                <c:pt idx="124">
                  <c:v>43225</c:v>
                </c:pt>
                <c:pt idx="125">
                  <c:v>43226</c:v>
                </c:pt>
                <c:pt idx="126">
                  <c:v>43227</c:v>
                </c:pt>
                <c:pt idx="127">
                  <c:v>43228</c:v>
                </c:pt>
                <c:pt idx="128">
                  <c:v>43229</c:v>
                </c:pt>
                <c:pt idx="129">
                  <c:v>43230</c:v>
                </c:pt>
                <c:pt idx="130">
                  <c:v>43231</c:v>
                </c:pt>
                <c:pt idx="131">
                  <c:v>43232</c:v>
                </c:pt>
                <c:pt idx="132">
                  <c:v>43233</c:v>
                </c:pt>
                <c:pt idx="133">
                  <c:v>43234</c:v>
                </c:pt>
                <c:pt idx="134">
                  <c:v>43235</c:v>
                </c:pt>
                <c:pt idx="135">
                  <c:v>43236</c:v>
                </c:pt>
                <c:pt idx="136">
                  <c:v>43237</c:v>
                </c:pt>
                <c:pt idx="137">
                  <c:v>43238</c:v>
                </c:pt>
                <c:pt idx="138">
                  <c:v>43239</c:v>
                </c:pt>
                <c:pt idx="139">
                  <c:v>43240</c:v>
                </c:pt>
                <c:pt idx="140">
                  <c:v>43241</c:v>
                </c:pt>
                <c:pt idx="141">
                  <c:v>43242</c:v>
                </c:pt>
                <c:pt idx="142">
                  <c:v>43243</c:v>
                </c:pt>
                <c:pt idx="143">
                  <c:v>43244</c:v>
                </c:pt>
                <c:pt idx="144">
                  <c:v>43245</c:v>
                </c:pt>
                <c:pt idx="145">
                  <c:v>43246</c:v>
                </c:pt>
                <c:pt idx="146">
                  <c:v>43247</c:v>
                </c:pt>
                <c:pt idx="147">
                  <c:v>43248</c:v>
                </c:pt>
                <c:pt idx="148">
                  <c:v>43249</c:v>
                </c:pt>
                <c:pt idx="149">
                  <c:v>43250</c:v>
                </c:pt>
                <c:pt idx="150">
                  <c:v>43251</c:v>
                </c:pt>
                <c:pt idx="151">
                  <c:v>43252</c:v>
                </c:pt>
                <c:pt idx="152">
                  <c:v>43253</c:v>
                </c:pt>
                <c:pt idx="153">
                  <c:v>43254</c:v>
                </c:pt>
                <c:pt idx="154">
                  <c:v>43255</c:v>
                </c:pt>
                <c:pt idx="155">
                  <c:v>43256</c:v>
                </c:pt>
                <c:pt idx="156">
                  <c:v>43257</c:v>
                </c:pt>
                <c:pt idx="157">
                  <c:v>43258</c:v>
                </c:pt>
                <c:pt idx="158">
                  <c:v>43259</c:v>
                </c:pt>
                <c:pt idx="159">
                  <c:v>43260</c:v>
                </c:pt>
                <c:pt idx="160">
                  <c:v>43261</c:v>
                </c:pt>
                <c:pt idx="161">
                  <c:v>43262</c:v>
                </c:pt>
                <c:pt idx="162">
                  <c:v>43263</c:v>
                </c:pt>
                <c:pt idx="163">
                  <c:v>43264</c:v>
                </c:pt>
                <c:pt idx="164">
                  <c:v>43265</c:v>
                </c:pt>
                <c:pt idx="165">
                  <c:v>43266</c:v>
                </c:pt>
                <c:pt idx="166">
                  <c:v>43267</c:v>
                </c:pt>
                <c:pt idx="167">
                  <c:v>43268</c:v>
                </c:pt>
                <c:pt idx="168">
                  <c:v>43269</c:v>
                </c:pt>
                <c:pt idx="169">
                  <c:v>43270</c:v>
                </c:pt>
                <c:pt idx="170">
                  <c:v>43271</c:v>
                </c:pt>
                <c:pt idx="171">
                  <c:v>43272</c:v>
                </c:pt>
                <c:pt idx="172">
                  <c:v>43273</c:v>
                </c:pt>
                <c:pt idx="173">
                  <c:v>43274</c:v>
                </c:pt>
                <c:pt idx="174">
                  <c:v>43275</c:v>
                </c:pt>
                <c:pt idx="175">
                  <c:v>43276</c:v>
                </c:pt>
                <c:pt idx="176">
                  <c:v>43277</c:v>
                </c:pt>
                <c:pt idx="177">
                  <c:v>43278</c:v>
                </c:pt>
                <c:pt idx="178">
                  <c:v>43279</c:v>
                </c:pt>
                <c:pt idx="179">
                  <c:v>43280</c:v>
                </c:pt>
                <c:pt idx="180">
                  <c:v>43281</c:v>
                </c:pt>
                <c:pt idx="181">
                  <c:v>43282</c:v>
                </c:pt>
                <c:pt idx="182">
                  <c:v>43283</c:v>
                </c:pt>
                <c:pt idx="183">
                  <c:v>43284</c:v>
                </c:pt>
                <c:pt idx="184">
                  <c:v>43285</c:v>
                </c:pt>
                <c:pt idx="185">
                  <c:v>43286</c:v>
                </c:pt>
                <c:pt idx="186">
                  <c:v>43287</c:v>
                </c:pt>
                <c:pt idx="187">
                  <c:v>43288</c:v>
                </c:pt>
                <c:pt idx="188">
                  <c:v>43289</c:v>
                </c:pt>
                <c:pt idx="189">
                  <c:v>43290</c:v>
                </c:pt>
                <c:pt idx="190">
                  <c:v>43291</c:v>
                </c:pt>
                <c:pt idx="191">
                  <c:v>43292</c:v>
                </c:pt>
                <c:pt idx="192">
                  <c:v>43293</c:v>
                </c:pt>
                <c:pt idx="193">
                  <c:v>43294</c:v>
                </c:pt>
                <c:pt idx="194">
                  <c:v>43295</c:v>
                </c:pt>
                <c:pt idx="195">
                  <c:v>43296</c:v>
                </c:pt>
                <c:pt idx="196">
                  <c:v>43297</c:v>
                </c:pt>
                <c:pt idx="197">
                  <c:v>43298</c:v>
                </c:pt>
                <c:pt idx="198">
                  <c:v>43299</c:v>
                </c:pt>
                <c:pt idx="199">
                  <c:v>43300</c:v>
                </c:pt>
                <c:pt idx="200">
                  <c:v>43301</c:v>
                </c:pt>
                <c:pt idx="201">
                  <c:v>43302</c:v>
                </c:pt>
                <c:pt idx="202">
                  <c:v>43303</c:v>
                </c:pt>
                <c:pt idx="203">
                  <c:v>43304</c:v>
                </c:pt>
                <c:pt idx="204">
                  <c:v>43305</c:v>
                </c:pt>
                <c:pt idx="205">
                  <c:v>43306</c:v>
                </c:pt>
                <c:pt idx="206">
                  <c:v>43307</c:v>
                </c:pt>
                <c:pt idx="207">
                  <c:v>43308</c:v>
                </c:pt>
                <c:pt idx="208">
                  <c:v>43309</c:v>
                </c:pt>
                <c:pt idx="209">
                  <c:v>43310</c:v>
                </c:pt>
                <c:pt idx="210">
                  <c:v>43311</c:v>
                </c:pt>
                <c:pt idx="211">
                  <c:v>43312</c:v>
                </c:pt>
                <c:pt idx="212">
                  <c:v>43313</c:v>
                </c:pt>
                <c:pt idx="213">
                  <c:v>43314</c:v>
                </c:pt>
                <c:pt idx="214">
                  <c:v>43315</c:v>
                </c:pt>
                <c:pt idx="215">
                  <c:v>43316</c:v>
                </c:pt>
                <c:pt idx="216">
                  <c:v>43317</c:v>
                </c:pt>
                <c:pt idx="217">
                  <c:v>43318</c:v>
                </c:pt>
                <c:pt idx="218">
                  <c:v>43319</c:v>
                </c:pt>
                <c:pt idx="219">
                  <c:v>43320</c:v>
                </c:pt>
                <c:pt idx="220">
                  <c:v>43321</c:v>
                </c:pt>
                <c:pt idx="221">
                  <c:v>43322</c:v>
                </c:pt>
                <c:pt idx="222">
                  <c:v>43323</c:v>
                </c:pt>
                <c:pt idx="223">
                  <c:v>43324</c:v>
                </c:pt>
                <c:pt idx="224">
                  <c:v>43325</c:v>
                </c:pt>
                <c:pt idx="225">
                  <c:v>43326</c:v>
                </c:pt>
                <c:pt idx="226">
                  <c:v>43327</c:v>
                </c:pt>
                <c:pt idx="227">
                  <c:v>43328</c:v>
                </c:pt>
                <c:pt idx="228">
                  <c:v>43329</c:v>
                </c:pt>
                <c:pt idx="229">
                  <c:v>43330</c:v>
                </c:pt>
                <c:pt idx="230">
                  <c:v>43331</c:v>
                </c:pt>
                <c:pt idx="231">
                  <c:v>43332</c:v>
                </c:pt>
                <c:pt idx="232">
                  <c:v>43333</c:v>
                </c:pt>
                <c:pt idx="233">
                  <c:v>43334</c:v>
                </c:pt>
                <c:pt idx="234">
                  <c:v>43335</c:v>
                </c:pt>
                <c:pt idx="235">
                  <c:v>43336</c:v>
                </c:pt>
                <c:pt idx="236">
                  <c:v>43337</c:v>
                </c:pt>
                <c:pt idx="237">
                  <c:v>43338</c:v>
                </c:pt>
                <c:pt idx="238">
                  <c:v>43339</c:v>
                </c:pt>
                <c:pt idx="239">
                  <c:v>43340</c:v>
                </c:pt>
                <c:pt idx="240">
                  <c:v>43341</c:v>
                </c:pt>
                <c:pt idx="241">
                  <c:v>43342</c:v>
                </c:pt>
                <c:pt idx="242">
                  <c:v>43343</c:v>
                </c:pt>
                <c:pt idx="243">
                  <c:v>43344</c:v>
                </c:pt>
                <c:pt idx="244">
                  <c:v>43345</c:v>
                </c:pt>
                <c:pt idx="245">
                  <c:v>43346</c:v>
                </c:pt>
                <c:pt idx="246">
                  <c:v>43347</c:v>
                </c:pt>
                <c:pt idx="247">
                  <c:v>43348</c:v>
                </c:pt>
                <c:pt idx="248">
                  <c:v>43349</c:v>
                </c:pt>
                <c:pt idx="249">
                  <c:v>43350</c:v>
                </c:pt>
                <c:pt idx="250">
                  <c:v>43351</c:v>
                </c:pt>
                <c:pt idx="251">
                  <c:v>43352</c:v>
                </c:pt>
                <c:pt idx="252">
                  <c:v>43353</c:v>
                </c:pt>
                <c:pt idx="253">
                  <c:v>43354</c:v>
                </c:pt>
                <c:pt idx="254">
                  <c:v>43355</c:v>
                </c:pt>
                <c:pt idx="255">
                  <c:v>43356</c:v>
                </c:pt>
                <c:pt idx="256">
                  <c:v>43357</c:v>
                </c:pt>
                <c:pt idx="257">
                  <c:v>43358</c:v>
                </c:pt>
                <c:pt idx="258">
                  <c:v>43359</c:v>
                </c:pt>
                <c:pt idx="259">
                  <c:v>43360</c:v>
                </c:pt>
                <c:pt idx="260">
                  <c:v>43361</c:v>
                </c:pt>
                <c:pt idx="261">
                  <c:v>43362</c:v>
                </c:pt>
                <c:pt idx="262">
                  <c:v>43363</c:v>
                </c:pt>
                <c:pt idx="263">
                  <c:v>43364</c:v>
                </c:pt>
                <c:pt idx="264">
                  <c:v>43365</c:v>
                </c:pt>
                <c:pt idx="265">
                  <c:v>43366</c:v>
                </c:pt>
                <c:pt idx="266">
                  <c:v>43367</c:v>
                </c:pt>
                <c:pt idx="267">
                  <c:v>43368</c:v>
                </c:pt>
                <c:pt idx="268">
                  <c:v>43369</c:v>
                </c:pt>
                <c:pt idx="269">
                  <c:v>43370</c:v>
                </c:pt>
                <c:pt idx="270">
                  <c:v>43371</c:v>
                </c:pt>
                <c:pt idx="271">
                  <c:v>43372</c:v>
                </c:pt>
                <c:pt idx="272">
                  <c:v>43373</c:v>
                </c:pt>
                <c:pt idx="273">
                  <c:v>43374</c:v>
                </c:pt>
                <c:pt idx="274">
                  <c:v>43375</c:v>
                </c:pt>
                <c:pt idx="275">
                  <c:v>43376</c:v>
                </c:pt>
                <c:pt idx="276">
                  <c:v>43377</c:v>
                </c:pt>
                <c:pt idx="277">
                  <c:v>43378</c:v>
                </c:pt>
                <c:pt idx="278">
                  <c:v>43379</c:v>
                </c:pt>
                <c:pt idx="279">
                  <c:v>43380</c:v>
                </c:pt>
                <c:pt idx="280">
                  <c:v>43381</c:v>
                </c:pt>
                <c:pt idx="281">
                  <c:v>43382</c:v>
                </c:pt>
                <c:pt idx="282">
                  <c:v>43383</c:v>
                </c:pt>
                <c:pt idx="283">
                  <c:v>43384</c:v>
                </c:pt>
                <c:pt idx="284">
                  <c:v>43385</c:v>
                </c:pt>
                <c:pt idx="285">
                  <c:v>43386</c:v>
                </c:pt>
                <c:pt idx="286">
                  <c:v>43387</c:v>
                </c:pt>
                <c:pt idx="287">
                  <c:v>43388</c:v>
                </c:pt>
                <c:pt idx="288">
                  <c:v>43389</c:v>
                </c:pt>
                <c:pt idx="289">
                  <c:v>43390</c:v>
                </c:pt>
                <c:pt idx="290">
                  <c:v>43391</c:v>
                </c:pt>
                <c:pt idx="291">
                  <c:v>43392</c:v>
                </c:pt>
                <c:pt idx="292">
                  <c:v>43393</c:v>
                </c:pt>
                <c:pt idx="293">
                  <c:v>43394</c:v>
                </c:pt>
                <c:pt idx="294">
                  <c:v>43395</c:v>
                </c:pt>
                <c:pt idx="295">
                  <c:v>43396</c:v>
                </c:pt>
                <c:pt idx="296">
                  <c:v>43397</c:v>
                </c:pt>
                <c:pt idx="297">
                  <c:v>43398</c:v>
                </c:pt>
                <c:pt idx="298">
                  <c:v>43399</c:v>
                </c:pt>
                <c:pt idx="299">
                  <c:v>43400</c:v>
                </c:pt>
                <c:pt idx="300">
                  <c:v>43401</c:v>
                </c:pt>
                <c:pt idx="301">
                  <c:v>43402</c:v>
                </c:pt>
                <c:pt idx="302">
                  <c:v>43403</c:v>
                </c:pt>
                <c:pt idx="303">
                  <c:v>43404</c:v>
                </c:pt>
                <c:pt idx="304">
                  <c:v>43405</c:v>
                </c:pt>
                <c:pt idx="305">
                  <c:v>43406</c:v>
                </c:pt>
                <c:pt idx="306">
                  <c:v>43407</c:v>
                </c:pt>
                <c:pt idx="307">
                  <c:v>43408</c:v>
                </c:pt>
                <c:pt idx="308">
                  <c:v>43409</c:v>
                </c:pt>
                <c:pt idx="309">
                  <c:v>43410</c:v>
                </c:pt>
                <c:pt idx="310">
                  <c:v>43411</c:v>
                </c:pt>
                <c:pt idx="311">
                  <c:v>43412</c:v>
                </c:pt>
                <c:pt idx="312">
                  <c:v>43413</c:v>
                </c:pt>
                <c:pt idx="313">
                  <c:v>43414</c:v>
                </c:pt>
                <c:pt idx="314">
                  <c:v>43415</c:v>
                </c:pt>
                <c:pt idx="315">
                  <c:v>43416</c:v>
                </c:pt>
                <c:pt idx="316">
                  <c:v>43417</c:v>
                </c:pt>
                <c:pt idx="317">
                  <c:v>43418</c:v>
                </c:pt>
                <c:pt idx="318">
                  <c:v>43419</c:v>
                </c:pt>
                <c:pt idx="319">
                  <c:v>43420</c:v>
                </c:pt>
                <c:pt idx="320">
                  <c:v>43421</c:v>
                </c:pt>
                <c:pt idx="321">
                  <c:v>43422</c:v>
                </c:pt>
                <c:pt idx="322">
                  <c:v>43423</c:v>
                </c:pt>
                <c:pt idx="323">
                  <c:v>43424</c:v>
                </c:pt>
                <c:pt idx="324">
                  <c:v>43425</c:v>
                </c:pt>
                <c:pt idx="325">
                  <c:v>43426</c:v>
                </c:pt>
                <c:pt idx="326">
                  <c:v>43427</c:v>
                </c:pt>
                <c:pt idx="327">
                  <c:v>43428</c:v>
                </c:pt>
                <c:pt idx="328">
                  <c:v>43429</c:v>
                </c:pt>
                <c:pt idx="329">
                  <c:v>43430</c:v>
                </c:pt>
                <c:pt idx="330">
                  <c:v>43431</c:v>
                </c:pt>
                <c:pt idx="331">
                  <c:v>43432</c:v>
                </c:pt>
                <c:pt idx="332">
                  <c:v>43433</c:v>
                </c:pt>
                <c:pt idx="333">
                  <c:v>43434</c:v>
                </c:pt>
                <c:pt idx="334">
                  <c:v>43435</c:v>
                </c:pt>
                <c:pt idx="335">
                  <c:v>43436</c:v>
                </c:pt>
                <c:pt idx="336">
                  <c:v>43437</c:v>
                </c:pt>
                <c:pt idx="337">
                  <c:v>43438</c:v>
                </c:pt>
                <c:pt idx="338">
                  <c:v>43439</c:v>
                </c:pt>
                <c:pt idx="339">
                  <c:v>43440</c:v>
                </c:pt>
                <c:pt idx="340">
                  <c:v>43441</c:v>
                </c:pt>
                <c:pt idx="341">
                  <c:v>43442</c:v>
                </c:pt>
                <c:pt idx="342">
                  <c:v>43443</c:v>
                </c:pt>
                <c:pt idx="343">
                  <c:v>43444</c:v>
                </c:pt>
                <c:pt idx="344">
                  <c:v>43445</c:v>
                </c:pt>
                <c:pt idx="345">
                  <c:v>43446</c:v>
                </c:pt>
                <c:pt idx="346">
                  <c:v>43447</c:v>
                </c:pt>
                <c:pt idx="347">
                  <c:v>43448</c:v>
                </c:pt>
                <c:pt idx="348">
                  <c:v>43449</c:v>
                </c:pt>
                <c:pt idx="349">
                  <c:v>43450</c:v>
                </c:pt>
                <c:pt idx="350">
                  <c:v>43451</c:v>
                </c:pt>
                <c:pt idx="351">
                  <c:v>43452</c:v>
                </c:pt>
                <c:pt idx="352">
                  <c:v>43453</c:v>
                </c:pt>
                <c:pt idx="353">
                  <c:v>43454</c:v>
                </c:pt>
                <c:pt idx="354">
                  <c:v>43455</c:v>
                </c:pt>
                <c:pt idx="355">
                  <c:v>43456</c:v>
                </c:pt>
                <c:pt idx="356">
                  <c:v>43457</c:v>
                </c:pt>
                <c:pt idx="357">
                  <c:v>43458</c:v>
                </c:pt>
                <c:pt idx="358">
                  <c:v>43459</c:v>
                </c:pt>
                <c:pt idx="359">
                  <c:v>43460</c:v>
                </c:pt>
                <c:pt idx="360">
                  <c:v>43461</c:v>
                </c:pt>
                <c:pt idx="361">
                  <c:v>43462</c:v>
                </c:pt>
                <c:pt idx="362">
                  <c:v>43463</c:v>
                </c:pt>
                <c:pt idx="363">
                  <c:v>43464</c:v>
                </c:pt>
                <c:pt idx="364">
                  <c:v>43465</c:v>
                </c:pt>
                <c:pt idx="365">
                  <c:v>43466</c:v>
                </c:pt>
                <c:pt idx="366">
                  <c:v>43467</c:v>
                </c:pt>
                <c:pt idx="367">
                  <c:v>43468</c:v>
                </c:pt>
                <c:pt idx="368">
                  <c:v>43469</c:v>
                </c:pt>
                <c:pt idx="369">
                  <c:v>43470</c:v>
                </c:pt>
                <c:pt idx="370">
                  <c:v>43471</c:v>
                </c:pt>
                <c:pt idx="371">
                  <c:v>43472</c:v>
                </c:pt>
                <c:pt idx="372">
                  <c:v>43473</c:v>
                </c:pt>
                <c:pt idx="373">
                  <c:v>43474</c:v>
                </c:pt>
                <c:pt idx="374">
                  <c:v>43475</c:v>
                </c:pt>
                <c:pt idx="375">
                  <c:v>43476</c:v>
                </c:pt>
                <c:pt idx="376">
                  <c:v>43477</c:v>
                </c:pt>
                <c:pt idx="377">
                  <c:v>43478</c:v>
                </c:pt>
                <c:pt idx="378">
                  <c:v>43479</c:v>
                </c:pt>
                <c:pt idx="379">
                  <c:v>43480</c:v>
                </c:pt>
                <c:pt idx="380">
                  <c:v>43481</c:v>
                </c:pt>
                <c:pt idx="381">
                  <c:v>43482</c:v>
                </c:pt>
                <c:pt idx="382">
                  <c:v>43483</c:v>
                </c:pt>
                <c:pt idx="383">
                  <c:v>43484</c:v>
                </c:pt>
                <c:pt idx="384">
                  <c:v>43485</c:v>
                </c:pt>
                <c:pt idx="385">
                  <c:v>43486</c:v>
                </c:pt>
                <c:pt idx="386">
                  <c:v>43487</c:v>
                </c:pt>
                <c:pt idx="387">
                  <c:v>43488</c:v>
                </c:pt>
                <c:pt idx="388">
                  <c:v>43489</c:v>
                </c:pt>
                <c:pt idx="389">
                  <c:v>43490</c:v>
                </c:pt>
                <c:pt idx="390">
                  <c:v>43491</c:v>
                </c:pt>
                <c:pt idx="391">
                  <c:v>43492</c:v>
                </c:pt>
                <c:pt idx="392">
                  <c:v>43493</c:v>
                </c:pt>
                <c:pt idx="393">
                  <c:v>43494</c:v>
                </c:pt>
                <c:pt idx="394">
                  <c:v>43495</c:v>
                </c:pt>
                <c:pt idx="395">
                  <c:v>43496</c:v>
                </c:pt>
                <c:pt idx="396">
                  <c:v>43497</c:v>
                </c:pt>
                <c:pt idx="397">
                  <c:v>43498</c:v>
                </c:pt>
                <c:pt idx="398">
                  <c:v>43499</c:v>
                </c:pt>
                <c:pt idx="399">
                  <c:v>43500</c:v>
                </c:pt>
                <c:pt idx="400">
                  <c:v>43501</c:v>
                </c:pt>
                <c:pt idx="401">
                  <c:v>43502</c:v>
                </c:pt>
                <c:pt idx="402">
                  <c:v>43503</c:v>
                </c:pt>
                <c:pt idx="403">
                  <c:v>43504</c:v>
                </c:pt>
                <c:pt idx="404">
                  <c:v>43505</c:v>
                </c:pt>
                <c:pt idx="405">
                  <c:v>43506</c:v>
                </c:pt>
                <c:pt idx="406">
                  <c:v>43507</c:v>
                </c:pt>
                <c:pt idx="407">
                  <c:v>43508</c:v>
                </c:pt>
                <c:pt idx="408">
                  <c:v>43509</c:v>
                </c:pt>
                <c:pt idx="409">
                  <c:v>43510</c:v>
                </c:pt>
                <c:pt idx="410">
                  <c:v>43511</c:v>
                </c:pt>
                <c:pt idx="411">
                  <c:v>43512</c:v>
                </c:pt>
                <c:pt idx="412">
                  <c:v>43513</c:v>
                </c:pt>
                <c:pt idx="413">
                  <c:v>43514</c:v>
                </c:pt>
                <c:pt idx="414">
                  <c:v>43515</c:v>
                </c:pt>
                <c:pt idx="415">
                  <c:v>43516</c:v>
                </c:pt>
                <c:pt idx="416">
                  <c:v>43517</c:v>
                </c:pt>
                <c:pt idx="417">
                  <c:v>43518</c:v>
                </c:pt>
                <c:pt idx="418">
                  <c:v>43519</c:v>
                </c:pt>
                <c:pt idx="419">
                  <c:v>43520</c:v>
                </c:pt>
                <c:pt idx="420">
                  <c:v>43521</c:v>
                </c:pt>
                <c:pt idx="421">
                  <c:v>43522</c:v>
                </c:pt>
                <c:pt idx="422">
                  <c:v>43523</c:v>
                </c:pt>
                <c:pt idx="423">
                  <c:v>43524</c:v>
                </c:pt>
                <c:pt idx="424">
                  <c:v>43525</c:v>
                </c:pt>
                <c:pt idx="425">
                  <c:v>43526</c:v>
                </c:pt>
                <c:pt idx="426">
                  <c:v>43527</c:v>
                </c:pt>
                <c:pt idx="427">
                  <c:v>43528</c:v>
                </c:pt>
                <c:pt idx="428">
                  <c:v>43529</c:v>
                </c:pt>
                <c:pt idx="429">
                  <c:v>43530</c:v>
                </c:pt>
                <c:pt idx="430">
                  <c:v>43531</c:v>
                </c:pt>
                <c:pt idx="431">
                  <c:v>43532</c:v>
                </c:pt>
                <c:pt idx="432">
                  <c:v>43533</c:v>
                </c:pt>
                <c:pt idx="433">
                  <c:v>43534</c:v>
                </c:pt>
                <c:pt idx="434">
                  <c:v>43535</c:v>
                </c:pt>
                <c:pt idx="435">
                  <c:v>43536</c:v>
                </c:pt>
                <c:pt idx="436">
                  <c:v>43537</c:v>
                </c:pt>
                <c:pt idx="437">
                  <c:v>43538</c:v>
                </c:pt>
                <c:pt idx="438">
                  <c:v>43539</c:v>
                </c:pt>
                <c:pt idx="439">
                  <c:v>43540</c:v>
                </c:pt>
                <c:pt idx="440">
                  <c:v>43541</c:v>
                </c:pt>
                <c:pt idx="441">
                  <c:v>43542</c:v>
                </c:pt>
                <c:pt idx="442">
                  <c:v>43543</c:v>
                </c:pt>
                <c:pt idx="443">
                  <c:v>43544</c:v>
                </c:pt>
                <c:pt idx="444">
                  <c:v>43545</c:v>
                </c:pt>
                <c:pt idx="445">
                  <c:v>43546</c:v>
                </c:pt>
                <c:pt idx="446">
                  <c:v>43547</c:v>
                </c:pt>
                <c:pt idx="447">
                  <c:v>43548</c:v>
                </c:pt>
                <c:pt idx="448">
                  <c:v>43549</c:v>
                </c:pt>
                <c:pt idx="449">
                  <c:v>43550</c:v>
                </c:pt>
                <c:pt idx="450">
                  <c:v>43551</c:v>
                </c:pt>
                <c:pt idx="451">
                  <c:v>43552</c:v>
                </c:pt>
                <c:pt idx="452">
                  <c:v>43553</c:v>
                </c:pt>
                <c:pt idx="453">
                  <c:v>43554</c:v>
                </c:pt>
                <c:pt idx="454">
                  <c:v>43555</c:v>
                </c:pt>
                <c:pt idx="455">
                  <c:v>43556</c:v>
                </c:pt>
                <c:pt idx="456">
                  <c:v>43557</c:v>
                </c:pt>
                <c:pt idx="457">
                  <c:v>43558</c:v>
                </c:pt>
                <c:pt idx="458">
                  <c:v>43559</c:v>
                </c:pt>
                <c:pt idx="459">
                  <c:v>43560</c:v>
                </c:pt>
                <c:pt idx="460">
                  <c:v>43561</c:v>
                </c:pt>
                <c:pt idx="461">
                  <c:v>43562</c:v>
                </c:pt>
                <c:pt idx="462">
                  <c:v>43563</c:v>
                </c:pt>
                <c:pt idx="463">
                  <c:v>43564</c:v>
                </c:pt>
                <c:pt idx="464">
                  <c:v>43565</c:v>
                </c:pt>
                <c:pt idx="465">
                  <c:v>43566</c:v>
                </c:pt>
                <c:pt idx="466">
                  <c:v>43567</c:v>
                </c:pt>
                <c:pt idx="467">
                  <c:v>43568</c:v>
                </c:pt>
                <c:pt idx="468">
                  <c:v>43569</c:v>
                </c:pt>
                <c:pt idx="469">
                  <c:v>43570</c:v>
                </c:pt>
                <c:pt idx="470">
                  <c:v>43571</c:v>
                </c:pt>
                <c:pt idx="471">
                  <c:v>43572</c:v>
                </c:pt>
                <c:pt idx="472">
                  <c:v>43573</c:v>
                </c:pt>
                <c:pt idx="473">
                  <c:v>43574</c:v>
                </c:pt>
                <c:pt idx="474">
                  <c:v>43575</c:v>
                </c:pt>
                <c:pt idx="475">
                  <c:v>43576</c:v>
                </c:pt>
                <c:pt idx="476">
                  <c:v>43577</c:v>
                </c:pt>
                <c:pt idx="477">
                  <c:v>43578</c:v>
                </c:pt>
                <c:pt idx="478">
                  <c:v>43579</c:v>
                </c:pt>
                <c:pt idx="479">
                  <c:v>43580</c:v>
                </c:pt>
                <c:pt idx="480">
                  <c:v>43581</c:v>
                </c:pt>
                <c:pt idx="481">
                  <c:v>43582</c:v>
                </c:pt>
                <c:pt idx="482">
                  <c:v>43583</c:v>
                </c:pt>
                <c:pt idx="483">
                  <c:v>43584</c:v>
                </c:pt>
                <c:pt idx="484">
                  <c:v>43585</c:v>
                </c:pt>
                <c:pt idx="485">
                  <c:v>43586</c:v>
                </c:pt>
                <c:pt idx="486">
                  <c:v>43587</c:v>
                </c:pt>
                <c:pt idx="487">
                  <c:v>43588</c:v>
                </c:pt>
                <c:pt idx="488">
                  <c:v>43589</c:v>
                </c:pt>
                <c:pt idx="489">
                  <c:v>43590</c:v>
                </c:pt>
                <c:pt idx="490">
                  <c:v>43591</c:v>
                </c:pt>
                <c:pt idx="491">
                  <c:v>43592</c:v>
                </c:pt>
                <c:pt idx="492">
                  <c:v>43593</c:v>
                </c:pt>
                <c:pt idx="493">
                  <c:v>43594</c:v>
                </c:pt>
                <c:pt idx="494">
                  <c:v>43595</c:v>
                </c:pt>
                <c:pt idx="495">
                  <c:v>43596</c:v>
                </c:pt>
                <c:pt idx="496">
                  <c:v>43597</c:v>
                </c:pt>
                <c:pt idx="497">
                  <c:v>43598</c:v>
                </c:pt>
                <c:pt idx="498">
                  <c:v>43599</c:v>
                </c:pt>
                <c:pt idx="499">
                  <c:v>43600</c:v>
                </c:pt>
                <c:pt idx="500">
                  <c:v>43601</c:v>
                </c:pt>
                <c:pt idx="501">
                  <c:v>43602</c:v>
                </c:pt>
                <c:pt idx="502">
                  <c:v>43603</c:v>
                </c:pt>
                <c:pt idx="503">
                  <c:v>43604</c:v>
                </c:pt>
                <c:pt idx="504">
                  <c:v>43605</c:v>
                </c:pt>
                <c:pt idx="505">
                  <c:v>43606</c:v>
                </c:pt>
                <c:pt idx="506">
                  <c:v>43607</c:v>
                </c:pt>
                <c:pt idx="507">
                  <c:v>43608</c:v>
                </c:pt>
                <c:pt idx="508">
                  <c:v>43609</c:v>
                </c:pt>
                <c:pt idx="509">
                  <c:v>43610</c:v>
                </c:pt>
                <c:pt idx="510">
                  <c:v>43611</c:v>
                </c:pt>
                <c:pt idx="511">
                  <c:v>43612</c:v>
                </c:pt>
                <c:pt idx="512">
                  <c:v>43613</c:v>
                </c:pt>
                <c:pt idx="513">
                  <c:v>43614</c:v>
                </c:pt>
                <c:pt idx="514">
                  <c:v>43615</c:v>
                </c:pt>
                <c:pt idx="515">
                  <c:v>43616</c:v>
                </c:pt>
                <c:pt idx="516">
                  <c:v>43617</c:v>
                </c:pt>
                <c:pt idx="517">
                  <c:v>43618</c:v>
                </c:pt>
                <c:pt idx="518">
                  <c:v>43619</c:v>
                </c:pt>
                <c:pt idx="519">
                  <c:v>43620</c:v>
                </c:pt>
                <c:pt idx="520">
                  <c:v>43621</c:v>
                </c:pt>
                <c:pt idx="521">
                  <c:v>43622</c:v>
                </c:pt>
                <c:pt idx="522">
                  <c:v>43623</c:v>
                </c:pt>
                <c:pt idx="523">
                  <c:v>43624</c:v>
                </c:pt>
                <c:pt idx="524">
                  <c:v>43625</c:v>
                </c:pt>
                <c:pt idx="525">
                  <c:v>43626</c:v>
                </c:pt>
                <c:pt idx="526">
                  <c:v>43627</c:v>
                </c:pt>
                <c:pt idx="527">
                  <c:v>43628</c:v>
                </c:pt>
                <c:pt idx="528">
                  <c:v>43629</c:v>
                </c:pt>
                <c:pt idx="529">
                  <c:v>43630</c:v>
                </c:pt>
                <c:pt idx="530">
                  <c:v>43631</c:v>
                </c:pt>
                <c:pt idx="531">
                  <c:v>43632</c:v>
                </c:pt>
                <c:pt idx="532">
                  <c:v>43633</c:v>
                </c:pt>
                <c:pt idx="533">
                  <c:v>43634</c:v>
                </c:pt>
                <c:pt idx="534">
                  <c:v>43635</c:v>
                </c:pt>
                <c:pt idx="535">
                  <c:v>43636</c:v>
                </c:pt>
                <c:pt idx="536">
                  <c:v>43637</c:v>
                </c:pt>
                <c:pt idx="537">
                  <c:v>43638</c:v>
                </c:pt>
                <c:pt idx="538">
                  <c:v>43639</c:v>
                </c:pt>
                <c:pt idx="539">
                  <c:v>43640</c:v>
                </c:pt>
                <c:pt idx="540">
                  <c:v>43641</c:v>
                </c:pt>
                <c:pt idx="541">
                  <c:v>43642</c:v>
                </c:pt>
                <c:pt idx="542">
                  <c:v>43643</c:v>
                </c:pt>
                <c:pt idx="543">
                  <c:v>43644</c:v>
                </c:pt>
                <c:pt idx="544">
                  <c:v>43645</c:v>
                </c:pt>
                <c:pt idx="545">
                  <c:v>43646</c:v>
                </c:pt>
                <c:pt idx="546">
                  <c:v>43647</c:v>
                </c:pt>
                <c:pt idx="547">
                  <c:v>43648</c:v>
                </c:pt>
                <c:pt idx="548">
                  <c:v>43649</c:v>
                </c:pt>
                <c:pt idx="549">
                  <c:v>43650</c:v>
                </c:pt>
                <c:pt idx="550">
                  <c:v>43651</c:v>
                </c:pt>
                <c:pt idx="551">
                  <c:v>43652</c:v>
                </c:pt>
                <c:pt idx="552">
                  <c:v>43653</c:v>
                </c:pt>
                <c:pt idx="553">
                  <c:v>43654</c:v>
                </c:pt>
                <c:pt idx="554">
                  <c:v>43655</c:v>
                </c:pt>
                <c:pt idx="555">
                  <c:v>43656</c:v>
                </c:pt>
                <c:pt idx="556">
                  <c:v>43657</c:v>
                </c:pt>
                <c:pt idx="557">
                  <c:v>43658</c:v>
                </c:pt>
                <c:pt idx="558">
                  <c:v>43659</c:v>
                </c:pt>
                <c:pt idx="559">
                  <c:v>43660</c:v>
                </c:pt>
                <c:pt idx="560">
                  <c:v>43661</c:v>
                </c:pt>
                <c:pt idx="561">
                  <c:v>43662</c:v>
                </c:pt>
                <c:pt idx="562">
                  <c:v>43663</c:v>
                </c:pt>
                <c:pt idx="563">
                  <c:v>43664</c:v>
                </c:pt>
                <c:pt idx="564">
                  <c:v>43665</c:v>
                </c:pt>
                <c:pt idx="565">
                  <c:v>43666</c:v>
                </c:pt>
                <c:pt idx="566">
                  <c:v>43667</c:v>
                </c:pt>
                <c:pt idx="567">
                  <c:v>43668</c:v>
                </c:pt>
                <c:pt idx="568">
                  <c:v>43669</c:v>
                </c:pt>
                <c:pt idx="569">
                  <c:v>43670</c:v>
                </c:pt>
                <c:pt idx="570">
                  <c:v>43671</c:v>
                </c:pt>
                <c:pt idx="571">
                  <c:v>43672</c:v>
                </c:pt>
                <c:pt idx="572">
                  <c:v>43673</c:v>
                </c:pt>
                <c:pt idx="573">
                  <c:v>43674</c:v>
                </c:pt>
                <c:pt idx="574">
                  <c:v>43675</c:v>
                </c:pt>
                <c:pt idx="575">
                  <c:v>43676</c:v>
                </c:pt>
                <c:pt idx="576">
                  <c:v>43677</c:v>
                </c:pt>
                <c:pt idx="577">
                  <c:v>43678</c:v>
                </c:pt>
                <c:pt idx="578">
                  <c:v>43679</c:v>
                </c:pt>
                <c:pt idx="579">
                  <c:v>43680</c:v>
                </c:pt>
                <c:pt idx="580">
                  <c:v>43681</c:v>
                </c:pt>
                <c:pt idx="581">
                  <c:v>43682</c:v>
                </c:pt>
                <c:pt idx="582">
                  <c:v>43683</c:v>
                </c:pt>
                <c:pt idx="583">
                  <c:v>43684</c:v>
                </c:pt>
                <c:pt idx="584">
                  <c:v>43685</c:v>
                </c:pt>
                <c:pt idx="585">
                  <c:v>43686</c:v>
                </c:pt>
                <c:pt idx="586">
                  <c:v>43687</c:v>
                </c:pt>
                <c:pt idx="587">
                  <c:v>43688</c:v>
                </c:pt>
                <c:pt idx="588">
                  <c:v>43689</c:v>
                </c:pt>
                <c:pt idx="589">
                  <c:v>43690</c:v>
                </c:pt>
                <c:pt idx="590">
                  <c:v>43691</c:v>
                </c:pt>
                <c:pt idx="591">
                  <c:v>43692</c:v>
                </c:pt>
                <c:pt idx="592">
                  <c:v>43693</c:v>
                </c:pt>
                <c:pt idx="593">
                  <c:v>43694</c:v>
                </c:pt>
                <c:pt idx="594">
                  <c:v>43695</c:v>
                </c:pt>
                <c:pt idx="595">
                  <c:v>43696</c:v>
                </c:pt>
                <c:pt idx="596">
                  <c:v>43697</c:v>
                </c:pt>
                <c:pt idx="597">
                  <c:v>43698</c:v>
                </c:pt>
                <c:pt idx="598">
                  <c:v>43699</c:v>
                </c:pt>
                <c:pt idx="599">
                  <c:v>43700</c:v>
                </c:pt>
                <c:pt idx="600">
                  <c:v>43701</c:v>
                </c:pt>
                <c:pt idx="601">
                  <c:v>43702</c:v>
                </c:pt>
                <c:pt idx="602">
                  <c:v>43703</c:v>
                </c:pt>
                <c:pt idx="603">
                  <c:v>43704</c:v>
                </c:pt>
                <c:pt idx="604">
                  <c:v>43705</c:v>
                </c:pt>
                <c:pt idx="605">
                  <c:v>43706</c:v>
                </c:pt>
                <c:pt idx="606">
                  <c:v>43707</c:v>
                </c:pt>
                <c:pt idx="607">
                  <c:v>43708</c:v>
                </c:pt>
                <c:pt idx="608">
                  <c:v>43709</c:v>
                </c:pt>
                <c:pt idx="609">
                  <c:v>43710</c:v>
                </c:pt>
                <c:pt idx="610">
                  <c:v>43711</c:v>
                </c:pt>
                <c:pt idx="611">
                  <c:v>43712</c:v>
                </c:pt>
                <c:pt idx="612">
                  <c:v>43713</c:v>
                </c:pt>
                <c:pt idx="613">
                  <c:v>43714</c:v>
                </c:pt>
                <c:pt idx="614">
                  <c:v>43715</c:v>
                </c:pt>
                <c:pt idx="615">
                  <c:v>43716</c:v>
                </c:pt>
                <c:pt idx="616">
                  <c:v>43717</c:v>
                </c:pt>
                <c:pt idx="617">
                  <c:v>43718</c:v>
                </c:pt>
                <c:pt idx="618">
                  <c:v>43719</c:v>
                </c:pt>
                <c:pt idx="619">
                  <c:v>43720</c:v>
                </c:pt>
                <c:pt idx="620">
                  <c:v>43721</c:v>
                </c:pt>
                <c:pt idx="621">
                  <c:v>43722</c:v>
                </c:pt>
                <c:pt idx="622">
                  <c:v>43723</c:v>
                </c:pt>
                <c:pt idx="623">
                  <c:v>43724</c:v>
                </c:pt>
                <c:pt idx="624">
                  <c:v>43725</c:v>
                </c:pt>
                <c:pt idx="625">
                  <c:v>43726</c:v>
                </c:pt>
                <c:pt idx="626">
                  <c:v>43727</c:v>
                </c:pt>
                <c:pt idx="627">
                  <c:v>43728</c:v>
                </c:pt>
                <c:pt idx="628">
                  <c:v>43729</c:v>
                </c:pt>
                <c:pt idx="629">
                  <c:v>43730</c:v>
                </c:pt>
                <c:pt idx="630">
                  <c:v>43731</c:v>
                </c:pt>
                <c:pt idx="631">
                  <c:v>43732</c:v>
                </c:pt>
                <c:pt idx="632">
                  <c:v>43733</c:v>
                </c:pt>
                <c:pt idx="633">
                  <c:v>43734</c:v>
                </c:pt>
                <c:pt idx="634">
                  <c:v>43735</c:v>
                </c:pt>
                <c:pt idx="635">
                  <c:v>43736</c:v>
                </c:pt>
                <c:pt idx="636">
                  <c:v>43737</c:v>
                </c:pt>
                <c:pt idx="637">
                  <c:v>43738</c:v>
                </c:pt>
                <c:pt idx="638">
                  <c:v>43739</c:v>
                </c:pt>
                <c:pt idx="639">
                  <c:v>43740</c:v>
                </c:pt>
                <c:pt idx="640">
                  <c:v>43741</c:v>
                </c:pt>
                <c:pt idx="641">
                  <c:v>43742</c:v>
                </c:pt>
                <c:pt idx="642">
                  <c:v>43743</c:v>
                </c:pt>
                <c:pt idx="643">
                  <c:v>43744</c:v>
                </c:pt>
                <c:pt idx="644">
                  <c:v>43745</c:v>
                </c:pt>
                <c:pt idx="645">
                  <c:v>43746</c:v>
                </c:pt>
                <c:pt idx="646">
                  <c:v>43747</c:v>
                </c:pt>
                <c:pt idx="647">
                  <c:v>43748</c:v>
                </c:pt>
                <c:pt idx="648">
                  <c:v>43749</c:v>
                </c:pt>
                <c:pt idx="649">
                  <c:v>43750</c:v>
                </c:pt>
                <c:pt idx="650">
                  <c:v>43751</c:v>
                </c:pt>
                <c:pt idx="651">
                  <c:v>43752</c:v>
                </c:pt>
                <c:pt idx="652">
                  <c:v>43753</c:v>
                </c:pt>
                <c:pt idx="653">
                  <c:v>43754</c:v>
                </c:pt>
                <c:pt idx="654">
                  <c:v>43755</c:v>
                </c:pt>
                <c:pt idx="655">
                  <c:v>43756</c:v>
                </c:pt>
                <c:pt idx="656">
                  <c:v>43757</c:v>
                </c:pt>
                <c:pt idx="657">
                  <c:v>43758</c:v>
                </c:pt>
                <c:pt idx="658">
                  <c:v>43759</c:v>
                </c:pt>
                <c:pt idx="659">
                  <c:v>43760</c:v>
                </c:pt>
                <c:pt idx="660">
                  <c:v>43761</c:v>
                </c:pt>
                <c:pt idx="661">
                  <c:v>43762</c:v>
                </c:pt>
                <c:pt idx="662">
                  <c:v>43763</c:v>
                </c:pt>
                <c:pt idx="663">
                  <c:v>43764</c:v>
                </c:pt>
                <c:pt idx="664">
                  <c:v>43765</c:v>
                </c:pt>
                <c:pt idx="665">
                  <c:v>43766</c:v>
                </c:pt>
                <c:pt idx="666">
                  <c:v>43767</c:v>
                </c:pt>
                <c:pt idx="667">
                  <c:v>43768</c:v>
                </c:pt>
                <c:pt idx="668">
                  <c:v>43769</c:v>
                </c:pt>
                <c:pt idx="669">
                  <c:v>43770</c:v>
                </c:pt>
                <c:pt idx="670">
                  <c:v>43771</c:v>
                </c:pt>
                <c:pt idx="671">
                  <c:v>43772</c:v>
                </c:pt>
                <c:pt idx="672">
                  <c:v>43773</c:v>
                </c:pt>
                <c:pt idx="673">
                  <c:v>43774</c:v>
                </c:pt>
                <c:pt idx="674">
                  <c:v>43775</c:v>
                </c:pt>
                <c:pt idx="675">
                  <c:v>43776</c:v>
                </c:pt>
                <c:pt idx="676">
                  <c:v>43777</c:v>
                </c:pt>
                <c:pt idx="677">
                  <c:v>43778</c:v>
                </c:pt>
                <c:pt idx="678">
                  <c:v>43779</c:v>
                </c:pt>
                <c:pt idx="679">
                  <c:v>43780</c:v>
                </c:pt>
                <c:pt idx="680">
                  <c:v>43781</c:v>
                </c:pt>
                <c:pt idx="681">
                  <c:v>43782</c:v>
                </c:pt>
                <c:pt idx="682">
                  <c:v>43783</c:v>
                </c:pt>
                <c:pt idx="683">
                  <c:v>43784</c:v>
                </c:pt>
                <c:pt idx="684">
                  <c:v>43785</c:v>
                </c:pt>
                <c:pt idx="685">
                  <c:v>43786</c:v>
                </c:pt>
                <c:pt idx="686">
                  <c:v>43787</c:v>
                </c:pt>
                <c:pt idx="687">
                  <c:v>43788</c:v>
                </c:pt>
                <c:pt idx="688">
                  <c:v>43789</c:v>
                </c:pt>
                <c:pt idx="689">
                  <c:v>43790</c:v>
                </c:pt>
                <c:pt idx="690">
                  <c:v>43791</c:v>
                </c:pt>
                <c:pt idx="691">
                  <c:v>43792</c:v>
                </c:pt>
                <c:pt idx="692">
                  <c:v>43793</c:v>
                </c:pt>
                <c:pt idx="693">
                  <c:v>43794</c:v>
                </c:pt>
                <c:pt idx="694">
                  <c:v>43795</c:v>
                </c:pt>
                <c:pt idx="695">
                  <c:v>43796</c:v>
                </c:pt>
                <c:pt idx="696">
                  <c:v>43797</c:v>
                </c:pt>
                <c:pt idx="697">
                  <c:v>43798</c:v>
                </c:pt>
                <c:pt idx="698">
                  <c:v>43799</c:v>
                </c:pt>
                <c:pt idx="699">
                  <c:v>43800</c:v>
                </c:pt>
                <c:pt idx="700">
                  <c:v>43801</c:v>
                </c:pt>
                <c:pt idx="701">
                  <c:v>43802</c:v>
                </c:pt>
                <c:pt idx="702">
                  <c:v>43803</c:v>
                </c:pt>
                <c:pt idx="703">
                  <c:v>43804</c:v>
                </c:pt>
                <c:pt idx="704">
                  <c:v>43805</c:v>
                </c:pt>
                <c:pt idx="705">
                  <c:v>43806</c:v>
                </c:pt>
                <c:pt idx="706">
                  <c:v>43807</c:v>
                </c:pt>
                <c:pt idx="707">
                  <c:v>43808</c:v>
                </c:pt>
                <c:pt idx="708">
                  <c:v>43809</c:v>
                </c:pt>
                <c:pt idx="709">
                  <c:v>43810</c:v>
                </c:pt>
                <c:pt idx="710">
                  <c:v>43811</c:v>
                </c:pt>
                <c:pt idx="711">
                  <c:v>43812</c:v>
                </c:pt>
                <c:pt idx="712">
                  <c:v>43813</c:v>
                </c:pt>
                <c:pt idx="713">
                  <c:v>43814</c:v>
                </c:pt>
                <c:pt idx="714">
                  <c:v>43815</c:v>
                </c:pt>
                <c:pt idx="715">
                  <c:v>43816</c:v>
                </c:pt>
                <c:pt idx="716">
                  <c:v>43817</c:v>
                </c:pt>
                <c:pt idx="717">
                  <c:v>43818</c:v>
                </c:pt>
                <c:pt idx="718">
                  <c:v>43819</c:v>
                </c:pt>
                <c:pt idx="719">
                  <c:v>43820</c:v>
                </c:pt>
                <c:pt idx="720">
                  <c:v>43821</c:v>
                </c:pt>
                <c:pt idx="721">
                  <c:v>43822</c:v>
                </c:pt>
                <c:pt idx="722">
                  <c:v>43823</c:v>
                </c:pt>
                <c:pt idx="723">
                  <c:v>43824</c:v>
                </c:pt>
                <c:pt idx="724">
                  <c:v>43825</c:v>
                </c:pt>
                <c:pt idx="725">
                  <c:v>43826</c:v>
                </c:pt>
                <c:pt idx="726">
                  <c:v>43827</c:v>
                </c:pt>
                <c:pt idx="727">
                  <c:v>43828</c:v>
                </c:pt>
                <c:pt idx="728">
                  <c:v>43829</c:v>
                </c:pt>
                <c:pt idx="729">
                  <c:v>43830</c:v>
                </c:pt>
                <c:pt idx="730">
                  <c:v>43831</c:v>
                </c:pt>
                <c:pt idx="731">
                  <c:v>43832</c:v>
                </c:pt>
                <c:pt idx="732">
                  <c:v>43833</c:v>
                </c:pt>
                <c:pt idx="733">
                  <c:v>43834</c:v>
                </c:pt>
                <c:pt idx="734">
                  <c:v>43835</c:v>
                </c:pt>
                <c:pt idx="735">
                  <c:v>43836</c:v>
                </c:pt>
                <c:pt idx="736">
                  <c:v>43837</c:v>
                </c:pt>
                <c:pt idx="737">
                  <c:v>43838</c:v>
                </c:pt>
                <c:pt idx="738">
                  <c:v>43839</c:v>
                </c:pt>
                <c:pt idx="739">
                  <c:v>43840</c:v>
                </c:pt>
                <c:pt idx="740">
                  <c:v>43841</c:v>
                </c:pt>
                <c:pt idx="741">
                  <c:v>43842</c:v>
                </c:pt>
                <c:pt idx="742">
                  <c:v>43843</c:v>
                </c:pt>
                <c:pt idx="743">
                  <c:v>43844</c:v>
                </c:pt>
                <c:pt idx="744">
                  <c:v>43845</c:v>
                </c:pt>
                <c:pt idx="745">
                  <c:v>43846</c:v>
                </c:pt>
                <c:pt idx="746">
                  <c:v>43847</c:v>
                </c:pt>
                <c:pt idx="747">
                  <c:v>43848</c:v>
                </c:pt>
                <c:pt idx="748">
                  <c:v>43849</c:v>
                </c:pt>
                <c:pt idx="749">
                  <c:v>43850</c:v>
                </c:pt>
                <c:pt idx="750">
                  <c:v>43851</c:v>
                </c:pt>
                <c:pt idx="751">
                  <c:v>43852</c:v>
                </c:pt>
                <c:pt idx="752">
                  <c:v>43853</c:v>
                </c:pt>
                <c:pt idx="753">
                  <c:v>43854</c:v>
                </c:pt>
                <c:pt idx="754">
                  <c:v>43855</c:v>
                </c:pt>
                <c:pt idx="755">
                  <c:v>43856</c:v>
                </c:pt>
                <c:pt idx="756">
                  <c:v>43857</c:v>
                </c:pt>
                <c:pt idx="757">
                  <c:v>43858</c:v>
                </c:pt>
                <c:pt idx="758">
                  <c:v>43859</c:v>
                </c:pt>
                <c:pt idx="759">
                  <c:v>43860</c:v>
                </c:pt>
                <c:pt idx="760">
                  <c:v>43861</c:v>
                </c:pt>
                <c:pt idx="761">
                  <c:v>43862</c:v>
                </c:pt>
                <c:pt idx="762">
                  <c:v>43863</c:v>
                </c:pt>
                <c:pt idx="763">
                  <c:v>43864</c:v>
                </c:pt>
                <c:pt idx="764">
                  <c:v>43865</c:v>
                </c:pt>
                <c:pt idx="765">
                  <c:v>43866</c:v>
                </c:pt>
                <c:pt idx="766">
                  <c:v>43867</c:v>
                </c:pt>
                <c:pt idx="767">
                  <c:v>43868</c:v>
                </c:pt>
                <c:pt idx="768">
                  <c:v>43869</c:v>
                </c:pt>
                <c:pt idx="769">
                  <c:v>43870</c:v>
                </c:pt>
                <c:pt idx="770">
                  <c:v>43871</c:v>
                </c:pt>
                <c:pt idx="771">
                  <c:v>43872</c:v>
                </c:pt>
                <c:pt idx="772">
                  <c:v>43873</c:v>
                </c:pt>
                <c:pt idx="773">
                  <c:v>43874</c:v>
                </c:pt>
                <c:pt idx="774">
                  <c:v>43875</c:v>
                </c:pt>
                <c:pt idx="775">
                  <c:v>43876</c:v>
                </c:pt>
                <c:pt idx="776">
                  <c:v>43877</c:v>
                </c:pt>
                <c:pt idx="777">
                  <c:v>43878</c:v>
                </c:pt>
                <c:pt idx="778">
                  <c:v>43879</c:v>
                </c:pt>
                <c:pt idx="779">
                  <c:v>43880</c:v>
                </c:pt>
                <c:pt idx="780">
                  <c:v>43881</c:v>
                </c:pt>
                <c:pt idx="781">
                  <c:v>43882</c:v>
                </c:pt>
                <c:pt idx="782">
                  <c:v>43883</c:v>
                </c:pt>
                <c:pt idx="783">
                  <c:v>43884</c:v>
                </c:pt>
                <c:pt idx="784">
                  <c:v>43885</c:v>
                </c:pt>
                <c:pt idx="785">
                  <c:v>43886</c:v>
                </c:pt>
                <c:pt idx="786">
                  <c:v>43887</c:v>
                </c:pt>
                <c:pt idx="787">
                  <c:v>43888</c:v>
                </c:pt>
                <c:pt idx="788">
                  <c:v>43889</c:v>
                </c:pt>
                <c:pt idx="789">
                  <c:v>43890</c:v>
                </c:pt>
                <c:pt idx="790">
                  <c:v>43891</c:v>
                </c:pt>
                <c:pt idx="791">
                  <c:v>43892</c:v>
                </c:pt>
                <c:pt idx="792">
                  <c:v>43893</c:v>
                </c:pt>
                <c:pt idx="793">
                  <c:v>43894</c:v>
                </c:pt>
                <c:pt idx="794">
                  <c:v>43895</c:v>
                </c:pt>
                <c:pt idx="795">
                  <c:v>43896</c:v>
                </c:pt>
                <c:pt idx="796">
                  <c:v>43897</c:v>
                </c:pt>
                <c:pt idx="797">
                  <c:v>43898</c:v>
                </c:pt>
                <c:pt idx="798">
                  <c:v>43899</c:v>
                </c:pt>
                <c:pt idx="799">
                  <c:v>43900</c:v>
                </c:pt>
                <c:pt idx="800">
                  <c:v>43901</c:v>
                </c:pt>
                <c:pt idx="801">
                  <c:v>43902</c:v>
                </c:pt>
                <c:pt idx="802">
                  <c:v>43903</c:v>
                </c:pt>
                <c:pt idx="803">
                  <c:v>43904</c:v>
                </c:pt>
                <c:pt idx="804">
                  <c:v>43905</c:v>
                </c:pt>
                <c:pt idx="805">
                  <c:v>43906</c:v>
                </c:pt>
                <c:pt idx="806">
                  <c:v>43907</c:v>
                </c:pt>
                <c:pt idx="807">
                  <c:v>43908</c:v>
                </c:pt>
                <c:pt idx="808">
                  <c:v>43909</c:v>
                </c:pt>
                <c:pt idx="809">
                  <c:v>43910</c:v>
                </c:pt>
                <c:pt idx="810">
                  <c:v>43911</c:v>
                </c:pt>
                <c:pt idx="811">
                  <c:v>43912</c:v>
                </c:pt>
                <c:pt idx="812">
                  <c:v>43913</c:v>
                </c:pt>
                <c:pt idx="813">
                  <c:v>43914</c:v>
                </c:pt>
                <c:pt idx="814">
                  <c:v>43915</c:v>
                </c:pt>
                <c:pt idx="815">
                  <c:v>43916</c:v>
                </c:pt>
                <c:pt idx="816">
                  <c:v>43917</c:v>
                </c:pt>
                <c:pt idx="817">
                  <c:v>43918</c:v>
                </c:pt>
                <c:pt idx="818">
                  <c:v>43919</c:v>
                </c:pt>
                <c:pt idx="819">
                  <c:v>43920</c:v>
                </c:pt>
                <c:pt idx="820">
                  <c:v>43921</c:v>
                </c:pt>
                <c:pt idx="821">
                  <c:v>43922</c:v>
                </c:pt>
                <c:pt idx="822">
                  <c:v>43923</c:v>
                </c:pt>
                <c:pt idx="823">
                  <c:v>43924</c:v>
                </c:pt>
                <c:pt idx="824">
                  <c:v>43925</c:v>
                </c:pt>
                <c:pt idx="825">
                  <c:v>43926</c:v>
                </c:pt>
                <c:pt idx="826">
                  <c:v>43927</c:v>
                </c:pt>
                <c:pt idx="827">
                  <c:v>43928</c:v>
                </c:pt>
                <c:pt idx="828">
                  <c:v>43929</c:v>
                </c:pt>
                <c:pt idx="829">
                  <c:v>43930</c:v>
                </c:pt>
                <c:pt idx="830">
                  <c:v>43931</c:v>
                </c:pt>
                <c:pt idx="831">
                  <c:v>43932</c:v>
                </c:pt>
                <c:pt idx="832">
                  <c:v>43933</c:v>
                </c:pt>
                <c:pt idx="833">
                  <c:v>43934</c:v>
                </c:pt>
                <c:pt idx="834">
                  <c:v>43935</c:v>
                </c:pt>
                <c:pt idx="835">
                  <c:v>43936</c:v>
                </c:pt>
                <c:pt idx="836">
                  <c:v>43937</c:v>
                </c:pt>
                <c:pt idx="837">
                  <c:v>43938</c:v>
                </c:pt>
                <c:pt idx="838">
                  <c:v>43939</c:v>
                </c:pt>
                <c:pt idx="839">
                  <c:v>43940</c:v>
                </c:pt>
                <c:pt idx="840">
                  <c:v>43941</c:v>
                </c:pt>
                <c:pt idx="841">
                  <c:v>43942</c:v>
                </c:pt>
                <c:pt idx="842">
                  <c:v>43943</c:v>
                </c:pt>
                <c:pt idx="843">
                  <c:v>43944</c:v>
                </c:pt>
                <c:pt idx="844">
                  <c:v>43945</c:v>
                </c:pt>
                <c:pt idx="845">
                  <c:v>43946</c:v>
                </c:pt>
                <c:pt idx="846">
                  <c:v>43947</c:v>
                </c:pt>
                <c:pt idx="847">
                  <c:v>43948</c:v>
                </c:pt>
                <c:pt idx="848">
                  <c:v>43949</c:v>
                </c:pt>
                <c:pt idx="849">
                  <c:v>43950</c:v>
                </c:pt>
                <c:pt idx="850">
                  <c:v>43951</c:v>
                </c:pt>
                <c:pt idx="851">
                  <c:v>43952</c:v>
                </c:pt>
                <c:pt idx="852">
                  <c:v>43953</c:v>
                </c:pt>
                <c:pt idx="853">
                  <c:v>43954</c:v>
                </c:pt>
                <c:pt idx="854">
                  <c:v>43955</c:v>
                </c:pt>
                <c:pt idx="855">
                  <c:v>43956</c:v>
                </c:pt>
                <c:pt idx="856">
                  <c:v>43957</c:v>
                </c:pt>
                <c:pt idx="857">
                  <c:v>43958</c:v>
                </c:pt>
                <c:pt idx="858">
                  <c:v>43959</c:v>
                </c:pt>
                <c:pt idx="859">
                  <c:v>43960</c:v>
                </c:pt>
                <c:pt idx="860">
                  <c:v>43961</c:v>
                </c:pt>
                <c:pt idx="861">
                  <c:v>43962</c:v>
                </c:pt>
                <c:pt idx="862">
                  <c:v>43963</c:v>
                </c:pt>
                <c:pt idx="863">
                  <c:v>43964</c:v>
                </c:pt>
                <c:pt idx="864">
                  <c:v>43965</c:v>
                </c:pt>
                <c:pt idx="865">
                  <c:v>43966</c:v>
                </c:pt>
                <c:pt idx="866">
                  <c:v>43967</c:v>
                </c:pt>
                <c:pt idx="867">
                  <c:v>43968</c:v>
                </c:pt>
                <c:pt idx="868">
                  <c:v>43969</c:v>
                </c:pt>
                <c:pt idx="869">
                  <c:v>43970</c:v>
                </c:pt>
                <c:pt idx="870">
                  <c:v>43971</c:v>
                </c:pt>
                <c:pt idx="871">
                  <c:v>43972</c:v>
                </c:pt>
                <c:pt idx="872">
                  <c:v>43973</c:v>
                </c:pt>
                <c:pt idx="873">
                  <c:v>43974</c:v>
                </c:pt>
                <c:pt idx="874">
                  <c:v>43975</c:v>
                </c:pt>
                <c:pt idx="875">
                  <c:v>43976</c:v>
                </c:pt>
                <c:pt idx="876">
                  <c:v>43977</c:v>
                </c:pt>
                <c:pt idx="877">
                  <c:v>43978</c:v>
                </c:pt>
                <c:pt idx="878">
                  <c:v>43979</c:v>
                </c:pt>
                <c:pt idx="879">
                  <c:v>43980</c:v>
                </c:pt>
                <c:pt idx="880">
                  <c:v>43981</c:v>
                </c:pt>
                <c:pt idx="881">
                  <c:v>43982</c:v>
                </c:pt>
                <c:pt idx="882">
                  <c:v>43983</c:v>
                </c:pt>
                <c:pt idx="883">
                  <c:v>43984</c:v>
                </c:pt>
                <c:pt idx="884">
                  <c:v>43985</c:v>
                </c:pt>
                <c:pt idx="885">
                  <c:v>43986</c:v>
                </c:pt>
                <c:pt idx="886">
                  <c:v>43987</c:v>
                </c:pt>
                <c:pt idx="887">
                  <c:v>43988</c:v>
                </c:pt>
                <c:pt idx="888">
                  <c:v>43989</c:v>
                </c:pt>
                <c:pt idx="889">
                  <c:v>43990</c:v>
                </c:pt>
                <c:pt idx="890">
                  <c:v>43991</c:v>
                </c:pt>
                <c:pt idx="891">
                  <c:v>43992</c:v>
                </c:pt>
                <c:pt idx="892">
                  <c:v>43993</c:v>
                </c:pt>
                <c:pt idx="893">
                  <c:v>43994</c:v>
                </c:pt>
                <c:pt idx="894">
                  <c:v>43995</c:v>
                </c:pt>
                <c:pt idx="895">
                  <c:v>43996</c:v>
                </c:pt>
                <c:pt idx="896">
                  <c:v>43997</c:v>
                </c:pt>
                <c:pt idx="897">
                  <c:v>43998</c:v>
                </c:pt>
                <c:pt idx="898">
                  <c:v>43999</c:v>
                </c:pt>
                <c:pt idx="899">
                  <c:v>44000</c:v>
                </c:pt>
                <c:pt idx="900">
                  <c:v>44001</c:v>
                </c:pt>
                <c:pt idx="901">
                  <c:v>44002</c:v>
                </c:pt>
                <c:pt idx="902">
                  <c:v>44003</c:v>
                </c:pt>
                <c:pt idx="903">
                  <c:v>44004</c:v>
                </c:pt>
                <c:pt idx="904">
                  <c:v>44005</c:v>
                </c:pt>
                <c:pt idx="905">
                  <c:v>44006</c:v>
                </c:pt>
                <c:pt idx="906">
                  <c:v>44007</c:v>
                </c:pt>
                <c:pt idx="907">
                  <c:v>44008</c:v>
                </c:pt>
                <c:pt idx="908">
                  <c:v>44009</c:v>
                </c:pt>
                <c:pt idx="909">
                  <c:v>44010</c:v>
                </c:pt>
                <c:pt idx="910">
                  <c:v>44011</c:v>
                </c:pt>
                <c:pt idx="911">
                  <c:v>44012</c:v>
                </c:pt>
                <c:pt idx="912">
                  <c:v>44013</c:v>
                </c:pt>
                <c:pt idx="913">
                  <c:v>44014</c:v>
                </c:pt>
                <c:pt idx="914">
                  <c:v>44015</c:v>
                </c:pt>
                <c:pt idx="915">
                  <c:v>44016</c:v>
                </c:pt>
                <c:pt idx="916">
                  <c:v>44017</c:v>
                </c:pt>
                <c:pt idx="917">
                  <c:v>44018</c:v>
                </c:pt>
                <c:pt idx="918">
                  <c:v>44019</c:v>
                </c:pt>
                <c:pt idx="919">
                  <c:v>44020</c:v>
                </c:pt>
                <c:pt idx="920">
                  <c:v>44021</c:v>
                </c:pt>
                <c:pt idx="921">
                  <c:v>44022</c:v>
                </c:pt>
                <c:pt idx="922">
                  <c:v>44023</c:v>
                </c:pt>
                <c:pt idx="923">
                  <c:v>44024</c:v>
                </c:pt>
                <c:pt idx="924">
                  <c:v>44025</c:v>
                </c:pt>
                <c:pt idx="925">
                  <c:v>44026</c:v>
                </c:pt>
                <c:pt idx="926">
                  <c:v>44027</c:v>
                </c:pt>
                <c:pt idx="927">
                  <c:v>44028</c:v>
                </c:pt>
                <c:pt idx="928">
                  <c:v>44029</c:v>
                </c:pt>
                <c:pt idx="929">
                  <c:v>44030</c:v>
                </c:pt>
                <c:pt idx="930">
                  <c:v>44031</c:v>
                </c:pt>
                <c:pt idx="931">
                  <c:v>44032</c:v>
                </c:pt>
                <c:pt idx="932">
                  <c:v>44033</c:v>
                </c:pt>
                <c:pt idx="933">
                  <c:v>44034</c:v>
                </c:pt>
                <c:pt idx="934">
                  <c:v>44035</c:v>
                </c:pt>
                <c:pt idx="935">
                  <c:v>44036</c:v>
                </c:pt>
                <c:pt idx="936">
                  <c:v>44037</c:v>
                </c:pt>
                <c:pt idx="937">
                  <c:v>44038</c:v>
                </c:pt>
                <c:pt idx="938">
                  <c:v>44039</c:v>
                </c:pt>
                <c:pt idx="939">
                  <c:v>44040</c:v>
                </c:pt>
                <c:pt idx="940">
                  <c:v>44041</c:v>
                </c:pt>
                <c:pt idx="941">
                  <c:v>44042</c:v>
                </c:pt>
                <c:pt idx="942">
                  <c:v>44043</c:v>
                </c:pt>
                <c:pt idx="943">
                  <c:v>44044</c:v>
                </c:pt>
                <c:pt idx="944">
                  <c:v>44045</c:v>
                </c:pt>
                <c:pt idx="945">
                  <c:v>44046</c:v>
                </c:pt>
                <c:pt idx="946">
                  <c:v>44047</c:v>
                </c:pt>
                <c:pt idx="947">
                  <c:v>44048</c:v>
                </c:pt>
                <c:pt idx="948">
                  <c:v>44049</c:v>
                </c:pt>
                <c:pt idx="949">
                  <c:v>44050</c:v>
                </c:pt>
                <c:pt idx="950">
                  <c:v>44051</c:v>
                </c:pt>
                <c:pt idx="951">
                  <c:v>44052</c:v>
                </c:pt>
                <c:pt idx="952">
                  <c:v>44053</c:v>
                </c:pt>
                <c:pt idx="953">
                  <c:v>44054</c:v>
                </c:pt>
                <c:pt idx="954">
                  <c:v>44055</c:v>
                </c:pt>
                <c:pt idx="955">
                  <c:v>44056</c:v>
                </c:pt>
                <c:pt idx="956">
                  <c:v>44057</c:v>
                </c:pt>
                <c:pt idx="957">
                  <c:v>44058</c:v>
                </c:pt>
                <c:pt idx="958">
                  <c:v>44059</c:v>
                </c:pt>
                <c:pt idx="959">
                  <c:v>44060</c:v>
                </c:pt>
                <c:pt idx="960">
                  <c:v>44061</c:v>
                </c:pt>
                <c:pt idx="961">
                  <c:v>44062</c:v>
                </c:pt>
                <c:pt idx="962">
                  <c:v>44063</c:v>
                </c:pt>
                <c:pt idx="963">
                  <c:v>44064</c:v>
                </c:pt>
                <c:pt idx="964">
                  <c:v>44065</c:v>
                </c:pt>
                <c:pt idx="965">
                  <c:v>44066</c:v>
                </c:pt>
                <c:pt idx="966">
                  <c:v>44067</c:v>
                </c:pt>
                <c:pt idx="967">
                  <c:v>44068</c:v>
                </c:pt>
                <c:pt idx="968">
                  <c:v>44069</c:v>
                </c:pt>
                <c:pt idx="969">
                  <c:v>44070</c:v>
                </c:pt>
                <c:pt idx="970">
                  <c:v>44071</c:v>
                </c:pt>
                <c:pt idx="971">
                  <c:v>44072</c:v>
                </c:pt>
                <c:pt idx="972">
                  <c:v>44073</c:v>
                </c:pt>
                <c:pt idx="973">
                  <c:v>44074</c:v>
                </c:pt>
                <c:pt idx="974">
                  <c:v>44075</c:v>
                </c:pt>
                <c:pt idx="975">
                  <c:v>44076</c:v>
                </c:pt>
                <c:pt idx="976">
                  <c:v>44077</c:v>
                </c:pt>
                <c:pt idx="977">
                  <c:v>44078</c:v>
                </c:pt>
                <c:pt idx="978">
                  <c:v>44079</c:v>
                </c:pt>
                <c:pt idx="979">
                  <c:v>44080</c:v>
                </c:pt>
                <c:pt idx="980">
                  <c:v>44081</c:v>
                </c:pt>
                <c:pt idx="981">
                  <c:v>44082</c:v>
                </c:pt>
                <c:pt idx="982">
                  <c:v>44083</c:v>
                </c:pt>
                <c:pt idx="983">
                  <c:v>44084</c:v>
                </c:pt>
                <c:pt idx="984">
                  <c:v>44085</c:v>
                </c:pt>
                <c:pt idx="985">
                  <c:v>44086</c:v>
                </c:pt>
                <c:pt idx="986">
                  <c:v>44087</c:v>
                </c:pt>
                <c:pt idx="987">
                  <c:v>44088</c:v>
                </c:pt>
                <c:pt idx="988">
                  <c:v>44089</c:v>
                </c:pt>
                <c:pt idx="989">
                  <c:v>44090</c:v>
                </c:pt>
                <c:pt idx="990">
                  <c:v>44091</c:v>
                </c:pt>
                <c:pt idx="991">
                  <c:v>44092</c:v>
                </c:pt>
                <c:pt idx="992">
                  <c:v>44093</c:v>
                </c:pt>
                <c:pt idx="993">
                  <c:v>44094</c:v>
                </c:pt>
                <c:pt idx="994">
                  <c:v>44095</c:v>
                </c:pt>
                <c:pt idx="995">
                  <c:v>44096</c:v>
                </c:pt>
                <c:pt idx="996">
                  <c:v>44097</c:v>
                </c:pt>
                <c:pt idx="997">
                  <c:v>44098</c:v>
                </c:pt>
                <c:pt idx="998">
                  <c:v>44099</c:v>
                </c:pt>
                <c:pt idx="999">
                  <c:v>44100</c:v>
                </c:pt>
                <c:pt idx="1000">
                  <c:v>44101</c:v>
                </c:pt>
                <c:pt idx="1001">
                  <c:v>44102</c:v>
                </c:pt>
                <c:pt idx="1002">
                  <c:v>44103</c:v>
                </c:pt>
                <c:pt idx="1003">
                  <c:v>44104</c:v>
                </c:pt>
                <c:pt idx="1004">
                  <c:v>44105</c:v>
                </c:pt>
                <c:pt idx="1005">
                  <c:v>44106</c:v>
                </c:pt>
                <c:pt idx="1006">
                  <c:v>44107</c:v>
                </c:pt>
                <c:pt idx="1007">
                  <c:v>44108</c:v>
                </c:pt>
                <c:pt idx="1008">
                  <c:v>44109</c:v>
                </c:pt>
                <c:pt idx="1009">
                  <c:v>44110</c:v>
                </c:pt>
                <c:pt idx="1010">
                  <c:v>44111</c:v>
                </c:pt>
                <c:pt idx="1011">
                  <c:v>44112</c:v>
                </c:pt>
                <c:pt idx="1012">
                  <c:v>44113</c:v>
                </c:pt>
                <c:pt idx="1013">
                  <c:v>44114</c:v>
                </c:pt>
                <c:pt idx="1014">
                  <c:v>44115</c:v>
                </c:pt>
                <c:pt idx="1015">
                  <c:v>44116</c:v>
                </c:pt>
                <c:pt idx="1016">
                  <c:v>44117</c:v>
                </c:pt>
                <c:pt idx="1017">
                  <c:v>44118</c:v>
                </c:pt>
                <c:pt idx="1018">
                  <c:v>44119</c:v>
                </c:pt>
                <c:pt idx="1019">
                  <c:v>44120</c:v>
                </c:pt>
                <c:pt idx="1020">
                  <c:v>44121</c:v>
                </c:pt>
                <c:pt idx="1021">
                  <c:v>44122</c:v>
                </c:pt>
                <c:pt idx="1022">
                  <c:v>44123</c:v>
                </c:pt>
                <c:pt idx="1023">
                  <c:v>44124</c:v>
                </c:pt>
                <c:pt idx="1024">
                  <c:v>44125</c:v>
                </c:pt>
                <c:pt idx="1025">
                  <c:v>44126</c:v>
                </c:pt>
                <c:pt idx="1026">
                  <c:v>44127</c:v>
                </c:pt>
                <c:pt idx="1027">
                  <c:v>44128</c:v>
                </c:pt>
                <c:pt idx="1028">
                  <c:v>44129</c:v>
                </c:pt>
                <c:pt idx="1029">
                  <c:v>44130</c:v>
                </c:pt>
                <c:pt idx="1030">
                  <c:v>44131</c:v>
                </c:pt>
                <c:pt idx="1031">
                  <c:v>44132</c:v>
                </c:pt>
                <c:pt idx="1032">
                  <c:v>44133</c:v>
                </c:pt>
                <c:pt idx="1033">
                  <c:v>44134</c:v>
                </c:pt>
                <c:pt idx="1034">
                  <c:v>44135</c:v>
                </c:pt>
                <c:pt idx="1035">
                  <c:v>44136</c:v>
                </c:pt>
                <c:pt idx="1036">
                  <c:v>44137</c:v>
                </c:pt>
                <c:pt idx="1037">
                  <c:v>44138</c:v>
                </c:pt>
                <c:pt idx="1038">
                  <c:v>44139</c:v>
                </c:pt>
                <c:pt idx="1039">
                  <c:v>44140</c:v>
                </c:pt>
                <c:pt idx="1040">
                  <c:v>44141</c:v>
                </c:pt>
                <c:pt idx="1041">
                  <c:v>44142</c:v>
                </c:pt>
                <c:pt idx="1042">
                  <c:v>44143</c:v>
                </c:pt>
                <c:pt idx="1043">
                  <c:v>44144</c:v>
                </c:pt>
                <c:pt idx="1044">
                  <c:v>44145</c:v>
                </c:pt>
                <c:pt idx="1045">
                  <c:v>44146</c:v>
                </c:pt>
                <c:pt idx="1046">
                  <c:v>44147</c:v>
                </c:pt>
                <c:pt idx="1047">
                  <c:v>44148</c:v>
                </c:pt>
                <c:pt idx="1048">
                  <c:v>44149</c:v>
                </c:pt>
                <c:pt idx="1049">
                  <c:v>44150</c:v>
                </c:pt>
                <c:pt idx="1050">
                  <c:v>44151</c:v>
                </c:pt>
                <c:pt idx="1051">
                  <c:v>44152</c:v>
                </c:pt>
                <c:pt idx="1052">
                  <c:v>44153</c:v>
                </c:pt>
                <c:pt idx="1053">
                  <c:v>44154</c:v>
                </c:pt>
                <c:pt idx="1054">
                  <c:v>44155</c:v>
                </c:pt>
                <c:pt idx="1055">
                  <c:v>44156</c:v>
                </c:pt>
                <c:pt idx="1056">
                  <c:v>44157</c:v>
                </c:pt>
                <c:pt idx="1057">
                  <c:v>44158</c:v>
                </c:pt>
                <c:pt idx="1058">
                  <c:v>44159</c:v>
                </c:pt>
                <c:pt idx="1059">
                  <c:v>44160</c:v>
                </c:pt>
                <c:pt idx="1060">
                  <c:v>44161</c:v>
                </c:pt>
                <c:pt idx="1061">
                  <c:v>44162</c:v>
                </c:pt>
                <c:pt idx="1062">
                  <c:v>44163</c:v>
                </c:pt>
                <c:pt idx="1063">
                  <c:v>44164</c:v>
                </c:pt>
                <c:pt idx="1064">
                  <c:v>44165</c:v>
                </c:pt>
                <c:pt idx="1065">
                  <c:v>44166</c:v>
                </c:pt>
                <c:pt idx="1066">
                  <c:v>44167</c:v>
                </c:pt>
                <c:pt idx="1067">
                  <c:v>44168</c:v>
                </c:pt>
                <c:pt idx="1068">
                  <c:v>44169</c:v>
                </c:pt>
                <c:pt idx="1069">
                  <c:v>44170</c:v>
                </c:pt>
                <c:pt idx="1070">
                  <c:v>44171</c:v>
                </c:pt>
                <c:pt idx="1071">
                  <c:v>44172</c:v>
                </c:pt>
                <c:pt idx="1072">
                  <c:v>44173</c:v>
                </c:pt>
                <c:pt idx="1073">
                  <c:v>44174</c:v>
                </c:pt>
                <c:pt idx="1074">
                  <c:v>44175</c:v>
                </c:pt>
                <c:pt idx="1075">
                  <c:v>44176</c:v>
                </c:pt>
                <c:pt idx="1076">
                  <c:v>44177</c:v>
                </c:pt>
                <c:pt idx="1077">
                  <c:v>44178</c:v>
                </c:pt>
                <c:pt idx="1078">
                  <c:v>44179</c:v>
                </c:pt>
                <c:pt idx="1079">
                  <c:v>44180</c:v>
                </c:pt>
                <c:pt idx="1080">
                  <c:v>44181</c:v>
                </c:pt>
                <c:pt idx="1081">
                  <c:v>44182</c:v>
                </c:pt>
                <c:pt idx="1082">
                  <c:v>44183</c:v>
                </c:pt>
                <c:pt idx="1083">
                  <c:v>44184</c:v>
                </c:pt>
                <c:pt idx="1084">
                  <c:v>44185</c:v>
                </c:pt>
                <c:pt idx="1085">
                  <c:v>44186</c:v>
                </c:pt>
                <c:pt idx="1086">
                  <c:v>44187</c:v>
                </c:pt>
                <c:pt idx="1087">
                  <c:v>44188</c:v>
                </c:pt>
                <c:pt idx="1088">
                  <c:v>44189</c:v>
                </c:pt>
                <c:pt idx="1089">
                  <c:v>44190</c:v>
                </c:pt>
                <c:pt idx="1090">
                  <c:v>44191</c:v>
                </c:pt>
                <c:pt idx="1091">
                  <c:v>44192</c:v>
                </c:pt>
                <c:pt idx="1092">
                  <c:v>44193</c:v>
                </c:pt>
                <c:pt idx="1093">
                  <c:v>44194</c:v>
                </c:pt>
                <c:pt idx="1094">
                  <c:v>44195</c:v>
                </c:pt>
                <c:pt idx="1095">
                  <c:v>44196</c:v>
                </c:pt>
                <c:pt idx="1096">
                  <c:v>44197</c:v>
                </c:pt>
                <c:pt idx="1097">
                  <c:v>44198</c:v>
                </c:pt>
                <c:pt idx="1098">
                  <c:v>44199</c:v>
                </c:pt>
                <c:pt idx="1099">
                  <c:v>44200</c:v>
                </c:pt>
                <c:pt idx="1100">
                  <c:v>44201</c:v>
                </c:pt>
                <c:pt idx="1101">
                  <c:v>44202</c:v>
                </c:pt>
                <c:pt idx="1102">
                  <c:v>44203</c:v>
                </c:pt>
                <c:pt idx="1103">
                  <c:v>44204</c:v>
                </c:pt>
                <c:pt idx="1104">
                  <c:v>44205</c:v>
                </c:pt>
                <c:pt idx="1105">
                  <c:v>44206</c:v>
                </c:pt>
                <c:pt idx="1106">
                  <c:v>44207</c:v>
                </c:pt>
                <c:pt idx="1107">
                  <c:v>44208</c:v>
                </c:pt>
                <c:pt idx="1108">
                  <c:v>44209</c:v>
                </c:pt>
                <c:pt idx="1109">
                  <c:v>44210</c:v>
                </c:pt>
                <c:pt idx="1110">
                  <c:v>44211</c:v>
                </c:pt>
                <c:pt idx="1111">
                  <c:v>44212</c:v>
                </c:pt>
                <c:pt idx="1112">
                  <c:v>44213</c:v>
                </c:pt>
                <c:pt idx="1113">
                  <c:v>44214</c:v>
                </c:pt>
                <c:pt idx="1114">
                  <c:v>44215</c:v>
                </c:pt>
                <c:pt idx="1115">
                  <c:v>44216</c:v>
                </c:pt>
                <c:pt idx="1116">
                  <c:v>44217</c:v>
                </c:pt>
                <c:pt idx="1117">
                  <c:v>44218</c:v>
                </c:pt>
                <c:pt idx="1118">
                  <c:v>44219</c:v>
                </c:pt>
                <c:pt idx="1119">
                  <c:v>44220</c:v>
                </c:pt>
                <c:pt idx="1120">
                  <c:v>44221</c:v>
                </c:pt>
                <c:pt idx="1121">
                  <c:v>44222</c:v>
                </c:pt>
                <c:pt idx="1122">
                  <c:v>44223</c:v>
                </c:pt>
                <c:pt idx="1123">
                  <c:v>44224</c:v>
                </c:pt>
                <c:pt idx="1124">
                  <c:v>44225</c:v>
                </c:pt>
                <c:pt idx="1125">
                  <c:v>44226</c:v>
                </c:pt>
                <c:pt idx="1126">
                  <c:v>44227</c:v>
                </c:pt>
                <c:pt idx="1127">
                  <c:v>44228</c:v>
                </c:pt>
                <c:pt idx="1128">
                  <c:v>44229</c:v>
                </c:pt>
                <c:pt idx="1129">
                  <c:v>44230</c:v>
                </c:pt>
                <c:pt idx="1130">
                  <c:v>44231</c:v>
                </c:pt>
                <c:pt idx="1131">
                  <c:v>44232</c:v>
                </c:pt>
                <c:pt idx="1132">
                  <c:v>44233</c:v>
                </c:pt>
                <c:pt idx="1133">
                  <c:v>44234</c:v>
                </c:pt>
                <c:pt idx="1134">
                  <c:v>44235</c:v>
                </c:pt>
                <c:pt idx="1135">
                  <c:v>44236</c:v>
                </c:pt>
                <c:pt idx="1136">
                  <c:v>44237</c:v>
                </c:pt>
                <c:pt idx="1137">
                  <c:v>44238</c:v>
                </c:pt>
                <c:pt idx="1138">
                  <c:v>44239</c:v>
                </c:pt>
                <c:pt idx="1139">
                  <c:v>44240</c:v>
                </c:pt>
                <c:pt idx="1140">
                  <c:v>44241</c:v>
                </c:pt>
                <c:pt idx="1141">
                  <c:v>44242</c:v>
                </c:pt>
                <c:pt idx="1142">
                  <c:v>44243</c:v>
                </c:pt>
                <c:pt idx="1143">
                  <c:v>44244</c:v>
                </c:pt>
                <c:pt idx="1144">
                  <c:v>44245</c:v>
                </c:pt>
                <c:pt idx="1145">
                  <c:v>44246</c:v>
                </c:pt>
                <c:pt idx="1146">
                  <c:v>44247</c:v>
                </c:pt>
                <c:pt idx="1147">
                  <c:v>44248</c:v>
                </c:pt>
                <c:pt idx="1148">
                  <c:v>44249</c:v>
                </c:pt>
                <c:pt idx="1149">
                  <c:v>44250</c:v>
                </c:pt>
                <c:pt idx="1150">
                  <c:v>44251</c:v>
                </c:pt>
                <c:pt idx="1151">
                  <c:v>44252</c:v>
                </c:pt>
                <c:pt idx="1152">
                  <c:v>44253</c:v>
                </c:pt>
                <c:pt idx="1153">
                  <c:v>44254</c:v>
                </c:pt>
                <c:pt idx="1154">
                  <c:v>44255</c:v>
                </c:pt>
                <c:pt idx="1155">
                  <c:v>44256</c:v>
                </c:pt>
                <c:pt idx="1156">
                  <c:v>44257</c:v>
                </c:pt>
                <c:pt idx="1157">
                  <c:v>44258</c:v>
                </c:pt>
                <c:pt idx="1158">
                  <c:v>44259</c:v>
                </c:pt>
                <c:pt idx="1159">
                  <c:v>44260</c:v>
                </c:pt>
                <c:pt idx="1160">
                  <c:v>44261</c:v>
                </c:pt>
                <c:pt idx="1161">
                  <c:v>44262</c:v>
                </c:pt>
                <c:pt idx="1162">
                  <c:v>44263</c:v>
                </c:pt>
                <c:pt idx="1163">
                  <c:v>44264</c:v>
                </c:pt>
                <c:pt idx="1164">
                  <c:v>44265</c:v>
                </c:pt>
                <c:pt idx="1165">
                  <c:v>44266</c:v>
                </c:pt>
                <c:pt idx="1166">
                  <c:v>44267</c:v>
                </c:pt>
                <c:pt idx="1167">
                  <c:v>44268</c:v>
                </c:pt>
                <c:pt idx="1168">
                  <c:v>44269</c:v>
                </c:pt>
                <c:pt idx="1169">
                  <c:v>44270</c:v>
                </c:pt>
                <c:pt idx="1170">
                  <c:v>44271</c:v>
                </c:pt>
                <c:pt idx="1171">
                  <c:v>44272</c:v>
                </c:pt>
                <c:pt idx="1172">
                  <c:v>44273</c:v>
                </c:pt>
                <c:pt idx="1173">
                  <c:v>44274</c:v>
                </c:pt>
                <c:pt idx="1174">
                  <c:v>44275</c:v>
                </c:pt>
                <c:pt idx="1175">
                  <c:v>44276</c:v>
                </c:pt>
                <c:pt idx="1176">
                  <c:v>44277</c:v>
                </c:pt>
                <c:pt idx="1177">
                  <c:v>44278</c:v>
                </c:pt>
                <c:pt idx="1178">
                  <c:v>44279</c:v>
                </c:pt>
                <c:pt idx="1179">
                  <c:v>44280</c:v>
                </c:pt>
                <c:pt idx="1180">
                  <c:v>44281</c:v>
                </c:pt>
                <c:pt idx="1181">
                  <c:v>44282</c:v>
                </c:pt>
                <c:pt idx="1182">
                  <c:v>44283</c:v>
                </c:pt>
                <c:pt idx="1183">
                  <c:v>44284</c:v>
                </c:pt>
                <c:pt idx="1184">
                  <c:v>44285</c:v>
                </c:pt>
                <c:pt idx="1185">
                  <c:v>44286</c:v>
                </c:pt>
                <c:pt idx="1186">
                  <c:v>44287</c:v>
                </c:pt>
                <c:pt idx="1187">
                  <c:v>44288</c:v>
                </c:pt>
                <c:pt idx="1188">
                  <c:v>44289</c:v>
                </c:pt>
                <c:pt idx="1189">
                  <c:v>44290</c:v>
                </c:pt>
                <c:pt idx="1190">
                  <c:v>44291</c:v>
                </c:pt>
                <c:pt idx="1191">
                  <c:v>44292</c:v>
                </c:pt>
                <c:pt idx="1192">
                  <c:v>44293</c:v>
                </c:pt>
                <c:pt idx="1193">
                  <c:v>44294</c:v>
                </c:pt>
                <c:pt idx="1194">
                  <c:v>44295</c:v>
                </c:pt>
                <c:pt idx="1195">
                  <c:v>44296</c:v>
                </c:pt>
                <c:pt idx="1196">
                  <c:v>44297</c:v>
                </c:pt>
                <c:pt idx="1197">
                  <c:v>44298</c:v>
                </c:pt>
                <c:pt idx="1198">
                  <c:v>44299</c:v>
                </c:pt>
                <c:pt idx="1199">
                  <c:v>44300</c:v>
                </c:pt>
                <c:pt idx="1200">
                  <c:v>44301</c:v>
                </c:pt>
                <c:pt idx="1201">
                  <c:v>44302</c:v>
                </c:pt>
                <c:pt idx="1202">
                  <c:v>44303</c:v>
                </c:pt>
                <c:pt idx="1203">
                  <c:v>44304</c:v>
                </c:pt>
                <c:pt idx="1204">
                  <c:v>44305</c:v>
                </c:pt>
                <c:pt idx="1205">
                  <c:v>44306</c:v>
                </c:pt>
                <c:pt idx="1206">
                  <c:v>44307</c:v>
                </c:pt>
                <c:pt idx="1207">
                  <c:v>44308</c:v>
                </c:pt>
                <c:pt idx="1208">
                  <c:v>44309</c:v>
                </c:pt>
                <c:pt idx="1209">
                  <c:v>44310</c:v>
                </c:pt>
                <c:pt idx="1210">
                  <c:v>44311</c:v>
                </c:pt>
                <c:pt idx="1211">
                  <c:v>44312</c:v>
                </c:pt>
                <c:pt idx="1212">
                  <c:v>44313</c:v>
                </c:pt>
                <c:pt idx="1213">
                  <c:v>44314</c:v>
                </c:pt>
                <c:pt idx="1214">
                  <c:v>44315</c:v>
                </c:pt>
                <c:pt idx="1215">
                  <c:v>44316</c:v>
                </c:pt>
                <c:pt idx="1216">
                  <c:v>44317</c:v>
                </c:pt>
                <c:pt idx="1217">
                  <c:v>44318</c:v>
                </c:pt>
                <c:pt idx="1218">
                  <c:v>44319</c:v>
                </c:pt>
                <c:pt idx="1219">
                  <c:v>44320</c:v>
                </c:pt>
                <c:pt idx="1220">
                  <c:v>44321</c:v>
                </c:pt>
                <c:pt idx="1221">
                  <c:v>44322</c:v>
                </c:pt>
                <c:pt idx="1222">
                  <c:v>44323</c:v>
                </c:pt>
                <c:pt idx="1223">
                  <c:v>44324</c:v>
                </c:pt>
                <c:pt idx="1224">
                  <c:v>44325</c:v>
                </c:pt>
                <c:pt idx="1225">
                  <c:v>44326</c:v>
                </c:pt>
                <c:pt idx="1226">
                  <c:v>44327</c:v>
                </c:pt>
                <c:pt idx="1227">
                  <c:v>44328</c:v>
                </c:pt>
                <c:pt idx="1228">
                  <c:v>44329</c:v>
                </c:pt>
                <c:pt idx="1229">
                  <c:v>44330</c:v>
                </c:pt>
                <c:pt idx="1230">
                  <c:v>44331</c:v>
                </c:pt>
                <c:pt idx="1231">
                  <c:v>44332</c:v>
                </c:pt>
                <c:pt idx="1232">
                  <c:v>44333</c:v>
                </c:pt>
                <c:pt idx="1233">
                  <c:v>44334</c:v>
                </c:pt>
                <c:pt idx="1234">
                  <c:v>44335</c:v>
                </c:pt>
                <c:pt idx="1235">
                  <c:v>44336</c:v>
                </c:pt>
                <c:pt idx="1236">
                  <c:v>44337</c:v>
                </c:pt>
                <c:pt idx="1237">
                  <c:v>44338</c:v>
                </c:pt>
                <c:pt idx="1238">
                  <c:v>44339</c:v>
                </c:pt>
                <c:pt idx="1239">
                  <c:v>44340</c:v>
                </c:pt>
                <c:pt idx="1240">
                  <c:v>44341</c:v>
                </c:pt>
                <c:pt idx="1241">
                  <c:v>44342</c:v>
                </c:pt>
                <c:pt idx="1242">
                  <c:v>44343</c:v>
                </c:pt>
                <c:pt idx="1243">
                  <c:v>44344</c:v>
                </c:pt>
                <c:pt idx="1244">
                  <c:v>44345</c:v>
                </c:pt>
                <c:pt idx="1245">
                  <c:v>44346</c:v>
                </c:pt>
                <c:pt idx="1246">
                  <c:v>44347</c:v>
                </c:pt>
                <c:pt idx="1247">
                  <c:v>44348</c:v>
                </c:pt>
                <c:pt idx="1248">
                  <c:v>44349</c:v>
                </c:pt>
                <c:pt idx="1249">
                  <c:v>44350</c:v>
                </c:pt>
                <c:pt idx="1250">
                  <c:v>44351</c:v>
                </c:pt>
                <c:pt idx="1251">
                  <c:v>44352</c:v>
                </c:pt>
                <c:pt idx="1252">
                  <c:v>44353</c:v>
                </c:pt>
                <c:pt idx="1253">
                  <c:v>44354</c:v>
                </c:pt>
                <c:pt idx="1254">
                  <c:v>44355</c:v>
                </c:pt>
                <c:pt idx="1255">
                  <c:v>44356</c:v>
                </c:pt>
                <c:pt idx="1256">
                  <c:v>44357</c:v>
                </c:pt>
                <c:pt idx="1257">
                  <c:v>44358</c:v>
                </c:pt>
                <c:pt idx="1258">
                  <c:v>44359</c:v>
                </c:pt>
                <c:pt idx="1259">
                  <c:v>44360</c:v>
                </c:pt>
                <c:pt idx="1260">
                  <c:v>44361</c:v>
                </c:pt>
                <c:pt idx="1261">
                  <c:v>44362</c:v>
                </c:pt>
                <c:pt idx="1262">
                  <c:v>44363</c:v>
                </c:pt>
                <c:pt idx="1263">
                  <c:v>44364</c:v>
                </c:pt>
                <c:pt idx="1264">
                  <c:v>44365</c:v>
                </c:pt>
                <c:pt idx="1265">
                  <c:v>44366</c:v>
                </c:pt>
                <c:pt idx="1266">
                  <c:v>44367</c:v>
                </c:pt>
                <c:pt idx="1267">
                  <c:v>44368</c:v>
                </c:pt>
                <c:pt idx="1268">
                  <c:v>44369</c:v>
                </c:pt>
                <c:pt idx="1269">
                  <c:v>44370</c:v>
                </c:pt>
                <c:pt idx="1270">
                  <c:v>44371</c:v>
                </c:pt>
                <c:pt idx="1271">
                  <c:v>44372</c:v>
                </c:pt>
                <c:pt idx="1272">
                  <c:v>44373</c:v>
                </c:pt>
                <c:pt idx="1273">
                  <c:v>44374</c:v>
                </c:pt>
                <c:pt idx="1274">
                  <c:v>44375</c:v>
                </c:pt>
                <c:pt idx="1275">
                  <c:v>44376</c:v>
                </c:pt>
                <c:pt idx="1276">
                  <c:v>44377</c:v>
                </c:pt>
                <c:pt idx="1277">
                  <c:v>44378</c:v>
                </c:pt>
                <c:pt idx="1278">
                  <c:v>44379</c:v>
                </c:pt>
                <c:pt idx="1279">
                  <c:v>44380</c:v>
                </c:pt>
                <c:pt idx="1280">
                  <c:v>44381</c:v>
                </c:pt>
                <c:pt idx="1281">
                  <c:v>44382</c:v>
                </c:pt>
                <c:pt idx="1282">
                  <c:v>44383</c:v>
                </c:pt>
                <c:pt idx="1283">
                  <c:v>44384</c:v>
                </c:pt>
                <c:pt idx="1284">
                  <c:v>44385</c:v>
                </c:pt>
                <c:pt idx="1285">
                  <c:v>44386</c:v>
                </c:pt>
                <c:pt idx="1286">
                  <c:v>44387</c:v>
                </c:pt>
                <c:pt idx="1287">
                  <c:v>44388</c:v>
                </c:pt>
                <c:pt idx="1288">
                  <c:v>44389</c:v>
                </c:pt>
                <c:pt idx="1289">
                  <c:v>44390</c:v>
                </c:pt>
                <c:pt idx="1290">
                  <c:v>44391</c:v>
                </c:pt>
                <c:pt idx="1291">
                  <c:v>44392</c:v>
                </c:pt>
                <c:pt idx="1292">
                  <c:v>44393</c:v>
                </c:pt>
                <c:pt idx="1293">
                  <c:v>44394</c:v>
                </c:pt>
                <c:pt idx="1294">
                  <c:v>44395</c:v>
                </c:pt>
                <c:pt idx="1295">
                  <c:v>44396</c:v>
                </c:pt>
                <c:pt idx="1296">
                  <c:v>44397</c:v>
                </c:pt>
                <c:pt idx="1297">
                  <c:v>44398</c:v>
                </c:pt>
                <c:pt idx="1298">
                  <c:v>44399</c:v>
                </c:pt>
                <c:pt idx="1299">
                  <c:v>44400</c:v>
                </c:pt>
                <c:pt idx="1300">
                  <c:v>44401</c:v>
                </c:pt>
                <c:pt idx="1301">
                  <c:v>44402</c:v>
                </c:pt>
                <c:pt idx="1302">
                  <c:v>44403</c:v>
                </c:pt>
                <c:pt idx="1303">
                  <c:v>44404</c:v>
                </c:pt>
                <c:pt idx="1304">
                  <c:v>44405</c:v>
                </c:pt>
                <c:pt idx="1305">
                  <c:v>44406</c:v>
                </c:pt>
                <c:pt idx="1306">
                  <c:v>44407</c:v>
                </c:pt>
                <c:pt idx="1307">
                  <c:v>44408</c:v>
                </c:pt>
                <c:pt idx="1308">
                  <c:v>44409</c:v>
                </c:pt>
                <c:pt idx="1309">
                  <c:v>44410</c:v>
                </c:pt>
                <c:pt idx="1310">
                  <c:v>44411</c:v>
                </c:pt>
                <c:pt idx="1311">
                  <c:v>44412</c:v>
                </c:pt>
                <c:pt idx="1312">
                  <c:v>44413</c:v>
                </c:pt>
                <c:pt idx="1313">
                  <c:v>44414</c:v>
                </c:pt>
                <c:pt idx="1314">
                  <c:v>44415</c:v>
                </c:pt>
                <c:pt idx="1315">
                  <c:v>44416</c:v>
                </c:pt>
                <c:pt idx="1316">
                  <c:v>44417</c:v>
                </c:pt>
                <c:pt idx="1317">
                  <c:v>44418</c:v>
                </c:pt>
                <c:pt idx="1318">
                  <c:v>44419</c:v>
                </c:pt>
                <c:pt idx="1319">
                  <c:v>44420</c:v>
                </c:pt>
                <c:pt idx="1320">
                  <c:v>44421</c:v>
                </c:pt>
                <c:pt idx="1321">
                  <c:v>44422</c:v>
                </c:pt>
                <c:pt idx="1322">
                  <c:v>44423</c:v>
                </c:pt>
                <c:pt idx="1323">
                  <c:v>44424</c:v>
                </c:pt>
                <c:pt idx="1324">
                  <c:v>44425</c:v>
                </c:pt>
                <c:pt idx="1325">
                  <c:v>44426</c:v>
                </c:pt>
                <c:pt idx="1326">
                  <c:v>44427</c:v>
                </c:pt>
                <c:pt idx="1327">
                  <c:v>44428</c:v>
                </c:pt>
                <c:pt idx="1328">
                  <c:v>44429</c:v>
                </c:pt>
                <c:pt idx="1329">
                  <c:v>44430</c:v>
                </c:pt>
                <c:pt idx="1330">
                  <c:v>44431</c:v>
                </c:pt>
                <c:pt idx="1331">
                  <c:v>44432</c:v>
                </c:pt>
                <c:pt idx="1332">
                  <c:v>44433</c:v>
                </c:pt>
                <c:pt idx="1333">
                  <c:v>44434</c:v>
                </c:pt>
                <c:pt idx="1334">
                  <c:v>44435</c:v>
                </c:pt>
                <c:pt idx="1335">
                  <c:v>44436</c:v>
                </c:pt>
                <c:pt idx="1336">
                  <c:v>44437</c:v>
                </c:pt>
                <c:pt idx="1337">
                  <c:v>44438</c:v>
                </c:pt>
                <c:pt idx="1338">
                  <c:v>44439</c:v>
                </c:pt>
                <c:pt idx="1339">
                  <c:v>44440</c:v>
                </c:pt>
                <c:pt idx="1340">
                  <c:v>44441</c:v>
                </c:pt>
                <c:pt idx="1341">
                  <c:v>44442</c:v>
                </c:pt>
                <c:pt idx="1342">
                  <c:v>44443</c:v>
                </c:pt>
                <c:pt idx="1343">
                  <c:v>44444</c:v>
                </c:pt>
                <c:pt idx="1344">
                  <c:v>44445</c:v>
                </c:pt>
                <c:pt idx="1345">
                  <c:v>44446</c:v>
                </c:pt>
                <c:pt idx="1346">
                  <c:v>44447</c:v>
                </c:pt>
                <c:pt idx="1347">
                  <c:v>44448</c:v>
                </c:pt>
                <c:pt idx="1348">
                  <c:v>44449</c:v>
                </c:pt>
                <c:pt idx="1349">
                  <c:v>44450</c:v>
                </c:pt>
                <c:pt idx="1350">
                  <c:v>44451</c:v>
                </c:pt>
                <c:pt idx="1351">
                  <c:v>44452</c:v>
                </c:pt>
                <c:pt idx="1352">
                  <c:v>44453</c:v>
                </c:pt>
                <c:pt idx="1353">
                  <c:v>44454</c:v>
                </c:pt>
                <c:pt idx="1354">
                  <c:v>44455</c:v>
                </c:pt>
                <c:pt idx="1355">
                  <c:v>44456</c:v>
                </c:pt>
                <c:pt idx="1356">
                  <c:v>44457</c:v>
                </c:pt>
                <c:pt idx="1357">
                  <c:v>44458</c:v>
                </c:pt>
                <c:pt idx="1358">
                  <c:v>44459</c:v>
                </c:pt>
                <c:pt idx="1359">
                  <c:v>44460</c:v>
                </c:pt>
                <c:pt idx="1360">
                  <c:v>44461</c:v>
                </c:pt>
                <c:pt idx="1361">
                  <c:v>44462</c:v>
                </c:pt>
                <c:pt idx="1362">
                  <c:v>44463</c:v>
                </c:pt>
                <c:pt idx="1363">
                  <c:v>44464</c:v>
                </c:pt>
                <c:pt idx="1364">
                  <c:v>44465</c:v>
                </c:pt>
                <c:pt idx="1365">
                  <c:v>44466</c:v>
                </c:pt>
                <c:pt idx="1366">
                  <c:v>44467</c:v>
                </c:pt>
                <c:pt idx="1367">
                  <c:v>44468</c:v>
                </c:pt>
                <c:pt idx="1368">
                  <c:v>44469</c:v>
                </c:pt>
                <c:pt idx="1369">
                  <c:v>44470</c:v>
                </c:pt>
                <c:pt idx="1370">
                  <c:v>44471</c:v>
                </c:pt>
                <c:pt idx="1371">
                  <c:v>44472</c:v>
                </c:pt>
                <c:pt idx="1372">
                  <c:v>44473</c:v>
                </c:pt>
                <c:pt idx="1373">
                  <c:v>44474</c:v>
                </c:pt>
                <c:pt idx="1374">
                  <c:v>44475</c:v>
                </c:pt>
                <c:pt idx="1375">
                  <c:v>44476</c:v>
                </c:pt>
                <c:pt idx="1376">
                  <c:v>44477</c:v>
                </c:pt>
                <c:pt idx="1377">
                  <c:v>44478</c:v>
                </c:pt>
                <c:pt idx="1378">
                  <c:v>44479</c:v>
                </c:pt>
                <c:pt idx="1379">
                  <c:v>44480</c:v>
                </c:pt>
                <c:pt idx="1380">
                  <c:v>44481</c:v>
                </c:pt>
                <c:pt idx="1381">
                  <c:v>44482</c:v>
                </c:pt>
                <c:pt idx="1382">
                  <c:v>44483</c:v>
                </c:pt>
                <c:pt idx="1383">
                  <c:v>44484</c:v>
                </c:pt>
                <c:pt idx="1384">
                  <c:v>44485</c:v>
                </c:pt>
                <c:pt idx="1385">
                  <c:v>44486</c:v>
                </c:pt>
                <c:pt idx="1386">
                  <c:v>44487</c:v>
                </c:pt>
                <c:pt idx="1387">
                  <c:v>44488</c:v>
                </c:pt>
                <c:pt idx="1388">
                  <c:v>44489</c:v>
                </c:pt>
                <c:pt idx="1389">
                  <c:v>44490</c:v>
                </c:pt>
                <c:pt idx="1390">
                  <c:v>44491</c:v>
                </c:pt>
                <c:pt idx="1391">
                  <c:v>44492</c:v>
                </c:pt>
                <c:pt idx="1392">
                  <c:v>44493</c:v>
                </c:pt>
                <c:pt idx="1393">
                  <c:v>44494</c:v>
                </c:pt>
                <c:pt idx="1394">
                  <c:v>44495</c:v>
                </c:pt>
                <c:pt idx="1395">
                  <c:v>44496</c:v>
                </c:pt>
                <c:pt idx="1396">
                  <c:v>44497</c:v>
                </c:pt>
                <c:pt idx="1397">
                  <c:v>44498</c:v>
                </c:pt>
                <c:pt idx="1398">
                  <c:v>44499</c:v>
                </c:pt>
                <c:pt idx="1399">
                  <c:v>44500</c:v>
                </c:pt>
                <c:pt idx="1400">
                  <c:v>44501</c:v>
                </c:pt>
                <c:pt idx="1401">
                  <c:v>44502</c:v>
                </c:pt>
                <c:pt idx="1402">
                  <c:v>44503</c:v>
                </c:pt>
                <c:pt idx="1403">
                  <c:v>44504</c:v>
                </c:pt>
                <c:pt idx="1404">
                  <c:v>44505</c:v>
                </c:pt>
                <c:pt idx="1405">
                  <c:v>44506</c:v>
                </c:pt>
                <c:pt idx="1406">
                  <c:v>44507</c:v>
                </c:pt>
                <c:pt idx="1407">
                  <c:v>44508</c:v>
                </c:pt>
                <c:pt idx="1408">
                  <c:v>44509</c:v>
                </c:pt>
                <c:pt idx="1409">
                  <c:v>44510</c:v>
                </c:pt>
                <c:pt idx="1410">
                  <c:v>44511</c:v>
                </c:pt>
                <c:pt idx="1411">
                  <c:v>44512</c:v>
                </c:pt>
                <c:pt idx="1412">
                  <c:v>44513</c:v>
                </c:pt>
                <c:pt idx="1413">
                  <c:v>44514</c:v>
                </c:pt>
                <c:pt idx="1414">
                  <c:v>44515</c:v>
                </c:pt>
                <c:pt idx="1415">
                  <c:v>44516</c:v>
                </c:pt>
                <c:pt idx="1416">
                  <c:v>44517</c:v>
                </c:pt>
                <c:pt idx="1417">
                  <c:v>44518</c:v>
                </c:pt>
                <c:pt idx="1418">
                  <c:v>44519</c:v>
                </c:pt>
                <c:pt idx="1419">
                  <c:v>44520</c:v>
                </c:pt>
                <c:pt idx="1420">
                  <c:v>44521</c:v>
                </c:pt>
                <c:pt idx="1421">
                  <c:v>44522</c:v>
                </c:pt>
                <c:pt idx="1422">
                  <c:v>44523</c:v>
                </c:pt>
                <c:pt idx="1423">
                  <c:v>44524</c:v>
                </c:pt>
                <c:pt idx="1424">
                  <c:v>44525</c:v>
                </c:pt>
                <c:pt idx="1425">
                  <c:v>44526</c:v>
                </c:pt>
                <c:pt idx="1426">
                  <c:v>44527</c:v>
                </c:pt>
                <c:pt idx="1427">
                  <c:v>44528</c:v>
                </c:pt>
                <c:pt idx="1428">
                  <c:v>44529</c:v>
                </c:pt>
                <c:pt idx="1429">
                  <c:v>44530</c:v>
                </c:pt>
                <c:pt idx="1430">
                  <c:v>44531</c:v>
                </c:pt>
                <c:pt idx="1431">
                  <c:v>44532</c:v>
                </c:pt>
                <c:pt idx="1432">
                  <c:v>44533</c:v>
                </c:pt>
                <c:pt idx="1433">
                  <c:v>44534</c:v>
                </c:pt>
                <c:pt idx="1434">
                  <c:v>44535</c:v>
                </c:pt>
                <c:pt idx="1435">
                  <c:v>44536</c:v>
                </c:pt>
                <c:pt idx="1436">
                  <c:v>44537</c:v>
                </c:pt>
                <c:pt idx="1437">
                  <c:v>44538</c:v>
                </c:pt>
                <c:pt idx="1438">
                  <c:v>44539</c:v>
                </c:pt>
                <c:pt idx="1439">
                  <c:v>44540</c:v>
                </c:pt>
                <c:pt idx="1440">
                  <c:v>44541</c:v>
                </c:pt>
                <c:pt idx="1441">
                  <c:v>44542</c:v>
                </c:pt>
                <c:pt idx="1442">
                  <c:v>44543</c:v>
                </c:pt>
                <c:pt idx="1443">
                  <c:v>44544</c:v>
                </c:pt>
                <c:pt idx="1444">
                  <c:v>44545</c:v>
                </c:pt>
                <c:pt idx="1445">
                  <c:v>44546</c:v>
                </c:pt>
                <c:pt idx="1446">
                  <c:v>44547</c:v>
                </c:pt>
                <c:pt idx="1447">
                  <c:v>44548</c:v>
                </c:pt>
                <c:pt idx="1448">
                  <c:v>44549</c:v>
                </c:pt>
                <c:pt idx="1449">
                  <c:v>44550</c:v>
                </c:pt>
                <c:pt idx="1450">
                  <c:v>44551</c:v>
                </c:pt>
                <c:pt idx="1451">
                  <c:v>44552</c:v>
                </c:pt>
                <c:pt idx="1452">
                  <c:v>44553</c:v>
                </c:pt>
                <c:pt idx="1453">
                  <c:v>44554</c:v>
                </c:pt>
                <c:pt idx="1454">
                  <c:v>44555</c:v>
                </c:pt>
                <c:pt idx="1455">
                  <c:v>44556</c:v>
                </c:pt>
                <c:pt idx="1456">
                  <c:v>44557</c:v>
                </c:pt>
                <c:pt idx="1457">
                  <c:v>44558</c:v>
                </c:pt>
                <c:pt idx="1458">
                  <c:v>44559</c:v>
                </c:pt>
                <c:pt idx="1459">
                  <c:v>44560</c:v>
                </c:pt>
                <c:pt idx="1460">
                  <c:v>44561</c:v>
                </c:pt>
                <c:pt idx="1461">
                  <c:v>44562</c:v>
                </c:pt>
                <c:pt idx="1462">
                  <c:v>44563</c:v>
                </c:pt>
                <c:pt idx="1463">
                  <c:v>44564</c:v>
                </c:pt>
                <c:pt idx="1464">
                  <c:v>44565</c:v>
                </c:pt>
                <c:pt idx="1465">
                  <c:v>44566</c:v>
                </c:pt>
                <c:pt idx="1466">
                  <c:v>44567</c:v>
                </c:pt>
                <c:pt idx="1467">
                  <c:v>44568</c:v>
                </c:pt>
                <c:pt idx="1468">
                  <c:v>44569</c:v>
                </c:pt>
                <c:pt idx="1469">
                  <c:v>44570</c:v>
                </c:pt>
                <c:pt idx="1470">
                  <c:v>44571</c:v>
                </c:pt>
                <c:pt idx="1471">
                  <c:v>44572</c:v>
                </c:pt>
                <c:pt idx="1472">
                  <c:v>44573</c:v>
                </c:pt>
                <c:pt idx="1473">
                  <c:v>44574</c:v>
                </c:pt>
                <c:pt idx="1474">
                  <c:v>44575</c:v>
                </c:pt>
                <c:pt idx="1475">
                  <c:v>44576</c:v>
                </c:pt>
                <c:pt idx="1476">
                  <c:v>44577</c:v>
                </c:pt>
                <c:pt idx="1477">
                  <c:v>44578</c:v>
                </c:pt>
                <c:pt idx="1478">
                  <c:v>44579</c:v>
                </c:pt>
                <c:pt idx="1479">
                  <c:v>44580</c:v>
                </c:pt>
                <c:pt idx="1480">
                  <c:v>44581</c:v>
                </c:pt>
                <c:pt idx="1481">
                  <c:v>44582</c:v>
                </c:pt>
                <c:pt idx="1482">
                  <c:v>44583</c:v>
                </c:pt>
                <c:pt idx="1483">
                  <c:v>44584</c:v>
                </c:pt>
                <c:pt idx="1484">
                  <c:v>44585</c:v>
                </c:pt>
                <c:pt idx="1485">
                  <c:v>44586</c:v>
                </c:pt>
                <c:pt idx="1486">
                  <c:v>44587</c:v>
                </c:pt>
                <c:pt idx="1487">
                  <c:v>44588</c:v>
                </c:pt>
                <c:pt idx="1488">
                  <c:v>44589</c:v>
                </c:pt>
                <c:pt idx="1489">
                  <c:v>44590</c:v>
                </c:pt>
                <c:pt idx="1490">
                  <c:v>44591</c:v>
                </c:pt>
                <c:pt idx="1491">
                  <c:v>44592</c:v>
                </c:pt>
                <c:pt idx="1492">
                  <c:v>44593</c:v>
                </c:pt>
                <c:pt idx="1493">
                  <c:v>44594</c:v>
                </c:pt>
                <c:pt idx="1494">
                  <c:v>44595</c:v>
                </c:pt>
                <c:pt idx="1495">
                  <c:v>44596</c:v>
                </c:pt>
                <c:pt idx="1496">
                  <c:v>44597</c:v>
                </c:pt>
                <c:pt idx="1497">
                  <c:v>44598</c:v>
                </c:pt>
                <c:pt idx="1498">
                  <c:v>44599</c:v>
                </c:pt>
                <c:pt idx="1499">
                  <c:v>44600</c:v>
                </c:pt>
                <c:pt idx="1500">
                  <c:v>44601</c:v>
                </c:pt>
                <c:pt idx="1501">
                  <c:v>44602</c:v>
                </c:pt>
                <c:pt idx="1502">
                  <c:v>44603</c:v>
                </c:pt>
                <c:pt idx="1503">
                  <c:v>44604</c:v>
                </c:pt>
                <c:pt idx="1504">
                  <c:v>44605</c:v>
                </c:pt>
                <c:pt idx="1505">
                  <c:v>44606</c:v>
                </c:pt>
                <c:pt idx="1506">
                  <c:v>44607</c:v>
                </c:pt>
                <c:pt idx="1507">
                  <c:v>44608</c:v>
                </c:pt>
                <c:pt idx="1508">
                  <c:v>44609</c:v>
                </c:pt>
                <c:pt idx="1509">
                  <c:v>44610</c:v>
                </c:pt>
                <c:pt idx="1510">
                  <c:v>44611</c:v>
                </c:pt>
                <c:pt idx="1511">
                  <c:v>44612</c:v>
                </c:pt>
                <c:pt idx="1512">
                  <c:v>44613</c:v>
                </c:pt>
                <c:pt idx="1513">
                  <c:v>44614</c:v>
                </c:pt>
                <c:pt idx="1514">
                  <c:v>44615</c:v>
                </c:pt>
                <c:pt idx="1515">
                  <c:v>44616</c:v>
                </c:pt>
                <c:pt idx="1516">
                  <c:v>44617</c:v>
                </c:pt>
                <c:pt idx="1517">
                  <c:v>44618</c:v>
                </c:pt>
                <c:pt idx="1518">
                  <c:v>44619</c:v>
                </c:pt>
                <c:pt idx="1519">
                  <c:v>44620</c:v>
                </c:pt>
                <c:pt idx="1520">
                  <c:v>44621</c:v>
                </c:pt>
                <c:pt idx="1521">
                  <c:v>44622</c:v>
                </c:pt>
                <c:pt idx="1522">
                  <c:v>44623</c:v>
                </c:pt>
                <c:pt idx="1523">
                  <c:v>44624</c:v>
                </c:pt>
                <c:pt idx="1524">
                  <c:v>44625</c:v>
                </c:pt>
                <c:pt idx="1525">
                  <c:v>44626</c:v>
                </c:pt>
                <c:pt idx="1526">
                  <c:v>44627</c:v>
                </c:pt>
                <c:pt idx="1527">
                  <c:v>44628</c:v>
                </c:pt>
                <c:pt idx="1528">
                  <c:v>44629</c:v>
                </c:pt>
                <c:pt idx="1529">
                  <c:v>44630</c:v>
                </c:pt>
                <c:pt idx="1530">
                  <c:v>44631</c:v>
                </c:pt>
                <c:pt idx="1531">
                  <c:v>44632</c:v>
                </c:pt>
                <c:pt idx="1532">
                  <c:v>44633</c:v>
                </c:pt>
                <c:pt idx="1533">
                  <c:v>44634</c:v>
                </c:pt>
                <c:pt idx="1534">
                  <c:v>44635</c:v>
                </c:pt>
                <c:pt idx="1535">
                  <c:v>44636</c:v>
                </c:pt>
                <c:pt idx="1536">
                  <c:v>44637</c:v>
                </c:pt>
                <c:pt idx="1537">
                  <c:v>44638</c:v>
                </c:pt>
                <c:pt idx="1538">
                  <c:v>44639</c:v>
                </c:pt>
                <c:pt idx="1539">
                  <c:v>44640</c:v>
                </c:pt>
                <c:pt idx="1540">
                  <c:v>44641</c:v>
                </c:pt>
                <c:pt idx="1541">
                  <c:v>44642</c:v>
                </c:pt>
                <c:pt idx="1542">
                  <c:v>44643</c:v>
                </c:pt>
                <c:pt idx="1543">
                  <c:v>44644</c:v>
                </c:pt>
                <c:pt idx="1544">
                  <c:v>44645</c:v>
                </c:pt>
                <c:pt idx="1545">
                  <c:v>44646</c:v>
                </c:pt>
                <c:pt idx="1546">
                  <c:v>44647</c:v>
                </c:pt>
                <c:pt idx="1547">
                  <c:v>44648</c:v>
                </c:pt>
                <c:pt idx="1548">
                  <c:v>44649</c:v>
                </c:pt>
                <c:pt idx="1549">
                  <c:v>44650</c:v>
                </c:pt>
                <c:pt idx="1550">
                  <c:v>44651</c:v>
                </c:pt>
                <c:pt idx="1551">
                  <c:v>44652</c:v>
                </c:pt>
                <c:pt idx="1552">
                  <c:v>44653</c:v>
                </c:pt>
                <c:pt idx="1553">
                  <c:v>44654</c:v>
                </c:pt>
                <c:pt idx="1554">
                  <c:v>44655</c:v>
                </c:pt>
                <c:pt idx="1555">
                  <c:v>44656</c:v>
                </c:pt>
                <c:pt idx="1556">
                  <c:v>44657</c:v>
                </c:pt>
                <c:pt idx="1557">
                  <c:v>44658</c:v>
                </c:pt>
                <c:pt idx="1558">
                  <c:v>44659</c:v>
                </c:pt>
                <c:pt idx="1559">
                  <c:v>44660</c:v>
                </c:pt>
                <c:pt idx="1560">
                  <c:v>44661</c:v>
                </c:pt>
                <c:pt idx="1561">
                  <c:v>44662</c:v>
                </c:pt>
                <c:pt idx="1562">
                  <c:v>44663</c:v>
                </c:pt>
                <c:pt idx="1563">
                  <c:v>44664</c:v>
                </c:pt>
                <c:pt idx="1564">
                  <c:v>44665</c:v>
                </c:pt>
                <c:pt idx="1565">
                  <c:v>44666</c:v>
                </c:pt>
                <c:pt idx="1566">
                  <c:v>44667</c:v>
                </c:pt>
                <c:pt idx="1567">
                  <c:v>44668</c:v>
                </c:pt>
                <c:pt idx="1568">
                  <c:v>44669</c:v>
                </c:pt>
                <c:pt idx="1569">
                  <c:v>44670</c:v>
                </c:pt>
                <c:pt idx="1570">
                  <c:v>44671</c:v>
                </c:pt>
                <c:pt idx="1571">
                  <c:v>44672</c:v>
                </c:pt>
                <c:pt idx="1572">
                  <c:v>44673</c:v>
                </c:pt>
                <c:pt idx="1573">
                  <c:v>44674</c:v>
                </c:pt>
                <c:pt idx="1574">
                  <c:v>44675</c:v>
                </c:pt>
                <c:pt idx="1575">
                  <c:v>44676</c:v>
                </c:pt>
                <c:pt idx="1576">
                  <c:v>44677</c:v>
                </c:pt>
                <c:pt idx="1577">
                  <c:v>44678</c:v>
                </c:pt>
                <c:pt idx="1578">
                  <c:v>44679</c:v>
                </c:pt>
                <c:pt idx="1579">
                  <c:v>44680</c:v>
                </c:pt>
                <c:pt idx="1580">
                  <c:v>44681</c:v>
                </c:pt>
                <c:pt idx="1581">
                  <c:v>44682</c:v>
                </c:pt>
                <c:pt idx="1582">
                  <c:v>44683</c:v>
                </c:pt>
                <c:pt idx="1583">
                  <c:v>44684</c:v>
                </c:pt>
                <c:pt idx="1584">
                  <c:v>44685</c:v>
                </c:pt>
                <c:pt idx="1585">
                  <c:v>44686</c:v>
                </c:pt>
                <c:pt idx="1586">
                  <c:v>44687</c:v>
                </c:pt>
                <c:pt idx="1587">
                  <c:v>44688</c:v>
                </c:pt>
                <c:pt idx="1588">
                  <c:v>44689</c:v>
                </c:pt>
                <c:pt idx="1589">
                  <c:v>44690</c:v>
                </c:pt>
                <c:pt idx="1590">
                  <c:v>44691</c:v>
                </c:pt>
                <c:pt idx="1591">
                  <c:v>44692</c:v>
                </c:pt>
                <c:pt idx="1592">
                  <c:v>44693</c:v>
                </c:pt>
                <c:pt idx="1593">
                  <c:v>44694</c:v>
                </c:pt>
                <c:pt idx="1594">
                  <c:v>44695</c:v>
                </c:pt>
                <c:pt idx="1595">
                  <c:v>44696</c:v>
                </c:pt>
                <c:pt idx="1596">
                  <c:v>44697</c:v>
                </c:pt>
                <c:pt idx="1597">
                  <c:v>44698</c:v>
                </c:pt>
                <c:pt idx="1598">
                  <c:v>44699</c:v>
                </c:pt>
                <c:pt idx="1599">
                  <c:v>44700</c:v>
                </c:pt>
                <c:pt idx="1600">
                  <c:v>44701</c:v>
                </c:pt>
                <c:pt idx="1601">
                  <c:v>44702</c:v>
                </c:pt>
                <c:pt idx="1602">
                  <c:v>44703</c:v>
                </c:pt>
                <c:pt idx="1603">
                  <c:v>44704</c:v>
                </c:pt>
                <c:pt idx="1604">
                  <c:v>44705</c:v>
                </c:pt>
                <c:pt idx="1605">
                  <c:v>44706</c:v>
                </c:pt>
                <c:pt idx="1606">
                  <c:v>44707</c:v>
                </c:pt>
                <c:pt idx="1607">
                  <c:v>44708</c:v>
                </c:pt>
                <c:pt idx="1608">
                  <c:v>44709</c:v>
                </c:pt>
                <c:pt idx="1609">
                  <c:v>44710</c:v>
                </c:pt>
                <c:pt idx="1610">
                  <c:v>44711</c:v>
                </c:pt>
                <c:pt idx="1611">
                  <c:v>44712</c:v>
                </c:pt>
                <c:pt idx="1612">
                  <c:v>44713</c:v>
                </c:pt>
                <c:pt idx="1613">
                  <c:v>44714</c:v>
                </c:pt>
                <c:pt idx="1614">
                  <c:v>44715</c:v>
                </c:pt>
                <c:pt idx="1615">
                  <c:v>44716</c:v>
                </c:pt>
                <c:pt idx="1616">
                  <c:v>44717</c:v>
                </c:pt>
                <c:pt idx="1617">
                  <c:v>44718</c:v>
                </c:pt>
                <c:pt idx="1618">
                  <c:v>44719</c:v>
                </c:pt>
                <c:pt idx="1619">
                  <c:v>44720</c:v>
                </c:pt>
                <c:pt idx="1620">
                  <c:v>44721</c:v>
                </c:pt>
                <c:pt idx="1621">
                  <c:v>44722</c:v>
                </c:pt>
                <c:pt idx="1622">
                  <c:v>44723</c:v>
                </c:pt>
                <c:pt idx="1623">
                  <c:v>44724</c:v>
                </c:pt>
                <c:pt idx="1624">
                  <c:v>44725</c:v>
                </c:pt>
                <c:pt idx="1625">
                  <c:v>44726</c:v>
                </c:pt>
                <c:pt idx="1626">
                  <c:v>44727</c:v>
                </c:pt>
                <c:pt idx="1627">
                  <c:v>44728</c:v>
                </c:pt>
                <c:pt idx="1628">
                  <c:v>44729</c:v>
                </c:pt>
                <c:pt idx="1629">
                  <c:v>44730</c:v>
                </c:pt>
                <c:pt idx="1630">
                  <c:v>44731</c:v>
                </c:pt>
                <c:pt idx="1631">
                  <c:v>44732</c:v>
                </c:pt>
                <c:pt idx="1632">
                  <c:v>44733</c:v>
                </c:pt>
                <c:pt idx="1633">
                  <c:v>44734</c:v>
                </c:pt>
                <c:pt idx="1634">
                  <c:v>44735</c:v>
                </c:pt>
                <c:pt idx="1635">
                  <c:v>44736</c:v>
                </c:pt>
                <c:pt idx="1636">
                  <c:v>44737</c:v>
                </c:pt>
                <c:pt idx="1637">
                  <c:v>44738</c:v>
                </c:pt>
                <c:pt idx="1638">
                  <c:v>44739</c:v>
                </c:pt>
                <c:pt idx="1639">
                  <c:v>44740</c:v>
                </c:pt>
                <c:pt idx="1640">
                  <c:v>44741</c:v>
                </c:pt>
                <c:pt idx="1641">
                  <c:v>44742</c:v>
                </c:pt>
                <c:pt idx="1642">
                  <c:v>44743</c:v>
                </c:pt>
                <c:pt idx="1643">
                  <c:v>44744</c:v>
                </c:pt>
                <c:pt idx="1644">
                  <c:v>44745</c:v>
                </c:pt>
                <c:pt idx="1645">
                  <c:v>44746</c:v>
                </c:pt>
                <c:pt idx="1646">
                  <c:v>44747</c:v>
                </c:pt>
                <c:pt idx="1647">
                  <c:v>44748</c:v>
                </c:pt>
                <c:pt idx="1648">
                  <c:v>44749</c:v>
                </c:pt>
                <c:pt idx="1649">
                  <c:v>44750</c:v>
                </c:pt>
                <c:pt idx="1650">
                  <c:v>44751</c:v>
                </c:pt>
                <c:pt idx="1651">
                  <c:v>44752</c:v>
                </c:pt>
                <c:pt idx="1652">
                  <c:v>44753</c:v>
                </c:pt>
                <c:pt idx="1653">
                  <c:v>44754</c:v>
                </c:pt>
                <c:pt idx="1654">
                  <c:v>44755</c:v>
                </c:pt>
                <c:pt idx="1655">
                  <c:v>44756</c:v>
                </c:pt>
                <c:pt idx="1656">
                  <c:v>44757</c:v>
                </c:pt>
                <c:pt idx="1657">
                  <c:v>44758</c:v>
                </c:pt>
                <c:pt idx="1658">
                  <c:v>44759</c:v>
                </c:pt>
                <c:pt idx="1659">
                  <c:v>44760</c:v>
                </c:pt>
                <c:pt idx="1660">
                  <c:v>44761</c:v>
                </c:pt>
                <c:pt idx="1661">
                  <c:v>44762</c:v>
                </c:pt>
                <c:pt idx="1662">
                  <c:v>44763</c:v>
                </c:pt>
                <c:pt idx="1663">
                  <c:v>44764</c:v>
                </c:pt>
                <c:pt idx="1664">
                  <c:v>44765</c:v>
                </c:pt>
                <c:pt idx="1665">
                  <c:v>44766</c:v>
                </c:pt>
                <c:pt idx="1666">
                  <c:v>44767</c:v>
                </c:pt>
                <c:pt idx="1667">
                  <c:v>44768</c:v>
                </c:pt>
                <c:pt idx="1668">
                  <c:v>44769</c:v>
                </c:pt>
                <c:pt idx="1669">
                  <c:v>44770</c:v>
                </c:pt>
                <c:pt idx="1670">
                  <c:v>44771</c:v>
                </c:pt>
                <c:pt idx="1671">
                  <c:v>44772</c:v>
                </c:pt>
                <c:pt idx="1672">
                  <c:v>44773</c:v>
                </c:pt>
                <c:pt idx="1673">
                  <c:v>44774</c:v>
                </c:pt>
                <c:pt idx="1674">
                  <c:v>44775</c:v>
                </c:pt>
                <c:pt idx="1675">
                  <c:v>44776</c:v>
                </c:pt>
                <c:pt idx="1676">
                  <c:v>44777</c:v>
                </c:pt>
                <c:pt idx="1677">
                  <c:v>44778</c:v>
                </c:pt>
                <c:pt idx="1678">
                  <c:v>44779</c:v>
                </c:pt>
                <c:pt idx="1679">
                  <c:v>44780</c:v>
                </c:pt>
                <c:pt idx="1680">
                  <c:v>44781</c:v>
                </c:pt>
                <c:pt idx="1681">
                  <c:v>44782</c:v>
                </c:pt>
                <c:pt idx="1682">
                  <c:v>44783</c:v>
                </c:pt>
                <c:pt idx="1683">
                  <c:v>44784</c:v>
                </c:pt>
                <c:pt idx="1684">
                  <c:v>44785</c:v>
                </c:pt>
                <c:pt idx="1685">
                  <c:v>44786</c:v>
                </c:pt>
                <c:pt idx="1686">
                  <c:v>44787</c:v>
                </c:pt>
                <c:pt idx="1687">
                  <c:v>44788</c:v>
                </c:pt>
                <c:pt idx="1688">
                  <c:v>44789</c:v>
                </c:pt>
                <c:pt idx="1689">
                  <c:v>44790</c:v>
                </c:pt>
                <c:pt idx="1690">
                  <c:v>44791</c:v>
                </c:pt>
                <c:pt idx="1691">
                  <c:v>44792</c:v>
                </c:pt>
                <c:pt idx="1692">
                  <c:v>44793</c:v>
                </c:pt>
                <c:pt idx="1693">
                  <c:v>44794</c:v>
                </c:pt>
                <c:pt idx="1694">
                  <c:v>44795</c:v>
                </c:pt>
                <c:pt idx="1695">
                  <c:v>44796</c:v>
                </c:pt>
                <c:pt idx="1696">
                  <c:v>44797</c:v>
                </c:pt>
                <c:pt idx="1697">
                  <c:v>44798</c:v>
                </c:pt>
                <c:pt idx="1698">
                  <c:v>44799</c:v>
                </c:pt>
                <c:pt idx="1699">
                  <c:v>44800</c:v>
                </c:pt>
                <c:pt idx="1700">
                  <c:v>44801</c:v>
                </c:pt>
                <c:pt idx="1701">
                  <c:v>44802</c:v>
                </c:pt>
                <c:pt idx="1702">
                  <c:v>44803</c:v>
                </c:pt>
                <c:pt idx="1703">
                  <c:v>44804</c:v>
                </c:pt>
                <c:pt idx="1704">
                  <c:v>44805</c:v>
                </c:pt>
                <c:pt idx="1705">
                  <c:v>44806</c:v>
                </c:pt>
                <c:pt idx="1706">
                  <c:v>44807</c:v>
                </c:pt>
                <c:pt idx="1707">
                  <c:v>44808</c:v>
                </c:pt>
                <c:pt idx="1708">
                  <c:v>44809</c:v>
                </c:pt>
                <c:pt idx="1709">
                  <c:v>44810</c:v>
                </c:pt>
                <c:pt idx="1710">
                  <c:v>44811</c:v>
                </c:pt>
                <c:pt idx="1711">
                  <c:v>44812</c:v>
                </c:pt>
                <c:pt idx="1712">
                  <c:v>44813</c:v>
                </c:pt>
                <c:pt idx="1713">
                  <c:v>44814</c:v>
                </c:pt>
                <c:pt idx="1714">
                  <c:v>44815</c:v>
                </c:pt>
                <c:pt idx="1715">
                  <c:v>44816</c:v>
                </c:pt>
                <c:pt idx="1716">
                  <c:v>44817</c:v>
                </c:pt>
                <c:pt idx="1717">
                  <c:v>44818</c:v>
                </c:pt>
                <c:pt idx="1718">
                  <c:v>44819</c:v>
                </c:pt>
                <c:pt idx="1719">
                  <c:v>44820</c:v>
                </c:pt>
                <c:pt idx="1720">
                  <c:v>44821</c:v>
                </c:pt>
                <c:pt idx="1721">
                  <c:v>44822</c:v>
                </c:pt>
                <c:pt idx="1722">
                  <c:v>44823</c:v>
                </c:pt>
                <c:pt idx="1723">
                  <c:v>44824</c:v>
                </c:pt>
                <c:pt idx="1724">
                  <c:v>44825</c:v>
                </c:pt>
                <c:pt idx="1725">
                  <c:v>44826</c:v>
                </c:pt>
                <c:pt idx="1726">
                  <c:v>44827</c:v>
                </c:pt>
                <c:pt idx="1727">
                  <c:v>44828</c:v>
                </c:pt>
                <c:pt idx="1728">
                  <c:v>44829</c:v>
                </c:pt>
                <c:pt idx="1729">
                  <c:v>44830</c:v>
                </c:pt>
                <c:pt idx="1730">
                  <c:v>44831</c:v>
                </c:pt>
                <c:pt idx="1731">
                  <c:v>44832</c:v>
                </c:pt>
                <c:pt idx="1732">
                  <c:v>44833</c:v>
                </c:pt>
                <c:pt idx="1733">
                  <c:v>44834</c:v>
                </c:pt>
                <c:pt idx="1734">
                  <c:v>44835</c:v>
                </c:pt>
                <c:pt idx="1735">
                  <c:v>44836</c:v>
                </c:pt>
                <c:pt idx="1736">
                  <c:v>44837</c:v>
                </c:pt>
                <c:pt idx="1737">
                  <c:v>44838</c:v>
                </c:pt>
                <c:pt idx="1738">
                  <c:v>44839</c:v>
                </c:pt>
                <c:pt idx="1739">
                  <c:v>44840</c:v>
                </c:pt>
                <c:pt idx="1740">
                  <c:v>44841</c:v>
                </c:pt>
                <c:pt idx="1741">
                  <c:v>44842</c:v>
                </c:pt>
                <c:pt idx="1742">
                  <c:v>44843</c:v>
                </c:pt>
                <c:pt idx="1743">
                  <c:v>44844</c:v>
                </c:pt>
                <c:pt idx="1744">
                  <c:v>44845</c:v>
                </c:pt>
                <c:pt idx="1745">
                  <c:v>44846</c:v>
                </c:pt>
                <c:pt idx="1746">
                  <c:v>44847</c:v>
                </c:pt>
                <c:pt idx="1747">
                  <c:v>44848</c:v>
                </c:pt>
                <c:pt idx="1748">
                  <c:v>44849</c:v>
                </c:pt>
                <c:pt idx="1749">
                  <c:v>44850</c:v>
                </c:pt>
                <c:pt idx="1750">
                  <c:v>44851</c:v>
                </c:pt>
                <c:pt idx="1751">
                  <c:v>44852</c:v>
                </c:pt>
                <c:pt idx="1752">
                  <c:v>44853</c:v>
                </c:pt>
                <c:pt idx="1753">
                  <c:v>44854</c:v>
                </c:pt>
                <c:pt idx="1754">
                  <c:v>44855</c:v>
                </c:pt>
                <c:pt idx="1755">
                  <c:v>44856</c:v>
                </c:pt>
                <c:pt idx="1756">
                  <c:v>44857</c:v>
                </c:pt>
                <c:pt idx="1757">
                  <c:v>44858</c:v>
                </c:pt>
                <c:pt idx="1758">
                  <c:v>44859</c:v>
                </c:pt>
                <c:pt idx="1759">
                  <c:v>44860</c:v>
                </c:pt>
                <c:pt idx="1760">
                  <c:v>44861</c:v>
                </c:pt>
                <c:pt idx="1761">
                  <c:v>44862</c:v>
                </c:pt>
                <c:pt idx="1762">
                  <c:v>44863</c:v>
                </c:pt>
                <c:pt idx="1763">
                  <c:v>44864</c:v>
                </c:pt>
                <c:pt idx="1764">
                  <c:v>44865</c:v>
                </c:pt>
                <c:pt idx="1765">
                  <c:v>44866</c:v>
                </c:pt>
                <c:pt idx="1766">
                  <c:v>44867</c:v>
                </c:pt>
                <c:pt idx="1767">
                  <c:v>44868</c:v>
                </c:pt>
                <c:pt idx="1768">
                  <c:v>44869</c:v>
                </c:pt>
                <c:pt idx="1769">
                  <c:v>44870</c:v>
                </c:pt>
                <c:pt idx="1770">
                  <c:v>44871</c:v>
                </c:pt>
                <c:pt idx="1771">
                  <c:v>44872</c:v>
                </c:pt>
                <c:pt idx="1772">
                  <c:v>44873</c:v>
                </c:pt>
                <c:pt idx="1773">
                  <c:v>44874</c:v>
                </c:pt>
                <c:pt idx="1774">
                  <c:v>44875</c:v>
                </c:pt>
                <c:pt idx="1775">
                  <c:v>44876</c:v>
                </c:pt>
                <c:pt idx="1776">
                  <c:v>44877</c:v>
                </c:pt>
                <c:pt idx="1777">
                  <c:v>44878</c:v>
                </c:pt>
                <c:pt idx="1778">
                  <c:v>44879</c:v>
                </c:pt>
                <c:pt idx="1779">
                  <c:v>44880</c:v>
                </c:pt>
                <c:pt idx="1780">
                  <c:v>44881</c:v>
                </c:pt>
                <c:pt idx="1781">
                  <c:v>44882</c:v>
                </c:pt>
                <c:pt idx="1782">
                  <c:v>44883</c:v>
                </c:pt>
                <c:pt idx="1783">
                  <c:v>44884</c:v>
                </c:pt>
                <c:pt idx="1784">
                  <c:v>44885</c:v>
                </c:pt>
                <c:pt idx="1785">
                  <c:v>44886</c:v>
                </c:pt>
                <c:pt idx="1786">
                  <c:v>44887</c:v>
                </c:pt>
                <c:pt idx="1787">
                  <c:v>44888</c:v>
                </c:pt>
                <c:pt idx="1788">
                  <c:v>44889</c:v>
                </c:pt>
                <c:pt idx="1789">
                  <c:v>44890</c:v>
                </c:pt>
                <c:pt idx="1790">
                  <c:v>44891</c:v>
                </c:pt>
                <c:pt idx="1791">
                  <c:v>44892</c:v>
                </c:pt>
                <c:pt idx="1792">
                  <c:v>44893</c:v>
                </c:pt>
                <c:pt idx="1793">
                  <c:v>44894</c:v>
                </c:pt>
                <c:pt idx="1794">
                  <c:v>44895</c:v>
                </c:pt>
                <c:pt idx="1795">
                  <c:v>44896</c:v>
                </c:pt>
                <c:pt idx="1796">
                  <c:v>44897</c:v>
                </c:pt>
                <c:pt idx="1797">
                  <c:v>44898</c:v>
                </c:pt>
                <c:pt idx="1798">
                  <c:v>44899</c:v>
                </c:pt>
                <c:pt idx="1799">
                  <c:v>44900</c:v>
                </c:pt>
                <c:pt idx="1800">
                  <c:v>44901</c:v>
                </c:pt>
                <c:pt idx="1801">
                  <c:v>44902</c:v>
                </c:pt>
                <c:pt idx="1802">
                  <c:v>44903</c:v>
                </c:pt>
                <c:pt idx="1803">
                  <c:v>44904</c:v>
                </c:pt>
                <c:pt idx="1804">
                  <c:v>44905</c:v>
                </c:pt>
                <c:pt idx="1805">
                  <c:v>44906</c:v>
                </c:pt>
                <c:pt idx="1806">
                  <c:v>44907</c:v>
                </c:pt>
                <c:pt idx="1807">
                  <c:v>44908</c:v>
                </c:pt>
                <c:pt idx="1808">
                  <c:v>44909</c:v>
                </c:pt>
                <c:pt idx="1809">
                  <c:v>44910</c:v>
                </c:pt>
                <c:pt idx="1810">
                  <c:v>44911</c:v>
                </c:pt>
                <c:pt idx="1811">
                  <c:v>44912</c:v>
                </c:pt>
                <c:pt idx="1812">
                  <c:v>44913</c:v>
                </c:pt>
                <c:pt idx="1813">
                  <c:v>44914</c:v>
                </c:pt>
                <c:pt idx="1814">
                  <c:v>44915</c:v>
                </c:pt>
                <c:pt idx="1815">
                  <c:v>44916</c:v>
                </c:pt>
                <c:pt idx="1816">
                  <c:v>44917</c:v>
                </c:pt>
                <c:pt idx="1817">
                  <c:v>44918</c:v>
                </c:pt>
                <c:pt idx="1818">
                  <c:v>44919</c:v>
                </c:pt>
                <c:pt idx="1819">
                  <c:v>44920</c:v>
                </c:pt>
                <c:pt idx="1820">
                  <c:v>44921</c:v>
                </c:pt>
                <c:pt idx="1821">
                  <c:v>44922</c:v>
                </c:pt>
                <c:pt idx="1822">
                  <c:v>44923</c:v>
                </c:pt>
                <c:pt idx="1823">
                  <c:v>44924</c:v>
                </c:pt>
                <c:pt idx="1824">
                  <c:v>44925</c:v>
                </c:pt>
                <c:pt idx="1825">
                  <c:v>44926</c:v>
                </c:pt>
                <c:pt idx="1826">
                  <c:v>44927</c:v>
                </c:pt>
                <c:pt idx="1827">
                  <c:v>44928</c:v>
                </c:pt>
                <c:pt idx="1828">
                  <c:v>44929</c:v>
                </c:pt>
                <c:pt idx="1829">
                  <c:v>44930</c:v>
                </c:pt>
                <c:pt idx="1830">
                  <c:v>44931</c:v>
                </c:pt>
                <c:pt idx="1831">
                  <c:v>44932</c:v>
                </c:pt>
                <c:pt idx="1832">
                  <c:v>44933</c:v>
                </c:pt>
                <c:pt idx="1833">
                  <c:v>44934</c:v>
                </c:pt>
                <c:pt idx="1834">
                  <c:v>44935</c:v>
                </c:pt>
                <c:pt idx="1835">
                  <c:v>44936</c:v>
                </c:pt>
                <c:pt idx="1836">
                  <c:v>44937</c:v>
                </c:pt>
                <c:pt idx="1837">
                  <c:v>44938</c:v>
                </c:pt>
                <c:pt idx="1838">
                  <c:v>44939</c:v>
                </c:pt>
                <c:pt idx="1839">
                  <c:v>44940</c:v>
                </c:pt>
                <c:pt idx="1840">
                  <c:v>44941</c:v>
                </c:pt>
                <c:pt idx="1841">
                  <c:v>44942</c:v>
                </c:pt>
                <c:pt idx="1842">
                  <c:v>44943</c:v>
                </c:pt>
                <c:pt idx="1843">
                  <c:v>44944</c:v>
                </c:pt>
                <c:pt idx="1844">
                  <c:v>44945</c:v>
                </c:pt>
                <c:pt idx="1845">
                  <c:v>44946</c:v>
                </c:pt>
                <c:pt idx="1846">
                  <c:v>44947</c:v>
                </c:pt>
                <c:pt idx="1847">
                  <c:v>44948</c:v>
                </c:pt>
                <c:pt idx="1848">
                  <c:v>44949</c:v>
                </c:pt>
                <c:pt idx="1849">
                  <c:v>44950</c:v>
                </c:pt>
                <c:pt idx="1850">
                  <c:v>44951</c:v>
                </c:pt>
                <c:pt idx="1851">
                  <c:v>44952</c:v>
                </c:pt>
                <c:pt idx="1852">
                  <c:v>44953</c:v>
                </c:pt>
                <c:pt idx="1853">
                  <c:v>44954</c:v>
                </c:pt>
                <c:pt idx="1854">
                  <c:v>44955</c:v>
                </c:pt>
                <c:pt idx="1855">
                  <c:v>44956</c:v>
                </c:pt>
                <c:pt idx="1856">
                  <c:v>44957</c:v>
                </c:pt>
                <c:pt idx="1857">
                  <c:v>44958</c:v>
                </c:pt>
                <c:pt idx="1858">
                  <c:v>44959</c:v>
                </c:pt>
                <c:pt idx="1859">
                  <c:v>44960</c:v>
                </c:pt>
                <c:pt idx="1860">
                  <c:v>44961</c:v>
                </c:pt>
                <c:pt idx="1861">
                  <c:v>44962</c:v>
                </c:pt>
                <c:pt idx="1862">
                  <c:v>44963</c:v>
                </c:pt>
                <c:pt idx="1863">
                  <c:v>44964</c:v>
                </c:pt>
                <c:pt idx="1864">
                  <c:v>44965</c:v>
                </c:pt>
                <c:pt idx="1865">
                  <c:v>44966</c:v>
                </c:pt>
                <c:pt idx="1866">
                  <c:v>44967</c:v>
                </c:pt>
                <c:pt idx="1867">
                  <c:v>44968</c:v>
                </c:pt>
                <c:pt idx="1868">
                  <c:v>44969</c:v>
                </c:pt>
                <c:pt idx="1869">
                  <c:v>44970</c:v>
                </c:pt>
                <c:pt idx="1870">
                  <c:v>44971</c:v>
                </c:pt>
                <c:pt idx="1871">
                  <c:v>44972</c:v>
                </c:pt>
                <c:pt idx="1872">
                  <c:v>44973</c:v>
                </c:pt>
                <c:pt idx="1873">
                  <c:v>44974</c:v>
                </c:pt>
                <c:pt idx="1874">
                  <c:v>44975</c:v>
                </c:pt>
                <c:pt idx="1875">
                  <c:v>44976</c:v>
                </c:pt>
                <c:pt idx="1876">
                  <c:v>44977</c:v>
                </c:pt>
                <c:pt idx="1877">
                  <c:v>44978</c:v>
                </c:pt>
                <c:pt idx="1878">
                  <c:v>44979</c:v>
                </c:pt>
                <c:pt idx="1879">
                  <c:v>44980</c:v>
                </c:pt>
                <c:pt idx="1880">
                  <c:v>44981</c:v>
                </c:pt>
                <c:pt idx="1881">
                  <c:v>44982</c:v>
                </c:pt>
                <c:pt idx="1882">
                  <c:v>44983</c:v>
                </c:pt>
                <c:pt idx="1883">
                  <c:v>44984</c:v>
                </c:pt>
                <c:pt idx="1884">
                  <c:v>44985</c:v>
                </c:pt>
                <c:pt idx="1885">
                  <c:v>44986</c:v>
                </c:pt>
                <c:pt idx="1886">
                  <c:v>44987</c:v>
                </c:pt>
                <c:pt idx="1887">
                  <c:v>44988</c:v>
                </c:pt>
                <c:pt idx="1888">
                  <c:v>44989</c:v>
                </c:pt>
                <c:pt idx="1889">
                  <c:v>44990</c:v>
                </c:pt>
                <c:pt idx="1890">
                  <c:v>44991</c:v>
                </c:pt>
                <c:pt idx="1891">
                  <c:v>44992</c:v>
                </c:pt>
                <c:pt idx="1892">
                  <c:v>44993</c:v>
                </c:pt>
                <c:pt idx="1893">
                  <c:v>44994</c:v>
                </c:pt>
                <c:pt idx="1894">
                  <c:v>44995</c:v>
                </c:pt>
                <c:pt idx="1895">
                  <c:v>44996</c:v>
                </c:pt>
                <c:pt idx="1896">
                  <c:v>44997</c:v>
                </c:pt>
                <c:pt idx="1897">
                  <c:v>44998</c:v>
                </c:pt>
                <c:pt idx="1898">
                  <c:v>44999</c:v>
                </c:pt>
                <c:pt idx="1899">
                  <c:v>45000</c:v>
                </c:pt>
                <c:pt idx="1900">
                  <c:v>45001</c:v>
                </c:pt>
                <c:pt idx="1901">
                  <c:v>45002</c:v>
                </c:pt>
                <c:pt idx="1902">
                  <c:v>45003</c:v>
                </c:pt>
                <c:pt idx="1903">
                  <c:v>45004</c:v>
                </c:pt>
                <c:pt idx="1904">
                  <c:v>45005</c:v>
                </c:pt>
                <c:pt idx="1905">
                  <c:v>45006</c:v>
                </c:pt>
                <c:pt idx="1906">
                  <c:v>45007</c:v>
                </c:pt>
                <c:pt idx="1907">
                  <c:v>45008</c:v>
                </c:pt>
                <c:pt idx="1908">
                  <c:v>45009</c:v>
                </c:pt>
                <c:pt idx="1909">
                  <c:v>45010</c:v>
                </c:pt>
                <c:pt idx="1910">
                  <c:v>45011</c:v>
                </c:pt>
                <c:pt idx="1911">
                  <c:v>45012</c:v>
                </c:pt>
                <c:pt idx="1912">
                  <c:v>45013</c:v>
                </c:pt>
                <c:pt idx="1913">
                  <c:v>45014</c:v>
                </c:pt>
                <c:pt idx="1914">
                  <c:v>45015</c:v>
                </c:pt>
                <c:pt idx="1915">
                  <c:v>45016</c:v>
                </c:pt>
                <c:pt idx="1916">
                  <c:v>45017</c:v>
                </c:pt>
                <c:pt idx="1917">
                  <c:v>45018</c:v>
                </c:pt>
                <c:pt idx="1918">
                  <c:v>45019</c:v>
                </c:pt>
                <c:pt idx="1919">
                  <c:v>45020</c:v>
                </c:pt>
                <c:pt idx="1920">
                  <c:v>45021</c:v>
                </c:pt>
                <c:pt idx="1921">
                  <c:v>45022</c:v>
                </c:pt>
                <c:pt idx="1922">
                  <c:v>45023</c:v>
                </c:pt>
                <c:pt idx="1923">
                  <c:v>45024</c:v>
                </c:pt>
                <c:pt idx="1924">
                  <c:v>45025</c:v>
                </c:pt>
                <c:pt idx="1925">
                  <c:v>45026</c:v>
                </c:pt>
                <c:pt idx="1926">
                  <c:v>45027</c:v>
                </c:pt>
                <c:pt idx="1927">
                  <c:v>45028</c:v>
                </c:pt>
                <c:pt idx="1928">
                  <c:v>45029</c:v>
                </c:pt>
                <c:pt idx="1929">
                  <c:v>45030</c:v>
                </c:pt>
                <c:pt idx="1930">
                  <c:v>45031</c:v>
                </c:pt>
                <c:pt idx="1931">
                  <c:v>45032</c:v>
                </c:pt>
                <c:pt idx="1932">
                  <c:v>45033</c:v>
                </c:pt>
                <c:pt idx="1933">
                  <c:v>45034</c:v>
                </c:pt>
                <c:pt idx="1934">
                  <c:v>45035</c:v>
                </c:pt>
                <c:pt idx="1935">
                  <c:v>45036</c:v>
                </c:pt>
                <c:pt idx="1936">
                  <c:v>45037</c:v>
                </c:pt>
                <c:pt idx="1937">
                  <c:v>45038</c:v>
                </c:pt>
                <c:pt idx="1938">
                  <c:v>45039</c:v>
                </c:pt>
                <c:pt idx="1939">
                  <c:v>45040</c:v>
                </c:pt>
                <c:pt idx="1940">
                  <c:v>45041</c:v>
                </c:pt>
                <c:pt idx="1941">
                  <c:v>45042</c:v>
                </c:pt>
                <c:pt idx="1942">
                  <c:v>45043</c:v>
                </c:pt>
                <c:pt idx="1943">
                  <c:v>45044</c:v>
                </c:pt>
                <c:pt idx="1944">
                  <c:v>45045</c:v>
                </c:pt>
                <c:pt idx="1945">
                  <c:v>45046</c:v>
                </c:pt>
                <c:pt idx="1946">
                  <c:v>45047</c:v>
                </c:pt>
                <c:pt idx="1947">
                  <c:v>45048</c:v>
                </c:pt>
                <c:pt idx="1948">
                  <c:v>45049</c:v>
                </c:pt>
                <c:pt idx="1949">
                  <c:v>45050</c:v>
                </c:pt>
                <c:pt idx="1950">
                  <c:v>45051</c:v>
                </c:pt>
                <c:pt idx="1951">
                  <c:v>45052</c:v>
                </c:pt>
                <c:pt idx="1952">
                  <c:v>45053</c:v>
                </c:pt>
                <c:pt idx="1953">
                  <c:v>45054</c:v>
                </c:pt>
                <c:pt idx="1954">
                  <c:v>45055</c:v>
                </c:pt>
                <c:pt idx="1955">
                  <c:v>45056</c:v>
                </c:pt>
                <c:pt idx="1956">
                  <c:v>45057</c:v>
                </c:pt>
                <c:pt idx="1957">
                  <c:v>45058</c:v>
                </c:pt>
                <c:pt idx="1958">
                  <c:v>45059</c:v>
                </c:pt>
                <c:pt idx="1959">
                  <c:v>45060</c:v>
                </c:pt>
                <c:pt idx="1960">
                  <c:v>45061</c:v>
                </c:pt>
                <c:pt idx="1961">
                  <c:v>45062</c:v>
                </c:pt>
                <c:pt idx="1962">
                  <c:v>45063</c:v>
                </c:pt>
                <c:pt idx="1963">
                  <c:v>45064</c:v>
                </c:pt>
                <c:pt idx="1964">
                  <c:v>45065</c:v>
                </c:pt>
                <c:pt idx="1965">
                  <c:v>45066</c:v>
                </c:pt>
                <c:pt idx="1966">
                  <c:v>45067</c:v>
                </c:pt>
                <c:pt idx="1967">
                  <c:v>45068</c:v>
                </c:pt>
                <c:pt idx="1968">
                  <c:v>45069</c:v>
                </c:pt>
                <c:pt idx="1969">
                  <c:v>45070</c:v>
                </c:pt>
                <c:pt idx="1970">
                  <c:v>45071</c:v>
                </c:pt>
                <c:pt idx="1971">
                  <c:v>45072</c:v>
                </c:pt>
                <c:pt idx="1972">
                  <c:v>45073</c:v>
                </c:pt>
                <c:pt idx="1973">
                  <c:v>45074</c:v>
                </c:pt>
                <c:pt idx="1974">
                  <c:v>45075</c:v>
                </c:pt>
                <c:pt idx="1975">
                  <c:v>45076</c:v>
                </c:pt>
                <c:pt idx="1976">
                  <c:v>45077</c:v>
                </c:pt>
                <c:pt idx="1977">
                  <c:v>45078</c:v>
                </c:pt>
                <c:pt idx="1978">
                  <c:v>45079</c:v>
                </c:pt>
                <c:pt idx="1979">
                  <c:v>45080</c:v>
                </c:pt>
                <c:pt idx="1980">
                  <c:v>45081</c:v>
                </c:pt>
                <c:pt idx="1981">
                  <c:v>45082</c:v>
                </c:pt>
                <c:pt idx="1982">
                  <c:v>45083</c:v>
                </c:pt>
                <c:pt idx="1983">
                  <c:v>45084</c:v>
                </c:pt>
                <c:pt idx="1984">
                  <c:v>45085</c:v>
                </c:pt>
                <c:pt idx="1985">
                  <c:v>45086</c:v>
                </c:pt>
                <c:pt idx="1986">
                  <c:v>45087</c:v>
                </c:pt>
                <c:pt idx="1987">
                  <c:v>45088</c:v>
                </c:pt>
                <c:pt idx="1988">
                  <c:v>45089</c:v>
                </c:pt>
                <c:pt idx="1989">
                  <c:v>45090</c:v>
                </c:pt>
                <c:pt idx="1990">
                  <c:v>45091</c:v>
                </c:pt>
                <c:pt idx="1991">
                  <c:v>45092</c:v>
                </c:pt>
                <c:pt idx="1992">
                  <c:v>45093</c:v>
                </c:pt>
                <c:pt idx="1993">
                  <c:v>45094</c:v>
                </c:pt>
                <c:pt idx="1994">
                  <c:v>45095</c:v>
                </c:pt>
                <c:pt idx="1995">
                  <c:v>45096</c:v>
                </c:pt>
                <c:pt idx="1996">
                  <c:v>45097</c:v>
                </c:pt>
                <c:pt idx="1997">
                  <c:v>45098</c:v>
                </c:pt>
                <c:pt idx="1998">
                  <c:v>45099</c:v>
                </c:pt>
                <c:pt idx="1999">
                  <c:v>45100</c:v>
                </c:pt>
                <c:pt idx="2000">
                  <c:v>45101</c:v>
                </c:pt>
                <c:pt idx="2001">
                  <c:v>45102</c:v>
                </c:pt>
                <c:pt idx="2002">
                  <c:v>45103</c:v>
                </c:pt>
                <c:pt idx="2003">
                  <c:v>45104</c:v>
                </c:pt>
                <c:pt idx="2004">
                  <c:v>45105</c:v>
                </c:pt>
                <c:pt idx="2005">
                  <c:v>45106</c:v>
                </c:pt>
                <c:pt idx="2006">
                  <c:v>45107</c:v>
                </c:pt>
                <c:pt idx="2007">
                  <c:v>45108</c:v>
                </c:pt>
                <c:pt idx="2008">
                  <c:v>45109</c:v>
                </c:pt>
                <c:pt idx="2009">
                  <c:v>45110</c:v>
                </c:pt>
                <c:pt idx="2010">
                  <c:v>45111</c:v>
                </c:pt>
                <c:pt idx="2011">
                  <c:v>45112</c:v>
                </c:pt>
                <c:pt idx="2012">
                  <c:v>45113</c:v>
                </c:pt>
                <c:pt idx="2013">
                  <c:v>45114</c:v>
                </c:pt>
                <c:pt idx="2014">
                  <c:v>45115</c:v>
                </c:pt>
                <c:pt idx="2015">
                  <c:v>45116</c:v>
                </c:pt>
                <c:pt idx="2016">
                  <c:v>45117</c:v>
                </c:pt>
                <c:pt idx="2017">
                  <c:v>45118</c:v>
                </c:pt>
                <c:pt idx="2018">
                  <c:v>45119</c:v>
                </c:pt>
                <c:pt idx="2019">
                  <c:v>45120</c:v>
                </c:pt>
                <c:pt idx="2020">
                  <c:v>45121</c:v>
                </c:pt>
                <c:pt idx="2021">
                  <c:v>45122</c:v>
                </c:pt>
                <c:pt idx="2022">
                  <c:v>45123</c:v>
                </c:pt>
                <c:pt idx="2023">
                  <c:v>45124</c:v>
                </c:pt>
                <c:pt idx="2024">
                  <c:v>45125</c:v>
                </c:pt>
                <c:pt idx="2025">
                  <c:v>45126</c:v>
                </c:pt>
                <c:pt idx="2026">
                  <c:v>45127</c:v>
                </c:pt>
                <c:pt idx="2027">
                  <c:v>45128</c:v>
                </c:pt>
                <c:pt idx="2028">
                  <c:v>45129</c:v>
                </c:pt>
                <c:pt idx="2029">
                  <c:v>45130</c:v>
                </c:pt>
                <c:pt idx="2030">
                  <c:v>45131</c:v>
                </c:pt>
                <c:pt idx="2031">
                  <c:v>45132</c:v>
                </c:pt>
                <c:pt idx="2032">
                  <c:v>45133</c:v>
                </c:pt>
                <c:pt idx="2033">
                  <c:v>45134</c:v>
                </c:pt>
                <c:pt idx="2034">
                  <c:v>45135</c:v>
                </c:pt>
                <c:pt idx="2035">
                  <c:v>45136</c:v>
                </c:pt>
                <c:pt idx="2036">
                  <c:v>45137</c:v>
                </c:pt>
                <c:pt idx="2037">
                  <c:v>45138</c:v>
                </c:pt>
                <c:pt idx="2038">
                  <c:v>45139</c:v>
                </c:pt>
                <c:pt idx="2039">
                  <c:v>45140</c:v>
                </c:pt>
                <c:pt idx="2040">
                  <c:v>45141</c:v>
                </c:pt>
                <c:pt idx="2041">
                  <c:v>45142</c:v>
                </c:pt>
                <c:pt idx="2042">
                  <c:v>45143</c:v>
                </c:pt>
                <c:pt idx="2043">
                  <c:v>45144</c:v>
                </c:pt>
                <c:pt idx="2044">
                  <c:v>45145</c:v>
                </c:pt>
                <c:pt idx="2045">
                  <c:v>45146</c:v>
                </c:pt>
                <c:pt idx="2046">
                  <c:v>45147</c:v>
                </c:pt>
                <c:pt idx="2047">
                  <c:v>45148</c:v>
                </c:pt>
                <c:pt idx="2048">
                  <c:v>45149</c:v>
                </c:pt>
                <c:pt idx="2049">
                  <c:v>45150</c:v>
                </c:pt>
                <c:pt idx="2050">
                  <c:v>45151</c:v>
                </c:pt>
                <c:pt idx="2051">
                  <c:v>45152</c:v>
                </c:pt>
                <c:pt idx="2052">
                  <c:v>45153</c:v>
                </c:pt>
                <c:pt idx="2053">
                  <c:v>45154</c:v>
                </c:pt>
                <c:pt idx="2054">
                  <c:v>45155</c:v>
                </c:pt>
                <c:pt idx="2055">
                  <c:v>45156</c:v>
                </c:pt>
                <c:pt idx="2056">
                  <c:v>45157</c:v>
                </c:pt>
                <c:pt idx="2057">
                  <c:v>45158</c:v>
                </c:pt>
                <c:pt idx="2058">
                  <c:v>45159</c:v>
                </c:pt>
                <c:pt idx="2059">
                  <c:v>45160</c:v>
                </c:pt>
                <c:pt idx="2060">
                  <c:v>45161</c:v>
                </c:pt>
                <c:pt idx="2061">
                  <c:v>45162</c:v>
                </c:pt>
                <c:pt idx="2062">
                  <c:v>45163</c:v>
                </c:pt>
                <c:pt idx="2063">
                  <c:v>45164</c:v>
                </c:pt>
                <c:pt idx="2064">
                  <c:v>45165</c:v>
                </c:pt>
                <c:pt idx="2065">
                  <c:v>45166</c:v>
                </c:pt>
                <c:pt idx="2066">
                  <c:v>45167</c:v>
                </c:pt>
                <c:pt idx="2067">
                  <c:v>45168</c:v>
                </c:pt>
                <c:pt idx="2068">
                  <c:v>45169</c:v>
                </c:pt>
                <c:pt idx="2069">
                  <c:v>45170</c:v>
                </c:pt>
                <c:pt idx="2070">
                  <c:v>45171</c:v>
                </c:pt>
                <c:pt idx="2071">
                  <c:v>45172</c:v>
                </c:pt>
                <c:pt idx="2072">
                  <c:v>45173</c:v>
                </c:pt>
                <c:pt idx="2073">
                  <c:v>45174</c:v>
                </c:pt>
                <c:pt idx="2074">
                  <c:v>45175</c:v>
                </c:pt>
                <c:pt idx="2075">
                  <c:v>45176</c:v>
                </c:pt>
                <c:pt idx="2076">
                  <c:v>45177</c:v>
                </c:pt>
                <c:pt idx="2077">
                  <c:v>45178</c:v>
                </c:pt>
                <c:pt idx="2078">
                  <c:v>45179</c:v>
                </c:pt>
                <c:pt idx="2079">
                  <c:v>45180</c:v>
                </c:pt>
                <c:pt idx="2080">
                  <c:v>45181</c:v>
                </c:pt>
                <c:pt idx="2081">
                  <c:v>45182</c:v>
                </c:pt>
                <c:pt idx="2082">
                  <c:v>45183</c:v>
                </c:pt>
                <c:pt idx="2083">
                  <c:v>45184</c:v>
                </c:pt>
                <c:pt idx="2084">
                  <c:v>45185</c:v>
                </c:pt>
                <c:pt idx="2085">
                  <c:v>45186</c:v>
                </c:pt>
                <c:pt idx="2086">
                  <c:v>45187</c:v>
                </c:pt>
                <c:pt idx="2087">
                  <c:v>45188</c:v>
                </c:pt>
                <c:pt idx="2088">
                  <c:v>45189</c:v>
                </c:pt>
                <c:pt idx="2089">
                  <c:v>45190</c:v>
                </c:pt>
                <c:pt idx="2090">
                  <c:v>45191</c:v>
                </c:pt>
                <c:pt idx="2091">
                  <c:v>45192</c:v>
                </c:pt>
                <c:pt idx="2092">
                  <c:v>45193</c:v>
                </c:pt>
                <c:pt idx="2093">
                  <c:v>45194</c:v>
                </c:pt>
                <c:pt idx="2094">
                  <c:v>45195</c:v>
                </c:pt>
                <c:pt idx="2095">
                  <c:v>45196</c:v>
                </c:pt>
                <c:pt idx="2096">
                  <c:v>45197</c:v>
                </c:pt>
                <c:pt idx="2097">
                  <c:v>45198</c:v>
                </c:pt>
                <c:pt idx="2098">
                  <c:v>45199</c:v>
                </c:pt>
                <c:pt idx="2099">
                  <c:v>45200</c:v>
                </c:pt>
                <c:pt idx="2100">
                  <c:v>45201</c:v>
                </c:pt>
                <c:pt idx="2101">
                  <c:v>45202</c:v>
                </c:pt>
                <c:pt idx="2102">
                  <c:v>45203</c:v>
                </c:pt>
                <c:pt idx="2103">
                  <c:v>45204</c:v>
                </c:pt>
                <c:pt idx="2104">
                  <c:v>45205</c:v>
                </c:pt>
                <c:pt idx="2105">
                  <c:v>45206</c:v>
                </c:pt>
                <c:pt idx="2106">
                  <c:v>45207</c:v>
                </c:pt>
                <c:pt idx="2107">
                  <c:v>45208</c:v>
                </c:pt>
                <c:pt idx="2108">
                  <c:v>45209</c:v>
                </c:pt>
                <c:pt idx="2109">
                  <c:v>45210</c:v>
                </c:pt>
                <c:pt idx="2110">
                  <c:v>45211</c:v>
                </c:pt>
                <c:pt idx="2111">
                  <c:v>45212</c:v>
                </c:pt>
                <c:pt idx="2112">
                  <c:v>45213</c:v>
                </c:pt>
                <c:pt idx="2113">
                  <c:v>45214</c:v>
                </c:pt>
                <c:pt idx="2114">
                  <c:v>45215</c:v>
                </c:pt>
                <c:pt idx="2115">
                  <c:v>45216</c:v>
                </c:pt>
                <c:pt idx="2116">
                  <c:v>45217</c:v>
                </c:pt>
                <c:pt idx="2117">
                  <c:v>45218</c:v>
                </c:pt>
                <c:pt idx="2118">
                  <c:v>45219</c:v>
                </c:pt>
                <c:pt idx="2119">
                  <c:v>45220</c:v>
                </c:pt>
                <c:pt idx="2120">
                  <c:v>45221</c:v>
                </c:pt>
                <c:pt idx="2121">
                  <c:v>45222</c:v>
                </c:pt>
                <c:pt idx="2122">
                  <c:v>45223</c:v>
                </c:pt>
                <c:pt idx="2123">
                  <c:v>45224</c:v>
                </c:pt>
                <c:pt idx="2124">
                  <c:v>45225</c:v>
                </c:pt>
                <c:pt idx="2125">
                  <c:v>45226</c:v>
                </c:pt>
                <c:pt idx="2126">
                  <c:v>45227</c:v>
                </c:pt>
                <c:pt idx="2127">
                  <c:v>45228</c:v>
                </c:pt>
                <c:pt idx="2128">
                  <c:v>45229</c:v>
                </c:pt>
                <c:pt idx="2129">
                  <c:v>45230</c:v>
                </c:pt>
                <c:pt idx="2130">
                  <c:v>45231</c:v>
                </c:pt>
                <c:pt idx="2131">
                  <c:v>45232</c:v>
                </c:pt>
                <c:pt idx="2132">
                  <c:v>45233</c:v>
                </c:pt>
                <c:pt idx="2133">
                  <c:v>45234</c:v>
                </c:pt>
                <c:pt idx="2134">
                  <c:v>45235</c:v>
                </c:pt>
                <c:pt idx="2135">
                  <c:v>45236</c:v>
                </c:pt>
                <c:pt idx="2136">
                  <c:v>45237</c:v>
                </c:pt>
                <c:pt idx="2137">
                  <c:v>45238</c:v>
                </c:pt>
                <c:pt idx="2138">
                  <c:v>45239</c:v>
                </c:pt>
                <c:pt idx="2139">
                  <c:v>45240</c:v>
                </c:pt>
                <c:pt idx="2140">
                  <c:v>45241</c:v>
                </c:pt>
                <c:pt idx="2141">
                  <c:v>45242</c:v>
                </c:pt>
                <c:pt idx="2142">
                  <c:v>45243</c:v>
                </c:pt>
                <c:pt idx="2143">
                  <c:v>45244</c:v>
                </c:pt>
                <c:pt idx="2144">
                  <c:v>45245</c:v>
                </c:pt>
                <c:pt idx="2145">
                  <c:v>45246</c:v>
                </c:pt>
                <c:pt idx="2146">
                  <c:v>45247</c:v>
                </c:pt>
                <c:pt idx="2147">
                  <c:v>45248</c:v>
                </c:pt>
                <c:pt idx="2148">
                  <c:v>45249</c:v>
                </c:pt>
                <c:pt idx="2149">
                  <c:v>45250</c:v>
                </c:pt>
                <c:pt idx="2150">
                  <c:v>45251</c:v>
                </c:pt>
                <c:pt idx="2151">
                  <c:v>45252</c:v>
                </c:pt>
                <c:pt idx="2152">
                  <c:v>45253</c:v>
                </c:pt>
                <c:pt idx="2153">
                  <c:v>45254</c:v>
                </c:pt>
                <c:pt idx="2154">
                  <c:v>45255</c:v>
                </c:pt>
                <c:pt idx="2155">
                  <c:v>45256</c:v>
                </c:pt>
                <c:pt idx="2156">
                  <c:v>45257</c:v>
                </c:pt>
                <c:pt idx="2157">
                  <c:v>45258</c:v>
                </c:pt>
                <c:pt idx="2158">
                  <c:v>45259</c:v>
                </c:pt>
                <c:pt idx="2159">
                  <c:v>45260</c:v>
                </c:pt>
                <c:pt idx="2160">
                  <c:v>45261</c:v>
                </c:pt>
                <c:pt idx="2161">
                  <c:v>45262</c:v>
                </c:pt>
                <c:pt idx="2162">
                  <c:v>45263</c:v>
                </c:pt>
                <c:pt idx="2163">
                  <c:v>45264</c:v>
                </c:pt>
                <c:pt idx="2164">
                  <c:v>45265</c:v>
                </c:pt>
                <c:pt idx="2165">
                  <c:v>45266</c:v>
                </c:pt>
                <c:pt idx="2166">
                  <c:v>45267</c:v>
                </c:pt>
                <c:pt idx="2167">
                  <c:v>45268</c:v>
                </c:pt>
                <c:pt idx="2168">
                  <c:v>45269</c:v>
                </c:pt>
                <c:pt idx="2169">
                  <c:v>45270</c:v>
                </c:pt>
                <c:pt idx="2170">
                  <c:v>45271</c:v>
                </c:pt>
                <c:pt idx="2171">
                  <c:v>45272</c:v>
                </c:pt>
                <c:pt idx="2172">
                  <c:v>45273</c:v>
                </c:pt>
                <c:pt idx="2173">
                  <c:v>45274</c:v>
                </c:pt>
                <c:pt idx="2174">
                  <c:v>45275</c:v>
                </c:pt>
                <c:pt idx="2175">
                  <c:v>45276</c:v>
                </c:pt>
                <c:pt idx="2176">
                  <c:v>45277</c:v>
                </c:pt>
                <c:pt idx="2177">
                  <c:v>45278</c:v>
                </c:pt>
                <c:pt idx="2178">
                  <c:v>45279</c:v>
                </c:pt>
                <c:pt idx="2179">
                  <c:v>45280</c:v>
                </c:pt>
                <c:pt idx="2180">
                  <c:v>45281</c:v>
                </c:pt>
                <c:pt idx="2181">
                  <c:v>45282</c:v>
                </c:pt>
                <c:pt idx="2182">
                  <c:v>45283</c:v>
                </c:pt>
                <c:pt idx="2183">
                  <c:v>45284</c:v>
                </c:pt>
                <c:pt idx="2184">
                  <c:v>45285</c:v>
                </c:pt>
                <c:pt idx="2185">
                  <c:v>45286</c:v>
                </c:pt>
                <c:pt idx="2186">
                  <c:v>45287</c:v>
                </c:pt>
                <c:pt idx="2187">
                  <c:v>45288</c:v>
                </c:pt>
                <c:pt idx="2188">
                  <c:v>45289</c:v>
                </c:pt>
                <c:pt idx="2189">
                  <c:v>45290</c:v>
                </c:pt>
                <c:pt idx="2190">
                  <c:v>45291</c:v>
                </c:pt>
                <c:pt idx="2191">
                  <c:v>45292</c:v>
                </c:pt>
                <c:pt idx="2192">
                  <c:v>45293</c:v>
                </c:pt>
                <c:pt idx="2193">
                  <c:v>45294</c:v>
                </c:pt>
                <c:pt idx="2194">
                  <c:v>45295</c:v>
                </c:pt>
                <c:pt idx="2195">
                  <c:v>45296</c:v>
                </c:pt>
                <c:pt idx="2196">
                  <c:v>45297</c:v>
                </c:pt>
                <c:pt idx="2197">
                  <c:v>45298</c:v>
                </c:pt>
                <c:pt idx="2198">
                  <c:v>45299</c:v>
                </c:pt>
                <c:pt idx="2199">
                  <c:v>45300</c:v>
                </c:pt>
                <c:pt idx="2200">
                  <c:v>45301</c:v>
                </c:pt>
                <c:pt idx="2201">
                  <c:v>45302</c:v>
                </c:pt>
                <c:pt idx="2202">
                  <c:v>45303</c:v>
                </c:pt>
                <c:pt idx="2203">
                  <c:v>45304</c:v>
                </c:pt>
                <c:pt idx="2204">
                  <c:v>45305</c:v>
                </c:pt>
                <c:pt idx="2205">
                  <c:v>45306</c:v>
                </c:pt>
                <c:pt idx="2206">
                  <c:v>45307</c:v>
                </c:pt>
                <c:pt idx="2207">
                  <c:v>45308</c:v>
                </c:pt>
                <c:pt idx="2208">
                  <c:v>45309</c:v>
                </c:pt>
                <c:pt idx="2209">
                  <c:v>45310</c:v>
                </c:pt>
                <c:pt idx="2210">
                  <c:v>45311</c:v>
                </c:pt>
                <c:pt idx="2211">
                  <c:v>45312</c:v>
                </c:pt>
                <c:pt idx="2212">
                  <c:v>45313</c:v>
                </c:pt>
                <c:pt idx="2213">
                  <c:v>45314</c:v>
                </c:pt>
                <c:pt idx="2214">
                  <c:v>45315</c:v>
                </c:pt>
                <c:pt idx="2215">
                  <c:v>45316</c:v>
                </c:pt>
                <c:pt idx="2216">
                  <c:v>45317</c:v>
                </c:pt>
                <c:pt idx="2217">
                  <c:v>45318</c:v>
                </c:pt>
                <c:pt idx="2218">
                  <c:v>45319</c:v>
                </c:pt>
                <c:pt idx="2219">
                  <c:v>45320</c:v>
                </c:pt>
                <c:pt idx="2220">
                  <c:v>45321</c:v>
                </c:pt>
                <c:pt idx="2221">
                  <c:v>45322</c:v>
                </c:pt>
                <c:pt idx="2222">
                  <c:v>45323</c:v>
                </c:pt>
                <c:pt idx="2223">
                  <c:v>45324</c:v>
                </c:pt>
                <c:pt idx="2224">
                  <c:v>45325</c:v>
                </c:pt>
                <c:pt idx="2225">
                  <c:v>45326</c:v>
                </c:pt>
                <c:pt idx="2226">
                  <c:v>45327</c:v>
                </c:pt>
                <c:pt idx="2227">
                  <c:v>45328</c:v>
                </c:pt>
                <c:pt idx="2228">
                  <c:v>45329</c:v>
                </c:pt>
                <c:pt idx="2229">
                  <c:v>45330</c:v>
                </c:pt>
                <c:pt idx="2230">
                  <c:v>45331</c:v>
                </c:pt>
                <c:pt idx="2231">
                  <c:v>45332</c:v>
                </c:pt>
                <c:pt idx="2232">
                  <c:v>45333</c:v>
                </c:pt>
                <c:pt idx="2233">
                  <c:v>45334</c:v>
                </c:pt>
                <c:pt idx="2234">
                  <c:v>45335</c:v>
                </c:pt>
                <c:pt idx="2235">
                  <c:v>45336</c:v>
                </c:pt>
                <c:pt idx="2236">
                  <c:v>45337</c:v>
                </c:pt>
                <c:pt idx="2237">
                  <c:v>45338</c:v>
                </c:pt>
                <c:pt idx="2238">
                  <c:v>45339</c:v>
                </c:pt>
                <c:pt idx="2239">
                  <c:v>45340</c:v>
                </c:pt>
                <c:pt idx="2240">
                  <c:v>45341</c:v>
                </c:pt>
                <c:pt idx="2241">
                  <c:v>45342</c:v>
                </c:pt>
                <c:pt idx="2242">
                  <c:v>45343</c:v>
                </c:pt>
                <c:pt idx="2243">
                  <c:v>45344</c:v>
                </c:pt>
                <c:pt idx="2244">
                  <c:v>45345</c:v>
                </c:pt>
                <c:pt idx="2245">
                  <c:v>45346</c:v>
                </c:pt>
                <c:pt idx="2246">
                  <c:v>45347</c:v>
                </c:pt>
                <c:pt idx="2247">
                  <c:v>45348</c:v>
                </c:pt>
                <c:pt idx="2248">
                  <c:v>45349</c:v>
                </c:pt>
                <c:pt idx="2249">
                  <c:v>45350</c:v>
                </c:pt>
                <c:pt idx="2250">
                  <c:v>45351</c:v>
                </c:pt>
                <c:pt idx="2251">
                  <c:v>45352</c:v>
                </c:pt>
                <c:pt idx="2252">
                  <c:v>45353</c:v>
                </c:pt>
                <c:pt idx="2253">
                  <c:v>45354</c:v>
                </c:pt>
                <c:pt idx="2254">
                  <c:v>45355</c:v>
                </c:pt>
                <c:pt idx="2255">
                  <c:v>45356</c:v>
                </c:pt>
                <c:pt idx="2256">
                  <c:v>45357</c:v>
                </c:pt>
                <c:pt idx="2257">
                  <c:v>45358</c:v>
                </c:pt>
                <c:pt idx="2258">
                  <c:v>45359</c:v>
                </c:pt>
                <c:pt idx="2259">
                  <c:v>45360</c:v>
                </c:pt>
                <c:pt idx="2260">
                  <c:v>45361</c:v>
                </c:pt>
                <c:pt idx="2261">
                  <c:v>45362</c:v>
                </c:pt>
                <c:pt idx="2262">
                  <c:v>45363</c:v>
                </c:pt>
                <c:pt idx="2263">
                  <c:v>45364</c:v>
                </c:pt>
                <c:pt idx="2264">
                  <c:v>45365</c:v>
                </c:pt>
                <c:pt idx="2265">
                  <c:v>45366</c:v>
                </c:pt>
                <c:pt idx="2266">
                  <c:v>45367</c:v>
                </c:pt>
                <c:pt idx="2267">
                  <c:v>45368</c:v>
                </c:pt>
                <c:pt idx="2268">
                  <c:v>45369</c:v>
                </c:pt>
                <c:pt idx="2269">
                  <c:v>45370</c:v>
                </c:pt>
                <c:pt idx="2270">
                  <c:v>45371</c:v>
                </c:pt>
                <c:pt idx="2271">
                  <c:v>45372</c:v>
                </c:pt>
                <c:pt idx="2272">
                  <c:v>45373</c:v>
                </c:pt>
                <c:pt idx="2273">
                  <c:v>45374</c:v>
                </c:pt>
                <c:pt idx="2274">
                  <c:v>45375</c:v>
                </c:pt>
                <c:pt idx="2275">
                  <c:v>45376</c:v>
                </c:pt>
                <c:pt idx="2276">
                  <c:v>45377</c:v>
                </c:pt>
                <c:pt idx="2277">
                  <c:v>45378</c:v>
                </c:pt>
                <c:pt idx="2278">
                  <c:v>45379</c:v>
                </c:pt>
                <c:pt idx="2279">
                  <c:v>45380</c:v>
                </c:pt>
                <c:pt idx="2280">
                  <c:v>45381</c:v>
                </c:pt>
                <c:pt idx="2281">
                  <c:v>45382</c:v>
                </c:pt>
                <c:pt idx="2282">
                  <c:v>45383</c:v>
                </c:pt>
                <c:pt idx="2283">
                  <c:v>45384</c:v>
                </c:pt>
                <c:pt idx="2284">
                  <c:v>45385</c:v>
                </c:pt>
                <c:pt idx="2285">
                  <c:v>45386</c:v>
                </c:pt>
                <c:pt idx="2286">
                  <c:v>45387</c:v>
                </c:pt>
                <c:pt idx="2287">
                  <c:v>45388</c:v>
                </c:pt>
                <c:pt idx="2288">
                  <c:v>45389</c:v>
                </c:pt>
                <c:pt idx="2289">
                  <c:v>45390</c:v>
                </c:pt>
                <c:pt idx="2290">
                  <c:v>45391</c:v>
                </c:pt>
                <c:pt idx="2291">
                  <c:v>45392</c:v>
                </c:pt>
                <c:pt idx="2292">
                  <c:v>45393</c:v>
                </c:pt>
                <c:pt idx="2293">
                  <c:v>45394</c:v>
                </c:pt>
                <c:pt idx="2294">
                  <c:v>45395</c:v>
                </c:pt>
                <c:pt idx="2295">
                  <c:v>45396</c:v>
                </c:pt>
                <c:pt idx="2296">
                  <c:v>45397</c:v>
                </c:pt>
                <c:pt idx="2297">
                  <c:v>45398</c:v>
                </c:pt>
                <c:pt idx="2298">
                  <c:v>45399</c:v>
                </c:pt>
                <c:pt idx="2299">
                  <c:v>45400</c:v>
                </c:pt>
                <c:pt idx="2300">
                  <c:v>45401</c:v>
                </c:pt>
                <c:pt idx="2301">
                  <c:v>45402</c:v>
                </c:pt>
                <c:pt idx="2302">
                  <c:v>45403</c:v>
                </c:pt>
                <c:pt idx="2303">
                  <c:v>45404</c:v>
                </c:pt>
                <c:pt idx="2304">
                  <c:v>45405</c:v>
                </c:pt>
                <c:pt idx="2305">
                  <c:v>45406</c:v>
                </c:pt>
                <c:pt idx="2306">
                  <c:v>45407</c:v>
                </c:pt>
                <c:pt idx="2307">
                  <c:v>45408</c:v>
                </c:pt>
                <c:pt idx="2308">
                  <c:v>45409</c:v>
                </c:pt>
                <c:pt idx="2309">
                  <c:v>45410</c:v>
                </c:pt>
                <c:pt idx="2310">
                  <c:v>45411</c:v>
                </c:pt>
                <c:pt idx="2311">
                  <c:v>45412</c:v>
                </c:pt>
                <c:pt idx="2312">
                  <c:v>45413</c:v>
                </c:pt>
                <c:pt idx="2313">
                  <c:v>45414</c:v>
                </c:pt>
                <c:pt idx="2314">
                  <c:v>45415</c:v>
                </c:pt>
                <c:pt idx="2315">
                  <c:v>45416</c:v>
                </c:pt>
                <c:pt idx="2316">
                  <c:v>45417</c:v>
                </c:pt>
                <c:pt idx="2317">
                  <c:v>45418</c:v>
                </c:pt>
                <c:pt idx="2318">
                  <c:v>45419</c:v>
                </c:pt>
                <c:pt idx="2319">
                  <c:v>45420</c:v>
                </c:pt>
                <c:pt idx="2320">
                  <c:v>45421</c:v>
                </c:pt>
                <c:pt idx="2321">
                  <c:v>45422</c:v>
                </c:pt>
                <c:pt idx="2322">
                  <c:v>45423</c:v>
                </c:pt>
                <c:pt idx="2323">
                  <c:v>45424</c:v>
                </c:pt>
                <c:pt idx="2324">
                  <c:v>45425</c:v>
                </c:pt>
                <c:pt idx="2325">
                  <c:v>45426</c:v>
                </c:pt>
                <c:pt idx="2326">
                  <c:v>45427</c:v>
                </c:pt>
                <c:pt idx="2327">
                  <c:v>45428</c:v>
                </c:pt>
                <c:pt idx="2328">
                  <c:v>45429</c:v>
                </c:pt>
                <c:pt idx="2329">
                  <c:v>45430</c:v>
                </c:pt>
                <c:pt idx="2330">
                  <c:v>45431</c:v>
                </c:pt>
                <c:pt idx="2331">
                  <c:v>45432</c:v>
                </c:pt>
                <c:pt idx="2332">
                  <c:v>45433</c:v>
                </c:pt>
                <c:pt idx="2333">
                  <c:v>45434</c:v>
                </c:pt>
                <c:pt idx="2334">
                  <c:v>45435</c:v>
                </c:pt>
                <c:pt idx="2335">
                  <c:v>45436</c:v>
                </c:pt>
                <c:pt idx="2336">
                  <c:v>45437</c:v>
                </c:pt>
                <c:pt idx="2337">
                  <c:v>45438</c:v>
                </c:pt>
                <c:pt idx="2338">
                  <c:v>45439</c:v>
                </c:pt>
                <c:pt idx="2339">
                  <c:v>45440</c:v>
                </c:pt>
                <c:pt idx="2340">
                  <c:v>45441</c:v>
                </c:pt>
                <c:pt idx="2341">
                  <c:v>45442</c:v>
                </c:pt>
                <c:pt idx="2342">
                  <c:v>45443</c:v>
                </c:pt>
                <c:pt idx="2343">
                  <c:v>45444</c:v>
                </c:pt>
                <c:pt idx="2344">
                  <c:v>45445</c:v>
                </c:pt>
                <c:pt idx="2345">
                  <c:v>45446</c:v>
                </c:pt>
                <c:pt idx="2346">
                  <c:v>45447</c:v>
                </c:pt>
                <c:pt idx="2347">
                  <c:v>45448</c:v>
                </c:pt>
                <c:pt idx="2348">
                  <c:v>45449</c:v>
                </c:pt>
                <c:pt idx="2349">
                  <c:v>45450</c:v>
                </c:pt>
                <c:pt idx="2350">
                  <c:v>45451</c:v>
                </c:pt>
                <c:pt idx="2351">
                  <c:v>45452</c:v>
                </c:pt>
                <c:pt idx="2352">
                  <c:v>45453</c:v>
                </c:pt>
                <c:pt idx="2353">
                  <c:v>45454</c:v>
                </c:pt>
                <c:pt idx="2354">
                  <c:v>45455</c:v>
                </c:pt>
                <c:pt idx="2355">
                  <c:v>45456</c:v>
                </c:pt>
                <c:pt idx="2356">
                  <c:v>45457</c:v>
                </c:pt>
                <c:pt idx="2357">
                  <c:v>45458</c:v>
                </c:pt>
                <c:pt idx="2358">
                  <c:v>45459</c:v>
                </c:pt>
                <c:pt idx="2359">
                  <c:v>45460</c:v>
                </c:pt>
                <c:pt idx="2360">
                  <c:v>45461</c:v>
                </c:pt>
                <c:pt idx="2361">
                  <c:v>45462</c:v>
                </c:pt>
                <c:pt idx="2362">
                  <c:v>45463</c:v>
                </c:pt>
                <c:pt idx="2363">
                  <c:v>45464</c:v>
                </c:pt>
                <c:pt idx="2364">
                  <c:v>45465</c:v>
                </c:pt>
                <c:pt idx="2365">
                  <c:v>45466</c:v>
                </c:pt>
                <c:pt idx="2366">
                  <c:v>45467</c:v>
                </c:pt>
                <c:pt idx="2367">
                  <c:v>45468</c:v>
                </c:pt>
                <c:pt idx="2368">
                  <c:v>45469</c:v>
                </c:pt>
                <c:pt idx="2369">
                  <c:v>45470</c:v>
                </c:pt>
                <c:pt idx="2370">
                  <c:v>45471</c:v>
                </c:pt>
                <c:pt idx="2371">
                  <c:v>45472</c:v>
                </c:pt>
                <c:pt idx="2372">
                  <c:v>45473</c:v>
                </c:pt>
                <c:pt idx="2373">
                  <c:v>45474</c:v>
                </c:pt>
                <c:pt idx="2374">
                  <c:v>45475</c:v>
                </c:pt>
                <c:pt idx="2375">
                  <c:v>45476</c:v>
                </c:pt>
                <c:pt idx="2376">
                  <c:v>45477</c:v>
                </c:pt>
                <c:pt idx="2377">
                  <c:v>45478</c:v>
                </c:pt>
                <c:pt idx="2378">
                  <c:v>45479</c:v>
                </c:pt>
                <c:pt idx="2379">
                  <c:v>45480</c:v>
                </c:pt>
                <c:pt idx="2380">
                  <c:v>45481</c:v>
                </c:pt>
                <c:pt idx="2381">
                  <c:v>45482</c:v>
                </c:pt>
                <c:pt idx="2382">
                  <c:v>45483</c:v>
                </c:pt>
                <c:pt idx="2383">
                  <c:v>45484</c:v>
                </c:pt>
                <c:pt idx="2384">
                  <c:v>45485</c:v>
                </c:pt>
                <c:pt idx="2385">
                  <c:v>45486</c:v>
                </c:pt>
                <c:pt idx="2386">
                  <c:v>45487</c:v>
                </c:pt>
                <c:pt idx="2387">
                  <c:v>45488</c:v>
                </c:pt>
                <c:pt idx="2388">
                  <c:v>45489</c:v>
                </c:pt>
                <c:pt idx="2389">
                  <c:v>45490</c:v>
                </c:pt>
                <c:pt idx="2390">
                  <c:v>45491</c:v>
                </c:pt>
                <c:pt idx="2391">
                  <c:v>45492</c:v>
                </c:pt>
                <c:pt idx="2392">
                  <c:v>45493</c:v>
                </c:pt>
                <c:pt idx="2393">
                  <c:v>45494</c:v>
                </c:pt>
                <c:pt idx="2394">
                  <c:v>45495</c:v>
                </c:pt>
                <c:pt idx="2395">
                  <c:v>45496</c:v>
                </c:pt>
                <c:pt idx="2396">
                  <c:v>45497</c:v>
                </c:pt>
                <c:pt idx="2397">
                  <c:v>45498</c:v>
                </c:pt>
                <c:pt idx="2398">
                  <c:v>45499</c:v>
                </c:pt>
                <c:pt idx="2399">
                  <c:v>45500</c:v>
                </c:pt>
                <c:pt idx="2400">
                  <c:v>45501</c:v>
                </c:pt>
                <c:pt idx="2401">
                  <c:v>45502</c:v>
                </c:pt>
                <c:pt idx="2402">
                  <c:v>45503</c:v>
                </c:pt>
                <c:pt idx="2403">
                  <c:v>45504</c:v>
                </c:pt>
                <c:pt idx="2404">
                  <c:v>45505</c:v>
                </c:pt>
                <c:pt idx="2405">
                  <c:v>45506</c:v>
                </c:pt>
                <c:pt idx="2406">
                  <c:v>45507</c:v>
                </c:pt>
                <c:pt idx="2407">
                  <c:v>45508</c:v>
                </c:pt>
                <c:pt idx="2408">
                  <c:v>45509</c:v>
                </c:pt>
                <c:pt idx="2409">
                  <c:v>45510</c:v>
                </c:pt>
                <c:pt idx="2410">
                  <c:v>45511</c:v>
                </c:pt>
                <c:pt idx="2411">
                  <c:v>45512</c:v>
                </c:pt>
                <c:pt idx="2412">
                  <c:v>45513</c:v>
                </c:pt>
                <c:pt idx="2413">
                  <c:v>45514</c:v>
                </c:pt>
                <c:pt idx="2414">
                  <c:v>45515</c:v>
                </c:pt>
                <c:pt idx="2415">
                  <c:v>45516</c:v>
                </c:pt>
                <c:pt idx="2416">
                  <c:v>45517</c:v>
                </c:pt>
                <c:pt idx="2417">
                  <c:v>45518</c:v>
                </c:pt>
                <c:pt idx="2418">
                  <c:v>45519</c:v>
                </c:pt>
                <c:pt idx="2419">
                  <c:v>45520</c:v>
                </c:pt>
                <c:pt idx="2420">
                  <c:v>45521</c:v>
                </c:pt>
                <c:pt idx="2421">
                  <c:v>45522</c:v>
                </c:pt>
                <c:pt idx="2422">
                  <c:v>45523</c:v>
                </c:pt>
                <c:pt idx="2423">
                  <c:v>45524</c:v>
                </c:pt>
                <c:pt idx="2424">
                  <c:v>45525</c:v>
                </c:pt>
                <c:pt idx="2425">
                  <c:v>45526</c:v>
                </c:pt>
                <c:pt idx="2426">
                  <c:v>45527</c:v>
                </c:pt>
                <c:pt idx="2427">
                  <c:v>45528</c:v>
                </c:pt>
                <c:pt idx="2428">
                  <c:v>45529</c:v>
                </c:pt>
                <c:pt idx="2429">
                  <c:v>45530</c:v>
                </c:pt>
                <c:pt idx="2430">
                  <c:v>45531</c:v>
                </c:pt>
                <c:pt idx="2431">
                  <c:v>45532</c:v>
                </c:pt>
                <c:pt idx="2432">
                  <c:v>45533</c:v>
                </c:pt>
                <c:pt idx="2433">
                  <c:v>45534</c:v>
                </c:pt>
                <c:pt idx="2434">
                  <c:v>45535</c:v>
                </c:pt>
                <c:pt idx="2435">
                  <c:v>45536</c:v>
                </c:pt>
                <c:pt idx="2436">
                  <c:v>45537</c:v>
                </c:pt>
                <c:pt idx="2437">
                  <c:v>45538</c:v>
                </c:pt>
                <c:pt idx="2438">
                  <c:v>45539</c:v>
                </c:pt>
                <c:pt idx="2439">
                  <c:v>45540</c:v>
                </c:pt>
                <c:pt idx="2440">
                  <c:v>45541</c:v>
                </c:pt>
                <c:pt idx="2441">
                  <c:v>45542</c:v>
                </c:pt>
                <c:pt idx="2442">
                  <c:v>45543</c:v>
                </c:pt>
                <c:pt idx="2443">
                  <c:v>45544</c:v>
                </c:pt>
                <c:pt idx="2444">
                  <c:v>45545</c:v>
                </c:pt>
                <c:pt idx="2445">
                  <c:v>45546</c:v>
                </c:pt>
                <c:pt idx="2446">
                  <c:v>45547</c:v>
                </c:pt>
                <c:pt idx="2447">
                  <c:v>45548</c:v>
                </c:pt>
                <c:pt idx="2448">
                  <c:v>45549</c:v>
                </c:pt>
                <c:pt idx="2449">
                  <c:v>45550</c:v>
                </c:pt>
                <c:pt idx="2450">
                  <c:v>45551</c:v>
                </c:pt>
                <c:pt idx="2451">
                  <c:v>45552</c:v>
                </c:pt>
                <c:pt idx="2452">
                  <c:v>45553</c:v>
                </c:pt>
                <c:pt idx="2453">
                  <c:v>45554</c:v>
                </c:pt>
                <c:pt idx="2454">
                  <c:v>45555</c:v>
                </c:pt>
                <c:pt idx="2455">
                  <c:v>45556</c:v>
                </c:pt>
                <c:pt idx="2456">
                  <c:v>45557</c:v>
                </c:pt>
                <c:pt idx="2457">
                  <c:v>45558</c:v>
                </c:pt>
                <c:pt idx="2458">
                  <c:v>45559</c:v>
                </c:pt>
                <c:pt idx="2459">
                  <c:v>45560</c:v>
                </c:pt>
                <c:pt idx="2460">
                  <c:v>45561</c:v>
                </c:pt>
                <c:pt idx="2461">
                  <c:v>45562</c:v>
                </c:pt>
                <c:pt idx="2462">
                  <c:v>45563</c:v>
                </c:pt>
                <c:pt idx="2463">
                  <c:v>45564</c:v>
                </c:pt>
                <c:pt idx="2464">
                  <c:v>45565</c:v>
                </c:pt>
                <c:pt idx="2465">
                  <c:v>45566</c:v>
                </c:pt>
                <c:pt idx="2466">
                  <c:v>45567</c:v>
                </c:pt>
                <c:pt idx="2467">
                  <c:v>45568</c:v>
                </c:pt>
                <c:pt idx="2468">
                  <c:v>45569</c:v>
                </c:pt>
                <c:pt idx="2469">
                  <c:v>45570</c:v>
                </c:pt>
                <c:pt idx="2470">
                  <c:v>45571</c:v>
                </c:pt>
                <c:pt idx="2471">
                  <c:v>45572</c:v>
                </c:pt>
                <c:pt idx="2472">
                  <c:v>45573</c:v>
                </c:pt>
                <c:pt idx="2473">
                  <c:v>45574</c:v>
                </c:pt>
                <c:pt idx="2474">
                  <c:v>45575</c:v>
                </c:pt>
                <c:pt idx="2475">
                  <c:v>45576</c:v>
                </c:pt>
                <c:pt idx="2476">
                  <c:v>45577</c:v>
                </c:pt>
                <c:pt idx="2477">
                  <c:v>45578</c:v>
                </c:pt>
                <c:pt idx="2478">
                  <c:v>45579</c:v>
                </c:pt>
                <c:pt idx="2479">
                  <c:v>45580</c:v>
                </c:pt>
                <c:pt idx="2480">
                  <c:v>45581</c:v>
                </c:pt>
                <c:pt idx="2481">
                  <c:v>45582</c:v>
                </c:pt>
                <c:pt idx="2482">
                  <c:v>45583</c:v>
                </c:pt>
                <c:pt idx="2483">
                  <c:v>45584</c:v>
                </c:pt>
                <c:pt idx="2484">
                  <c:v>45585</c:v>
                </c:pt>
                <c:pt idx="2485">
                  <c:v>45586</c:v>
                </c:pt>
                <c:pt idx="2486">
                  <c:v>45587</c:v>
                </c:pt>
                <c:pt idx="2487">
                  <c:v>45588</c:v>
                </c:pt>
                <c:pt idx="2488">
                  <c:v>45589</c:v>
                </c:pt>
                <c:pt idx="2489">
                  <c:v>45590</c:v>
                </c:pt>
                <c:pt idx="2490">
                  <c:v>45591</c:v>
                </c:pt>
                <c:pt idx="2491">
                  <c:v>45592</c:v>
                </c:pt>
                <c:pt idx="2492">
                  <c:v>45593</c:v>
                </c:pt>
                <c:pt idx="2493">
                  <c:v>45594</c:v>
                </c:pt>
                <c:pt idx="2494">
                  <c:v>45595</c:v>
                </c:pt>
                <c:pt idx="2495">
                  <c:v>45596</c:v>
                </c:pt>
                <c:pt idx="2496">
                  <c:v>45597</c:v>
                </c:pt>
                <c:pt idx="2497">
                  <c:v>45598</c:v>
                </c:pt>
                <c:pt idx="2498">
                  <c:v>45599</c:v>
                </c:pt>
                <c:pt idx="2499">
                  <c:v>45600</c:v>
                </c:pt>
                <c:pt idx="2500">
                  <c:v>45601</c:v>
                </c:pt>
                <c:pt idx="2501">
                  <c:v>45602</c:v>
                </c:pt>
                <c:pt idx="2502">
                  <c:v>45603</c:v>
                </c:pt>
                <c:pt idx="2503">
                  <c:v>45604</c:v>
                </c:pt>
                <c:pt idx="2504">
                  <c:v>45605</c:v>
                </c:pt>
                <c:pt idx="2505">
                  <c:v>45606</c:v>
                </c:pt>
                <c:pt idx="2506">
                  <c:v>45607</c:v>
                </c:pt>
                <c:pt idx="2507">
                  <c:v>45608</c:v>
                </c:pt>
                <c:pt idx="2508">
                  <c:v>45609</c:v>
                </c:pt>
                <c:pt idx="2509">
                  <c:v>45610</c:v>
                </c:pt>
                <c:pt idx="2510">
                  <c:v>45611</c:v>
                </c:pt>
                <c:pt idx="2511">
                  <c:v>45612</c:v>
                </c:pt>
                <c:pt idx="2512">
                  <c:v>45613</c:v>
                </c:pt>
                <c:pt idx="2513">
                  <c:v>45614</c:v>
                </c:pt>
                <c:pt idx="2514">
                  <c:v>45615</c:v>
                </c:pt>
                <c:pt idx="2515">
                  <c:v>45616</c:v>
                </c:pt>
                <c:pt idx="2516">
                  <c:v>45617</c:v>
                </c:pt>
                <c:pt idx="2517">
                  <c:v>45618</c:v>
                </c:pt>
                <c:pt idx="2518">
                  <c:v>45619</c:v>
                </c:pt>
                <c:pt idx="2519">
                  <c:v>45620</c:v>
                </c:pt>
                <c:pt idx="2520">
                  <c:v>45621</c:v>
                </c:pt>
                <c:pt idx="2521">
                  <c:v>45622</c:v>
                </c:pt>
                <c:pt idx="2522">
                  <c:v>45623</c:v>
                </c:pt>
                <c:pt idx="2523">
                  <c:v>45624</c:v>
                </c:pt>
                <c:pt idx="2524">
                  <c:v>45625</c:v>
                </c:pt>
                <c:pt idx="2525">
                  <c:v>45626</c:v>
                </c:pt>
                <c:pt idx="2526">
                  <c:v>45627</c:v>
                </c:pt>
                <c:pt idx="2527">
                  <c:v>45628</c:v>
                </c:pt>
                <c:pt idx="2528">
                  <c:v>45629</c:v>
                </c:pt>
                <c:pt idx="2529">
                  <c:v>45630</c:v>
                </c:pt>
                <c:pt idx="2530">
                  <c:v>45631</c:v>
                </c:pt>
                <c:pt idx="2531">
                  <c:v>45632</c:v>
                </c:pt>
                <c:pt idx="2532">
                  <c:v>45633</c:v>
                </c:pt>
                <c:pt idx="2533">
                  <c:v>45634</c:v>
                </c:pt>
                <c:pt idx="2534">
                  <c:v>45635</c:v>
                </c:pt>
                <c:pt idx="2535">
                  <c:v>45636</c:v>
                </c:pt>
                <c:pt idx="2536">
                  <c:v>45637</c:v>
                </c:pt>
                <c:pt idx="2537">
                  <c:v>45638</c:v>
                </c:pt>
                <c:pt idx="2538">
                  <c:v>45639</c:v>
                </c:pt>
                <c:pt idx="2539">
                  <c:v>45640</c:v>
                </c:pt>
                <c:pt idx="2540">
                  <c:v>45641</c:v>
                </c:pt>
                <c:pt idx="2541">
                  <c:v>45642</c:v>
                </c:pt>
                <c:pt idx="2542">
                  <c:v>45643</c:v>
                </c:pt>
                <c:pt idx="2543">
                  <c:v>45644</c:v>
                </c:pt>
                <c:pt idx="2544">
                  <c:v>45645</c:v>
                </c:pt>
                <c:pt idx="2545">
                  <c:v>45646</c:v>
                </c:pt>
                <c:pt idx="2546">
                  <c:v>45647</c:v>
                </c:pt>
                <c:pt idx="2547">
                  <c:v>45648</c:v>
                </c:pt>
                <c:pt idx="2548">
                  <c:v>45649</c:v>
                </c:pt>
                <c:pt idx="2549">
                  <c:v>45650</c:v>
                </c:pt>
                <c:pt idx="2550">
                  <c:v>45651</c:v>
                </c:pt>
                <c:pt idx="2551">
                  <c:v>45652</c:v>
                </c:pt>
                <c:pt idx="2552">
                  <c:v>45653</c:v>
                </c:pt>
                <c:pt idx="2553">
                  <c:v>45654</c:v>
                </c:pt>
                <c:pt idx="2554">
                  <c:v>45655</c:v>
                </c:pt>
                <c:pt idx="2555">
                  <c:v>45656</c:v>
                </c:pt>
                <c:pt idx="2556">
                  <c:v>45657</c:v>
                </c:pt>
                <c:pt idx="2557">
                  <c:v>45658</c:v>
                </c:pt>
              </c:numCache>
            </c:numRef>
          </c:cat>
          <c:val>
            <c:numRef>
              <c:f>Onboarding!$D$7:$D$2564</c:f>
              <c:numCache>
                <c:formatCode>General</c:formatCode>
                <c:ptCount val="2558"/>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4</c:v>
                </c:pt>
                <c:pt idx="593">
                  <c:v>4</c:v>
                </c:pt>
                <c:pt idx="594">
                  <c:v>4</c:v>
                </c:pt>
                <c:pt idx="595">
                  <c:v>4</c:v>
                </c:pt>
                <c:pt idx="596">
                  <c:v>4</c:v>
                </c:pt>
                <c:pt idx="597">
                  <c:v>4</c:v>
                </c:pt>
                <c:pt idx="598">
                  <c:v>4</c:v>
                </c:pt>
                <c:pt idx="599">
                  <c:v>4</c:v>
                </c:pt>
                <c:pt idx="600">
                  <c:v>4</c:v>
                </c:pt>
                <c:pt idx="601">
                  <c:v>4</c:v>
                </c:pt>
                <c:pt idx="602">
                  <c:v>4</c:v>
                </c:pt>
                <c:pt idx="603">
                  <c:v>4</c:v>
                </c:pt>
                <c:pt idx="604">
                  <c:v>4</c:v>
                </c:pt>
                <c:pt idx="605">
                  <c:v>4</c:v>
                </c:pt>
                <c:pt idx="606">
                  <c:v>4</c:v>
                </c:pt>
                <c:pt idx="607">
                  <c:v>4</c:v>
                </c:pt>
                <c:pt idx="608">
                  <c:v>4</c:v>
                </c:pt>
                <c:pt idx="609">
                  <c:v>4</c:v>
                </c:pt>
                <c:pt idx="610">
                  <c:v>4</c:v>
                </c:pt>
                <c:pt idx="611">
                  <c:v>4</c:v>
                </c:pt>
                <c:pt idx="612">
                  <c:v>4</c:v>
                </c:pt>
                <c:pt idx="613">
                  <c:v>4</c:v>
                </c:pt>
                <c:pt idx="614">
                  <c:v>4</c:v>
                </c:pt>
                <c:pt idx="615">
                  <c:v>4</c:v>
                </c:pt>
                <c:pt idx="616">
                  <c:v>4</c:v>
                </c:pt>
                <c:pt idx="617">
                  <c:v>4</c:v>
                </c:pt>
                <c:pt idx="618">
                  <c:v>4</c:v>
                </c:pt>
                <c:pt idx="619">
                  <c:v>4</c:v>
                </c:pt>
                <c:pt idx="620">
                  <c:v>4</c:v>
                </c:pt>
                <c:pt idx="621">
                  <c:v>4</c:v>
                </c:pt>
                <c:pt idx="622">
                  <c:v>4</c:v>
                </c:pt>
                <c:pt idx="623">
                  <c:v>4</c:v>
                </c:pt>
                <c:pt idx="624">
                  <c:v>4</c:v>
                </c:pt>
                <c:pt idx="625">
                  <c:v>4</c:v>
                </c:pt>
                <c:pt idx="626">
                  <c:v>4</c:v>
                </c:pt>
                <c:pt idx="627">
                  <c:v>4</c:v>
                </c:pt>
                <c:pt idx="628">
                  <c:v>4</c:v>
                </c:pt>
                <c:pt idx="629">
                  <c:v>4</c:v>
                </c:pt>
                <c:pt idx="630">
                  <c:v>4</c:v>
                </c:pt>
                <c:pt idx="631">
                  <c:v>4</c:v>
                </c:pt>
                <c:pt idx="632">
                  <c:v>4</c:v>
                </c:pt>
                <c:pt idx="633">
                  <c:v>4</c:v>
                </c:pt>
                <c:pt idx="634">
                  <c:v>4</c:v>
                </c:pt>
                <c:pt idx="635">
                  <c:v>4</c:v>
                </c:pt>
                <c:pt idx="636">
                  <c:v>4</c:v>
                </c:pt>
                <c:pt idx="637">
                  <c:v>4</c:v>
                </c:pt>
                <c:pt idx="638">
                  <c:v>4</c:v>
                </c:pt>
                <c:pt idx="639">
                  <c:v>4</c:v>
                </c:pt>
                <c:pt idx="640">
                  <c:v>4</c:v>
                </c:pt>
                <c:pt idx="641">
                  <c:v>4</c:v>
                </c:pt>
                <c:pt idx="642">
                  <c:v>4</c:v>
                </c:pt>
                <c:pt idx="643">
                  <c:v>4</c:v>
                </c:pt>
                <c:pt idx="644">
                  <c:v>4</c:v>
                </c:pt>
                <c:pt idx="645">
                  <c:v>4</c:v>
                </c:pt>
                <c:pt idx="646">
                  <c:v>4</c:v>
                </c:pt>
                <c:pt idx="647">
                  <c:v>4</c:v>
                </c:pt>
                <c:pt idx="648">
                  <c:v>4</c:v>
                </c:pt>
                <c:pt idx="649">
                  <c:v>4</c:v>
                </c:pt>
                <c:pt idx="650">
                  <c:v>4</c:v>
                </c:pt>
                <c:pt idx="651">
                  <c:v>4</c:v>
                </c:pt>
                <c:pt idx="652">
                  <c:v>4</c:v>
                </c:pt>
                <c:pt idx="653">
                  <c:v>4</c:v>
                </c:pt>
                <c:pt idx="654">
                  <c:v>4</c:v>
                </c:pt>
                <c:pt idx="655">
                  <c:v>4</c:v>
                </c:pt>
                <c:pt idx="656">
                  <c:v>4</c:v>
                </c:pt>
                <c:pt idx="657">
                  <c:v>4</c:v>
                </c:pt>
                <c:pt idx="658">
                  <c:v>4</c:v>
                </c:pt>
                <c:pt idx="659">
                  <c:v>4</c:v>
                </c:pt>
                <c:pt idx="660">
                  <c:v>4</c:v>
                </c:pt>
                <c:pt idx="661">
                  <c:v>4</c:v>
                </c:pt>
                <c:pt idx="662">
                  <c:v>4</c:v>
                </c:pt>
                <c:pt idx="663">
                  <c:v>4</c:v>
                </c:pt>
                <c:pt idx="664">
                  <c:v>4</c:v>
                </c:pt>
                <c:pt idx="665">
                  <c:v>4</c:v>
                </c:pt>
                <c:pt idx="666">
                  <c:v>4</c:v>
                </c:pt>
                <c:pt idx="667">
                  <c:v>4</c:v>
                </c:pt>
                <c:pt idx="668">
                  <c:v>4</c:v>
                </c:pt>
                <c:pt idx="669">
                  <c:v>4</c:v>
                </c:pt>
                <c:pt idx="670">
                  <c:v>4</c:v>
                </c:pt>
                <c:pt idx="671">
                  <c:v>4</c:v>
                </c:pt>
                <c:pt idx="672">
                  <c:v>4</c:v>
                </c:pt>
                <c:pt idx="673">
                  <c:v>4</c:v>
                </c:pt>
                <c:pt idx="674">
                  <c:v>4</c:v>
                </c:pt>
                <c:pt idx="675">
                  <c:v>4</c:v>
                </c:pt>
                <c:pt idx="676">
                  <c:v>4</c:v>
                </c:pt>
                <c:pt idx="677">
                  <c:v>4</c:v>
                </c:pt>
                <c:pt idx="678">
                  <c:v>4</c:v>
                </c:pt>
                <c:pt idx="679">
                  <c:v>4</c:v>
                </c:pt>
                <c:pt idx="680">
                  <c:v>4</c:v>
                </c:pt>
                <c:pt idx="681">
                  <c:v>4</c:v>
                </c:pt>
                <c:pt idx="682">
                  <c:v>4</c:v>
                </c:pt>
                <c:pt idx="683">
                  <c:v>4</c:v>
                </c:pt>
                <c:pt idx="684">
                  <c:v>4</c:v>
                </c:pt>
                <c:pt idx="685">
                  <c:v>4</c:v>
                </c:pt>
                <c:pt idx="686">
                  <c:v>4</c:v>
                </c:pt>
                <c:pt idx="687">
                  <c:v>4</c:v>
                </c:pt>
                <c:pt idx="688">
                  <c:v>4</c:v>
                </c:pt>
                <c:pt idx="689">
                  <c:v>4</c:v>
                </c:pt>
                <c:pt idx="690">
                  <c:v>4</c:v>
                </c:pt>
                <c:pt idx="691">
                  <c:v>4</c:v>
                </c:pt>
                <c:pt idx="692">
                  <c:v>4</c:v>
                </c:pt>
                <c:pt idx="693">
                  <c:v>4</c:v>
                </c:pt>
                <c:pt idx="694">
                  <c:v>4</c:v>
                </c:pt>
                <c:pt idx="695">
                  <c:v>4</c:v>
                </c:pt>
                <c:pt idx="696">
                  <c:v>4</c:v>
                </c:pt>
                <c:pt idx="697">
                  <c:v>4</c:v>
                </c:pt>
                <c:pt idx="698">
                  <c:v>4</c:v>
                </c:pt>
                <c:pt idx="699">
                  <c:v>4</c:v>
                </c:pt>
                <c:pt idx="700">
                  <c:v>4</c:v>
                </c:pt>
                <c:pt idx="701">
                  <c:v>4</c:v>
                </c:pt>
                <c:pt idx="702">
                  <c:v>4</c:v>
                </c:pt>
                <c:pt idx="703">
                  <c:v>4</c:v>
                </c:pt>
                <c:pt idx="704">
                  <c:v>4</c:v>
                </c:pt>
                <c:pt idx="705">
                  <c:v>4</c:v>
                </c:pt>
                <c:pt idx="706">
                  <c:v>4</c:v>
                </c:pt>
                <c:pt idx="707">
                  <c:v>4</c:v>
                </c:pt>
                <c:pt idx="708">
                  <c:v>4</c:v>
                </c:pt>
                <c:pt idx="709">
                  <c:v>4</c:v>
                </c:pt>
                <c:pt idx="710">
                  <c:v>4</c:v>
                </c:pt>
                <c:pt idx="711">
                  <c:v>4</c:v>
                </c:pt>
                <c:pt idx="712">
                  <c:v>4</c:v>
                </c:pt>
                <c:pt idx="713">
                  <c:v>4</c:v>
                </c:pt>
                <c:pt idx="714">
                  <c:v>4</c:v>
                </c:pt>
                <c:pt idx="715">
                  <c:v>4</c:v>
                </c:pt>
                <c:pt idx="716">
                  <c:v>4</c:v>
                </c:pt>
                <c:pt idx="717">
                  <c:v>4</c:v>
                </c:pt>
                <c:pt idx="718">
                  <c:v>4</c:v>
                </c:pt>
                <c:pt idx="719">
                  <c:v>4</c:v>
                </c:pt>
                <c:pt idx="720">
                  <c:v>4</c:v>
                </c:pt>
                <c:pt idx="721">
                  <c:v>4</c:v>
                </c:pt>
                <c:pt idx="722">
                  <c:v>4</c:v>
                </c:pt>
                <c:pt idx="723">
                  <c:v>4</c:v>
                </c:pt>
                <c:pt idx="724">
                  <c:v>4</c:v>
                </c:pt>
                <c:pt idx="725">
                  <c:v>4</c:v>
                </c:pt>
                <c:pt idx="726">
                  <c:v>4</c:v>
                </c:pt>
                <c:pt idx="727">
                  <c:v>4</c:v>
                </c:pt>
                <c:pt idx="728">
                  <c:v>4</c:v>
                </c:pt>
                <c:pt idx="729">
                  <c:v>4</c:v>
                </c:pt>
                <c:pt idx="730">
                  <c:v>4</c:v>
                </c:pt>
                <c:pt idx="731">
                  <c:v>4</c:v>
                </c:pt>
                <c:pt idx="732">
                  <c:v>4</c:v>
                </c:pt>
                <c:pt idx="733">
                  <c:v>4</c:v>
                </c:pt>
                <c:pt idx="734">
                  <c:v>4</c:v>
                </c:pt>
                <c:pt idx="735">
                  <c:v>4</c:v>
                </c:pt>
                <c:pt idx="736">
                  <c:v>4</c:v>
                </c:pt>
                <c:pt idx="737">
                  <c:v>4</c:v>
                </c:pt>
                <c:pt idx="738">
                  <c:v>4</c:v>
                </c:pt>
                <c:pt idx="739">
                  <c:v>4</c:v>
                </c:pt>
                <c:pt idx="740">
                  <c:v>4</c:v>
                </c:pt>
                <c:pt idx="741">
                  <c:v>4</c:v>
                </c:pt>
                <c:pt idx="742">
                  <c:v>4</c:v>
                </c:pt>
                <c:pt idx="743">
                  <c:v>4</c:v>
                </c:pt>
                <c:pt idx="744">
                  <c:v>4</c:v>
                </c:pt>
                <c:pt idx="745">
                  <c:v>4</c:v>
                </c:pt>
                <c:pt idx="746">
                  <c:v>4</c:v>
                </c:pt>
                <c:pt idx="747">
                  <c:v>4</c:v>
                </c:pt>
                <c:pt idx="748">
                  <c:v>4</c:v>
                </c:pt>
                <c:pt idx="749">
                  <c:v>4</c:v>
                </c:pt>
                <c:pt idx="750">
                  <c:v>4</c:v>
                </c:pt>
                <c:pt idx="751">
                  <c:v>4</c:v>
                </c:pt>
                <c:pt idx="752">
                  <c:v>4</c:v>
                </c:pt>
                <c:pt idx="753">
                  <c:v>4</c:v>
                </c:pt>
                <c:pt idx="754">
                  <c:v>4</c:v>
                </c:pt>
                <c:pt idx="755">
                  <c:v>4</c:v>
                </c:pt>
                <c:pt idx="756">
                  <c:v>4</c:v>
                </c:pt>
                <c:pt idx="757">
                  <c:v>4</c:v>
                </c:pt>
                <c:pt idx="758">
                  <c:v>4</c:v>
                </c:pt>
                <c:pt idx="759">
                  <c:v>4</c:v>
                </c:pt>
                <c:pt idx="760">
                  <c:v>4</c:v>
                </c:pt>
                <c:pt idx="761">
                  <c:v>4</c:v>
                </c:pt>
                <c:pt idx="762">
                  <c:v>4</c:v>
                </c:pt>
                <c:pt idx="763">
                  <c:v>4</c:v>
                </c:pt>
                <c:pt idx="764">
                  <c:v>4</c:v>
                </c:pt>
                <c:pt idx="765">
                  <c:v>4</c:v>
                </c:pt>
                <c:pt idx="766">
                  <c:v>4</c:v>
                </c:pt>
                <c:pt idx="767">
                  <c:v>4</c:v>
                </c:pt>
                <c:pt idx="768">
                  <c:v>4</c:v>
                </c:pt>
                <c:pt idx="769">
                  <c:v>4</c:v>
                </c:pt>
                <c:pt idx="770">
                  <c:v>4</c:v>
                </c:pt>
                <c:pt idx="771">
                  <c:v>4</c:v>
                </c:pt>
                <c:pt idx="772">
                  <c:v>4</c:v>
                </c:pt>
                <c:pt idx="773">
                  <c:v>4</c:v>
                </c:pt>
                <c:pt idx="774">
                  <c:v>4</c:v>
                </c:pt>
                <c:pt idx="775">
                  <c:v>4</c:v>
                </c:pt>
                <c:pt idx="776">
                  <c:v>4</c:v>
                </c:pt>
                <c:pt idx="777">
                  <c:v>4</c:v>
                </c:pt>
                <c:pt idx="778">
                  <c:v>4</c:v>
                </c:pt>
                <c:pt idx="779">
                  <c:v>4</c:v>
                </c:pt>
                <c:pt idx="780">
                  <c:v>4</c:v>
                </c:pt>
                <c:pt idx="781">
                  <c:v>4</c:v>
                </c:pt>
                <c:pt idx="782">
                  <c:v>4</c:v>
                </c:pt>
                <c:pt idx="783">
                  <c:v>4</c:v>
                </c:pt>
                <c:pt idx="784">
                  <c:v>4</c:v>
                </c:pt>
                <c:pt idx="785">
                  <c:v>4</c:v>
                </c:pt>
                <c:pt idx="786">
                  <c:v>4</c:v>
                </c:pt>
                <c:pt idx="787">
                  <c:v>4</c:v>
                </c:pt>
                <c:pt idx="788">
                  <c:v>4</c:v>
                </c:pt>
                <c:pt idx="789">
                  <c:v>4</c:v>
                </c:pt>
                <c:pt idx="790">
                  <c:v>4</c:v>
                </c:pt>
                <c:pt idx="791">
                  <c:v>4</c:v>
                </c:pt>
                <c:pt idx="792">
                  <c:v>4</c:v>
                </c:pt>
                <c:pt idx="793">
                  <c:v>4</c:v>
                </c:pt>
                <c:pt idx="794">
                  <c:v>4</c:v>
                </c:pt>
                <c:pt idx="795">
                  <c:v>4</c:v>
                </c:pt>
                <c:pt idx="796">
                  <c:v>4</c:v>
                </c:pt>
                <c:pt idx="797">
                  <c:v>4</c:v>
                </c:pt>
                <c:pt idx="798">
                  <c:v>4</c:v>
                </c:pt>
                <c:pt idx="799">
                  <c:v>4</c:v>
                </c:pt>
                <c:pt idx="800">
                  <c:v>4</c:v>
                </c:pt>
                <c:pt idx="801">
                  <c:v>4</c:v>
                </c:pt>
                <c:pt idx="802">
                  <c:v>4</c:v>
                </c:pt>
                <c:pt idx="803">
                  <c:v>4</c:v>
                </c:pt>
                <c:pt idx="804">
                  <c:v>4</c:v>
                </c:pt>
                <c:pt idx="805">
                  <c:v>4</c:v>
                </c:pt>
                <c:pt idx="806">
                  <c:v>4</c:v>
                </c:pt>
                <c:pt idx="807">
                  <c:v>4</c:v>
                </c:pt>
                <c:pt idx="808">
                  <c:v>4</c:v>
                </c:pt>
                <c:pt idx="809">
                  <c:v>4</c:v>
                </c:pt>
                <c:pt idx="810">
                  <c:v>4</c:v>
                </c:pt>
                <c:pt idx="811">
                  <c:v>4</c:v>
                </c:pt>
                <c:pt idx="812">
                  <c:v>4</c:v>
                </c:pt>
                <c:pt idx="813">
                  <c:v>4</c:v>
                </c:pt>
                <c:pt idx="814">
                  <c:v>4</c:v>
                </c:pt>
                <c:pt idx="815">
                  <c:v>4</c:v>
                </c:pt>
                <c:pt idx="816">
                  <c:v>4</c:v>
                </c:pt>
                <c:pt idx="817">
                  <c:v>4</c:v>
                </c:pt>
                <c:pt idx="818">
                  <c:v>4</c:v>
                </c:pt>
                <c:pt idx="819">
                  <c:v>4</c:v>
                </c:pt>
                <c:pt idx="820">
                  <c:v>4</c:v>
                </c:pt>
                <c:pt idx="821">
                  <c:v>4</c:v>
                </c:pt>
                <c:pt idx="822">
                  <c:v>4</c:v>
                </c:pt>
                <c:pt idx="823">
                  <c:v>4</c:v>
                </c:pt>
                <c:pt idx="824">
                  <c:v>4</c:v>
                </c:pt>
                <c:pt idx="825">
                  <c:v>4</c:v>
                </c:pt>
                <c:pt idx="826">
                  <c:v>4</c:v>
                </c:pt>
                <c:pt idx="827">
                  <c:v>4</c:v>
                </c:pt>
                <c:pt idx="828">
                  <c:v>4</c:v>
                </c:pt>
                <c:pt idx="829">
                  <c:v>4</c:v>
                </c:pt>
                <c:pt idx="830">
                  <c:v>4</c:v>
                </c:pt>
                <c:pt idx="831">
                  <c:v>4</c:v>
                </c:pt>
                <c:pt idx="832">
                  <c:v>4</c:v>
                </c:pt>
                <c:pt idx="833">
                  <c:v>4</c:v>
                </c:pt>
                <c:pt idx="834">
                  <c:v>4</c:v>
                </c:pt>
                <c:pt idx="835">
                  <c:v>4</c:v>
                </c:pt>
                <c:pt idx="836">
                  <c:v>4</c:v>
                </c:pt>
                <c:pt idx="837">
                  <c:v>4</c:v>
                </c:pt>
                <c:pt idx="838">
                  <c:v>4</c:v>
                </c:pt>
                <c:pt idx="839">
                  <c:v>4</c:v>
                </c:pt>
                <c:pt idx="840">
                  <c:v>4</c:v>
                </c:pt>
                <c:pt idx="841">
                  <c:v>4</c:v>
                </c:pt>
                <c:pt idx="842">
                  <c:v>4</c:v>
                </c:pt>
                <c:pt idx="843">
                  <c:v>4</c:v>
                </c:pt>
                <c:pt idx="844">
                  <c:v>4</c:v>
                </c:pt>
                <c:pt idx="845">
                  <c:v>4</c:v>
                </c:pt>
                <c:pt idx="846">
                  <c:v>4</c:v>
                </c:pt>
                <c:pt idx="847">
                  <c:v>4</c:v>
                </c:pt>
                <c:pt idx="848">
                  <c:v>4</c:v>
                </c:pt>
                <c:pt idx="849">
                  <c:v>4</c:v>
                </c:pt>
                <c:pt idx="850">
                  <c:v>4</c:v>
                </c:pt>
                <c:pt idx="851">
                  <c:v>4</c:v>
                </c:pt>
                <c:pt idx="852">
                  <c:v>4</c:v>
                </c:pt>
                <c:pt idx="853">
                  <c:v>4</c:v>
                </c:pt>
                <c:pt idx="854">
                  <c:v>4</c:v>
                </c:pt>
                <c:pt idx="855">
                  <c:v>4</c:v>
                </c:pt>
                <c:pt idx="856">
                  <c:v>4</c:v>
                </c:pt>
                <c:pt idx="857">
                  <c:v>4</c:v>
                </c:pt>
                <c:pt idx="858">
                  <c:v>4</c:v>
                </c:pt>
                <c:pt idx="859">
                  <c:v>4</c:v>
                </c:pt>
                <c:pt idx="860">
                  <c:v>4</c:v>
                </c:pt>
                <c:pt idx="861">
                  <c:v>4</c:v>
                </c:pt>
                <c:pt idx="862">
                  <c:v>4</c:v>
                </c:pt>
                <c:pt idx="863">
                  <c:v>4</c:v>
                </c:pt>
                <c:pt idx="864">
                  <c:v>4</c:v>
                </c:pt>
                <c:pt idx="865">
                  <c:v>4</c:v>
                </c:pt>
                <c:pt idx="866">
                  <c:v>4</c:v>
                </c:pt>
                <c:pt idx="867">
                  <c:v>4</c:v>
                </c:pt>
                <c:pt idx="868">
                  <c:v>4</c:v>
                </c:pt>
                <c:pt idx="869">
                  <c:v>4</c:v>
                </c:pt>
                <c:pt idx="870">
                  <c:v>4</c:v>
                </c:pt>
                <c:pt idx="871">
                  <c:v>4</c:v>
                </c:pt>
                <c:pt idx="872">
                  <c:v>4</c:v>
                </c:pt>
                <c:pt idx="873">
                  <c:v>4</c:v>
                </c:pt>
                <c:pt idx="874">
                  <c:v>4</c:v>
                </c:pt>
                <c:pt idx="875">
                  <c:v>4</c:v>
                </c:pt>
                <c:pt idx="876">
                  <c:v>4</c:v>
                </c:pt>
                <c:pt idx="877">
                  <c:v>4</c:v>
                </c:pt>
                <c:pt idx="878">
                  <c:v>4</c:v>
                </c:pt>
                <c:pt idx="879">
                  <c:v>4</c:v>
                </c:pt>
                <c:pt idx="880">
                  <c:v>4</c:v>
                </c:pt>
                <c:pt idx="881">
                  <c:v>4</c:v>
                </c:pt>
                <c:pt idx="882">
                  <c:v>4</c:v>
                </c:pt>
                <c:pt idx="883">
                  <c:v>4</c:v>
                </c:pt>
                <c:pt idx="884">
                  <c:v>4</c:v>
                </c:pt>
                <c:pt idx="885">
                  <c:v>4</c:v>
                </c:pt>
                <c:pt idx="886">
                  <c:v>4</c:v>
                </c:pt>
                <c:pt idx="887">
                  <c:v>4</c:v>
                </c:pt>
                <c:pt idx="888">
                  <c:v>4</c:v>
                </c:pt>
                <c:pt idx="889">
                  <c:v>4</c:v>
                </c:pt>
                <c:pt idx="890">
                  <c:v>4</c:v>
                </c:pt>
                <c:pt idx="891">
                  <c:v>4</c:v>
                </c:pt>
                <c:pt idx="892">
                  <c:v>4</c:v>
                </c:pt>
                <c:pt idx="893">
                  <c:v>4</c:v>
                </c:pt>
                <c:pt idx="894">
                  <c:v>4</c:v>
                </c:pt>
                <c:pt idx="895">
                  <c:v>4</c:v>
                </c:pt>
                <c:pt idx="896">
                  <c:v>4</c:v>
                </c:pt>
                <c:pt idx="897">
                  <c:v>4</c:v>
                </c:pt>
                <c:pt idx="898">
                  <c:v>4</c:v>
                </c:pt>
                <c:pt idx="899">
                  <c:v>4</c:v>
                </c:pt>
                <c:pt idx="900">
                  <c:v>4</c:v>
                </c:pt>
                <c:pt idx="901">
                  <c:v>4</c:v>
                </c:pt>
                <c:pt idx="902">
                  <c:v>4</c:v>
                </c:pt>
                <c:pt idx="903">
                  <c:v>4</c:v>
                </c:pt>
                <c:pt idx="904">
                  <c:v>4</c:v>
                </c:pt>
                <c:pt idx="905">
                  <c:v>4</c:v>
                </c:pt>
                <c:pt idx="906">
                  <c:v>4</c:v>
                </c:pt>
                <c:pt idx="907">
                  <c:v>4</c:v>
                </c:pt>
                <c:pt idx="908">
                  <c:v>4</c:v>
                </c:pt>
                <c:pt idx="909">
                  <c:v>4</c:v>
                </c:pt>
                <c:pt idx="910">
                  <c:v>4</c:v>
                </c:pt>
                <c:pt idx="911">
                  <c:v>4</c:v>
                </c:pt>
                <c:pt idx="912">
                  <c:v>4</c:v>
                </c:pt>
                <c:pt idx="913">
                  <c:v>4</c:v>
                </c:pt>
                <c:pt idx="914">
                  <c:v>4</c:v>
                </c:pt>
                <c:pt idx="915">
                  <c:v>4</c:v>
                </c:pt>
                <c:pt idx="916">
                  <c:v>4</c:v>
                </c:pt>
                <c:pt idx="917">
                  <c:v>4</c:v>
                </c:pt>
                <c:pt idx="918">
                  <c:v>4</c:v>
                </c:pt>
                <c:pt idx="919">
                  <c:v>4</c:v>
                </c:pt>
                <c:pt idx="920">
                  <c:v>4</c:v>
                </c:pt>
                <c:pt idx="921">
                  <c:v>4</c:v>
                </c:pt>
                <c:pt idx="922">
                  <c:v>4</c:v>
                </c:pt>
                <c:pt idx="923">
                  <c:v>4</c:v>
                </c:pt>
                <c:pt idx="924">
                  <c:v>4</c:v>
                </c:pt>
                <c:pt idx="925">
                  <c:v>4</c:v>
                </c:pt>
                <c:pt idx="926">
                  <c:v>4</c:v>
                </c:pt>
                <c:pt idx="927">
                  <c:v>4</c:v>
                </c:pt>
                <c:pt idx="928">
                  <c:v>4</c:v>
                </c:pt>
                <c:pt idx="929">
                  <c:v>4</c:v>
                </c:pt>
                <c:pt idx="930">
                  <c:v>4</c:v>
                </c:pt>
                <c:pt idx="931">
                  <c:v>4</c:v>
                </c:pt>
                <c:pt idx="932">
                  <c:v>4</c:v>
                </c:pt>
                <c:pt idx="933">
                  <c:v>4</c:v>
                </c:pt>
                <c:pt idx="934">
                  <c:v>4</c:v>
                </c:pt>
                <c:pt idx="935">
                  <c:v>4</c:v>
                </c:pt>
                <c:pt idx="936">
                  <c:v>4</c:v>
                </c:pt>
                <c:pt idx="937">
                  <c:v>4</c:v>
                </c:pt>
                <c:pt idx="938">
                  <c:v>4</c:v>
                </c:pt>
                <c:pt idx="939">
                  <c:v>4</c:v>
                </c:pt>
                <c:pt idx="940">
                  <c:v>4</c:v>
                </c:pt>
                <c:pt idx="941">
                  <c:v>4</c:v>
                </c:pt>
                <c:pt idx="942">
                  <c:v>4</c:v>
                </c:pt>
                <c:pt idx="943">
                  <c:v>4</c:v>
                </c:pt>
                <c:pt idx="944">
                  <c:v>4</c:v>
                </c:pt>
                <c:pt idx="945">
                  <c:v>4</c:v>
                </c:pt>
                <c:pt idx="946">
                  <c:v>4</c:v>
                </c:pt>
                <c:pt idx="947">
                  <c:v>4</c:v>
                </c:pt>
                <c:pt idx="948">
                  <c:v>4</c:v>
                </c:pt>
                <c:pt idx="949">
                  <c:v>4</c:v>
                </c:pt>
                <c:pt idx="950">
                  <c:v>4</c:v>
                </c:pt>
                <c:pt idx="951">
                  <c:v>4</c:v>
                </c:pt>
                <c:pt idx="952">
                  <c:v>4</c:v>
                </c:pt>
                <c:pt idx="953">
                  <c:v>4</c:v>
                </c:pt>
                <c:pt idx="954">
                  <c:v>4</c:v>
                </c:pt>
                <c:pt idx="955">
                  <c:v>4</c:v>
                </c:pt>
                <c:pt idx="956">
                  <c:v>4</c:v>
                </c:pt>
                <c:pt idx="957">
                  <c:v>4</c:v>
                </c:pt>
                <c:pt idx="958">
                  <c:v>4</c:v>
                </c:pt>
                <c:pt idx="959">
                  <c:v>4</c:v>
                </c:pt>
                <c:pt idx="960">
                  <c:v>4</c:v>
                </c:pt>
                <c:pt idx="961">
                  <c:v>4</c:v>
                </c:pt>
                <c:pt idx="962">
                  <c:v>4</c:v>
                </c:pt>
                <c:pt idx="963">
                  <c:v>4</c:v>
                </c:pt>
                <c:pt idx="964">
                  <c:v>4</c:v>
                </c:pt>
                <c:pt idx="965">
                  <c:v>4</c:v>
                </c:pt>
                <c:pt idx="966">
                  <c:v>4</c:v>
                </c:pt>
                <c:pt idx="967">
                  <c:v>4</c:v>
                </c:pt>
                <c:pt idx="968">
                  <c:v>4</c:v>
                </c:pt>
                <c:pt idx="969">
                  <c:v>4</c:v>
                </c:pt>
                <c:pt idx="970">
                  <c:v>4</c:v>
                </c:pt>
                <c:pt idx="971">
                  <c:v>4</c:v>
                </c:pt>
                <c:pt idx="972">
                  <c:v>4</c:v>
                </c:pt>
                <c:pt idx="973">
                  <c:v>4</c:v>
                </c:pt>
                <c:pt idx="974">
                  <c:v>4</c:v>
                </c:pt>
                <c:pt idx="975">
                  <c:v>4</c:v>
                </c:pt>
                <c:pt idx="976">
                  <c:v>4</c:v>
                </c:pt>
                <c:pt idx="977">
                  <c:v>4</c:v>
                </c:pt>
                <c:pt idx="978">
                  <c:v>4</c:v>
                </c:pt>
                <c:pt idx="979">
                  <c:v>4</c:v>
                </c:pt>
                <c:pt idx="980">
                  <c:v>4</c:v>
                </c:pt>
                <c:pt idx="981">
                  <c:v>4</c:v>
                </c:pt>
                <c:pt idx="982">
                  <c:v>4</c:v>
                </c:pt>
                <c:pt idx="983">
                  <c:v>4</c:v>
                </c:pt>
                <c:pt idx="984">
                  <c:v>4</c:v>
                </c:pt>
                <c:pt idx="985">
                  <c:v>4</c:v>
                </c:pt>
                <c:pt idx="986">
                  <c:v>4</c:v>
                </c:pt>
                <c:pt idx="987">
                  <c:v>4</c:v>
                </c:pt>
                <c:pt idx="988">
                  <c:v>4</c:v>
                </c:pt>
                <c:pt idx="989">
                  <c:v>4</c:v>
                </c:pt>
                <c:pt idx="990">
                  <c:v>4</c:v>
                </c:pt>
                <c:pt idx="991">
                  <c:v>4</c:v>
                </c:pt>
                <c:pt idx="992">
                  <c:v>4</c:v>
                </c:pt>
                <c:pt idx="993">
                  <c:v>4</c:v>
                </c:pt>
                <c:pt idx="994">
                  <c:v>4</c:v>
                </c:pt>
                <c:pt idx="995">
                  <c:v>4</c:v>
                </c:pt>
                <c:pt idx="996">
                  <c:v>4</c:v>
                </c:pt>
                <c:pt idx="997">
                  <c:v>4</c:v>
                </c:pt>
                <c:pt idx="998">
                  <c:v>4</c:v>
                </c:pt>
                <c:pt idx="999">
                  <c:v>4</c:v>
                </c:pt>
                <c:pt idx="1000">
                  <c:v>4</c:v>
                </c:pt>
                <c:pt idx="1001">
                  <c:v>4</c:v>
                </c:pt>
                <c:pt idx="1002">
                  <c:v>4</c:v>
                </c:pt>
                <c:pt idx="1003">
                  <c:v>4</c:v>
                </c:pt>
                <c:pt idx="1004">
                  <c:v>4</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pt idx="1996">
                  <c:v>#N/A</c:v>
                </c:pt>
                <c:pt idx="1997">
                  <c:v>#N/A</c:v>
                </c:pt>
                <c:pt idx="1998">
                  <c:v>#N/A</c:v>
                </c:pt>
                <c:pt idx="1999">
                  <c:v>#N/A</c:v>
                </c:pt>
                <c:pt idx="2000">
                  <c:v>#N/A</c:v>
                </c:pt>
                <c:pt idx="2001">
                  <c:v>#N/A</c:v>
                </c:pt>
                <c:pt idx="2002">
                  <c:v>#N/A</c:v>
                </c:pt>
                <c:pt idx="2003">
                  <c:v>#N/A</c:v>
                </c:pt>
                <c:pt idx="2004">
                  <c:v>#N/A</c:v>
                </c:pt>
                <c:pt idx="2005">
                  <c:v>#N/A</c:v>
                </c:pt>
                <c:pt idx="2006">
                  <c:v>#N/A</c:v>
                </c:pt>
                <c:pt idx="2007">
                  <c:v>#N/A</c:v>
                </c:pt>
                <c:pt idx="2008">
                  <c:v>#N/A</c:v>
                </c:pt>
                <c:pt idx="2009">
                  <c:v>#N/A</c:v>
                </c:pt>
                <c:pt idx="2010">
                  <c:v>#N/A</c:v>
                </c:pt>
                <c:pt idx="2011">
                  <c:v>#N/A</c:v>
                </c:pt>
                <c:pt idx="2012">
                  <c:v>#N/A</c:v>
                </c:pt>
                <c:pt idx="2013">
                  <c:v>#N/A</c:v>
                </c:pt>
                <c:pt idx="2014">
                  <c:v>#N/A</c:v>
                </c:pt>
                <c:pt idx="2015">
                  <c:v>#N/A</c:v>
                </c:pt>
                <c:pt idx="2016">
                  <c:v>#N/A</c:v>
                </c:pt>
                <c:pt idx="2017">
                  <c:v>#N/A</c:v>
                </c:pt>
                <c:pt idx="2018">
                  <c:v>#N/A</c:v>
                </c:pt>
                <c:pt idx="2019">
                  <c:v>#N/A</c:v>
                </c:pt>
                <c:pt idx="2020">
                  <c:v>#N/A</c:v>
                </c:pt>
                <c:pt idx="2021">
                  <c:v>#N/A</c:v>
                </c:pt>
                <c:pt idx="2022">
                  <c:v>#N/A</c:v>
                </c:pt>
                <c:pt idx="2023">
                  <c:v>#N/A</c:v>
                </c:pt>
                <c:pt idx="2024">
                  <c:v>#N/A</c:v>
                </c:pt>
                <c:pt idx="2025">
                  <c:v>#N/A</c:v>
                </c:pt>
                <c:pt idx="2026">
                  <c:v>#N/A</c:v>
                </c:pt>
                <c:pt idx="2027">
                  <c:v>#N/A</c:v>
                </c:pt>
                <c:pt idx="2028">
                  <c:v>#N/A</c:v>
                </c:pt>
                <c:pt idx="2029">
                  <c:v>#N/A</c:v>
                </c:pt>
                <c:pt idx="2030">
                  <c:v>#N/A</c:v>
                </c:pt>
                <c:pt idx="2031">
                  <c:v>#N/A</c:v>
                </c:pt>
                <c:pt idx="2032">
                  <c:v>#N/A</c:v>
                </c:pt>
                <c:pt idx="2033">
                  <c:v>#N/A</c:v>
                </c:pt>
                <c:pt idx="2034">
                  <c:v>#N/A</c:v>
                </c:pt>
                <c:pt idx="2035">
                  <c:v>#N/A</c:v>
                </c:pt>
                <c:pt idx="2036">
                  <c:v>#N/A</c:v>
                </c:pt>
                <c:pt idx="2037">
                  <c:v>#N/A</c:v>
                </c:pt>
                <c:pt idx="2038">
                  <c:v>#N/A</c:v>
                </c:pt>
                <c:pt idx="2039">
                  <c:v>#N/A</c:v>
                </c:pt>
                <c:pt idx="2040">
                  <c:v>#N/A</c:v>
                </c:pt>
                <c:pt idx="2041">
                  <c:v>#N/A</c:v>
                </c:pt>
                <c:pt idx="2042">
                  <c:v>#N/A</c:v>
                </c:pt>
                <c:pt idx="2043">
                  <c:v>#N/A</c:v>
                </c:pt>
                <c:pt idx="2044">
                  <c:v>#N/A</c:v>
                </c:pt>
                <c:pt idx="2045">
                  <c:v>#N/A</c:v>
                </c:pt>
                <c:pt idx="2046">
                  <c:v>#N/A</c:v>
                </c:pt>
                <c:pt idx="2047">
                  <c:v>#N/A</c:v>
                </c:pt>
                <c:pt idx="2048">
                  <c:v>#N/A</c:v>
                </c:pt>
                <c:pt idx="2049">
                  <c:v>#N/A</c:v>
                </c:pt>
                <c:pt idx="2050">
                  <c:v>#N/A</c:v>
                </c:pt>
                <c:pt idx="2051">
                  <c:v>#N/A</c:v>
                </c:pt>
                <c:pt idx="2052">
                  <c:v>#N/A</c:v>
                </c:pt>
                <c:pt idx="2053">
                  <c:v>#N/A</c:v>
                </c:pt>
                <c:pt idx="2054">
                  <c:v>#N/A</c:v>
                </c:pt>
                <c:pt idx="2055">
                  <c:v>#N/A</c:v>
                </c:pt>
                <c:pt idx="2056">
                  <c:v>#N/A</c:v>
                </c:pt>
                <c:pt idx="2057">
                  <c:v>#N/A</c:v>
                </c:pt>
                <c:pt idx="2058">
                  <c:v>#N/A</c:v>
                </c:pt>
                <c:pt idx="2059">
                  <c:v>#N/A</c:v>
                </c:pt>
                <c:pt idx="2060">
                  <c:v>#N/A</c:v>
                </c:pt>
                <c:pt idx="2061">
                  <c:v>#N/A</c:v>
                </c:pt>
                <c:pt idx="2062">
                  <c:v>#N/A</c:v>
                </c:pt>
                <c:pt idx="2063">
                  <c:v>#N/A</c:v>
                </c:pt>
                <c:pt idx="2064">
                  <c:v>#N/A</c:v>
                </c:pt>
                <c:pt idx="2065">
                  <c:v>#N/A</c:v>
                </c:pt>
                <c:pt idx="2066">
                  <c:v>#N/A</c:v>
                </c:pt>
                <c:pt idx="2067">
                  <c:v>#N/A</c:v>
                </c:pt>
                <c:pt idx="2068">
                  <c:v>#N/A</c:v>
                </c:pt>
                <c:pt idx="2069">
                  <c:v>#N/A</c:v>
                </c:pt>
                <c:pt idx="2070">
                  <c:v>#N/A</c:v>
                </c:pt>
                <c:pt idx="2071">
                  <c:v>#N/A</c:v>
                </c:pt>
                <c:pt idx="2072">
                  <c:v>#N/A</c:v>
                </c:pt>
                <c:pt idx="2073">
                  <c:v>#N/A</c:v>
                </c:pt>
                <c:pt idx="2074">
                  <c:v>#N/A</c:v>
                </c:pt>
                <c:pt idx="2075">
                  <c:v>#N/A</c:v>
                </c:pt>
                <c:pt idx="2076">
                  <c:v>#N/A</c:v>
                </c:pt>
                <c:pt idx="2077">
                  <c:v>#N/A</c:v>
                </c:pt>
                <c:pt idx="2078">
                  <c:v>#N/A</c:v>
                </c:pt>
                <c:pt idx="2079">
                  <c:v>#N/A</c:v>
                </c:pt>
                <c:pt idx="2080">
                  <c:v>#N/A</c:v>
                </c:pt>
                <c:pt idx="2081">
                  <c:v>#N/A</c:v>
                </c:pt>
                <c:pt idx="2082">
                  <c:v>#N/A</c:v>
                </c:pt>
                <c:pt idx="2083">
                  <c:v>#N/A</c:v>
                </c:pt>
                <c:pt idx="2084">
                  <c:v>#N/A</c:v>
                </c:pt>
                <c:pt idx="2085">
                  <c:v>#N/A</c:v>
                </c:pt>
                <c:pt idx="2086">
                  <c:v>#N/A</c:v>
                </c:pt>
                <c:pt idx="2087">
                  <c:v>#N/A</c:v>
                </c:pt>
                <c:pt idx="2088">
                  <c:v>#N/A</c:v>
                </c:pt>
                <c:pt idx="2089">
                  <c:v>#N/A</c:v>
                </c:pt>
                <c:pt idx="2090">
                  <c:v>#N/A</c:v>
                </c:pt>
                <c:pt idx="2091">
                  <c:v>#N/A</c:v>
                </c:pt>
                <c:pt idx="2092">
                  <c:v>#N/A</c:v>
                </c:pt>
                <c:pt idx="2093">
                  <c:v>#N/A</c:v>
                </c:pt>
                <c:pt idx="2094">
                  <c:v>#N/A</c:v>
                </c:pt>
                <c:pt idx="2095">
                  <c:v>#N/A</c:v>
                </c:pt>
                <c:pt idx="2096">
                  <c:v>#N/A</c:v>
                </c:pt>
                <c:pt idx="2097">
                  <c:v>#N/A</c:v>
                </c:pt>
                <c:pt idx="2098">
                  <c:v>#N/A</c:v>
                </c:pt>
                <c:pt idx="2099">
                  <c:v>#N/A</c:v>
                </c:pt>
                <c:pt idx="2100">
                  <c:v>#N/A</c:v>
                </c:pt>
                <c:pt idx="2101">
                  <c:v>#N/A</c:v>
                </c:pt>
                <c:pt idx="2102">
                  <c:v>#N/A</c:v>
                </c:pt>
                <c:pt idx="2103">
                  <c:v>#N/A</c:v>
                </c:pt>
                <c:pt idx="2104">
                  <c:v>#N/A</c:v>
                </c:pt>
                <c:pt idx="2105">
                  <c:v>#N/A</c:v>
                </c:pt>
                <c:pt idx="2106">
                  <c:v>#N/A</c:v>
                </c:pt>
                <c:pt idx="2107">
                  <c:v>#N/A</c:v>
                </c:pt>
                <c:pt idx="2108">
                  <c:v>#N/A</c:v>
                </c:pt>
                <c:pt idx="2109">
                  <c:v>#N/A</c:v>
                </c:pt>
                <c:pt idx="2110">
                  <c:v>#N/A</c:v>
                </c:pt>
                <c:pt idx="2111">
                  <c:v>#N/A</c:v>
                </c:pt>
                <c:pt idx="2112">
                  <c:v>#N/A</c:v>
                </c:pt>
                <c:pt idx="2113">
                  <c:v>#N/A</c:v>
                </c:pt>
                <c:pt idx="2114">
                  <c:v>#N/A</c:v>
                </c:pt>
                <c:pt idx="2115">
                  <c:v>#N/A</c:v>
                </c:pt>
                <c:pt idx="2116">
                  <c:v>#N/A</c:v>
                </c:pt>
                <c:pt idx="2117">
                  <c:v>#N/A</c:v>
                </c:pt>
                <c:pt idx="2118">
                  <c:v>#N/A</c:v>
                </c:pt>
                <c:pt idx="2119">
                  <c:v>#N/A</c:v>
                </c:pt>
                <c:pt idx="2120">
                  <c:v>#N/A</c:v>
                </c:pt>
                <c:pt idx="2121">
                  <c:v>#N/A</c:v>
                </c:pt>
                <c:pt idx="2122">
                  <c:v>#N/A</c:v>
                </c:pt>
                <c:pt idx="2123">
                  <c:v>#N/A</c:v>
                </c:pt>
                <c:pt idx="2124">
                  <c:v>#N/A</c:v>
                </c:pt>
                <c:pt idx="2125">
                  <c:v>#N/A</c:v>
                </c:pt>
                <c:pt idx="2126">
                  <c:v>#N/A</c:v>
                </c:pt>
                <c:pt idx="2127">
                  <c:v>#N/A</c:v>
                </c:pt>
                <c:pt idx="2128">
                  <c:v>#N/A</c:v>
                </c:pt>
                <c:pt idx="2129">
                  <c:v>#N/A</c:v>
                </c:pt>
                <c:pt idx="2130">
                  <c:v>#N/A</c:v>
                </c:pt>
                <c:pt idx="2131">
                  <c:v>#N/A</c:v>
                </c:pt>
                <c:pt idx="2132">
                  <c:v>#N/A</c:v>
                </c:pt>
                <c:pt idx="2133">
                  <c:v>#N/A</c:v>
                </c:pt>
                <c:pt idx="2134">
                  <c:v>#N/A</c:v>
                </c:pt>
                <c:pt idx="2135">
                  <c:v>#N/A</c:v>
                </c:pt>
                <c:pt idx="2136">
                  <c:v>#N/A</c:v>
                </c:pt>
                <c:pt idx="2137">
                  <c:v>#N/A</c:v>
                </c:pt>
                <c:pt idx="2138">
                  <c:v>#N/A</c:v>
                </c:pt>
                <c:pt idx="2139">
                  <c:v>#N/A</c:v>
                </c:pt>
                <c:pt idx="2140">
                  <c:v>#N/A</c:v>
                </c:pt>
                <c:pt idx="2141">
                  <c:v>#N/A</c:v>
                </c:pt>
                <c:pt idx="2142">
                  <c:v>#N/A</c:v>
                </c:pt>
                <c:pt idx="2143">
                  <c:v>#N/A</c:v>
                </c:pt>
                <c:pt idx="2144">
                  <c:v>#N/A</c:v>
                </c:pt>
                <c:pt idx="2145">
                  <c:v>#N/A</c:v>
                </c:pt>
                <c:pt idx="2146">
                  <c:v>#N/A</c:v>
                </c:pt>
                <c:pt idx="2147">
                  <c:v>#N/A</c:v>
                </c:pt>
                <c:pt idx="2148">
                  <c:v>#N/A</c:v>
                </c:pt>
                <c:pt idx="2149">
                  <c:v>#N/A</c:v>
                </c:pt>
                <c:pt idx="2150">
                  <c:v>#N/A</c:v>
                </c:pt>
                <c:pt idx="2151">
                  <c:v>#N/A</c:v>
                </c:pt>
                <c:pt idx="2152">
                  <c:v>#N/A</c:v>
                </c:pt>
                <c:pt idx="2153">
                  <c:v>#N/A</c:v>
                </c:pt>
                <c:pt idx="2154">
                  <c:v>#N/A</c:v>
                </c:pt>
                <c:pt idx="2155">
                  <c:v>#N/A</c:v>
                </c:pt>
                <c:pt idx="2156">
                  <c:v>#N/A</c:v>
                </c:pt>
                <c:pt idx="2157">
                  <c:v>#N/A</c:v>
                </c:pt>
                <c:pt idx="2158">
                  <c:v>#N/A</c:v>
                </c:pt>
                <c:pt idx="2159">
                  <c:v>#N/A</c:v>
                </c:pt>
                <c:pt idx="2160">
                  <c:v>#N/A</c:v>
                </c:pt>
                <c:pt idx="2161">
                  <c:v>#N/A</c:v>
                </c:pt>
                <c:pt idx="2162">
                  <c:v>#N/A</c:v>
                </c:pt>
                <c:pt idx="2163">
                  <c:v>#N/A</c:v>
                </c:pt>
                <c:pt idx="2164">
                  <c:v>#N/A</c:v>
                </c:pt>
                <c:pt idx="2165">
                  <c:v>#N/A</c:v>
                </c:pt>
                <c:pt idx="2166">
                  <c:v>#N/A</c:v>
                </c:pt>
                <c:pt idx="2167">
                  <c:v>#N/A</c:v>
                </c:pt>
                <c:pt idx="2168">
                  <c:v>#N/A</c:v>
                </c:pt>
                <c:pt idx="2169">
                  <c:v>#N/A</c:v>
                </c:pt>
                <c:pt idx="2170">
                  <c:v>#N/A</c:v>
                </c:pt>
                <c:pt idx="2171">
                  <c:v>#N/A</c:v>
                </c:pt>
                <c:pt idx="2172">
                  <c:v>#N/A</c:v>
                </c:pt>
                <c:pt idx="2173">
                  <c:v>#N/A</c:v>
                </c:pt>
                <c:pt idx="2174">
                  <c:v>#N/A</c:v>
                </c:pt>
                <c:pt idx="2175">
                  <c:v>#N/A</c:v>
                </c:pt>
                <c:pt idx="2176">
                  <c:v>#N/A</c:v>
                </c:pt>
                <c:pt idx="2177">
                  <c:v>#N/A</c:v>
                </c:pt>
                <c:pt idx="2178">
                  <c:v>#N/A</c:v>
                </c:pt>
                <c:pt idx="2179">
                  <c:v>#N/A</c:v>
                </c:pt>
                <c:pt idx="2180">
                  <c:v>#N/A</c:v>
                </c:pt>
                <c:pt idx="2181">
                  <c:v>#N/A</c:v>
                </c:pt>
                <c:pt idx="2182">
                  <c:v>#N/A</c:v>
                </c:pt>
                <c:pt idx="2183">
                  <c:v>#N/A</c:v>
                </c:pt>
                <c:pt idx="2184">
                  <c:v>#N/A</c:v>
                </c:pt>
                <c:pt idx="2185">
                  <c:v>#N/A</c:v>
                </c:pt>
                <c:pt idx="2186">
                  <c:v>#N/A</c:v>
                </c:pt>
                <c:pt idx="2187">
                  <c:v>#N/A</c:v>
                </c:pt>
                <c:pt idx="2188">
                  <c:v>#N/A</c:v>
                </c:pt>
                <c:pt idx="2189">
                  <c:v>#N/A</c:v>
                </c:pt>
                <c:pt idx="2190">
                  <c:v>#N/A</c:v>
                </c:pt>
                <c:pt idx="2191">
                  <c:v>#N/A</c:v>
                </c:pt>
                <c:pt idx="2192">
                  <c:v>#N/A</c:v>
                </c:pt>
                <c:pt idx="2193">
                  <c:v>#N/A</c:v>
                </c:pt>
                <c:pt idx="2194">
                  <c:v>#N/A</c:v>
                </c:pt>
                <c:pt idx="2195">
                  <c:v>#N/A</c:v>
                </c:pt>
                <c:pt idx="2196">
                  <c:v>#N/A</c:v>
                </c:pt>
                <c:pt idx="2197">
                  <c:v>#N/A</c:v>
                </c:pt>
                <c:pt idx="2198">
                  <c:v>#N/A</c:v>
                </c:pt>
                <c:pt idx="2199">
                  <c:v>#N/A</c:v>
                </c:pt>
                <c:pt idx="2200">
                  <c:v>#N/A</c:v>
                </c:pt>
                <c:pt idx="2201">
                  <c:v>#N/A</c:v>
                </c:pt>
                <c:pt idx="2202">
                  <c:v>#N/A</c:v>
                </c:pt>
                <c:pt idx="2203">
                  <c:v>#N/A</c:v>
                </c:pt>
                <c:pt idx="2204">
                  <c:v>#N/A</c:v>
                </c:pt>
                <c:pt idx="2205">
                  <c:v>#N/A</c:v>
                </c:pt>
                <c:pt idx="2206">
                  <c:v>#N/A</c:v>
                </c:pt>
                <c:pt idx="2207">
                  <c:v>#N/A</c:v>
                </c:pt>
                <c:pt idx="2208">
                  <c:v>#N/A</c:v>
                </c:pt>
                <c:pt idx="2209">
                  <c:v>#N/A</c:v>
                </c:pt>
                <c:pt idx="2210">
                  <c:v>#N/A</c:v>
                </c:pt>
                <c:pt idx="2211">
                  <c:v>#N/A</c:v>
                </c:pt>
                <c:pt idx="2212">
                  <c:v>#N/A</c:v>
                </c:pt>
                <c:pt idx="2213">
                  <c:v>#N/A</c:v>
                </c:pt>
                <c:pt idx="2214">
                  <c:v>#N/A</c:v>
                </c:pt>
                <c:pt idx="2215">
                  <c:v>#N/A</c:v>
                </c:pt>
                <c:pt idx="2216">
                  <c:v>#N/A</c:v>
                </c:pt>
                <c:pt idx="2217">
                  <c:v>#N/A</c:v>
                </c:pt>
                <c:pt idx="2218">
                  <c:v>#N/A</c:v>
                </c:pt>
                <c:pt idx="2219">
                  <c:v>#N/A</c:v>
                </c:pt>
                <c:pt idx="2220">
                  <c:v>#N/A</c:v>
                </c:pt>
                <c:pt idx="2221">
                  <c:v>#N/A</c:v>
                </c:pt>
                <c:pt idx="2222">
                  <c:v>#N/A</c:v>
                </c:pt>
                <c:pt idx="2223">
                  <c:v>#N/A</c:v>
                </c:pt>
                <c:pt idx="2224">
                  <c:v>#N/A</c:v>
                </c:pt>
                <c:pt idx="2225">
                  <c:v>#N/A</c:v>
                </c:pt>
                <c:pt idx="2226">
                  <c:v>#N/A</c:v>
                </c:pt>
                <c:pt idx="2227">
                  <c:v>#N/A</c:v>
                </c:pt>
                <c:pt idx="2228">
                  <c:v>#N/A</c:v>
                </c:pt>
                <c:pt idx="2229">
                  <c:v>#N/A</c:v>
                </c:pt>
                <c:pt idx="2230">
                  <c:v>#N/A</c:v>
                </c:pt>
                <c:pt idx="2231">
                  <c:v>#N/A</c:v>
                </c:pt>
                <c:pt idx="2232">
                  <c:v>#N/A</c:v>
                </c:pt>
                <c:pt idx="2233">
                  <c:v>#N/A</c:v>
                </c:pt>
                <c:pt idx="2234">
                  <c:v>#N/A</c:v>
                </c:pt>
                <c:pt idx="2235">
                  <c:v>#N/A</c:v>
                </c:pt>
                <c:pt idx="2236">
                  <c:v>#N/A</c:v>
                </c:pt>
                <c:pt idx="2237">
                  <c:v>#N/A</c:v>
                </c:pt>
                <c:pt idx="2238">
                  <c:v>#N/A</c:v>
                </c:pt>
                <c:pt idx="2239">
                  <c:v>#N/A</c:v>
                </c:pt>
                <c:pt idx="2240">
                  <c:v>#N/A</c:v>
                </c:pt>
                <c:pt idx="2241">
                  <c:v>#N/A</c:v>
                </c:pt>
                <c:pt idx="2242">
                  <c:v>#N/A</c:v>
                </c:pt>
                <c:pt idx="2243">
                  <c:v>#N/A</c:v>
                </c:pt>
                <c:pt idx="2244">
                  <c:v>#N/A</c:v>
                </c:pt>
                <c:pt idx="2245">
                  <c:v>#N/A</c:v>
                </c:pt>
                <c:pt idx="2246">
                  <c:v>#N/A</c:v>
                </c:pt>
                <c:pt idx="2247">
                  <c:v>#N/A</c:v>
                </c:pt>
                <c:pt idx="2248">
                  <c:v>#N/A</c:v>
                </c:pt>
                <c:pt idx="2249">
                  <c:v>#N/A</c:v>
                </c:pt>
                <c:pt idx="2250">
                  <c:v>#N/A</c:v>
                </c:pt>
                <c:pt idx="2251">
                  <c:v>#N/A</c:v>
                </c:pt>
                <c:pt idx="2252">
                  <c:v>#N/A</c:v>
                </c:pt>
                <c:pt idx="2253">
                  <c:v>#N/A</c:v>
                </c:pt>
                <c:pt idx="2254">
                  <c:v>#N/A</c:v>
                </c:pt>
                <c:pt idx="2255">
                  <c:v>#N/A</c:v>
                </c:pt>
                <c:pt idx="2256">
                  <c:v>#N/A</c:v>
                </c:pt>
                <c:pt idx="2257">
                  <c:v>#N/A</c:v>
                </c:pt>
                <c:pt idx="2258">
                  <c:v>#N/A</c:v>
                </c:pt>
                <c:pt idx="2259">
                  <c:v>#N/A</c:v>
                </c:pt>
                <c:pt idx="2260">
                  <c:v>#N/A</c:v>
                </c:pt>
                <c:pt idx="2261">
                  <c:v>#N/A</c:v>
                </c:pt>
                <c:pt idx="2262">
                  <c:v>#N/A</c:v>
                </c:pt>
                <c:pt idx="2263">
                  <c:v>#N/A</c:v>
                </c:pt>
                <c:pt idx="2264">
                  <c:v>#N/A</c:v>
                </c:pt>
                <c:pt idx="2265">
                  <c:v>#N/A</c:v>
                </c:pt>
                <c:pt idx="2266">
                  <c:v>#N/A</c:v>
                </c:pt>
                <c:pt idx="2267">
                  <c:v>#N/A</c:v>
                </c:pt>
                <c:pt idx="2268">
                  <c:v>#N/A</c:v>
                </c:pt>
                <c:pt idx="2269">
                  <c:v>#N/A</c:v>
                </c:pt>
                <c:pt idx="2270">
                  <c:v>#N/A</c:v>
                </c:pt>
                <c:pt idx="2271">
                  <c:v>#N/A</c:v>
                </c:pt>
                <c:pt idx="2272">
                  <c:v>#N/A</c:v>
                </c:pt>
                <c:pt idx="2273">
                  <c:v>#N/A</c:v>
                </c:pt>
                <c:pt idx="2274">
                  <c:v>#N/A</c:v>
                </c:pt>
                <c:pt idx="2275">
                  <c:v>#N/A</c:v>
                </c:pt>
                <c:pt idx="2276">
                  <c:v>#N/A</c:v>
                </c:pt>
                <c:pt idx="2277">
                  <c:v>#N/A</c:v>
                </c:pt>
                <c:pt idx="2278">
                  <c:v>#N/A</c:v>
                </c:pt>
                <c:pt idx="2279">
                  <c:v>#N/A</c:v>
                </c:pt>
                <c:pt idx="2280">
                  <c:v>#N/A</c:v>
                </c:pt>
                <c:pt idx="2281">
                  <c:v>#N/A</c:v>
                </c:pt>
                <c:pt idx="2282">
                  <c:v>#N/A</c:v>
                </c:pt>
                <c:pt idx="2283">
                  <c:v>#N/A</c:v>
                </c:pt>
                <c:pt idx="2284">
                  <c:v>#N/A</c:v>
                </c:pt>
                <c:pt idx="2285">
                  <c:v>#N/A</c:v>
                </c:pt>
                <c:pt idx="2286">
                  <c:v>#N/A</c:v>
                </c:pt>
                <c:pt idx="2287">
                  <c:v>#N/A</c:v>
                </c:pt>
                <c:pt idx="2288">
                  <c:v>#N/A</c:v>
                </c:pt>
                <c:pt idx="2289">
                  <c:v>#N/A</c:v>
                </c:pt>
                <c:pt idx="2290">
                  <c:v>#N/A</c:v>
                </c:pt>
                <c:pt idx="2291">
                  <c:v>#N/A</c:v>
                </c:pt>
                <c:pt idx="2292">
                  <c:v>#N/A</c:v>
                </c:pt>
                <c:pt idx="2293">
                  <c:v>#N/A</c:v>
                </c:pt>
                <c:pt idx="2294">
                  <c:v>#N/A</c:v>
                </c:pt>
                <c:pt idx="2295">
                  <c:v>#N/A</c:v>
                </c:pt>
                <c:pt idx="2296">
                  <c:v>#N/A</c:v>
                </c:pt>
                <c:pt idx="2297">
                  <c:v>#N/A</c:v>
                </c:pt>
                <c:pt idx="2298">
                  <c:v>#N/A</c:v>
                </c:pt>
                <c:pt idx="2299">
                  <c:v>#N/A</c:v>
                </c:pt>
                <c:pt idx="2300">
                  <c:v>#N/A</c:v>
                </c:pt>
                <c:pt idx="2301">
                  <c:v>#N/A</c:v>
                </c:pt>
                <c:pt idx="2302">
                  <c:v>#N/A</c:v>
                </c:pt>
                <c:pt idx="2303">
                  <c:v>#N/A</c:v>
                </c:pt>
                <c:pt idx="2304">
                  <c:v>#N/A</c:v>
                </c:pt>
                <c:pt idx="2305">
                  <c:v>#N/A</c:v>
                </c:pt>
                <c:pt idx="2306">
                  <c:v>#N/A</c:v>
                </c:pt>
                <c:pt idx="2307">
                  <c:v>#N/A</c:v>
                </c:pt>
                <c:pt idx="2308">
                  <c:v>#N/A</c:v>
                </c:pt>
                <c:pt idx="2309">
                  <c:v>#N/A</c:v>
                </c:pt>
                <c:pt idx="2310">
                  <c:v>#N/A</c:v>
                </c:pt>
                <c:pt idx="2311">
                  <c:v>#N/A</c:v>
                </c:pt>
                <c:pt idx="2312">
                  <c:v>#N/A</c:v>
                </c:pt>
                <c:pt idx="2313">
                  <c:v>#N/A</c:v>
                </c:pt>
                <c:pt idx="2314">
                  <c:v>#N/A</c:v>
                </c:pt>
                <c:pt idx="2315">
                  <c:v>#N/A</c:v>
                </c:pt>
                <c:pt idx="2316">
                  <c:v>#N/A</c:v>
                </c:pt>
                <c:pt idx="2317">
                  <c:v>#N/A</c:v>
                </c:pt>
                <c:pt idx="2318">
                  <c:v>#N/A</c:v>
                </c:pt>
                <c:pt idx="2319">
                  <c:v>#N/A</c:v>
                </c:pt>
                <c:pt idx="2320">
                  <c:v>#N/A</c:v>
                </c:pt>
                <c:pt idx="2321">
                  <c:v>#N/A</c:v>
                </c:pt>
                <c:pt idx="2322">
                  <c:v>#N/A</c:v>
                </c:pt>
                <c:pt idx="2323">
                  <c:v>#N/A</c:v>
                </c:pt>
                <c:pt idx="2324">
                  <c:v>#N/A</c:v>
                </c:pt>
                <c:pt idx="2325">
                  <c:v>#N/A</c:v>
                </c:pt>
                <c:pt idx="2326">
                  <c:v>#N/A</c:v>
                </c:pt>
                <c:pt idx="2327">
                  <c:v>#N/A</c:v>
                </c:pt>
                <c:pt idx="2328">
                  <c:v>#N/A</c:v>
                </c:pt>
                <c:pt idx="2329">
                  <c:v>#N/A</c:v>
                </c:pt>
                <c:pt idx="2330">
                  <c:v>#N/A</c:v>
                </c:pt>
                <c:pt idx="2331">
                  <c:v>#N/A</c:v>
                </c:pt>
                <c:pt idx="2332">
                  <c:v>#N/A</c:v>
                </c:pt>
                <c:pt idx="2333">
                  <c:v>#N/A</c:v>
                </c:pt>
                <c:pt idx="2334">
                  <c:v>#N/A</c:v>
                </c:pt>
                <c:pt idx="2335">
                  <c:v>#N/A</c:v>
                </c:pt>
                <c:pt idx="2336">
                  <c:v>#N/A</c:v>
                </c:pt>
                <c:pt idx="2337">
                  <c:v>#N/A</c:v>
                </c:pt>
                <c:pt idx="2338">
                  <c:v>#N/A</c:v>
                </c:pt>
                <c:pt idx="2339">
                  <c:v>#N/A</c:v>
                </c:pt>
                <c:pt idx="2340">
                  <c:v>#N/A</c:v>
                </c:pt>
                <c:pt idx="2341">
                  <c:v>#N/A</c:v>
                </c:pt>
                <c:pt idx="2342">
                  <c:v>#N/A</c:v>
                </c:pt>
                <c:pt idx="2343">
                  <c:v>#N/A</c:v>
                </c:pt>
                <c:pt idx="2344">
                  <c:v>#N/A</c:v>
                </c:pt>
                <c:pt idx="2345">
                  <c:v>#N/A</c:v>
                </c:pt>
                <c:pt idx="2346">
                  <c:v>#N/A</c:v>
                </c:pt>
                <c:pt idx="2347">
                  <c:v>#N/A</c:v>
                </c:pt>
                <c:pt idx="2348">
                  <c:v>#N/A</c:v>
                </c:pt>
                <c:pt idx="2349">
                  <c:v>#N/A</c:v>
                </c:pt>
                <c:pt idx="2350">
                  <c:v>#N/A</c:v>
                </c:pt>
                <c:pt idx="2351">
                  <c:v>#N/A</c:v>
                </c:pt>
                <c:pt idx="2352">
                  <c:v>#N/A</c:v>
                </c:pt>
                <c:pt idx="2353">
                  <c:v>#N/A</c:v>
                </c:pt>
                <c:pt idx="2354">
                  <c:v>#N/A</c:v>
                </c:pt>
                <c:pt idx="2355">
                  <c:v>#N/A</c:v>
                </c:pt>
                <c:pt idx="2356">
                  <c:v>#N/A</c:v>
                </c:pt>
                <c:pt idx="2357">
                  <c:v>#N/A</c:v>
                </c:pt>
                <c:pt idx="2358">
                  <c:v>#N/A</c:v>
                </c:pt>
                <c:pt idx="2359">
                  <c:v>#N/A</c:v>
                </c:pt>
                <c:pt idx="2360">
                  <c:v>#N/A</c:v>
                </c:pt>
                <c:pt idx="2361">
                  <c:v>#N/A</c:v>
                </c:pt>
                <c:pt idx="2362">
                  <c:v>#N/A</c:v>
                </c:pt>
                <c:pt idx="2363">
                  <c:v>#N/A</c:v>
                </c:pt>
                <c:pt idx="2364">
                  <c:v>#N/A</c:v>
                </c:pt>
                <c:pt idx="2365">
                  <c:v>#N/A</c:v>
                </c:pt>
                <c:pt idx="2366">
                  <c:v>#N/A</c:v>
                </c:pt>
                <c:pt idx="2367">
                  <c:v>#N/A</c:v>
                </c:pt>
                <c:pt idx="2368">
                  <c:v>#N/A</c:v>
                </c:pt>
                <c:pt idx="2369">
                  <c:v>#N/A</c:v>
                </c:pt>
                <c:pt idx="2370">
                  <c:v>#N/A</c:v>
                </c:pt>
                <c:pt idx="2371">
                  <c:v>#N/A</c:v>
                </c:pt>
                <c:pt idx="2372">
                  <c:v>#N/A</c:v>
                </c:pt>
                <c:pt idx="2373">
                  <c:v>#N/A</c:v>
                </c:pt>
                <c:pt idx="2374">
                  <c:v>#N/A</c:v>
                </c:pt>
                <c:pt idx="2375">
                  <c:v>#N/A</c:v>
                </c:pt>
                <c:pt idx="2376">
                  <c:v>#N/A</c:v>
                </c:pt>
                <c:pt idx="2377">
                  <c:v>#N/A</c:v>
                </c:pt>
                <c:pt idx="2378">
                  <c:v>#N/A</c:v>
                </c:pt>
                <c:pt idx="2379">
                  <c:v>#N/A</c:v>
                </c:pt>
                <c:pt idx="2380">
                  <c:v>#N/A</c:v>
                </c:pt>
                <c:pt idx="2381">
                  <c:v>#N/A</c:v>
                </c:pt>
                <c:pt idx="2382">
                  <c:v>#N/A</c:v>
                </c:pt>
                <c:pt idx="2383">
                  <c:v>#N/A</c:v>
                </c:pt>
                <c:pt idx="2384">
                  <c:v>#N/A</c:v>
                </c:pt>
                <c:pt idx="2385">
                  <c:v>#N/A</c:v>
                </c:pt>
                <c:pt idx="2386">
                  <c:v>#N/A</c:v>
                </c:pt>
                <c:pt idx="2387">
                  <c:v>#N/A</c:v>
                </c:pt>
                <c:pt idx="2388">
                  <c:v>#N/A</c:v>
                </c:pt>
                <c:pt idx="2389">
                  <c:v>#N/A</c:v>
                </c:pt>
                <c:pt idx="2390">
                  <c:v>#N/A</c:v>
                </c:pt>
                <c:pt idx="2391">
                  <c:v>#N/A</c:v>
                </c:pt>
                <c:pt idx="2392">
                  <c:v>#N/A</c:v>
                </c:pt>
                <c:pt idx="2393">
                  <c:v>#N/A</c:v>
                </c:pt>
                <c:pt idx="2394">
                  <c:v>#N/A</c:v>
                </c:pt>
                <c:pt idx="2395">
                  <c:v>#N/A</c:v>
                </c:pt>
                <c:pt idx="2396">
                  <c:v>#N/A</c:v>
                </c:pt>
                <c:pt idx="2397">
                  <c:v>#N/A</c:v>
                </c:pt>
                <c:pt idx="2398">
                  <c:v>#N/A</c:v>
                </c:pt>
                <c:pt idx="2399">
                  <c:v>#N/A</c:v>
                </c:pt>
                <c:pt idx="2400">
                  <c:v>#N/A</c:v>
                </c:pt>
                <c:pt idx="2401">
                  <c:v>#N/A</c:v>
                </c:pt>
                <c:pt idx="2402">
                  <c:v>#N/A</c:v>
                </c:pt>
                <c:pt idx="2403">
                  <c:v>#N/A</c:v>
                </c:pt>
                <c:pt idx="2404">
                  <c:v>#N/A</c:v>
                </c:pt>
                <c:pt idx="2405">
                  <c:v>#N/A</c:v>
                </c:pt>
                <c:pt idx="2406">
                  <c:v>#N/A</c:v>
                </c:pt>
                <c:pt idx="2407">
                  <c:v>#N/A</c:v>
                </c:pt>
                <c:pt idx="2408">
                  <c:v>#N/A</c:v>
                </c:pt>
                <c:pt idx="2409">
                  <c:v>#N/A</c:v>
                </c:pt>
                <c:pt idx="2410">
                  <c:v>#N/A</c:v>
                </c:pt>
                <c:pt idx="2411">
                  <c:v>#N/A</c:v>
                </c:pt>
                <c:pt idx="2412">
                  <c:v>#N/A</c:v>
                </c:pt>
                <c:pt idx="2413">
                  <c:v>#N/A</c:v>
                </c:pt>
                <c:pt idx="2414">
                  <c:v>#N/A</c:v>
                </c:pt>
                <c:pt idx="2415">
                  <c:v>#N/A</c:v>
                </c:pt>
                <c:pt idx="2416">
                  <c:v>#N/A</c:v>
                </c:pt>
                <c:pt idx="2417">
                  <c:v>#N/A</c:v>
                </c:pt>
                <c:pt idx="2418">
                  <c:v>#N/A</c:v>
                </c:pt>
                <c:pt idx="2419">
                  <c:v>#N/A</c:v>
                </c:pt>
                <c:pt idx="2420">
                  <c:v>#N/A</c:v>
                </c:pt>
                <c:pt idx="2421">
                  <c:v>#N/A</c:v>
                </c:pt>
                <c:pt idx="2422">
                  <c:v>#N/A</c:v>
                </c:pt>
                <c:pt idx="2423">
                  <c:v>#N/A</c:v>
                </c:pt>
                <c:pt idx="2424">
                  <c:v>#N/A</c:v>
                </c:pt>
                <c:pt idx="2425">
                  <c:v>#N/A</c:v>
                </c:pt>
                <c:pt idx="2426">
                  <c:v>#N/A</c:v>
                </c:pt>
                <c:pt idx="2427">
                  <c:v>#N/A</c:v>
                </c:pt>
                <c:pt idx="2428">
                  <c:v>#N/A</c:v>
                </c:pt>
                <c:pt idx="2429">
                  <c:v>#N/A</c:v>
                </c:pt>
                <c:pt idx="2430">
                  <c:v>#N/A</c:v>
                </c:pt>
                <c:pt idx="2431">
                  <c:v>#N/A</c:v>
                </c:pt>
                <c:pt idx="2432">
                  <c:v>#N/A</c:v>
                </c:pt>
                <c:pt idx="2433">
                  <c:v>#N/A</c:v>
                </c:pt>
                <c:pt idx="2434">
                  <c:v>#N/A</c:v>
                </c:pt>
                <c:pt idx="2435">
                  <c:v>#N/A</c:v>
                </c:pt>
                <c:pt idx="2436">
                  <c:v>#N/A</c:v>
                </c:pt>
                <c:pt idx="2437">
                  <c:v>#N/A</c:v>
                </c:pt>
                <c:pt idx="2438">
                  <c:v>#N/A</c:v>
                </c:pt>
                <c:pt idx="2439">
                  <c:v>#N/A</c:v>
                </c:pt>
                <c:pt idx="2440">
                  <c:v>#N/A</c:v>
                </c:pt>
                <c:pt idx="2441">
                  <c:v>#N/A</c:v>
                </c:pt>
                <c:pt idx="2442">
                  <c:v>#N/A</c:v>
                </c:pt>
                <c:pt idx="2443">
                  <c:v>#N/A</c:v>
                </c:pt>
                <c:pt idx="2444">
                  <c:v>#N/A</c:v>
                </c:pt>
                <c:pt idx="2445">
                  <c:v>#N/A</c:v>
                </c:pt>
                <c:pt idx="2446">
                  <c:v>#N/A</c:v>
                </c:pt>
                <c:pt idx="2447">
                  <c:v>#N/A</c:v>
                </c:pt>
                <c:pt idx="2448">
                  <c:v>#N/A</c:v>
                </c:pt>
                <c:pt idx="2449">
                  <c:v>#N/A</c:v>
                </c:pt>
                <c:pt idx="2450">
                  <c:v>#N/A</c:v>
                </c:pt>
                <c:pt idx="2451">
                  <c:v>#N/A</c:v>
                </c:pt>
                <c:pt idx="2452">
                  <c:v>#N/A</c:v>
                </c:pt>
                <c:pt idx="2453">
                  <c:v>#N/A</c:v>
                </c:pt>
                <c:pt idx="2454">
                  <c:v>#N/A</c:v>
                </c:pt>
                <c:pt idx="2455">
                  <c:v>#N/A</c:v>
                </c:pt>
                <c:pt idx="2456">
                  <c:v>#N/A</c:v>
                </c:pt>
                <c:pt idx="2457">
                  <c:v>#N/A</c:v>
                </c:pt>
                <c:pt idx="2458">
                  <c:v>#N/A</c:v>
                </c:pt>
                <c:pt idx="2459">
                  <c:v>#N/A</c:v>
                </c:pt>
                <c:pt idx="2460">
                  <c:v>#N/A</c:v>
                </c:pt>
                <c:pt idx="2461">
                  <c:v>#N/A</c:v>
                </c:pt>
                <c:pt idx="2462">
                  <c:v>#N/A</c:v>
                </c:pt>
                <c:pt idx="2463">
                  <c:v>#N/A</c:v>
                </c:pt>
                <c:pt idx="2464">
                  <c:v>#N/A</c:v>
                </c:pt>
                <c:pt idx="2465">
                  <c:v>#N/A</c:v>
                </c:pt>
                <c:pt idx="2466">
                  <c:v>#N/A</c:v>
                </c:pt>
                <c:pt idx="2467">
                  <c:v>#N/A</c:v>
                </c:pt>
                <c:pt idx="2468">
                  <c:v>#N/A</c:v>
                </c:pt>
                <c:pt idx="2469">
                  <c:v>#N/A</c:v>
                </c:pt>
                <c:pt idx="2470">
                  <c:v>#N/A</c:v>
                </c:pt>
                <c:pt idx="2471">
                  <c:v>#N/A</c:v>
                </c:pt>
                <c:pt idx="2472">
                  <c:v>#N/A</c:v>
                </c:pt>
                <c:pt idx="2473">
                  <c:v>#N/A</c:v>
                </c:pt>
                <c:pt idx="2474">
                  <c:v>#N/A</c:v>
                </c:pt>
                <c:pt idx="2475">
                  <c:v>#N/A</c:v>
                </c:pt>
                <c:pt idx="2476">
                  <c:v>#N/A</c:v>
                </c:pt>
                <c:pt idx="2477">
                  <c:v>#N/A</c:v>
                </c:pt>
                <c:pt idx="2478">
                  <c:v>#N/A</c:v>
                </c:pt>
                <c:pt idx="2479">
                  <c:v>#N/A</c:v>
                </c:pt>
                <c:pt idx="2480">
                  <c:v>#N/A</c:v>
                </c:pt>
                <c:pt idx="2481">
                  <c:v>#N/A</c:v>
                </c:pt>
                <c:pt idx="2482">
                  <c:v>#N/A</c:v>
                </c:pt>
                <c:pt idx="2483">
                  <c:v>#N/A</c:v>
                </c:pt>
                <c:pt idx="2484">
                  <c:v>#N/A</c:v>
                </c:pt>
                <c:pt idx="2485">
                  <c:v>#N/A</c:v>
                </c:pt>
                <c:pt idx="2486">
                  <c:v>#N/A</c:v>
                </c:pt>
                <c:pt idx="2487">
                  <c:v>#N/A</c:v>
                </c:pt>
                <c:pt idx="2488">
                  <c:v>#N/A</c:v>
                </c:pt>
                <c:pt idx="2489">
                  <c:v>#N/A</c:v>
                </c:pt>
                <c:pt idx="2490">
                  <c:v>#N/A</c:v>
                </c:pt>
                <c:pt idx="2491">
                  <c:v>#N/A</c:v>
                </c:pt>
                <c:pt idx="2492">
                  <c:v>#N/A</c:v>
                </c:pt>
                <c:pt idx="2493">
                  <c:v>#N/A</c:v>
                </c:pt>
                <c:pt idx="2494">
                  <c:v>#N/A</c:v>
                </c:pt>
                <c:pt idx="2495">
                  <c:v>#N/A</c:v>
                </c:pt>
                <c:pt idx="2496">
                  <c:v>#N/A</c:v>
                </c:pt>
                <c:pt idx="2497">
                  <c:v>#N/A</c:v>
                </c:pt>
                <c:pt idx="2498">
                  <c:v>#N/A</c:v>
                </c:pt>
                <c:pt idx="2499">
                  <c:v>#N/A</c:v>
                </c:pt>
                <c:pt idx="2500">
                  <c:v>#N/A</c:v>
                </c:pt>
                <c:pt idx="2501">
                  <c:v>#N/A</c:v>
                </c:pt>
                <c:pt idx="2502">
                  <c:v>#N/A</c:v>
                </c:pt>
                <c:pt idx="2503">
                  <c:v>#N/A</c:v>
                </c:pt>
                <c:pt idx="2504">
                  <c:v>#N/A</c:v>
                </c:pt>
                <c:pt idx="2505">
                  <c:v>#N/A</c:v>
                </c:pt>
                <c:pt idx="2506">
                  <c:v>#N/A</c:v>
                </c:pt>
                <c:pt idx="2507">
                  <c:v>#N/A</c:v>
                </c:pt>
                <c:pt idx="2508">
                  <c:v>#N/A</c:v>
                </c:pt>
                <c:pt idx="2509">
                  <c:v>#N/A</c:v>
                </c:pt>
                <c:pt idx="2510">
                  <c:v>#N/A</c:v>
                </c:pt>
                <c:pt idx="2511">
                  <c:v>#N/A</c:v>
                </c:pt>
                <c:pt idx="2512">
                  <c:v>#N/A</c:v>
                </c:pt>
                <c:pt idx="2513">
                  <c:v>#N/A</c:v>
                </c:pt>
                <c:pt idx="2514">
                  <c:v>#N/A</c:v>
                </c:pt>
                <c:pt idx="2515">
                  <c:v>#N/A</c:v>
                </c:pt>
                <c:pt idx="2516">
                  <c:v>#N/A</c:v>
                </c:pt>
                <c:pt idx="2517">
                  <c:v>#N/A</c:v>
                </c:pt>
                <c:pt idx="2518">
                  <c:v>#N/A</c:v>
                </c:pt>
                <c:pt idx="2519">
                  <c:v>#N/A</c:v>
                </c:pt>
                <c:pt idx="2520">
                  <c:v>#N/A</c:v>
                </c:pt>
                <c:pt idx="2521">
                  <c:v>#N/A</c:v>
                </c:pt>
                <c:pt idx="2522">
                  <c:v>#N/A</c:v>
                </c:pt>
                <c:pt idx="2523">
                  <c:v>#N/A</c:v>
                </c:pt>
                <c:pt idx="2524">
                  <c:v>#N/A</c:v>
                </c:pt>
                <c:pt idx="2525">
                  <c:v>#N/A</c:v>
                </c:pt>
                <c:pt idx="2526">
                  <c:v>#N/A</c:v>
                </c:pt>
                <c:pt idx="2527">
                  <c:v>#N/A</c:v>
                </c:pt>
                <c:pt idx="2528">
                  <c:v>#N/A</c:v>
                </c:pt>
                <c:pt idx="2529">
                  <c:v>#N/A</c:v>
                </c:pt>
                <c:pt idx="2530">
                  <c:v>#N/A</c:v>
                </c:pt>
                <c:pt idx="2531">
                  <c:v>#N/A</c:v>
                </c:pt>
                <c:pt idx="2532">
                  <c:v>#N/A</c:v>
                </c:pt>
                <c:pt idx="2533">
                  <c:v>#N/A</c:v>
                </c:pt>
                <c:pt idx="2534">
                  <c:v>#N/A</c:v>
                </c:pt>
                <c:pt idx="2535">
                  <c:v>#N/A</c:v>
                </c:pt>
                <c:pt idx="2536">
                  <c:v>#N/A</c:v>
                </c:pt>
                <c:pt idx="2537">
                  <c:v>#N/A</c:v>
                </c:pt>
                <c:pt idx="2538">
                  <c:v>#N/A</c:v>
                </c:pt>
                <c:pt idx="2539">
                  <c:v>#N/A</c:v>
                </c:pt>
                <c:pt idx="2540">
                  <c:v>#N/A</c:v>
                </c:pt>
                <c:pt idx="2541">
                  <c:v>#N/A</c:v>
                </c:pt>
                <c:pt idx="2542">
                  <c:v>#N/A</c:v>
                </c:pt>
                <c:pt idx="2543">
                  <c:v>#N/A</c:v>
                </c:pt>
                <c:pt idx="2544">
                  <c:v>#N/A</c:v>
                </c:pt>
                <c:pt idx="2545">
                  <c:v>#N/A</c:v>
                </c:pt>
                <c:pt idx="2546">
                  <c:v>#N/A</c:v>
                </c:pt>
                <c:pt idx="2547">
                  <c:v>#N/A</c:v>
                </c:pt>
                <c:pt idx="2548">
                  <c:v>#N/A</c:v>
                </c:pt>
                <c:pt idx="2549">
                  <c:v>#N/A</c:v>
                </c:pt>
                <c:pt idx="2550">
                  <c:v>#N/A</c:v>
                </c:pt>
                <c:pt idx="2551">
                  <c:v>#N/A</c:v>
                </c:pt>
                <c:pt idx="2552">
                  <c:v>#N/A</c:v>
                </c:pt>
                <c:pt idx="2553">
                  <c:v>#N/A</c:v>
                </c:pt>
                <c:pt idx="2554">
                  <c:v>#N/A</c:v>
                </c:pt>
                <c:pt idx="2555">
                  <c:v>#N/A</c:v>
                </c:pt>
                <c:pt idx="2556">
                  <c:v>#N/A</c:v>
                </c:pt>
                <c:pt idx="2557">
                  <c:v>#N/A</c:v>
                </c:pt>
              </c:numCache>
            </c:numRef>
          </c:val>
          <c:smooth val="0"/>
          <c:extLst>
            <c:ext xmlns:c16="http://schemas.microsoft.com/office/drawing/2014/chart" uri="{C3380CC4-5D6E-409C-BE32-E72D297353CC}">
              <c16:uniqueId val="{00000005-CC99-4D1E-9B89-33613AE1EB93}"/>
            </c:ext>
          </c:extLst>
        </c:ser>
        <c:ser>
          <c:idx val="2"/>
          <c:order val="2"/>
          <c:tx>
            <c:strRef>
              <c:f>Onboarding!$E$2</c:f>
              <c:strCache>
                <c:ptCount val="1"/>
                <c:pt idx="0">
                  <c:v>Deaf Connect</c:v>
                </c:pt>
              </c:strCache>
            </c:strRef>
          </c:tx>
          <c:spPr>
            <a:ln w="15875" cap="rnd">
              <a:solidFill>
                <a:schemeClr val="accent2"/>
              </a:solidFill>
              <a:round/>
            </a:ln>
            <a:effectLst/>
          </c:spPr>
          <c:marker>
            <c:symbol val="none"/>
          </c:marker>
          <c:dPt>
            <c:idx val="718"/>
            <c:marker>
              <c:symbol val="diamond"/>
              <c:size val="9"/>
              <c:spPr>
                <a:solidFill>
                  <a:schemeClr val="accent2"/>
                </a:solidFill>
                <a:ln w="9525">
                  <a:noFill/>
                </a:ln>
                <a:effectLst/>
              </c:spPr>
            </c:marker>
            <c:bubble3D val="0"/>
            <c:extLst>
              <c:ext xmlns:c16="http://schemas.microsoft.com/office/drawing/2014/chart" uri="{C3380CC4-5D6E-409C-BE32-E72D297353CC}">
                <c16:uniqueId val="{00000006-CC99-4D1E-9B89-33613AE1EB93}"/>
              </c:ext>
            </c:extLst>
          </c:dPt>
          <c:dPt>
            <c:idx val="1211"/>
            <c:marker>
              <c:symbol val="diamond"/>
              <c:size val="9"/>
              <c:spPr>
                <a:solidFill>
                  <a:schemeClr val="accent2"/>
                </a:solidFill>
                <a:ln w="9525">
                  <a:noFill/>
                </a:ln>
                <a:effectLst/>
              </c:spPr>
            </c:marker>
            <c:bubble3D val="0"/>
            <c:extLst>
              <c:ext xmlns:c16="http://schemas.microsoft.com/office/drawing/2014/chart" uri="{C3380CC4-5D6E-409C-BE32-E72D297353CC}">
                <c16:uniqueId val="{00000007-CC99-4D1E-9B89-33613AE1EB93}"/>
              </c:ext>
            </c:extLst>
          </c:dPt>
          <c:cat>
            <c:numRef>
              <c:f>Onboarding!$B$7:$B$2564</c:f>
              <c:numCache>
                <c:formatCode>m/d/yyyy</c:formatCode>
                <c:ptCount val="2558"/>
                <c:pt idx="0">
                  <c:v>43101</c:v>
                </c:pt>
                <c:pt idx="1">
                  <c:v>43102</c:v>
                </c:pt>
                <c:pt idx="2">
                  <c:v>43103</c:v>
                </c:pt>
                <c:pt idx="3">
                  <c:v>43104</c:v>
                </c:pt>
                <c:pt idx="4">
                  <c:v>43105</c:v>
                </c:pt>
                <c:pt idx="5">
                  <c:v>43106</c:v>
                </c:pt>
                <c:pt idx="6">
                  <c:v>43107</c:v>
                </c:pt>
                <c:pt idx="7">
                  <c:v>43108</c:v>
                </c:pt>
                <c:pt idx="8">
                  <c:v>43109</c:v>
                </c:pt>
                <c:pt idx="9">
                  <c:v>43110</c:v>
                </c:pt>
                <c:pt idx="10">
                  <c:v>43111</c:v>
                </c:pt>
                <c:pt idx="11">
                  <c:v>43112</c:v>
                </c:pt>
                <c:pt idx="12">
                  <c:v>43113</c:v>
                </c:pt>
                <c:pt idx="13">
                  <c:v>43114</c:v>
                </c:pt>
                <c:pt idx="14">
                  <c:v>43115</c:v>
                </c:pt>
                <c:pt idx="15">
                  <c:v>43116</c:v>
                </c:pt>
                <c:pt idx="16">
                  <c:v>43117</c:v>
                </c:pt>
                <c:pt idx="17">
                  <c:v>43118</c:v>
                </c:pt>
                <c:pt idx="18">
                  <c:v>43119</c:v>
                </c:pt>
                <c:pt idx="19">
                  <c:v>43120</c:v>
                </c:pt>
                <c:pt idx="20">
                  <c:v>43121</c:v>
                </c:pt>
                <c:pt idx="21">
                  <c:v>43122</c:v>
                </c:pt>
                <c:pt idx="22">
                  <c:v>43123</c:v>
                </c:pt>
                <c:pt idx="23">
                  <c:v>43124</c:v>
                </c:pt>
                <c:pt idx="24">
                  <c:v>43125</c:v>
                </c:pt>
                <c:pt idx="25">
                  <c:v>43126</c:v>
                </c:pt>
                <c:pt idx="26">
                  <c:v>43127</c:v>
                </c:pt>
                <c:pt idx="27">
                  <c:v>43128</c:v>
                </c:pt>
                <c:pt idx="28">
                  <c:v>43129</c:v>
                </c:pt>
                <c:pt idx="29">
                  <c:v>43130</c:v>
                </c:pt>
                <c:pt idx="30">
                  <c:v>43131</c:v>
                </c:pt>
                <c:pt idx="31">
                  <c:v>43132</c:v>
                </c:pt>
                <c:pt idx="32">
                  <c:v>43133</c:v>
                </c:pt>
                <c:pt idx="33">
                  <c:v>43134</c:v>
                </c:pt>
                <c:pt idx="34">
                  <c:v>43135</c:v>
                </c:pt>
                <c:pt idx="35">
                  <c:v>43136</c:v>
                </c:pt>
                <c:pt idx="36">
                  <c:v>43137</c:v>
                </c:pt>
                <c:pt idx="37">
                  <c:v>43138</c:v>
                </c:pt>
                <c:pt idx="38">
                  <c:v>43139</c:v>
                </c:pt>
                <c:pt idx="39">
                  <c:v>43140</c:v>
                </c:pt>
                <c:pt idx="40">
                  <c:v>43141</c:v>
                </c:pt>
                <c:pt idx="41">
                  <c:v>43142</c:v>
                </c:pt>
                <c:pt idx="42">
                  <c:v>43143</c:v>
                </c:pt>
                <c:pt idx="43">
                  <c:v>43144</c:v>
                </c:pt>
                <c:pt idx="44">
                  <c:v>43145</c:v>
                </c:pt>
                <c:pt idx="45">
                  <c:v>43146</c:v>
                </c:pt>
                <c:pt idx="46">
                  <c:v>43147</c:v>
                </c:pt>
                <c:pt idx="47">
                  <c:v>43148</c:v>
                </c:pt>
                <c:pt idx="48">
                  <c:v>43149</c:v>
                </c:pt>
                <c:pt idx="49">
                  <c:v>43150</c:v>
                </c:pt>
                <c:pt idx="50">
                  <c:v>43151</c:v>
                </c:pt>
                <c:pt idx="51">
                  <c:v>43152</c:v>
                </c:pt>
                <c:pt idx="52">
                  <c:v>43153</c:v>
                </c:pt>
                <c:pt idx="53">
                  <c:v>43154</c:v>
                </c:pt>
                <c:pt idx="54">
                  <c:v>43155</c:v>
                </c:pt>
                <c:pt idx="55">
                  <c:v>43156</c:v>
                </c:pt>
                <c:pt idx="56">
                  <c:v>43157</c:v>
                </c:pt>
                <c:pt idx="57">
                  <c:v>43158</c:v>
                </c:pt>
                <c:pt idx="58">
                  <c:v>43159</c:v>
                </c:pt>
                <c:pt idx="59">
                  <c:v>43160</c:v>
                </c:pt>
                <c:pt idx="60">
                  <c:v>43161</c:v>
                </c:pt>
                <c:pt idx="61">
                  <c:v>43162</c:v>
                </c:pt>
                <c:pt idx="62">
                  <c:v>43163</c:v>
                </c:pt>
                <c:pt idx="63">
                  <c:v>43164</c:v>
                </c:pt>
                <c:pt idx="64">
                  <c:v>43165</c:v>
                </c:pt>
                <c:pt idx="65">
                  <c:v>43166</c:v>
                </c:pt>
                <c:pt idx="66">
                  <c:v>43167</c:v>
                </c:pt>
                <c:pt idx="67">
                  <c:v>43168</c:v>
                </c:pt>
                <c:pt idx="68">
                  <c:v>43169</c:v>
                </c:pt>
                <c:pt idx="69">
                  <c:v>43170</c:v>
                </c:pt>
                <c:pt idx="70">
                  <c:v>43171</c:v>
                </c:pt>
                <c:pt idx="71">
                  <c:v>43172</c:v>
                </c:pt>
                <c:pt idx="72">
                  <c:v>43173</c:v>
                </c:pt>
                <c:pt idx="73">
                  <c:v>43174</c:v>
                </c:pt>
                <c:pt idx="74">
                  <c:v>43175</c:v>
                </c:pt>
                <c:pt idx="75">
                  <c:v>43176</c:v>
                </c:pt>
                <c:pt idx="76">
                  <c:v>43177</c:v>
                </c:pt>
                <c:pt idx="77">
                  <c:v>43178</c:v>
                </c:pt>
                <c:pt idx="78">
                  <c:v>43179</c:v>
                </c:pt>
                <c:pt idx="79">
                  <c:v>43180</c:v>
                </c:pt>
                <c:pt idx="80">
                  <c:v>43181</c:v>
                </c:pt>
                <c:pt idx="81">
                  <c:v>43182</c:v>
                </c:pt>
                <c:pt idx="82">
                  <c:v>43183</c:v>
                </c:pt>
                <c:pt idx="83">
                  <c:v>43184</c:v>
                </c:pt>
                <c:pt idx="84">
                  <c:v>43185</c:v>
                </c:pt>
                <c:pt idx="85">
                  <c:v>43186</c:v>
                </c:pt>
                <c:pt idx="86">
                  <c:v>43187</c:v>
                </c:pt>
                <c:pt idx="87">
                  <c:v>43188</c:v>
                </c:pt>
                <c:pt idx="88">
                  <c:v>43189</c:v>
                </c:pt>
                <c:pt idx="89">
                  <c:v>43190</c:v>
                </c:pt>
                <c:pt idx="90">
                  <c:v>43191</c:v>
                </c:pt>
                <c:pt idx="91">
                  <c:v>43192</c:v>
                </c:pt>
                <c:pt idx="92">
                  <c:v>43193</c:v>
                </c:pt>
                <c:pt idx="93">
                  <c:v>43194</c:v>
                </c:pt>
                <c:pt idx="94">
                  <c:v>43195</c:v>
                </c:pt>
                <c:pt idx="95">
                  <c:v>43196</c:v>
                </c:pt>
                <c:pt idx="96">
                  <c:v>43197</c:v>
                </c:pt>
                <c:pt idx="97">
                  <c:v>43198</c:v>
                </c:pt>
                <c:pt idx="98">
                  <c:v>43199</c:v>
                </c:pt>
                <c:pt idx="99">
                  <c:v>43200</c:v>
                </c:pt>
                <c:pt idx="100">
                  <c:v>43201</c:v>
                </c:pt>
                <c:pt idx="101">
                  <c:v>43202</c:v>
                </c:pt>
                <c:pt idx="102">
                  <c:v>43203</c:v>
                </c:pt>
                <c:pt idx="103">
                  <c:v>43204</c:v>
                </c:pt>
                <c:pt idx="104">
                  <c:v>43205</c:v>
                </c:pt>
                <c:pt idx="105">
                  <c:v>43206</c:v>
                </c:pt>
                <c:pt idx="106">
                  <c:v>43207</c:v>
                </c:pt>
                <c:pt idx="107">
                  <c:v>43208</c:v>
                </c:pt>
                <c:pt idx="108">
                  <c:v>43209</c:v>
                </c:pt>
                <c:pt idx="109">
                  <c:v>43210</c:v>
                </c:pt>
                <c:pt idx="110">
                  <c:v>43211</c:v>
                </c:pt>
                <c:pt idx="111">
                  <c:v>43212</c:v>
                </c:pt>
                <c:pt idx="112">
                  <c:v>43213</c:v>
                </c:pt>
                <c:pt idx="113">
                  <c:v>43214</c:v>
                </c:pt>
                <c:pt idx="114">
                  <c:v>43215</c:v>
                </c:pt>
                <c:pt idx="115">
                  <c:v>43216</c:v>
                </c:pt>
                <c:pt idx="116">
                  <c:v>43217</c:v>
                </c:pt>
                <c:pt idx="117">
                  <c:v>43218</c:v>
                </c:pt>
                <c:pt idx="118">
                  <c:v>43219</c:v>
                </c:pt>
                <c:pt idx="119">
                  <c:v>43220</c:v>
                </c:pt>
                <c:pt idx="120">
                  <c:v>43221</c:v>
                </c:pt>
                <c:pt idx="121">
                  <c:v>43222</c:v>
                </c:pt>
                <c:pt idx="122">
                  <c:v>43223</c:v>
                </c:pt>
                <c:pt idx="123">
                  <c:v>43224</c:v>
                </c:pt>
                <c:pt idx="124">
                  <c:v>43225</c:v>
                </c:pt>
                <c:pt idx="125">
                  <c:v>43226</c:v>
                </c:pt>
                <c:pt idx="126">
                  <c:v>43227</c:v>
                </c:pt>
                <c:pt idx="127">
                  <c:v>43228</c:v>
                </c:pt>
                <c:pt idx="128">
                  <c:v>43229</c:v>
                </c:pt>
                <c:pt idx="129">
                  <c:v>43230</c:v>
                </c:pt>
                <c:pt idx="130">
                  <c:v>43231</c:v>
                </c:pt>
                <c:pt idx="131">
                  <c:v>43232</c:v>
                </c:pt>
                <c:pt idx="132">
                  <c:v>43233</c:v>
                </c:pt>
                <c:pt idx="133">
                  <c:v>43234</c:v>
                </c:pt>
                <c:pt idx="134">
                  <c:v>43235</c:v>
                </c:pt>
                <c:pt idx="135">
                  <c:v>43236</c:v>
                </c:pt>
                <c:pt idx="136">
                  <c:v>43237</c:v>
                </c:pt>
                <c:pt idx="137">
                  <c:v>43238</c:v>
                </c:pt>
                <c:pt idx="138">
                  <c:v>43239</c:v>
                </c:pt>
                <c:pt idx="139">
                  <c:v>43240</c:v>
                </c:pt>
                <c:pt idx="140">
                  <c:v>43241</c:v>
                </c:pt>
                <c:pt idx="141">
                  <c:v>43242</c:v>
                </c:pt>
                <c:pt idx="142">
                  <c:v>43243</c:v>
                </c:pt>
                <c:pt idx="143">
                  <c:v>43244</c:v>
                </c:pt>
                <c:pt idx="144">
                  <c:v>43245</c:v>
                </c:pt>
                <c:pt idx="145">
                  <c:v>43246</c:v>
                </c:pt>
                <c:pt idx="146">
                  <c:v>43247</c:v>
                </c:pt>
                <c:pt idx="147">
                  <c:v>43248</c:v>
                </c:pt>
                <c:pt idx="148">
                  <c:v>43249</c:v>
                </c:pt>
                <c:pt idx="149">
                  <c:v>43250</c:v>
                </c:pt>
                <c:pt idx="150">
                  <c:v>43251</c:v>
                </c:pt>
                <c:pt idx="151">
                  <c:v>43252</c:v>
                </c:pt>
                <c:pt idx="152">
                  <c:v>43253</c:v>
                </c:pt>
                <c:pt idx="153">
                  <c:v>43254</c:v>
                </c:pt>
                <c:pt idx="154">
                  <c:v>43255</c:v>
                </c:pt>
                <c:pt idx="155">
                  <c:v>43256</c:v>
                </c:pt>
                <c:pt idx="156">
                  <c:v>43257</c:v>
                </c:pt>
                <c:pt idx="157">
                  <c:v>43258</c:v>
                </c:pt>
                <c:pt idx="158">
                  <c:v>43259</c:v>
                </c:pt>
                <c:pt idx="159">
                  <c:v>43260</c:v>
                </c:pt>
                <c:pt idx="160">
                  <c:v>43261</c:v>
                </c:pt>
                <c:pt idx="161">
                  <c:v>43262</c:v>
                </c:pt>
                <c:pt idx="162">
                  <c:v>43263</c:v>
                </c:pt>
                <c:pt idx="163">
                  <c:v>43264</c:v>
                </c:pt>
                <c:pt idx="164">
                  <c:v>43265</c:v>
                </c:pt>
                <c:pt idx="165">
                  <c:v>43266</c:v>
                </c:pt>
                <c:pt idx="166">
                  <c:v>43267</c:v>
                </c:pt>
                <c:pt idx="167">
                  <c:v>43268</c:v>
                </c:pt>
                <c:pt idx="168">
                  <c:v>43269</c:v>
                </c:pt>
                <c:pt idx="169">
                  <c:v>43270</c:v>
                </c:pt>
                <c:pt idx="170">
                  <c:v>43271</c:v>
                </c:pt>
                <c:pt idx="171">
                  <c:v>43272</c:v>
                </c:pt>
                <c:pt idx="172">
                  <c:v>43273</c:v>
                </c:pt>
                <c:pt idx="173">
                  <c:v>43274</c:v>
                </c:pt>
                <c:pt idx="174">
                  <c:v>43275</c:v>
                </c:pt>
                <c:pt idx="175">
                  <c:v>43276</c:v>
                </c:pt>
                <c:pt idx="176">
                  <c:v>43277</c:v>
                </c:pt>
                <c:pt idx="177">
                  <c:v>43278</c:v>
                </c:pt>
                <c:pt idx="178">
                  <c:v>43279</c:v>
                </c:pt>
                <c:pt idx="179">
                  <c:v>43280</c:v>
                </c:pt>
                <c:pt idx="180">
                  <c:v>43281</c:v>
                </c:pt>
                <c:pt idx="181">
                  <c:v>43282</c:v>
                </c:pt>
                <c:pt idx="182">
                  <c:v>43283</c:v>
                </c:pt>
                <c:pt idx="183">
                  <c:v>43284</c:v>
                </c:pt>
                <c:pt idx="184">
                  <c:v>43285</c:v>
                </c:pt>
                <c:pt idx="185">
                  <c:v>43286</c:v>
                </c:pt>
                <c:pt idx="186">
                  <c:v>43287</c:v>
                </c:pt>
                <c:pt idx="187">
                  <c:v>43288</c:v>
                </c:pt>
                <c:pt idx="188">
                  <c:v>43289</c:v>
                </c:pt>
                <c:pt idx="189">
                  <c:v>43290</c:v>
                </c:pt>
                <c:pt idx="190">
                  <c:v>43291</c:v>
                </c:pt>
                <c:pt idx="191">
                  <c:v>43292</c:v>
                </c:pt>
                <c:pt idx="192">
                  <c:v>43293</c:v>
                </c:pt>
                <c:pt idx="193">
                  <c:v>43294</c:v>
                </c:pt>
                <c:pt idx="194">
                  <c:v>43295</c:v>
                </c:pt>
                <c:pt idx="195">
                  <c:v>43296</c:v>
                </c:pt>
                <c:pt idx="196">
                  <c:v>43297</c:v>
                </c:pt>
                <c:pt idx="197">
                  <c:v>43298</c:v>
                </c:pt>
                <c:pt idx="198">
                  <c:v>43299</c:v>
                </c:pt>
                <c:pt idx="199">
                  <c:v>43300</c:v>
                </c:pt>
                <c:pt idx="200">
                  <c:v>43301</c:v>
                </c:pt>
                <c:pt idx="201">
                  <c:v>43302</c:v>
                </c:pt>
                <c:pt idx="202">
                  <c:v>43303</c:v>
                </c:pt>
                <c:pt idx="203">
                  <c:v>43304</c:v>
                </c:pt>
                <c:pt idx="204">
                  <c:v>43305</c:v>
                </c:pt>
                <c:pt idx="205">
                  <c:v>43306</c:v>
                </c:pt>
                <c:pt idx="206">
                  <c:v>43307</c:v>
                </c:pt>
                <c:pt idx="207">
                  <c:v>43308</c:v>
                </c:pt>
                <c:pt idx="208">
                  <c:v>43309</c:v>
                </c:pt>
                <c:pt idx="209">
                  <c:v>43310</c:v>
                </c:pt>
                <c:pt idx="210">
                  <c:v>43311</c:v>
                </c:pt>
                <c:pt idx="211">
                  <c:v>43312</c:v>
                </c:pt>
                <c:pt idx="212">
                  <c:v>43313</c:v>
                </c:pt>
                <c:pt idx="213">
                  <c:v>43314</c:v>
                </c:pt>
                <c:pt idx="214">
                  <c:v>43315</c:v>
                </c:pt>
                <c:pt idx="215">
                  <c:v>43316</c:v>
                </c:pt>
                <c:pt idx="216">
                  <c:v>43317</c:v>
                </c:pt>
                <c:pt idx="217">
                  <c:v>43318</c:v>
                </c:pt>
                <c:pt idx="218">
                  <c:v>43319</c:v>
                </c:pt>
                <c:pt idx="219">
                  <c:v>43320</c:v>
                </c:pt>
                <c:pt idx="220">
                  <c:v>43321</c:v>
                </c:pt>
                <c:pt idx="221">
                  <c:v>43322</c:v>
                </c:pt>
                <c:pt idx="222">
                  <c:v>43323</c:v>
                </c:pt>
                <c:pt idx="223">
                  <c:v>43324</c:v>
                </c:pt>
                <c:pt idx="224">
                  <c:v>43325</c:v>
                </c:pt>
                <c:pt idx="225">
                  <c:v>43326</c:v>
                </c:pt>
                <c:pt idx="226">
                  <c:v>43327</c:v>
                </c:pt>
                <c:pt idx="227">
                  <c:v>43328</c:v>
                </c:pt>
                <c:pt idx="228">
                  <c:v>43329</c:v>
                </c:pt>
                <c:pt idx="229">
                  <c:v>43330</c:v>
                </c:pt>
                <c:pt idx="230">
                  <c:v>43331</c:v>
                </c:pt>
                <c:pt idx="231">
                  <c:v>43332</c:v>
                </c:pt>
                <c:pt idx="232">
                  <c:v>43333</c:v>
                </c:pt>
                <c:pt idx="233">
                  <c:v>43334</c:v>
                </c:pt>
                <c:pt idx="234">
                  <c:v>43335</c:v>
                </c:pt>
                <c:pt idx="235">
                  <c:v>43336</c:v>
                </c:pt>
                <c:pt idx="236">
                  <c:v>43337</c:v>
                </c:pt>
                <c:pt idx="237">
                  <c:v>43338</c:v>
                </c:pt>
                <c:pt idx="238">
                  <c:v>43339</c:v>
                </c:pt>
                <c:pt idx="239">
                  <c:v>43340</c:v>
                </c:pt>
                <c:pt idx="240">
                  <c:v>43341</c:v>
                </c:pt>
                <c:pt idx="241">
                  <c:v>43342</c:v>
                </c:pt>
                <c:pt idx="242">
                  <c:v>43343</c:v>
                </c:pt>
                <c:pt idx="243">
                  <c:v>43344</c:v>
                </c:pt>
                <c:pt idx="244">
                  <c:v>43345</c:v>
                </c:pt>
                <c:pt idx="245">
                  <c:v>43346</c:v>
                </c:pt>
                <c:pt idx="246">
                  <c:v>43347</c:v>
                </c:pt>
                <c:pt idx="247">
                  <c:v>43348</c:v>
                </c:pt>
                <c:pt idx="248">
                  <c:v>43349</c:v>
                </c:pt>
                <c:pt idx="249">
                  <c:v>43350</c:v>
                </c:pt>
                <c:pt idx="250">
                  <c:v>43351</c:v>
                </c:pt>
                <c:pt idx="251">
                  <c:v>43352</c:v>
                </c:pt>
                <c:pt idx="252">
                  <c:v>43353</c:v>
                </c:pt>
                <c:pt idx="253">
                  <c:v>43354</c:v>
                </c:pt>
                <c:pt idx="254">
                  <c:v>43355</c:v>
                </c:pt>
                <c:pt idx="255">
                  <c:v>43356</c:v>
                </c:pt>
                <c:pt idx="256">
                  <c:v>43357</c:v>
                </c:pt>
                <c:pt idx="257">
                  <c:v>43358</c:v>
                </c:pt>
                <c:pt idx="258">
                  <c:v>43359</c:v>
                </c:pt>
                <c:pt idx="259">
                  <c:v>43360</c:v>
                </c:pt>
                <c:pt idx="260">
                  <c:v>43361</c:v>
                </c:pt>
                <c:pt idx="261">
                  <c:v>43362</c:v>
                </c:pt>
                <c:pt idx="262">
                  <c:v>43363</c:v>
                </c:pt>
                <c:pt idx="263">
                  <c:v>43364</c:v>
                </c:pt>
                <c:pt idx="264">
                  <c:v>43365</c:v>
                </c:pt>
                <c:pt idx="265">
                  <c:v>43366</c:v>
                </c:pt>
                <c:pt idx="266">
                  <c:v>43367</c:v>
                </c:pt>
                <c:pt idx="267">
                  <c:v>43368</c:v>
                </c:pt>
                <c:pt idx="268">
                  <c:v>43369</c:v>
                </c:pt>
                <c:pt idx="269">
                  <c:v>43370</c:v>
                </c:pt>
                <c:pt idx="270">
                  <c:v>43371</c:v>
                </c:pt>
                <c:pt idx="271">
                  <c:v>43372</c:v>
                </c:pt>
                <c:pt idx="272">
                  <c:v>43373</c:v>
                </c:pt>
                <c:pt idx="273">
                  <c:v>43374</c:v>
                </c:pt>
                <c:pt idx="274">
                  <c:v>43375</c:v>
                </c:pt>
                <c:pt idx="275">
                  <c:v>43376</c:v>
                </c:pt>
                <c:pt idx="276">
                  <c:v>43377</c:v>
                </c:pt>
                <c:pt idx="277">
                  <c:v>43378</c:v>
                </c:pt>
                <c:pt idx="278">
                  <c:v>43379</c:v>
                </c:pt>
                <c:pt idx="279">
                  <c:v>43380</c:v>
                </c:pt>
                <c:pt idx="280">
                  <c:v>43381</c:v>
                </c:pt>
                <c:pt idx="281">
                  <c:v>43382</c:v>
                </c:pt>
                <c:pt idx="282">
                  <c:v>43383</c:v>
                </c:pt>
                <c:pt idx="283">
                  <c:v>43384</c:v>
                </c:pt>
                <c:pt idx="284">
                  <c:v>43385</c:v>
                </c:pt>
                <c:pt idx="285">
                  <c:v>43386</c:v>
                </c:pt>
                <c:pt idx="286">
                  <c:v>43387</c:v>
                </c:pt>
                <c:pt idx="287">
                  <c:v>43388</c:v>
                </c:pt>
                <c:pt idx="288">
                  <c:v>43389</c:v>
                </c:pt>
                <c:pt idx="289">
                  <c:v>43390</c:v>
                </c:pt>
                <c:pt idx="290">
                  <c:v>43391</c:v>
                </c:pt>
                <c:pt idx="291">
                  <c:v>43392</c:v>
                </c:pt>
                <c:pt idx="292">
                  <c:v>43393</c:v>
                </c:pt>
                <c:pt idx="293">
                  <c:v>43394</c:v>
                </c:pt>
                <c:pt idx="294">
                  <c:v>43395</c:v>
                </c:pt>
                <c:pt idx="295">
                  <c:v>43396</c:v>
                </c:pt>
                <c:pt idx="296">
                  <c:v>43397</c:v>
                </c:pt>
                <c:pt idx="297">
                  <c:v>43398</c:v>
                </c:pt>
                <c:pt idx="298">
                  <c:v>43399</c:v>
                </c:pt>
                <c:pt idx="299">
                  <c:v>43400</c:v>
                </c:pt>
                <c:pt idx="300">
                  <c:v>43401</c:v>
                </c:pt>
                <c:pt idx="301">
                  <c:v>43402</c:v>
                </c:pt>
                <c:pt idx="302">
                  <c:v>43403</c:v>
                </c:pt>
                <c:pt idx="303">
                  <c:v>43404</c:v>
                </c:pt>
                <c:pt idx="304">
                  <c:v>43405</c:v>
                </c:pt>
                <c:pt idx="305">
                  <c:v>43406</c:v>
                </c:pt>
                <c:pt idx="306">
                  <c:v>43407</c:v>
                </c:pt>
                <c:pt idx="307">
                  <c:v>43408</c:v>
                </c:pt>
                <c:pt idx="308">
                  <c:v>43409</c:v>
                </c:pt>
                <c:pt idx="309">
                  <c:v>43410</c:v>
                </c:pt>
                <c:pt idx="310">
                  <c:v>43411</c:v>
                </c:pt>
                <c:pt idx="311">
                  <c:v>43412</c:v>
                </c:pt>
                <c:pt idx="312">
                  <c:v>43413</c:v>
                </c:pt>
                <c:pt idx="313">
                  <c:v>43414</c:v>
                </c:pt>
                <c:pt idx="314">
                  <c:v>43415</c:v>
                </c:pt>
                <c:pt idx="315">
                  <c:v>43416</c:v>
                </c:pt>
                <c:pt idx="316">
                  <c:v>43417</c:v>
                </c:pt>
                <c:pt idx="317">
                  <c:v>43418</c:v>
                </c:pt>
                <c:pt idx="318">
                  <c:v>43419</c:v>
                </c:pt>
                <c:pt idx="319">
                  <c:v>43420</c:v>
                </c:pt>
                <c:pt idx="320">
                  <c:v>43421</c:v>
                </c:pt>
                <c:pt idx="321">
                  <c:v>43422</c:v>
                </c:pt>
                <c:pt idx="322">
                  <c:v>43423</c:v>
                </c:pt>
                <c:pt idx="323">
                  <c:v>43424</c:v>
                </c:pt>
                <c:pt idx="324">
                  <c:v>43425</c:v>
                </c:pt>
                <c:pt idx="325">
                  <c:v>43426</c:v>
                </c:pt>
                <c:pt idx="326">
                  <c:v>43427</c:v>
                </c:pt>
                <c:pt idx="327">
                  <c:v>43428</c:v>
                </c:pt>
                <c:pt idx="328">
                  <c:v>43429</c:v>
                </c:pt>
                <c:pt idx="329">
                  <c:v>43430</c:v>
                </c:pt>
                <c:pt idx="330">
                  <c:v>43431</c:v>
                </c:pt>
                <c:pt idx="331">
                  <c:v>43432</c:v>
                </c:pt>
                <c:pt idx="332">
                  <c:v>43433</c:v>
                </c:pt>
                <c:pt idx="333">
                  <c:v>43434</c:v>
                </c:pt>
                <c:pt idx="334">
                  <c:v>43435</c:v>
                </c:pt>
                <c:pt idx="335">
                  <c:v>43436</c:v>
                </c:pt>
                <c:pt idx="336">
                  <c:v>43437</c:v>
                </c:pt>
                <c:pt idx="337">
                  <c:v>43438</c:v>
                </c:pt>
                <c:pt idx="338">
                  <c:v>43439</c:v>
                </c:pt>
                <c:pt idx="339">
                  <c:v>43440</c:v>
                </c:pt>
                <c:pt idx="340">
                  <c:v>43441</c:v>
                </c:pt>
                <c:pt idx="341">
                  <c:v>43442</c:v>
                </c:pt>
                <c:pt idx="342">
                  <c:v>43443</c:v>
                </c:pt>
                <c:pt idx="343">
                  <c:v>43444</c:v>
                </c:pt>
                <c:pt idx="344">
                  <c:v>43445</c:v>
                </c:pt>
                <c:pt idx="345">
                  <c:v>43446</c:v>
                </c:pt>
                <c:pt idx="346">
                  <c:v>43447</c:v>
                </c:pt>
                <c:pt idx="347">
                  <c:v>43448</c:v>
                </c:pt>
                <c:pt idx="348">
                  <c:v>43449</c:v>
                </c:pt>
                <c:pt idx="349">
                  <c:v>43450</c:v>
                </c:pt>
                <c:pt idx="350">
                  <c:v>43451</c:v>
                </c:pt>
                <c:pt idx="351">
                  <c:v>43452</c:v>
                </c:pt>
                <c:pt idx="352">
                  <c:v>43453</c:v>
                </c:pt>
                <c:pt idx="353">
                  <c:v>43454</c:v>
                </c:pt>
                <c:pt idx="354">
                  <c:v>43455</c:v>
                </c:pt>
                <c:pt idx="355">
                  <c:v>43456</c:v>
                </c:pt>
                <c:pt idx="356">
                  <c:v>43457</c:v>
                </c:pt>
                <c:pt idx="357">
                  <c:v>43458</c:v>
                </c:pt>
                <c:pt idx="358">
                  <c:v>43459</c:v>
                </c:pt>
                <c:pt idx="359">
                  <c:v>43460</c:v>
                </c:pt>
                <c:pt idx="360">
                  <c:v>43461</c:v>
                </c:pt>
                <c:pt idx="361">
                  <c:v>43462</c:v>
                </c:pt>
                <c:pt idx="362">
                  <c:v>43463</c:v>
                </c:pt>
                <c:pt idx="363">
                  <c:v>43464</c:v>
                </c:pt>
                <c:pt idx="364">
                  <c:v>43465</c:v>
                </c:pt>
                <c:pt idx="365">
                  <c:v>43466</c:v>
                </c:pt>
                <c:pt idx="366">
                  <c:v>43467</c:v>
                </c:pt>
                <c:pt idx="367">
                  <c:v>43468</c:v>
                </c:pt>
                <c:pt idx="368">
                  <c:v>43469</c:v>
                </c:pt>
                <c:pt idx="369">
                  <c:v>43470</c:v>
                </c:pt>
                <c:pt idx="370">
                  <c:v>43471</c:v>
                </c:pt>
                <c:pt idx="371">
                  <c:v>43472</c:v>
                </c:pt>
                <c:pt idx="372">
                  <c:v>43473</c:v>
                </c:pt>
                <c:pt idx="373">
                  <c:v>43474</c:v>
                </c:pt>
                <c:pt idx="374">
                  <c:v>43475</c:v>
                </c:pt>
                <c:pt idx="375">
                  <c:v>43476</c:v>
                </c:pt>
                <c:pt idx="376">
                  <c:v>43477</c:v>
                </c:pt>
                <c:pt idx="377">
                  <c:v>43478</c:v>
                </c:pt>
                <c:pt idx="378">
                  <c:v>43479</c:v>
                </c:pt>
                <c:pt idx="379">
                  <c:v>43480</c:v>
                </c:pt>
                <c:pt idx="380">
                  <c:v>43481</c:v>
                </c:pt>
                <c:pt idx="381">
                  <c:v>43482</c:v>
                </c:pt>
                <c:pt idx="382">
                  <c:v>43483</c:v>
                </c:pt>
                <c:pt idx="383">
                  <c:v>43484</c:v>
                </c:pt>
                <c:pt idx="384">
                  <c:v>43485</c:v>
                </c:pt>
                <c:pt idx="385">
                  <c:v>43486</c:v>
                </c:pt>
                <c:pt idx="386">
                  <c:v>43487</c:v>
                </c:pt>
                <c:pt idx="387">
                  <c:v>43488</c:v>
                </c:pt>
                <c:pt idx="388">
                  <c:v>43489</c:v>
                </c:pt>
                <c:pt idx="389">
                  <c:v>43490</c:v>
                </c:pt>
                <c:pt idx="390">
                  <c:v>43491</c:v>
                </c:pt>
                <c:pt idx="391">
                  <c:v>43492</c:v>
                </c:pt>
                <c:pt idx="392">
                  <c:v>43493</c:v>
                </c:pt>
                <c:pt idx="393">
                  <c:v>43494</c:v>
                </c:pt>
                <c:pt idx="394">
                  <c:v>43495</c:v>
                </c:pt>
                <c:pt idx="395">
                  <c:v>43496</c:v>
                </c:pt>
                <c:pt idx="396">
                  <c:v>43497</c:v>
                </c:pt>
                <c:pt idx="397">
                  <c:v>43498</c:v>
                </c:pt>
                <c:pt idx="398">
                  <c:v>43499</c:v>
                </c:pt>
                <c:pt idx="399">
                  <c:v>43500</c:v>
                </c:pt>
                <c:pt idx="400">
                  <c:v>43501</c:v>
                </c:pt>
                <c:pt idx="401">
                  <c:v>43502</c:v>
                </c:pt>
                <c:pt idx="402">
                  <c:v>43503</c:v>
                </c:pt>
                <c:pt idx="403">
                  <c:v>43504</c:v>
                </c:pt>
                <c:pt idx="404">
                  <c:v>43505</c:v>
                </c:pt>
                <c:pt idx="405">
                  <c:v>43506</c:v>
                </c:pt>
                <c:pt idx="406">
                  <c:v>43507</c:v>
                </c:pt>
                <c:pt idx="407">
                  <c:v>43508</c:v>
                </c:pt>
                <c:pt idx="408">
                  <c:v>43509</c:v>
                </c:pt>
                <c:pt idx="409">
                  <c:v>43510</c:v>
                </c:pt>
                <c:pt idx="410">
                  <c:v>43511</c:v>
                </c:pt>
                <c:pt idx="411">
                  <c:v>43512</c:v>
                </c:pt>
                <c:pt idx="412">
                  <c:v>43513</c:v>
                </c:pt>
                <c:pt idx="413">
                  <c:v>43514</c:v>
                </c:pt>
                <c:pt idx="414">
                  <c:v>43515</c:v>
                </c:pt>
                <c:pt idx="415">
                  <c:v>43516</c:v>
                </c:pt>
                <c:pt idx="416">
                  <c:v>43517</c:v>
                </c:pt>
                <c:pt idx="417">
                  <c:v>43518</c:v>
                </c:pt>
                <c:pt idx="418">
                  <c:v>43519</c:v>
                </c:pt>
                <c:pt idx="419">
                  <c:v>43520</c:v>
                </c:pt>
                <c:pt idx="420">
                  <c:v>43521</c:v>
                </c:pt>
                <c:pt idx="421">
                  <c:v>43522</c:v>
                </c:pt>
                <c:pt idx="422">
                  <c:v>43523</c:v>
                </c:pt>
                <c:pt idx="423">
                  <c:v>43524</c:v>
                </c:pt>
                <c:pt idx="424">
                  <c:v>43525</c:v>
                </c:pt>
                <c:pt idx="425">
                  <c:v>43526</c:v>
                </c:pt>
                <c:pt idx="426">
                  <c:v>43527</c:v>
                </c:pt>
                <c:pt idx="427">
                  <c:v>43528</c:v>
                </c:pt>
                <c:pt idx="428">
                  <c:v>43529</c:v>
                </c:pt>
                <c:pt idx="429">
                  <c:v>43530</c:v>
                </c:pt>
                <c:pt idx="430">
                  <c:v>43531</c:v>
                </c:pt>
                <c:pt idx="431">
                  <c:v>43532</c:v>
                </c:pt>
                <c:pt idx="432">
                  <c:v>43533</c:v>
                </c:pt>
                <c:pt idx="433">
                  <c:v>43534</c:v>
                </c:pt>
                <c:pt idx="434">
                  <c:v>43535</c:v>
                </c:pt>
                <c:pt idx="435">
                  <c:v>43536</c:v>
                </c:pt>
                <c:pt idx="436">
                  <c:v>43537</c:v>
                </c:pt>
                <c:pt idx="437">
                  <c:v>43538</c:v>
                </c:pt>
                <c:pt idx="438">
                  <c:v>43539</c:v>
                </c:pt>
                <c:pt idx="439">
                  <c:v>43540</c:v>
                </c:pt>
                <c:pt idx="440">
                  <c:v>43541</c:v>
                </c:pt>
                <c:pt idx="441">
                  <c:v>43542</c:v>
                </c:pt>
                <c:pt idx="442">
                  <c:v>43543</c:v>
                </c:pt>
                <c:pt idx="443">
                  <c:v>43544</c:v>
                </c:pt>
                <c:pt idx="444">
                  <c:v>43545</c:v>
                </c:pt>
                <c:pt idx="445">
                  <c:v>43546</c:v>
                </c:pt>
                <c:pt idx="446">
                  <c:v>43547</c:v>
                </c:pt>
                <c:pt idx="447">
                  <c:v>43548</c:v>
                </c:pt>
                <c:pt idx="448">
                  <c:v>43549</c:v>
                </c:pt>
                <c:pt idx="449">
                  <c:v>43550</c:v>
                </c:pt>
                <c:pt idx="450">
                  <c:v>43551</c:v>
                </c:pt>
                <c:pt idx="451">
                  <c:v>43552</c:v>
                </c:pt>
                <c:pt idx="452">
                  <c:v>43553</c:v>
                </c:pt>
                <c:pt idx="453">
                  <c:v>43554</c:v>
                </c:pt>
                <c:pt idx="454">
                  <c:v>43555</c:v>
                </c:pt>
                <c:pt idx="455">
                  <c:v>43556</c:v>
                </c:pt>
                <c:pt idx="456">
                  <c:v>43557</c:v>
                </c:pt>
                <c:pt idx="457">
                  <c:v>43558</c:v>
                </c:pt>
                <c:pt idx="458">
                  <c:v>43559</c:v>
                </c:pt>
                <c:pt idx="459">
                  <c:v>43560</c:v>
                </c:pt>
                <c:pt idx="460">
                  <c:v>43561</c:v>
                </c:pt>
                <c:pt idx="461">
                  <c:v>43562</c:v>
                </c:pt>
                <c:pt idx="462">
                  <c:v>43563</c:v>
                </c:pt>
                <c:pt idx="463">
                  <c:v>43564</c:v>
                </c:pt>
                <c:pt idx="464">
                  <c:v>43565</c:v>
                </c:pt>
                <c:pt idx="465">
                  <c:v>43566</c:v>
                </c:pt>
                <c:pt idx="466">
                  <c:v>43567</c:v>
                </c:pt>
                <c:pt idx="467">
                  <c:v>43568</c:v>
                </c:pt>
                <c:pt idx="468">
                  <c:v>43569</c:v>
                </c:pt>
                <c:pt idx="469">
                  <c:v>43570</c:v>
                </c:pt>
                <c:pt idx="470">
                  <c:v>43571</c:v>
                </c:pt>
                <c:pt idx="471">
                  <c:v>43572</c:v>
                </c:pt>
                <c:pt idx="472">
                  <c:v>43573</c:v>
                </c:pt>
                <c:pt idx="473">
                  <c:v>43574</c:v>
                </c:pt>
                <c:pt idx="474">
                  <c:v>43575</c:v>
                </c:pt>
                <c:pt idx="475">
                  <c:v>43576</c:v>
                </c:pt>
                <c:pt idx="476">
                  <c:v>43577</c:v>
                </c:pt>
                <c:pt idx="477">
                  <c:v>43578</c:v>
                </c:pt>
                <c:pt idx="478">
                  <c:v>43579</c:v>
                </c:pt>
                <c:pt idx="479">
                  <c:v>43580</c:v>
                </c:pt>
                <c:pt idx="480">
                  <c:v>43581</c:v>
                </c:pt>
                <c:pt idx="481">
                  <c:v>43582</c:v>
                </c:pt>
                <c:pt idx="482">
                  <c:v>43583</c:v>
                </c:pt>
                <c:pt idx="483">
                  <c:v>43584</c:v>
                </c:pt>
                <c:pt idx="484">
                  <c:v>43585</c:v>
                </c:pt>
                <c:pt idx="485">
                  <c:v>43586</c:v>
                </c:pt>
                <c:pt idx="486">
                  <c:v>43587</c:v>
                </c:pt>
                <c:pt idx="487">
                  <c:v>43588</c:v>
                </c:pt>
                <c:pt idx="488">
                  <c:v>43589</c:v>
                </c:pt>
                <c:pt idx="489">
                  <c:v>43590</c:v>
                </c:pt>
                <c:pt idx="490">
                  <c:v>43591</c:v>
                </c:pt>
                <c:pt idx="491">
                  <c:v>43592</c:v>
                </c:pt>
                <c:pt idx="492">
                  <c:v>43593</c:v>
                </c:pt>
                <c:pt idx="493">
                  <c:v>43594</c:v>
                </c:pt>
                <c:pt idx="494">
                  <c:v>43595</c:v>
                </c:pt>
                <c:pt idx="495">
                  <c:v>43596</c:v>
                </c:pt>
                <c:pt idx="496">
                  <c:v>43597</c:v>
                </c:pt>
                <c:pt idx="497">
                  <c:v>43598</c:v>
                </c:pt>
                <c:pt idx="498">
                  <c:v>43599</c:v>
                </c:pt>
                <c:pt idx="499">
                  <c:v>43600</c:v>
                </c:pt>
                <c:pt idx="500">
                  <c:v>43601</c:v>
                </c:pt>
                <c:pt idx="501">
                  <c:v>43602</c:v>
                </c:pt>
                <c:pt idx="502">
                  <c:v>43603</c:v>
                </c:pt>
                <c:pt idx="503">
                  <c:v>43604</c:v>
                </c:pt>
                <c:pt idx="504">
                  <c:v>43605</c:v>
                </c:pt>
                <c:pt idx="505">
                  <c:v>43606</c:v>
                </c:pt>
                <c:pt idx="506">
                  <c:v>43607</c:v>
                </c:pt>
                <c:pt idx="507">
                  <c:v>43608</c:v>
                </c:pt>
                <c:pt idx="508">
                  <c:v>43609</c:v>
                </c:pt>
                <c:pt idx="509">
                  <c:v>43610</c:v>
                </c:pt>
                <c:pt idx="510">
                  <c:v>43611</c:v>
                </c:pt>
                <c:pt idx="511">
                  <c:v>43612</c:v>
                </c:pt>
                <c:pt idx="512">
                  <c:v>43613</c:v>
                </c:pt>
                <c:pt idx="513">
                  <c:v>43614</c:v>
                </c:pt>
                <c:pt idx="514">
                  <c:v>43615</c:v>
                </c:pt>
                <c:pt idx="515">
                  <c:v>43616</c:v>
                </c:pt>
                <c:pt idx="516">
                  <c:v>43617</c:v>
                </c:pt>
                <c:pt idx="517">
                  <c:v>43618</c:v>
                </c:pt>
                <c:pt idx="518">
                  <c:v>43619</c:v>
                </c:pt>
                <c:pt idx="519">
                  <c:v>43620</c:v>
                </c:pt>
                <c:pt idx="520">
                  <c:v>43621</c:v>
                </c:pt>
                <c:pt idx="521">
                  <c:v>43622</c:v>
                </c:pt>
                <c:pt idx="522">
                  <c:v>43623</c:v>
                </c:pt>
                <c:pt idx="523">
                  <c:v>43624</c:v>
                </c:pt>
                <c:pt idx="524">
                  <c:v>43625</c:v>
                </c:pt>
                <c:pt idx="525">
                  <c:v>43626</c:v>
                </c:pt>
                <c:pt idx="526">
                  <c:v>43627</c:v>
                </c:pt>
                <c:pt idx="527">
                  <c:v>43628</c:v>
                </c:pt>
                <c:pt idx="528">
                  <c:v>43629</c:v>
                </c:pt>
                <c:pt idx="529">
                  <c:v>43630</c:v>
                </c:pt>
                <c:pt idx="530">
                  <c:v>43631</c:v>
                </c:pt>
                <c:pt idx="531">
                  <c:v>43632</c:v>
                </c:pt>
                <c:pt idx="532">
                  <c:v>43633</c:v>
                </c:pt>
                <c:pt idx="533">
                  <c:v>43634</c:v>
                </c:pt>
                <c:pt idx="534">
                  <c:v>43635</c:v>
                </c:pt>
                <c:pt idx="535">
                  <c:v>43636</c:v>
                </c:pt>
                <c:pt idx="536">
                  <c:v>43637</c:v>
                </c:pt>
                <c:pt idx="537">
                  <c:v>43638</c:v>
                </c:pt>
                <c:pt idx="538">
                  <c:v>43639</c:v>
                </c:pt>
                <c:pt idx="539">
                  <c:v>43640</c:v>
                </c:pt>
                <c:pt idx="540">
                  <c:v>43641</c:v>
                </c:pt>
                <c:pt idx="541">
                  <c:v>43642</c:v>
                </c:pt>
                <c:pt idx="542">
                  <c:v>43643</c:v>
                </c:pt>
                <c:pt idx="543">
                  <c:v>43644</c:v>
                </c:pt>
                <c:pt idx="544">
                  <c:v>43645</c:v>
                </c:pt>
                <c:pt idx="545">
                  <c:v>43646</c:v>
                </c:pt>
                <c:pt idx="546">
                  <c:v>43647</c:v>
                </c:pt>
                <c:pt idx="547">
                  <c:v>43648</c:v>
                </c:pt>
                <c:pt idx="548">
                  <c:v>43649</c:v>
                </c:pt>
                <c:pt idx="549">
                  <c:v>43650</c:v>
                </c:pt>
                <c:pt idx="550">
                  <c:v>43651</c:v>
                </c:pt>
                <c:pt idx="551">
                  <c:v>43652</c:v>
                </c:pt>
                <c:pt idx="552">
                  <c:v>43653</c:v>
                </c:pt>
                <c:pt idx="553">
                  <c:v>43654</c:v>
                </c:pt>
                <c:pt idx="554">
                  <c:v>43655</c:v>
                </c:pt>
                <c:pt idx="555">
                  <c:v>43656</c:v>
                </c:pt>
                <c:pt idx="556">
                  <c:v>43657</c:v>
                </c:pt>
                <c:pt idx="557">
                  <c:v>43658</c:v>
                </c:pt>
                <c:pt idx="558">
                  <c:v>43659</c:v>
                </c:pt>
                <c:pt idx="559">
                  <c:v>43660</c:v>
                </c:pt>
                <c:pt idx="560">
                  <c:v>43661</c:v>
                </c:pt>
                <c:pt idx="561">
                  <c:v>43662</c:v>
                </c:pt>
                <c:pt idx="562">
                  <c:v>43663</c:v>
                </c:pt>
                <c:pt idx="563">
                  <c:v>43664</c:v>
                </c:pt>
                <c:pt idx="564">
                  <c:v>43665</c:v>
                </c:pt>
                <c:pt idx="565">
                  <c:v>43666</c:v>
                </c:pt>
                <c:pt idx="566">
                  <c:v>43667</c:v>
                </c:pt>
                <c:pt idx="567">
                  <c:v>43668</c:v>
                </c:pt>
                <c:pt idx="568">
                  <c:v>43669</c:v>
                </c:pt>
                <c:pt idx="569">
                  <c:v>43670</c:v>
                </c:pt>
                <c:pt idx="570">
                  <c:v>43671</c:v>
                </c:pt>
                <c:pt idx="571">
                  <c:v>43672</c:v>
                </c:pt>
                <c:pt idx="572">
                  <c:v>43673</c:v>
                </c:pt>
                <c:pt idx="573">
                  <c:v>43674</c:v>
                </c:pt>
                <c:pt idx="574">
                  <c:v>43675</c:v>
                </c:pt>
                <c:pt idx="575">
                  <c:v>43676</c:v>
                </c:pt>
                <c:pt idx="576">
                  <c:v>43677</c:v>
                </c:pt>
                <c:pt idx="577">
                  <c:v>43678</c:v>
                </c:pt>
                <c:pt idx="578">
                  <c:v>43679</c:v>
                </c:pt>
                <c:pt idx="579">
                  <c:v>43680</c:v>
                </c:pt>
                <c:pt idx="580">
                  <c:v>43681</c:v>
                </c:pt>
                <c:pt idx="581">
                  <c:v>43682</c:v>
                </c:pt>
                <c:pt idx="582">
                  <c:v>43683</c:v>
                </c:pt>
                <c:pt idx="583">
                  <c:v>43684</c:v>
                </c:pt>
                <c:pt idx="584">
                  <c:v>43685</c:v>
                </c:pt>
                <c:pt idx="585">
                  <c:v>43686</c:v>
                </c:pt>
                <c:pt idx="586">
                  <c:v>43687</c:v>
                </c:pt>
                <c:pt idx="587">
                  <c:v>43688</c:v>
                </c:pt>
                <c:pt idx="588">
                  <c:v>43689</c:v>
                </c:pt>
                <c:pt idx="589">
                  <c:v>43690</c:v>
                </c:pt>
                <c:pt idx="590">
                  <c:v>43691</c:v>
                </c:pt>
                <c:pt idx="591">
                  <c:v>43692</c:v>
                </c:pt>
                <c:pt idx="592">
                  <c:v>43693</c:v>
                </c:pt>
                <c:pt idx="593">
                  <c:v>43694</c:v>
                </c:pt>
                <c:pt idx="594">
                  <c:v>43695</c:v>
                </c:pt>
                <c:pt idx="595">
                  <c:v>43696</c:v>
                </c:pt>
                <c:pt idx="596">
                  <c:v>43697</c:v>
                </c:pt>
                <c:pt idx="597">
                  <c:v>43698</c:v>
                </c:pt>
                <c:pt idx="598">
                  <c:v>43699</c:v>
                </c:pt>
                <c:pt idx="599">
                  <c:v>43700</c:v>
                </c:pt>
                <c:pt idx="600">
                  <c:v>43701</c:v>
                </c:pt>
                <c:pt idx="601">
                  <c:v>43702</c:v>
                </c:pt>
                <c:pt idx="602">
                  <c:v>43703</c:v>
                </c:pt>
                <c:pt idx="603">
                  <c:v>43704</c:v>
                </c:pt>
                <c:pt idx="604">
                  <c:v>43705</c:v>
                </c:pt>
                <c:pt idx="605">
                  <c:v>43706</c:v>
                </c:pt>
                <c:pt idx="606">
                  <c:v>43707</c:v>
                </c:pt>
                <c:pt idx="607">
                  <c:v>43708</c:v>
                </c:pt>
                <c:pt idx="608">
                  <c:v>43709</c:v>
                </c:pt>
                <c:pt idx="609">
                  <c:v>43710</c:v>
                </c:pt>
                <c:pt idx="610">
                  <c:v>43711</c:v>
                </c:pt>
                <c:pt idx="611">
                  <c:v>43712</c:v>
                </c:pt>
                <c:pt idx="612">
                  <c:v>43713</c:v>
                </c:pt>
                <c:pt idx="613">
                  <c:v>43714</c:v>
                </c:pt>
                <c:pt idx="614">
                  <c:v>43715</c:v>
                </c:pt>
                <c:pt idx="615">
                  <c:v>43716</c:v>
                </c:pt>
                <c:pt idx="616">
                  <c:v>43717</c:v>
                </c:pt>
                <c:pt idx="617">
                  <c:v>43718</c:v>
                </c:pt>
                <c:pt idx="618">
                  <c:v>43719</c:v>
                </c:pt>
                <c:pt idx="619">
                  <c:v>43720</c:v>
                </c:pt>
                <c:pt idx="620">
                  <c:v>43721</c:v>
                </c:pt>
                <c:pt idx="621">
                  <c:v>43722</c:v>
                </c:pt>
                <c:pt idx="622">
                  <c:v>43723</c:v>
                </c:pt>
                <c:pt idx="623">
                  <c:v>43724</c:v>
                </c:pt>
                <c:pt idx="624">
                  <c:v>43725</c:v>
                </c:pt>
                <c:pt idx="625">
                  <c:v>43726</c:v>
                </c:pt>
                <c:pt idx="626">
                  <c:v>43727</c:v>
                </c:pt>
                <c:pt idx="627">
                  <c:v>43728</c:v>
                </c:pt>
                <c:pt idx="628">
                  <c:v>43729</c:v>
                </c:pt>
                <c:pt idx="629">
                  <c:v>43730</c:v>
                </c:pt>
                <c:pt idx="630">
                  <c:v>43731</c:v>
                </c:pt>
                <c:pt idx="631">
                  <c:v>43732</c:v>
                </c:pt>
                <c:pt idx="632">
                  <c:v>43733</c:v>
                </c:pt>
                <c:pt idx="633">
                  <c:v>43734</c:v>
                </c:pt>
                <c:pt idx="634">
                  <c:v>43735</c:v>
                </c:pt>
                <c:pt idx="635">
                  <c:v>43736</c:v>
                </c:pt>
                <c:pt idx="636">
                  <c:v>43737</c:v>
                </c:pt>
                <c:pt idx="637">
                  <c:v>43738</c:v>
                </c:pt>
                <c:pt idx="638">
                  <c:v>43739</c:v>
                </c:pt>
                <c:pt idx="639">
                  <c:v>43740</c:v>
                </c:pt>
                <c:pt idx="640">
                  <c:v>43741</c:v>
                </c:pt>
                <c:pt idx="641">
                  <c:v>43742</c:v>
                </c:pt>
                <c:pt idx="642">
                  <c:v>43743</c:v>
                </c:pt>
                <c:pt idx="643">
                  <c:v>43744</c:v>
                </c:pt>
                <c:pt idx="644">
                  <c:v>43745</c:v>
                </c:pt>
                <c:pt idx="645">
                  <c:v>43746</c:v>
                </c:pt>
                <c:pt idx="646">
                  <c:v>43747</c:v>
                </c:pt>
                <c:pt idx="647">
                  <c:v>43748</c:v>
                </c:pt>
                <c:pt idx="648">
                  <c:v>43749</c:v>
                </c:pt>
                <c:pt idx="649">
                  <c:v>43750</c:v>
                </c:pt>
                <c:pt idx="650">
                  <c:v>43751</c:v>
                </c:pt>
                <c:pt idx="651">
                  <c:v>43752</c:v>
                </c:pt>
                <c:pt idx="652">
                  <c:v>43753</c:v>
                </c:pt>
                <c:pt idx="653">
                  <c:v>43754</c:v>
                </c:pt>
                <c:pt idx="654">
                  <c:v>43755</c:v>
                </c:pt>
                <c:pt idx="655">
                  <c:v>43756</c:v>
                </c:pt>
                <c:pt idx="656">
                  <c:v>43757</c:v>
                </c:pt>
                <c:pt idx="657">
                  <c:v>43758</c:v>
                </c:pt>
                <c:pt idx="658">
                  <c:v>43759</c:v>
                </c:pt>
                <c:pt idx="659">
                  <c:v>43760</c:v>
                </c:pt>
                <c:pt idx="660">
                  <c:v>43761</c:v>
                </c:pt>
                <c:pt idx="661">
                  <c:v>43762</c:v>
                </c:pt>
                <c:pt idx="662">
                  <c:v>43763</c:v>
                </c:pt>
                <c:pt idx="663">
                  <c:v>43764</c:v>
                </c:pt>
                <c:pt idx="664">
                  <c:v>43765</c:v>
                </c:pt>
                <c:pt idx="665">
                  <c:v>43766</c:v>
                </c:pt>
                <c:pt idx="666">
                  <c:v>43767</c:v>
                </c:pt>
                <c:pt idx="667">
                  <c:v>43768</c:v>
                </c:pt>
                <c:pt idx="668">
                  <c:v>43769</c:v>
                </c:pt>
                <c:pt idx="669">
                  <c:v>43770</c:v>
                </c:pt>
                <c:pt idx="670">
                  <c:v>43771</c:v>
                </c:pt>
                <c:pt idx="671">
                  <c:v>43772</c:v>
                </c:pt>
                <c:pt idx="672">
                  <c:v>43773</c:v>
                </c:pt>
                <c:pt idx="673">
                  <c:v>43774</c:v>
                </c:pt>
                <c:pt idx="674">
                  <c:v>43775</c:v>
                </c:pt>
                <c:pt idx="675">
                  <c:v>43776</c:v>
                </c:pt>
                <c:pt idx="676">
                  <c:v>43777</c:v>
                </c:pt>
                <c:pt idx="677">
                  <c:v>43778</c:v>
                </c:pt>
                <c:pt idx="678">
                  <c:v>43779</c:v>
                </c:pt>
                <c:pt idx="679">
                  <c:v>43780</c:v>
                </c:pt>
                <c:pt idx="680">
                  <c:v>43781</c:v>
                </c:pt>
                <c:pt idx="681">
                  <c:v>43782</c:v>
                </c:pt>
                <c:pt idx="682">
                  <c:v>43783</c:v>
                </c:pt>
                <c:pt idx="683">
                  <c:v>43784</c:v>
                </c:pt>
                <c:pt idx="684">
                  <c:v>43785</c:v>
                </c:pt>
                <c:pt idx="685">
                  <c:v>43786</c:v>
                </c:pt>
                <c:pt idx="686">
                  <c:v>43787</c:v>
                </c:pt>
                <c:pt idx="687">
                  <c:v>43788</c:v>
                </c:pt>
                <c:pt idx="688">
                  <c:v>43789</c:v>
                </c:pt>
                <c:pt idx="689">
                  <c:v>43790</c:v>
                </c:pt>
                <c:pt idx="690">
                  <c:v>43791</c:v>
                </c:pt>
                <c:pt idx="691">
                  <c:v>43792</c:v>
                </c:pt>
                <c:pt idx="692">
                  <c:v>43793</c:v>
                </c:pt>
                <c:pt idx="693">
                  <c:v>43794</c:v>
                </c:pt>
                <c:pt idx="694">
                  <c:v>43795</c:v>
                </c:pt>
                <c:pt idx="695">
                  <c:v>43796</c:v>
                </c:pt>
                <c:pt idx="696">
                  <c:v>43797</c:v>
                </c:pt>
                <c:pt idx="697">
                  <c:v>43798</c:v>
                </c:pt>
                <c:pt idx="698">
                  <c:v>43799</c:v>
                </c:pt>
                <c:pt idx="699">
                  <c:v>43800</c:v>
                </c:pt>
                <c:pt idx="700">
                  <c:v>43801</c:v>
                </c:pt>
                <c:pt idx="701">
                  <c:v>43802</c:v>
                </c:pt>
                <c:pt idx="702">
                  <c:v>43803</c:v>
                </c:pt>
                <c:pt idx="703">
                  <c:v>43804</c:v>
                </c:pt>
                <c:pt idx="704">
                  <c:v>43805</c:v>
                </c:pt>
                <c:pt idx="705">
                  <c:v>43806</c:v>
                </c:pt>
                <c:pt idx="706">
                  <c:v>43807</c:v>
                </c:pt>
                <c:pt idx="707">
                  <c:v>43808</c:v>
                </c:pt>
                <c:pt idx="708">
                  <c:v>43809</c:v>
                </c:pt>
                <c:pt idx="709">
                  <c:v>43810</c:v>
                </c:pt>
                <c:pt idx="710">
                  <c:v>43811</c:v>
                </c:pt>
                <c:pt idx="711">
                  <c:v>43812</c:v>
                </c:pt>
                <c:pt idx="712">
                  <c:v>43813</c:v>
                </c:pt>
                <c:pt idx="713">
                  <c:v>43814</c:v>
                </c:pt>
                <c:pt idx="714">
                  <c:v>43815</c:v>
                </c:pt>
                <c:pt idx="715">
                  <c:v>43816</c:v>
                </c:pt>
                <c:pt idx="716">
                  <c:v>43817</c:v>
                </c:pt>
                <c:pt idx="717">
                  <c:v>43818</c:v>
                </c:pt>
                <c:pt idx="718">
                  <c:v>43819</c:v>
                </c:pt>
                <c:pt idx="719">
                  <c:v>43820</c:v>
                </c:pt>
                <c:pt idx="720">
                  <c:v>43821</c:v>
                </c:pt>
                <c:pt idx="721">
                  <c:v>43822</c:v>
                </c:pt>
                <c:pt idx="722">
                  <c:v>43823</c:v>
                </c:pt>
                <c:pt idx="723">
                  <c:v>43824</c:v>
                </c:pt>
                <c:pt idx="724">
                  <c:v>43825</c:v>
                </c:pt>
                <c:pt idx="725">
                  <c:v>43826</c:v>
                </c:pt>
                <c:pt idx="726">
                  <c:v>43827</c:v>
                </c:pt>
                <c:pt idx="727">
                  <c:v>43828</c:v>
                </c:pt>
                <c:pt idx="728">
                  <c:v>43829</c:v>
                </c:pt>
                <c:pt idx="729">
                  <c:v>43830</c:v>
                </c:pt>
                <c:pt idx="730">
                  <c:v>43831</c:v>
                </c:pt>
                <c:pt idx="731">
                  <c:v>43832</c:v>
                </c:pt>
                <c:pt idx="732">
                  <c:v>43833</c:v>
                </c:pt>
                <c:pt idx="733">
                  <c:v>43834</c:v>
                </c:pt>
                <c:pt idx="734">
                  <c:v>43835</c:v>
                </c:pt>
                <c:pt idx="735">
                  <c:v>43836</c:v>
                </c:pt>
                <c:pt idx="736">
                  <c:v>43837</c:v>
                </c:pt>
                <c:pt idx="737">
                  <c:v>43838</c:v>
                </c:pt>
                <c:pt idx="738">
                  <c:v>43839</c:v>
                </c:pt>
                <c:pt idx="739">
                  <c:v>43840</c:v>
                </c:pt>
                <c:pt idx="740">
                  <c:v>43841</c:v>
                </c:pt>
                <c:pt idx="741">
                  <c:v>43842</c:v>
                </c:pt>
                <c:pt idx="742">
                  <c:v>43843</c:v>
                </c:pt>
                <c:pt idx="743">
                  <c:v>43844</c:v>
                </c:pt>
                <c:pt idx="744">
                  <c:v>43845</c:v>
                </c:pt>
                <c:pt idx="745">
                  <c:v>43846</c:v>
                </c:pt>
                <c:pt idx="746">
                  <c:v>43847</c:v>
                </c:pt>
                <c:pt idx="747">
                  <c:v>43848</c:v>
                </c:pt>
                <c:pt idx="748">
                  <c:v>43849</c:v>
                </c:pt>
                <c:pt idx="749">
                  <c:v>43850</c:v>
                </c:pt>
                <c:pt idx="750">
                  <c:v>43851</c:v>
                </c:pt>
                <c:pt idx="751">
                  <c:v>43852</c:v>
                </c:pt>
                <c:pt idx="752">
                  <c:v>43853</c:v>
                </c:pt>
                <c:pt idx="753">
                  <c:v>43854</c:v>
                </c:pt>
                <c:pt idx="754">
                  <c:v>43855</c:v>
                </c:pt>
                <c:pt idx="755">
                  <c:v>43856</c:v>
                </c:pt>
                <c:pt idx="756">
                  <c:v>43857</c:v>
                </c:pt>
                <c:pt idx="757">
                  <c:v>43858</c:v>
                </c:pt>
                <c:pt idx="758">
                  <c:v>43859</c:v>
                </c:pt>
                <c:pt idx="759">
                  <c:v>43860</c:v>
                </c:pt>
                <c:pt idx="760">
                  <c:v>43861</c:v>
                </c:pt>
                <c:pt idx="761">
                  <c:v>43862</c:v>
                </c:pt>
                <c:pt idx="762">
                  <c:v>43863</c:v>
                </c:pt>
                <c:pt idx="763">
                  <c:v>43864</c:v>
                </c:pt>
                <c:pt idx="764">
                  <c:v>43865</c:v>
                </c:pt>
                <c:pt idx="765">
                  <c:v>43866</c:v>
                </c:pt>
                <c:pt idx="766">
                  <c:v>43867</c:v>
                </c:pt>
                <c:pt idx="767">
                  <c:v>43868</c:v>
                </c:pt>
                <c:pt idx="768">
                  <c:v>43869</c:v>
                </c:pt>
                <c:pt idx="769">
                  <c:v>43870</c:v>
                </c:pt>
                <c:pt idx="770">
                  <c:v>43871</c:v>
                </c:pt>
                <c:pt idx="771">
                  <c:v>43872</c:v>
                </c:pt>
                <c:pt idx="772">
                  <c:v>43873</c:v>
                </c:pt>
                <c:pt idx="773">
                  <c:v>43874</c:v>
                </c:pt>
                <c:pt idx="774">
                  <c:v>43875</c:v>
                </c:pt>
                <c:pt idx="775">
                  <c:v>43876</c:v>
                </c:pt>
                <c:pt idx="776">
                  <c:v>43877</c:v>
                </c:pt>
                <c:pt idx="777">
                  <c:v>43878</c:v>
                </c:pt>
                <c:pt idx="778">
                  <c:v>43879</c:v>
                </c:pt>
                <c:pt idx="779">
                  <c:v>43880</c:v>
                </c:pt>
                <c:pt idx="780">
                  <c:v>43881</c:v>
                </c:pt>
                <c:pt idx="781">
                  <c:v>43882</c:v>
                </c:pt>
                <c:pt idx="782">
                  <c:v>43883</c:v>
                </c:pt>
                <c:pt idx="783">
                  <c:v>43884</c:v>
                </c:pt>
                <c:pt idx="784">
                  <c:v>43885</c:v>
                </c:pt>
                <c:pt idx="785">
                  <c:v>43886</c:v>
                </c:pt>
                <c:pt idx="786">
                  <c:v>43887</c:v>
                </c:pt>
                <c:pt idx="787">
                  <c:v>43888</c:v>
                </c:pt>
                <c:pt idx="788">
                  <c:v>43889</c:v>
                </c:pt>
                <c:pt idx="789">
                  <c:v>43890</c:v>
                </c:pt>
                <c:pt idx="790">
                  <c:v>43891</c:v>
                </c:pt>
                <c:pt idx="791">
                  <c:v>43892</c:v>
                </c:pt>
                <c:pt idx="792">
                  <c:v>43893</c:v>
                </c:pt>
                <c:pt idx="793">
                  <c:v>43894</c:v>
                </c:pt>
                <c:pt idx="794">
                  <c:v>43895</c:v>
                </c:pt>
                <c:pt idx="795">
                  <c:v>43896</c:v>
                </c:pt>
                <c:pt idx="796">
                  <c:v>43897</c:v>
                </c:pt>
                <c:pt idx="797">
                  <c:v>43898</c:v>
                </c:pt>
                <c:pt idx="798">
                  <c:v>43899</c:v>
                </c:pt>
                <c:pt idx="799">
                  <c:v>43900</c:v>
                </c:pt>
                <c:pt idx="800">
                  <c:v>43901</c:v>
                </c:pt>
                <c:pt idx="801">
                  <c:v>43902</c:v>
                </c:pt>
                <c:pt idx="802">
                  <c:v>43903</c:v>
                </c:pt>
                <c:pt idx="803">
                  <c:v>43904</c:v>
                </c:pt>
                <c:pt idx="804">
                  <c:v>43905</c:v>
                </c:pt>
                <c:pt idx="805">
                  <c:v>43906</c:v>
                </c:pt>
                <c:pt idx="806">
                  <c:v>43907</c:v>
                </c:pt>
                <c:pt idx="807">
                  <c:v>43908</c:v>
                </c:pt>
                <c:pt idx="808">
                  <c:v>43909</c:v>
                </c:pt>
                <c:pt idx="809">
                  <c:v>43910</c:v>
                </c:pt>
                <c:pt idx="810">
                  <c:v>43911</c:v>
                </c:pt>
                <c:pt idx="811">
                  <c:v>43912</c:v>
                </c:pt>
                <c:pt idx="812">
                  <c:v>43913</c:v>
                </c:pt>
                <c:pt idx="813">
                  <c:v>43914</c:v>
                </c:pt>
                <c:pt idx="814">
                  <c:v>43915</c:v>
                </c:pt>
                <c:pt idx="815">
                  <c:v>43916</c:v>
                </c:pt>
                <c:pt idx="816">
                  <c:v>43917</c:v>
                </c:pt>
                <c:pt idx="817">
                  <c:v>43918</c:v>
                </c:pt>
                <c:pt idx="818">
                  <c:v>43919</c:v>
                </c:pt>
                <c:pt idx="819">
                  <c:v>43920</c:v>
                </c:pt>
                <c:pt idx="820">
                  <c:v>43921</c:v>
                </c:pt>
                <c:pt idx="821">
                  <c:v>43922</c:v>
                </c:pt>
                <c:pt idx="822">
                  <c:v>43923</c:v>
                </c:pt>
                <c:pt idx="823">
                  <c:v>43924</c:v>
                </c:pt>
                <c:pt idx="824">
                  <c:v>43925</c:v>
                </c:pt>
                <c:pt idx="825">
                  <c:v>43926</c:v>
                </c:pt>
                <c:pt idx="826">
                  <c:v>43927</c:v>
                </c:pt>
                <c:pt idx="827">
                  <c:v>43928</c:v>
                </c:pt>
                <c:pt idx="828">
                  <c:v>43929</c:v>
                </c:pt>
                <c:pt idx="829">
                  <c:v>43930</c:v>
                </c:pt>
                <c:pt idx="830">
                  <c:v>43931</c:v>
                </c:pt>
                <c:pt idx="831">
                  <c:v>43932</c:v>
                </c:pt>
                <c:pt idx="832">
                  <c:v>43933</c:v>
                </c:pt>
                <c:pt idx="833">
                  <c:v>43934</c:v>
                </c:pt>
                <c:pt idx="834">
                  <c:v>43935</c:v>
                </c:pt>
                <c:pt idx="835">
                  <c:v>43936</c:v>
                </c:pt>
                <c:pt idx="836">
                  <c:v>43937</c:v>
                </c:pt>
                <c:pt idx="837">
                  <c:v>43938</c:v>
                </c:pt>
                <c:pt idx="838">
                  <c:v>43939</c:v>
                </c:pt>
                <c:pt idx="839">
                  <c:v>43940</c:v>
                </c:pt>
                <c:pt idx="840">
                  <c:v>43941</c:v>
                </c:pt>
                <c:pt idx="841">
                  <c:v>43942</c:v>
                </c:pt>
                <c:pt idx="842">
                  <c:v>43943</c:v>
                </c:pt>
                <c:pt idx="843">
                  <c:v>43944</c:v>
                </c:pt>
                <c:pt idx="844">
                  <c:v>43945</c:v>
                </c:pt>
                <c:pt idx="845">
                  <c:v>43946</c:v>
                </c:pt>
                <c:pt idx="846">
                  <c:v>43947</c:v>
                </c:pt>
                <c:pt idx="847">
                  <c:v>43948</c:v>
                </c:pt>
                <c:pt idx="848">
                  <c:v>43949</c:v>
                </c:pt>
                <c:pt idx="849">
                  <c:v>43950</c:v>
                </c:pt>
                <c:pt idx="850">
                  <c:v>43951</c:v>
                </c:pt>
                <c:pt idx="851">
                  <c:v>43952</c:v>
                </c:pt>
                <c:pt idx="852">
                  <c:v>43953</c:v>
                </c:pt>
                <c:pt idx="853">
                  <c:v>43954</c:v>
                </c:pt>
                <c:pt idx="854">
                  <c:v>43955</c:v>
                </c:pt>
                <c:pt idx="855">
                  <c:v>43956</c:v>
                </c:pt>
                <c:pt idx="856">
                  <c:v>43957</c:v>
                </c:pt>
                <c:pt idx="857">
                  <c:v>43958</c:v>
                </c:pt>
                <c:pt idx="858">
                  <c:v>43959</c:v>
                </c:pt>
                <c:pt idx="859">
                  <c:v>43960</c:v>
                </c:pt>
                <c:pt idx="860">
                  <c:v>43961</c:v>
                </c:pt>
                <c:pt idx="861">
                  <c:v>43962</c:v>
                </c:pt>
                <c:pt idx="862">
                  <c:v>43963</c:v>
                </c:pt>
                <c:pt idx="863">
                  <c:v>43964</c:v>
                </c:pt>
                <c:pt idx="864">
                  <c:v>43965</c:v>
                </c:pt>
                <c:pt idx="865">
                  <c:v>43966</c:v>
                </c:pt>
                <c:pt idx="866">
                  <c:v>43967</c:v>
                </c:pt>
                <c:pt idx="867">
                  <c:v>43968</c:v>
                </c:pt>
                <c:pt idx="868">
                  <c:v>43969</c:v>
                </c:pt>
                <c:pt idx="869">
                  <c:v>43970</c:v>
                </c:pt>
                <c:pt idx="870">
                  <c:v>43971</c:v>
                </c:pt>
                <c:pt idx="871">
                  <c:v>43972</c:v>
                </c:pt>
                <c:pt idx="872">
                  <c:v>43973</c:v>
                </c:pt>
                <c:pt idx="873">
                  <c:v>43974</c:v>
                </c:pt>
                <c:pt idx="874">
                  <c:v>43975</c:v>
                </c:pt>
                <c:pt idx="875">
                  <c:v>43976</c:v>
                </c:pt>
                <c:pt idx="876">
                  <c:v>43977</c:v>
                </c:pt>
                <c:pt idx="877">
                  <c:v>43978</c:v>
                </c:pt>
                <c:pt idx="878">
                  <c:v>43979</c:v>
                </c:pt>
                <c:pt idx="879">
                  <c:v>43980</c:v>
                </c:pt>
                <c:pt idx="880">
                  <c:v>43981</c:v>
                </c:pt>
                <c:pt idx="881">
                  <c:v>43982</c:v>
                </c:pt>
                <c:pt idx="882">
                  <c:v>43983</c:v>
                </c:pt>
                <c:pt idx="883">
                  <c:v>43984</c:v>
                </c:pt>
                <c:pt idx="884">
                  <c:v>43985</c:v>
                </c:pt>
                <c:pt idx="885">
                  <c:v>43986</c:v>
                </c:pt>
                <c:pt idx="886">
                  <c:v>43987</c:v>
                </c:pt>
                <c:pt idx="887">
                  <c:v>43988</c:v>
                </c:pt>
                <c:pt idx="888">
                  <c:v>43989</c:v>
                </c:pt>
                <c:pt idx="889">
                  <c:v>43990</c:v>
                </c:pt>
                <c:pt idx="890">
                  <c:v>43991</c:v>
                </c:pt>
                <c:pt idx="891">
                  <c:v>43992</c:v>
                </c:pt>
                <c:pt idx="892">
                  <c:v>43993</c:v>
                </c:pt>
                <c:pt idx="893">
                  <c:v>43994</c:v>
                </c:pt>
                <c:pt idx="894">
                  <c:v>43995</c:v>
                </c:pt>
                <c:pt idx="895">
                  <c:v>43996</c:v>
                </c:pt>
                <c:pt idx="896">
                  <c:v>43997</c:v>
                </c:pt>
                <c:pt idx="897">
                  <c:v>43998</c:v>
                </c:pt>
                <c:pt idx="898">
                  <c:v>43999</c:v>
                </c:pt>
                <c:pt idx="899">
                  <c:v>44000</c:v>
                </c:pt>
                <c:pt idx="900">
                  <c:v>44001</c:v>
                </c:pt>
                <c:pt idx="901">
                  <c:v>44002</c:v>
                </c:pt>
                <c:pt idx="902">
                  <c:v>44003</c:v>
                </c:pt>
                <c:pt idx="903">
                  <c:v>44004</c:v>
                </c:pt>
                <c:pt idx="904">
                  <c:v>44005</c:v>
                </c:pt>
                <c:pt idx="905">
                  <c:v>44006</c:v>
                </c:pt>
                <c:pt idx="906">
                  <c:v>44007</c:v>
                </c:pt>
                <c:pt idx="907">
                  <c:v>44008</c:v>
                </c:pt>
                <c:pt idx="908">
                  <c:v>44009</c:v>
                </c:pt>
                <c:pt idx="909">
                  <c:v>44010</c:v>
                </c:pt>
                <c:pt idx="910">
                  <c:v>44011</c:v>
                </c:pt>
                <c:pt idx="911">
                  <c:v>44012</c:v>
                </c:pt>
                <c:pt idx="912">
                  <c:v>44013</c:v>
                </c:pt>
                <c:pt idx="913">
                  <c:v>44014</c:v>
                </c:pt>
                <c:pt idx="914">
                  <c:v>44015</c:v>
                </c:pt>
                <c:pt idx="915">
                  <c:v>44016</c:v>
                </c:pt>
                <c:pt idx="916">
                  <c:v>44017</c:v>
                </c:pt>
                <c:pt idx="917">
                  <c:v>44018</c:v>
                </c:pt>
                <c:pt idx="918">
                  <c:v>44019</c:v>
                </c:pt>
                <c:pt idx="919">
                  <c:v>44020</c:v>
                </c:pt>
                <c:pt idx="920">
                  <c:v>44021</c:v>
                </c:pt>
                <c:pt idx="921">
                  <c:v>44022</c:v>
                </c:pt>
                <c:pt idx="922">
                  <c:v>44023</c:v>
                </c:pt>
                <c:pt idx="923">
                  <c:v>44024</c:v>
                </c:pt>
                <c:pt idx="924">
                  <c:v>44025</c:v>
                </c:pt>
                <c:pt idx="925">
                  <c:v>44026</c:v>
                </c:pt>
                <c:pt idx="926">
                  <c:v>44027</c:v>
                </c:pt>
                <c:pt idx="927">
                  <c:v>44028</c:v>
                </c:pt>
                <c:pt idx="928">
                  <c:v>44029</c:v>
                </c:pt>
                <c:pt idx="929">
                  <c:v>44030</c:v>
                </c:pt>
                <c:pt idx="930">
                  <c:v>44031</c:v>
                </c:pt>
                <c:pt idx="931">
                  <c:v>44032</c:v>
                </c:pt>
                <c:pt idx="932">
                  <c:v>44033</c:v>
                </c:pt>
                <c:pt idx="933">
                  <c:v>44034</c:v>
                </c:pt>
                <c:pt idx="934">
                  <c:v>44035</c:v>
                </c:pt>
                <c:pt idx="935">
                  <c:v>44036</c:v>
                </c:pt>
                <c:pt idx="936">
                  <c:v>44037</c:v>
                </c:pt>
                <c:pt idx="937">
                  <c:v>44038</c:v>
                </c:pt>
                <c:pt idx="938">
                  <c:v>44039</c:v>
                </c:pt>
                <c:pt idx="939">
                  <c:v>44040</c:v>
                </c:pt>
                <c:pt idx="940">
                  <c:v>44041</c:v>
                </c:pt>
                <c:pt idx="941">
                  <c:v>44042</c:v>
                </c:pt>
                <c:pt idx="942">
                  <c:v>44043</c:v>
                </c:pt>
                <c:pt idx="943">
                  <c:v>44044</c:v>
                </c:pt>
                <c:pt idx="944">
                  <c:v>44045</c:v>
                </c:pt>
                <c:pt idx="945">
                  <c:v>44046</c:v>
                </c:pt>
                <c:pt idx="946">
                  <c:v>44047</c:v>
                </c:pt>
                <c:pt idx="947">
                  <c:v>44048</c:v>
                </c:pt>
                <c:pt idx="948">
                  <c:v>44049</c:v>
                </c:pt>
                <c:pt idx="949">
                  <c:v>44050</c:v>
                </c:pt>
                <c:pt idx="950">
                  <c:v>44051</c:v>
                </c:pt>
                <c:pt idx="951">
                  <c:v>44052</c:v>
                </c:pt>
                <c:pt idx="952">
                  <c:v>44053</c:v>
                </c:pt>
                <c:pt idx="953">
                  <c:v>44054</c:v>
                </c:pt>
                <c:pt idx="954">
                  <c:v>44055</c:v>
                </c:pt>
                <c:pt idx="955">
                  <c:v>44056</c:v>
                </c:pt>
                <c:pt idx="956">
                  <c:v>44057</c:v>
                </c:pt>
                <c:pt idx="957">
                  <c:v>44058</c:v>
                </c:pt>
                <c:pt idx="958">
                  <c:v>44059</c:v>
                </c:pt>
                <c:pt idx="959">
                  <c:v>44060</c:v>
                </c:pt>
                <c:pt idx="960">
                  <c:v>44061</c:v>
                </c:pt>
                <c:pt idx="961">
                  <c:v>44062</c:v>
                </c:pt>
                <c:pt idx="962">
                  <c:v>44063</c:v>
                </c:pt>
                <c:pt idx="963">
                  <c:v>44064</c:v>
                </c:pt>
                <c:pt idx="964">
                  <c:v>44065</c:v>
                </c:pt>
                <c:pt idx="965">
                  <c:v>44066</c:v>
                </c:pt>
                <c:pt idx="966">
                  <c:v>44067</c:v>
                </c:pt>
                <c:pt idx="967">
                  <c:v>44068</c:v>
                </c:pt>
                <c:pt idx="968">
                  <c:v>44069</c:v>
                </c:pt>
                <c:pt idx="969">
                  <c:v>44070</c:v>
                </c:pt>
                <c:pt idx="970">
                  <c:v>44071</c:v>
                </c:pt>
                <c:pt idx="971">
                  <c:v>44072</c:v>
                </c:pt>
                <c:pt idx="972">
                  <c:v>44073</c:v>
                </c:pt>
                <c:pt idx="973">
                  <c:v>44074</c:v>
                </c:pt>
                <c:pt idx="974">
                  <c:v>44075</c:v>
                </c:pt>
                <c:pt idx="975">
                  <c:v>44076</c:v>
                </c:pt>
                <c:pt idx="976">
                  <c:v>44077</c:v>
                </c:pt>
                <c:pt idx="977">
                  <c:v>44078</c:v>
                </c:pt>
                <c:pt idx="978">
                  <c:v>44079</c:v>
                </c:pt>
                <c:pt idx="979">
                  <c:v>44080</c:v>
                </c:pt>
                <c:pt idx="980">
                  <c:v>44081</c:v>
                </c:pt>
                <c:pt idx="981">
                  <c:v>44082</c:v>
                </c:pt>
                <c:pt idx="982">
                  <c:v>44083</c:v>
                </c:pt>
                <c:pt idx="983">
                  <c:v>44084</c:v>
                </c:pt>
                <c:pt idx="984">
                  <c:v>44085</c:v>
                </c:pt>
                <c:pt idx="985">
                  <c:v>44086</c:v>
                </c:pt>
                <c:pt idx="986">
                  <c:v>44087</c:v>
                </c:pt>
                <c:pt idx="987">
                  <c:v>44088</c:v>
                </c:pt>
                <c:pt idx="988">
                  <c:v>44089</c:v>
                </c:pt>
                <c:pt idx="989">
                  <c:v>44090</c:v>
                </c:pt>
                <c:pt idx="990">
                  <c:v>44091</c:v>
                </c:pt>
                <c:pt idx="991">
                  <c:v>44092</c:v>
                </c:pt>
                <c:pt idx="992">
                  <c:v>44093</c:v>
                </c:pt>
                <c:pt idx="993">
                  <c:v>44094</c:v>
                </c:pt>
                <c:pt idx="994">
                  <c:v>44095</c:v>
                </c:pt>
                <c:pt idx="995">
                  <c:v>44096</c:v>
                </c:pt>
                <c:pt idx="996">
                  <c:v>44097</c:v>
                </c:pt>
                <c:pt idx="997">
                  <c:v>44098</c:v>
                </c:pt>
                <c:pt idx="998">
                  <c:v>44099</c:v>
                </c:pt>
                <c:pt idx="999">
                  <c:v>44100</c:v>
                </c:pt>
                <c:pt idx="1000">
                  <c:v>44101</c:v>
                </c:pt>
                <c:pt idx="1001">
                  <c:v>44102</c:v>
                </c:pt>
                <c:pt idx="1002">
                  <c:v>44103</c:v>
                </c:pt>
                <c:pt idx="1003">
                  <c:v>44104</c:v>
                </c:pt>
                <c:pt idx="1004">
                  <c:v>44105</c:v>
                </c:pt>
                <c:pt idx="1005">
                  <c:v>44106</c:v>
                </c:pt>
                <c:pt idx="1006">
                  <c:v>44107</c:v>
                </c:pt>
                <c:pt idx="1007">
                  <c:v>44108</c:v>
                </c:pt>
                <c:pt idx="1008">
                  <c:v>44109</c:v>
                </c:pt>
                <c:pt idx="1009">
                  <c:v>44110</c:v>
                </c:pt>
                <c:pt idx="1010">
                  <c:v>44111</c:v>
                </c:pt>
                <c:pt idx="1011">
                  <c:v>44112</c:v>
                </c:pt>
                <c:pt idx="1012">
                  <c:v>44113</c:v>
                </c:pt>
                <c:pt idx="1013">
                  <c:v>44114</c:v>
                </c:pt>
                <c:pt idx="1014">
                  <c:v>44115</c:v>
                </c:pt>
                <c:pt idx="1015">
                  <c:v>44116</c:v>
                </c:pt>
                <c:pt idx="1016">
                  <c:v>44117</c:v>
                </c:pt>
                <c:pt idx="1017">
                  <c:v>44118</c:v>
                </c:pt>
                <c:pt idx="1018">
                  <c:v>44119</c:v>
                </c:pt>
                <c:pt idx="1019">
                  <c:v>44120</c:v>
                </c:pt>
                <c:pt idx="1020">
                  <c:v>44121</c:v>
                </c:pt>
                <c:pt idx="1021">
                  <c:v>44122</c:v>
                </c:pt>
                <c:pt idx="1022">
                  <c:v>44123</c:v>
                </c:pt>
                <c:pt idx="1023">
                  <c:v>44124</c:v>
                </c:pt>
                <c:pt idx="1024">
                  <c:v>44125</c:v>
                </c:pt>
                <c:pt idx="1025">
                  <c:v>44126</c:v>
                </c:pt>
                <c:pt idx="1026">
                  <c:v>44127</c:v>
                </c:pt>
                <c:pt idx="1027">
                  <c:v>44128</c:v>
                </c:pt>
                <c:pt idx="1028">
                  <c:v>44129</c:v>
                </c:pt>
                <c:pt idx="1029">
                  <c:v>44130</c:v>
                </c:pt>
                <c:pt idx="1030">
                  <c:v>44131</c:v>
                </c:pt>
                <c:pt idx="1031">
                  <c:v>44132</c:v>
                </c:pt>
                <c:pt idx="1032">
                  <c:v>44133</c:v>
                </c:pt>
                <c:pt idx="1033">
                  <c:v>44134</c:v>
                </c:pt>
                <c:pt idx="1034">
                  <c:v>44135</c:v>
                </c:pt>
                <c:pt idx="1035">
                  <c:v>44136</c:v>
                </c:pt>
                <c:pt idx="1036">
                  <c:v>44137</c:v>
                </c:pt>
                <c:pt idx="1037">
                  <c:v>44138</c:v>
                </c:pt>
                <c:pt idx="1038">
                  <c:v>44139</c:v>
                </c:pt>
                <c:pt idx="1039">
                  <c:v>44140</c:v>
                </c:pt>
                <c:pt idx="1040">
                  <c:v>44141</c:v>
                </c:pt>
                <c:pt idx="1041">
                  <c:v>44142</c:v>
                </c:pt>
                <c:pt idx="1042">
                  <c:v>44143</c:v>
                </c:pt>
                <c:pt idx="1043">
                  <c:v>44144</c:v>
                </c:pt>
                <c:pt idx="1044">
                  <c:v>44145</c:v>
                </c:pt>
                <c:pt idx="1045">
                  <c:v>44146</c:v>
                </c:pt>
                <c:pt idx="1046">
                  <c:v>44147</c:v>
                </c:pt>
                <c:pt idx="1047">
                  <c:v>44148</c:v>
                </c:pt>
                <c:pt idx="1048">
                  <c:v>44149</c:v>
                </c:pt>
                <c:pt idx="1049">
                  <c:v>44150</c:v>
                </c:pt>
                <c:pt idx="1050">
                  <c:v>44151</c:v>
                </c:pt>
                <c:pt idx="1051">
                  <c:v>44152</c:v>
                </c:pt>
                <c:pt idx="1052">
                  <c:v>44153</c:v>
                </c:pt>
                <c:pt idx="1053">
                  <c:v>44154</c:v>
                </c:pt>
                <c:pt idx="1054">
                  <c:v>44155</c:v>
                </c:pt>
                <c:pt idx="1055">
                  <c:v>44156</c:v>
                </c:pt>
                <c:pt idx="1056">
                  <c:v>44157</c:v>
                </c:pt>
                <c:pt idx="1057">
                  <c:v>44158</c:v>
                </c:pt>
                <c:pt idx="1058">
                  <c:v>44159</c:v>
                </c:pt>
                <c:pt idx="1059">
                  <c:v>44160</c:v>
                </c:pt>
                <c:pt idx="1060">
                  <c:v>44161</c:v>
                </c:pt>
                <c:pt idx="1061">
                  <c:v>44162</c:v>
                </c:pt>
                <c:pt idx="1062">
                  <c:v>44163</c:v>
                </c:pt>
                <c:pt idx="1063">
                  <c:v>44164</c:v>
                </c:pt>
                <c:pt idx="1064">
                  <c:v>44165</c:v>
                </c:pt>
                <c:pt idx="1065">
                  <c:v>44166</c:v>
                </c:pt>
                <c:pt idx="1066">
                  <c:v>44167</c:v>
                </c:pt>
                <c:pt idx="1067">
                  <c:v>44168</c:v>
                </c:pt>
                <c:pt idx="1068">
                  <c:v>44169</c:v>
                </c:pt>
                <c:pt idx="1069">
                  <c:v>44170</c:v>
                </c:pt>
                <c:pt idx="1070">
                  <c:v>44171</c:v>
                </c:pt>
                <c:pt idx="1071">
                  <c:v>44172</c:v>
                </c:pt>
                <c:pt idx="1072">
                  <c:v>44173</c:v>
                </c:pt>
                <c:pt idx="1073">
                  <c:v>44174</c:v>
                </c:pt>
                <c:pt idx="1074">
                  <c:v>44175</c:v>
                </c:pt>
                <c:pt idx="1075">
                  <c:v>44176</c:v>
                </c:pt>
                <c:pt idx="1076">
                  <c:v>44177</c:v>
                </c:pt>
                <c:pt idx="1077">
                  <c:v>44178</c:v>
                </c:pt>
                <c:pt idx="1078">
                  <c:v>44179</c:v>
                </c:pt>
                <c:pt idx="1079">
                  <c:v>44180</c:v>
                </c:pt>
                <c:pt idx="1080">
                  <c:v>44181</c:v>
                </c:pt>
                <c:pt idx="1081">
                  <c:v>44182</c:v>
                </c:pt>
                <c:pt idx="1082">
                  <c:v>44183</c:v>
                </c:pt>
                <c:pt idx="1083">
                  <c:v>44184</c:v>
                </c:pt>
                <c:pt idx="1084">
                  <c:v>44185</c:v>
                </c:pt>
                <c:pt idx="1085">
                  <c:v>44186</c:v>
                </c:pt>
                <c:pt idx="1086">
                  <c:v>44187</c:v>
                </c:pt>
                <c:pt idx="1087">
                  <c:v>44188</c:v>
                </c:pt>
                <c:pt idx="1088">
                  <c:v>44189</c:v>
                </c:pt>
                <c:pt idx="1089">
                  <c:v>44190</c:v>
                </c:pt>
                <c:pt idx="1090">
                  <c:v>44191</c:v>
                </c:pt>
                <c:pt idx="1091">
                  <c:v>44192</c:v>
                </c:pt>
                <c:pt idx="1092">
                  <c:v>44193</c:v>
                </c:pt>
                <c:pt idx="1093">
                  <c:v>44194</c:v>
                </c:pt>
                <c:pt idx="1094">
                  <c:v>44195</c:v>
                </c:pt>
                <c:pt idx="1095">
                  <c:v>44196</c:v>
                </c:pt>
                <c:pt idx="1096">
                  <c:v>44197</c:v>
                </c:pt>
                <c:pt idx="1097">
                  <c:v>44198</c:v>
                </c:pt>
                <c:pt idx="1098">
                  <c:v>44199</c:v>
                </c:pt>
                <c:pt idx="1099">
                  <c:v>44200</c:v>
                </c:pt>
                <c:pt idx="1100">
                  <c:v>44201</c:v>
                </c:pt>
                <c:pt idx="1101">
                  <c:v>44202</c:v>
                </c:pt>
                <c:pt idx="1102">
                  <c:v>44203</c:v>
                </c:pt>
                <c:pt idx="1103">
                  <c:v>44204</c:v>
                </c:pt>
                <c:pt idx="1104">
                  <c:v>44205</c:v>
                </c:pt>
                <c:pt idx="1105">
                  <c:v>44206</c:v>
                </c:pt>
                <c:pt idx="1106">
                  <c:v>44207</c:v>
                </c:pt>
                <c:pt idx="1107">
                  <c:v>44208</c:v>
                </c:pt>
                <c:pt idx="1108">
                  <c:v>44209</c:v>
                </c:pt>
                <c:pt idx="1109">
                  <c:v>44210</c:v>
                </c:pt>
                <c:pt idx="1110">
                  <c:v>44211</c:v>
                </c:pt>
                <c:pt idx="1111">
                  <c:v>44212</c:v>
                </c:pt>
                <c:pt idx="1112">
                  <c:v>44213</c:v>
                </c:pt>
                <c:pt idx="1113">
                  <c:v>44214</c:v>
                </c:pt>
                <c:pt idx="1114">
                  <c:v>44215</c:v>
                </c:pt>
                <c:pt idx="1115">
                  <c:v>44216</c:v>
                </c:pt>
                <c:pt idx="1116">
                  <c:v>44217</c:v>
                </c:pt>
                <c:pt idx="1117">
                  <c:v>44218</c:v>
                </c:pt>
                <c:pt idx="1118">
                  <c:v>44219</c:v>
                </c:pt>
                <c:pt idx="1119">
                  <c:v>44220</c:v>
                </c:pt>
                <c:pt idx="1120">
                  <c:v>44221</c:v>
                </c:pt>
                <c:pt idx="1121">
                  <c:v>44222</c:v>
                </c:pt>
                <c:pt idx="1122">
                  <c:v>44223</c:v>
                </c:pt>
                <c:pt idx="1123">
                  <c:v>44224</c:v>
                </c:pt>
                <c:pt idx="1124">
                  <c:v>44225</c:v>
                </c:pt>
                <c:pt idx="1125">
                  <c:v>44226</c:v>
                </c:pt>
                <c:pt idx="1126">
                  <c:v>44227</c:v>
                </c:pt>
                <c:pt idx="1127">
                  <c:v>44228</c:v>
                </c:pt>
                <c:pt idx="1128">
                  <c:v>44229</c:v>
                </c:pt>
                <c:pt idx="1129">
                  <c:v>44230</c:v>
                </c:pt>
                <c:pt idx="1130">
                  <c:v>44231</c:v>
                </c:pt>
                <c:pt idx="1131">
                  <c:v>44232</c:v>
                </c:pt>
                <c:pt idx="1132">
                  <c:v>44233</c:v>
                </c:pt>
                <c:pt idx="1133">
                  <c:v>44234</c:v>
                </c:pt>
                <c:pt idx="1134">
                  <c:v>44235</c:v>
                </c:pt>
                <c:pt idx="1135">
                  <c:v>44236</c:v>
                </c:pt>
                <c:pt idx="1136">
                  <c:v>44237</c:v>
                </c:pt>
                <c:pt idx="1137">
                  <c:v>44238</c:v>
                </c:pt>
                <c:pt idx="1138">
                  <c:v>44239</c:v>
                </c:pt>
                <c:pt idx="1139">
                  <c:v>44240</c:v>
                </c:pt>
                <c:pt idx="1140">
                  <c:v>44241</c:v>
                </c:pt>
                <c:pt idx="1141">
                  <c:v>44242</c:v>
                </c:pt>
                <c:pt idx="1142">
                  <c:v>44243</c:v>
                </c:pt>
                <c:pt idx="1143">
                  <c:v>44244</c:v>
                </c:pt>
                <c:pt idx="1144">
                  <c:v>44245</c:v>
                </c:pt>
                <c:pt idx="1145">
                  <c:v>44246</c:v>
                </c:pt>
                <c:pt idx="1146">
                  <c:v>44247</c:v>
                </c:pt>
                <c:pt idx="1147">
                  <c:v>44248</c:v>
                </c:pt>
                <c:pt idx="1148">
                  <c:v>44249</c:v>
                </c:pt>
                <c:pt idx="1149">
                  <c:v>44250</c:v>
                </c:pt>
                <c:pt idx="1150">
                  <c:v>44251</c:v>
                </c:pt>
                <c:pt idx="1151">
                  <c:v>44252</c:v>
                </c:pt>
                <c:pt idx="1152">
                  <c:v>44253</c:v>
                </c:pt>
                <c:pt idx="1153">
                  <c:v>44254</c:v>
                </c:pt>
                <c:pt idx="1154">
                  <c:v>44255</c:v>
                </c:pt>
                <c:pt idx="1155">
                  <c:v>44256</c:v>
                </c:pt>
                <c:pt idx="1156">
                  <c:v>44257</c:v>
                </c:pt>
                <c:pt idx="1157">
                  <c:v>44258</c:v>
                </c:pt>
                <c:pt idx="1158">
                  <c:v>44259</c:v>
                </c:pt>
                <c:pt idx="1159">
                  <c:v>44260</c:v>
                </c:pt>
                <c:pt idx="1160">
                  <c:v>44261</c:v>
                </c:pt>
                <c:pt idx="1161">
                  <c:v>44262</c:v>
                </c:pt>
                <c:pt idx="1162">
                  <c:v>44263</c:v>
                </c:pt>
                <c:pt idx="1163">
                  <c:v>44264</c:v>
                </c:pt>
                <c:pt idx="1164">
                  <c:v>44265</c:v>
                </c:pt>
                <c:pt idx="1165">
                  <c:v>44266</c:v>
                </c:pt>
                <c:pt idx="1166">
                  <c:v>44267</c:v>
                </c:pt>
                <c:pt idx="1167">
                  <c:v>44268</c:v>
                </c:pt>
                <c:pt idx="1168">
                  <c:v>44269</c:v>
                </c:pt>
                <c:pt idx="1169">
                  <c:v>44270</c:v>
                </c:pt>
                <c:pt idx="1170">
                  <c:v>44271</c:v>
                </c:pt>
                <c:pt idx="1171">
                  <c:v>44272</c:v>
                </c:pt>
                <c:pt idx="1172">
                  <c:v>44273</c:v>
                </c:pt>
                <c:pt idx="1173">
                  <c:v>44274</c:v>
                </c:pt>
                <c:pt idx="1174">
                  <c:v>44275</c:v>
                </c:pt>
                <c:pt idx="1175">
                  <c:v>44276</c:v>
                </c:pt>
                <c:pt idx="1176">
                  <c:v>44277</c:v>
                </c:pt>
                <c:pt idx="1177">
                  <c:v>44278</c:v>
                </c:pt>
                <c:pt idx="1178">
                  <c:v>44279</c:v>
                </c:pt>
                <c:pt idx="1179">
                  <c:v>44280</c:v>
                </c:pt>
                <c:pt idx="1180">
                  <c:v>44281</c:v>
                </c:pt>
                <c:pt idx="1181">
                  <c:v>44282</c:v>
                </c:pt>
                <c:pt idx="1182">
                  <c:v>44283</c:v>
                </c:pt>
                <c:pt idx="1183">
                  <c:v>44284</c:v>
                </c:pt>
                <c:pt idx="1184">
                  <c:v>44285</c:v>
                </c:pt>
                <c:pt idx="1185">
                  <c:v>44286</c:v>
                </c:pt>
                <c:pt idx="1186">
                  <c:v>44287</c:v>
                </c:pt>
                <c:pt idx="1187">
                  <c:v>44288</c:v>
                </c:pt>
                <c:pt idx="1188">
                  <c:v>44289</c:v>
                </c:pt>
                <c:pt idx="1189">
                  <c:v>44290</c:v>
                </c:pt>
                <c:pt idx="1190">
                  <c:v>44291</c:v>
                </c:pt>
                <c:pt idx="1191">
                  <c:v>44292</c:v>
                </c:pt>
                <c:pt idx="1192">
                  <c:v>44293</c:v>
                </c:pt>
                <c:pt idx="1193">
                  <c:v>44294</c:v>
                </c:pt>
                <c:pt idx="1194">
                  <c:v>44295</c:v>
                </c:pt>
                <c:pt idx="1195">
                  <c:v>44296</c:v>
                </c:pt>
                <c:pt idx="1196">
                  <c:v>44297</c:v>
                </c:pt>
                <c:pt idx="1197">
                  <c:v>44298</c:v>
                </c:pt>
                <c:pt idx="1198">
                  <c:v>44299</c:v>
                </c:pt>
                <c:pt idx="1199">
                  <c:v>44300</c:v>
                </c:pt>
                <c:pt idx="1200">
                  <c:v>44301</c:v>
                </c:pt>
                <c:pt idx="1201">
                  <c:v>44302</c:v>
                </c:pt>
                <c:pt idx="1202">
                  <c:v>44303</c:v>
                </c:pt>
                <c:pt idx="1203">
                  <c:v>44304</c:v>
                </c:pt>
                <c:pt idx="1204">
                  <c:v>44305</c:v>
                </c:pt>
                <c:pt idx="1205">
                  <c:v>44306</c:v>
                </c:pt>
                <c:pt idx="1206">
                  <c:v>44307</c:v>
                </c:pt>
                <c:pt idx="1207">
                  <c:v>44308</c:v>
                </c:pt>
                <c:pt idx="1208">
                  <c:v>44309</c:v>
                </c:pt>
                <c:pt idx="1209">
                  <c:v>44310</c:v>
                </c:pt>
                <c:pt idx="1210">
                  <c:v>44311</c:v>
                </c:pt>
                <c:pt idx="1211">
                  <c:v>44312</c:v>
                </c:pt>
                <c:pt idx="1212">
                  <c:v>44313</c:v>
                </c:pt>
                <c:pt idx="1213">
                  <c:v>44314</c:v>
                </c:pt>
                <c:pt idx="1214">
                  <c:v>44315</c:v>
                </c:pt>
                <c:pt idx="1215">
                  <c:v>44316</c:v>
                </c:pt>
                <c:pt idx="1216">
                  <c:v>44317</c:v>
                </c:pt>
                <c:pt idx="1217">
                  <c:v>44318</c:v>
                </c:pt>
                <c:pt idx="1218">
                  <c:v>44319</c:v>
                </c:pt>
                <c:pt idx="1219">
                  <c:v>44320</c:v>
                </c:pt>
                <c:pt idx="1220">
                  <c:v>44321</c:v>
                </c:pt>
                <c:pt idx="1221">
                  <c:v>44322</c:v>
                </c:pt>
                <c:pt idx="1222">
                  <c:v>44323</c:v>
                </c:pt>
                <c:pt idx="1223">
                  <c:v>44324</c:v>
                </c:pt>
                <c:pt idx="1224">
                  <c:v>44325</c:v>
                </c:pt>
                <c:pt idx="1225">
                  <c:v>44326</c:v>
                </c:pt>
                <c:pt idx="1226">
                  <c:v>44327</c:v>
                </c:pt>
                <c:pt idx="1227">
                  <c:v>44328</c:v>
                </c:pt>
                <c:pt idx="1228">
                  <c:v>44329</c:v>
                </c:pt>
                <c:pt idx="1229">
                  <c:v>44330</c:v>
                </c:pt>
                <c:pt idx="1230">
                  <c:v>44331</c:v>
                </c:pt>
                <c:pt idx="1231">
                  <c:v>44332</c:v>
                </c:pt>
                <c:pt idx="1232">
                  <c:v>44333</c:v>
                </c:pt>
                <c:pt idx="1233">
                  <c:v>44334</c:v>
                </c:pt>
                <c:pt idx="1234">
                  <c:v>44335</c:v>
                </c:pt>
                <c:pt idx="1235">
                  <c:v>44336</c:v>
                </c:pt>
                <c:pt idx="1236">
                  <c:v>44337</c:v>
                </c:pt>
                <c:pt idx="1237">
                  <c:v>44338</c:v>
                </c:pt>
                <c:pt idx="1238">
                  <c:v>44339</c:v>
                </c:pt>
                <c:pt idx="1239">
                  <c:v>44340</c:v>
                </c:pt>
                <c:pt idx="1240">
                  <c:v>44341</c:v>
                </c:pt>
                <c:pt idx="1241">
                  <c:v>44342</c:v>
                </c:pt>
                <c:pt idx="1242">
                  <c:v>44343</c:v>
                </c:pt>
                <c:pt idx="1243">
                  <c:v>44344</c:v>
                </c:pt>
                <c:pt idx="1244">
                  <c:v>44345</c:v>
                </c:pt>
                <c:pt idx="1245">
                  <c:v>44346</c:v>
                </c:pt>
                <c:pt idx="1246">
                  <c:v>44347</c:v>
                </c:pt>
                <c:pt idx="1247">
                  <c:v>44348</c:v>
                </c:pt>
                <c:pt idx="1248">
                  <c:v>44349</c:v>
                </c:pt>
                <c:pt idx="1249">
                  <c:v>44350</c:v>
                </c:pt>
                <c:pt idx="1250">
                  <c:v>44351</c:v>
                </c:pt>
                <c:pt idx="1251">
                  <c:v>44352</c:v>
                </c:pt>
                <c:pt idx="1252">
                  <c:v>44353</c:v>
                </c:pt>
                <c:pt idx="1253">
                  <c:v>44354</c:v>
                </c:pt>
                <c:pt idx="1254">
                  <c:v>44355</c:v>
                </c:pt>
                <c:pt idx="1255">
                  <c:v>44356</c:v>
                </c:pt>
                <c:pt idx="1256">
                  <c:v>44357</c:v>
                </c:pt>
                <c:pt idx="1257">
                  <c:v>44358</c:v>
                </c:pt>
                <c:pt idx="1258">
                  <c:v>44359</c:v>
                </c:pt>
                <c:pt idx="1259">
                  <c:v>44360</c:v>
                </c:pt>
                <c:pt idx="1260">
                  <c:v>44361</c:v>
                </c:pt>
                <c:pt idx="1261">
                  <c:v>44362</c:v>
                </c:pt>
                <c:pt idx="1262">
                  <c:v>44363</c:v>
                </c:pt>
                <c:pt idx="1263">
                  <c:v>44364</c:v>
                </c:pt>
                <c:pt idx="1264">
                  <c:v>44365</c:v>
                </c:pt>
                <c:pt idx="1265">
                  <c:v>44366</c:v>
                </c:pt>
                <c:pt idx="1266">
                  <c:v>44367</c:v>
                </c:pt>
                <c:pt idx="1267">
                  <c:v>44368</c:v>
                </c:pt>
                <c:pt idx="1268">
                  <c:v>44369</c:v>
                </c:pt>
                <c:pt idx="1269">
                  <c:v>44370</c:v>
                </c:pt>
                <c:pt idx="1270">
                  <c:v>44371</c:v>
                </c:pt>
                <c:pt idx="1271">
                  <c:v>44372</c:v>
                </c:pt>
                <c:pt idx="1272">
                  <c:v>44373</c:v>
                </c:pt>
                <c:pt idx="1273">
                  <c:v>44374</c:v>
                </c:pt>
                <c:pt idx="1274">
                  <c:v>44375</c:v>
                </c:pt>
                <c:pt idx="1275">
                  <c:v>44376</c:v>
                </c:pt>
                <c:pt idx="1276">
                  <c:v>44377</c:v>
                </c:pt>
                <c:pt idx="1277">
                  <c:v>44378</c:v>
                </c:pt>
                <c:pt idx="1278">
                  <c:v>44379</c:v>
                </c:pt>
                <c:pt idx="1279">
                  <c:v>44380</c:v>
                </c:pt>
                <c:pt idx="1280">
                  <c:v>44381</c:v>
                </c:pt>
                <c:pt idx="1281">
                  <c:v>44382</c:v>
                </c:pt>
                <c:pt idx="1282">
                  <c:v>44383</c:v>
                </c:pt>
                <c:pt idx="1283">
                  <c:v>44384</c:v>
                </c:pt>
                <c:pt idx="1284">
                  <c:v>44385</c:v>
                </c:pt>
                <c:pt idx="1285">
                  <c:v>44386</c:v>
                </c:pt>
                <c:pt idx="1286">
                  <c:v>44387</c:v>
                </c:pt>
                <c:pt idx="1287">
                  <c:v>44388</c:v>
                </c:pt>
                <c:pt idx="1288">
                  <c:v>44389</c:v>
                </c:pt>
                <c:pt idx="1289">
                  <c:v>44390</c:v>
                </c:pt>
                <c:pt idx="1290">
                  <c:v>44391</c:v>
                </c:pt>
                <c:pt idx="1291">
                  <c:v>44392</c:v>
                </c:pt>
                <c:pt idx="1292">
                  <c:v>44393</c:v>
                </c:pt>
                <c:pt idx="1293">
                  <c:v>44394</c:v>
                </c:pt>
                <c:pt idx="1294">
                  <c:v>44395</c:v>
                </c:pt>
                <c:pt idx="1295">
                  <c:v>44396</c:v>
                </c:pt>
                <c:pt idx="1296">
                  <c:v>44397</c:v>
                </c:pt>
                <c:pt idx="1297">
                  <c:v>44398</c:v>
                </c:pt>
                <c:pt idx="1298">
                  <c:v>44399</c:v>
                </c:pt>
                <c:pt idx="1299">
                  <c:v>44400</c:v>
                </c:pt>
                <c:pt idx="1300">
                  <c:v>44401</c:v>
                </c:pt>
                <c:pt idx="1301">
                  <c:v>44402</c:v>
                </c:pt>
                <c:pt idx="1302">
                  <c:v>44403</c:v>
                </c:pt>
                <c:pt idx="1303">
                  <c:v>44404</c:v>
                </c:pt>
                <c:pt idx="1304">
                  <c:v>44405</c:v>
                </c:pt>
                <c:pt idx="1305">
                  <c:v>44406</c:v>
                </c:pt>
                <c:pt idx="1306">
                  <c:v>44407</c:v>
                </c:pt>
                <c:pt idx="1307">
                  <c:v>44408</c:v>
                </c:pt>
                <c:pt idx="1308">
                  <c:v>44409</c:v>
                </c:pt>
                <c:pt idx="1309">
                  <c:v>44410</c:v>
                </c:pt>
                <c:pt idx="1310">
                  <c:v>44411</c:v>
                </c:pt>
                <c:pt idx="1311">
                  <c:v>44412</c:v>
                </c:pt>
                <c:pt idx="1312">
                  <c:v>44413</c:v>
                </c:pt>
                <c:pt idx="1313">
                  <c:v>44414</c:v>
                </c:pt>
                <c:pt idx="1314">
                  <c:v>44415</c:v>
                </c:pt>
                <c:pt idx="1315">
                  <c:v>44416</c:v>
                </c:pt>
                <c:pt idx="1316">
                  <c:v>44417</c:v>
                </c:pt>
                <c:pt idx="1317">
                  <c:v>44418</c:v>
                </c:pt>
                <c:pt idx="1318">
                  <c:v>44419</c:v>
                </c:pt>
                <c:pt idx="1319">
                  <c:v>44420</c:v>
                </c:pt>
                <c:pt idx="1320">
                  <c:v>44421</c:v>
                </c:pt>
                <c:pt idx="1321">
                  <c:v>44422</c:v>
                </c:pt>
                <c:pt idx="1322">
                  <c:v>44423</c:v>
                </c:pt>
                <c:pt idx="1323">
                  <c:v>44424</c:v>
                </c:pt>
                <c:pt idx="1324">
                  <c:v>44425</c:v>
                </c:pt>
                <c:pt idx="1325">
                  <c:v>44426</c:v>
                </c:pt>
                <c:pt idx="1326">
                  <c:v>44427</c:v>
                </c:pt>
                <c:pt idx="1327">
                  <c:v>44428</c:v>
                </c:pt>
                <c:pt idx="1328">
                  <c:v>44429</c:v>
                </c:pt>
                <c:pt idx="1329">
                  <c:v>44430</c:v>
                </c:pt>
                <c:pt idx="1330">
                  <c:v>44431</c:v>
                </c:pt>
                <c:pt idx="1331">
                  <c:v>44432</c:v>
                </c:pt>
                <c:pt idx="1332">
                  <c:v>44433</c:v>
                </c:pt>
                <c:pt idx="1333">
                  <c:v>44434</c:v>
                </c:pt>
                <c:pt idx="1334">
                  <c:v>44435</c:v>
                </c:pt>
                <c:pt idx="1335">
                  <c:v>44436</c:v>
                </c:pt>
                <c:pt idx="1336">
                  <c:v>44437</c:v>
                </c:pt>
                <c:pt idx="1337">
                  <c:v>44438</c:v>
                </c:pt>
                <c:pt idx="1338">
                  <c:v>44439</c:v>
                </c:pt>
                <c:pt idx="1339">
                  <c:v>44440</c:v>
                </c:pt>
                <c:pt idx="1340">
                  <c:v>44441</c:v>
                </c:pt>
                <c:pt idx="1341">
                  <c:v>44442</c:v>
                </c:pt>
                <c:pt idx="1342">
                  <c:v>44443</c:v>
                </c:pt>
                <c:pt idx="1343">
                  <c:v>44444</c:v>
                </c:pt>
                <c:pt idx="1344">
                  <c:v>44445</c:v>
                </c:pt>
                <c:pt idx="1345">
                  <c:v>44446</c:v>
                </c:pt>
                <c:pt idx="1346">
                  <c:v>44447</c:v>
                </c:pt>
                <c:pt idx="1347">
                  <c:v>44448</c:v>
                </c:pt>
                <c:pt idx="1348">
                  <c:v>44449</c:v>
                </c:pt>
                <c:pt idx="1349">
                  <c:v>44450</c:v>
                </c:pt>
                <c:pt idx="1350">
                  <c:v>44451</c:v>
                </c:pt>
                <c:pt idx="1351">
                  <c:v>44452</c:v>
                </c:pt>
                <c:pt idx="1352">
                  <c:v>44453</c:v>
                </c:pt>
                <c:pt idx="1353">
                  <c:v>44454</c:v>
                </c:pt>
                <c:pt idx="1354">
                  <c:v>44455</c:v>
                </c:pt>
                <c:pt idx="1355">
                  <c:v>44456</c:v>
                </c:pt>
                <c:pt idx="1356">
                  <c:v>44457</c:v>
                </c:pt>
                <c:pt idx="1357">
                  <c:v>44458</c:v>
                </c:pt>
                <c:pt idx="1358">
                  <c:v>44459</c:v>
                </c:pt>
                <c:pt idx="1359">
                  <c:v>44460</c:v>
                </c:pt>
                <c:pt idx="1360">
                  <c:v>44461</c:v>
                </c:pt>
                <c:pt idx="1361">
                  <c:v>44462</c:v>
                </c:pt>
                <c:pt idx="1362">
                  <c:v>44463</c:v>
                </c:pt>
                <c:pt idx="1363">
                  <c:v>44464</c:v>
                </c:pt>
                <c:pt idx="1364">
                  <c:v>44465</c:v>
                </c:pt>
                <c:pt idx="1365">
                  <c:v>44466</c:v>
                </c:pt>
                <c:pt idx="1366">
                  <c:v>44467</c:v>
                </c:pt>
                <c:pt idx="1367">
                  <c:v>44468</c:v>
                </c:pt>
                <c:pt idx="1368">
                  <c:v>44469</c:v>
                </c:pt>
                <c:pt idx="1369">
                  <c:v>44470</c:v>
                </c:pt>
                <c:pt idx="1370">
                  <c:v>44471</c:v>
                </c:pt>
                <c:pt idx="1371">
                  <c:v>44472</c:v>
                </c:pt>
                <c:pt idx="1372">
                  <c:v>44473</c:v>
                </c:pt>
                <c:pt idx="1373">
                  <c:v>44474</c:v>
                </c:pt>
                <c:pt idx="1374">
                  <c:v>44475</c:v>
                </c:pt>
                <c:pt idx="1375">
                  <c:v>44476</c:v>
                </c:pt>
                <c:pt idx="1376">
                  <c:v>44477</c:v>
                </c:pt>
                <c:pt idx="1377">
                  <c:v>44478</c:v>
                </c:pt>
                <c:pt idx="1378">
                  <c:v>44479</c:v>
                </c:pt>
                <c:pt idx="1379">
                  <c:v>44480</c:v>
                </c:pt>
                <c:pt idx="1380">
                  <c:v>44481</c:v>
                </c:pt>
                <c:pt idx="1381">
                  <c:v>44482</c:v>
                </c:pt>
                <c:pt idx="1382">
                  <c:v>44483</c:v>
                </c:pt>
                <c:pt idx="1383">
                  <c:v>44484</c:v>
                </c:pt>
                <c:pt idx="1384">
                  <c:v>44485</c:v>
                </c:pt>
                <c:pt idx="1385">
                  <c:v>44486</c:v>
                </c:pt>
                <c:pt idx="1386">
                  <c:v>44487</c:v>
                </c:pt>
                <c:pt idx="1387">
                  <c:v>44488</c:v>
                </c:pt>
                <c:pt idx="1388">
                  <c:v>44489</c:v>
                </c:pt>
                <c:pt idx="1389">
                  <c:v>44490</c:v>
                </c:pt>
                <c:pt idx="1390">
                  <c:v>44491</c:v>
                </c:pt>
                <c:pt idx="1391">
                  <c:v>44492</c:v>
                </c:pt>
                <c:pt idx="1392">
                  <c:v>44493</c:v>
                </c:pt>
                <c:pt idx="1393">
                  <c:v>44494</c:v>
                </c:pt>
                <c:pt idx="1394">
                  <c:v>44495</c:v>
                </c:pt>
                <c:pt idx="1395">
                  <c:v>44496</c:v>
                </c:pt>
                <c:pt idx="1396">
                  <c:v>44497</c:v>
                </c:pt>
                <c:pt idx="1397">
                  <c:v>44498</c:v>
                </c:pt>
                <c:pt idx="1398">
                  <c:v>44499</c:v>
                </c:pt>
                <c:pt idx="1399">
                  <c:v>44500</c:v>
                </c:pt>
                <c:pt idx="1400">
                  <c:v>44501</c:v>
                </c:pt>
                <c:pt idx="1401">
                  <c:v>44502</c:v>
                </c:pt>
                <c:pt idx="1402">
                  <c:v>44503</c:v>
                </c:pt>
                <c:pt idx="1403">
                  <c:v>44504</c:v>
                </c:pt>
                <c:pt idx="1404">
                  <c:v>44505</c:v>
                </c:pt>
                <c:pt idx="1405">
                  <c:v>44506</c:v>
                </c:pt>
                <c:pt idx="1406">
                  <c:v>44507</c:v>
                </c:pt>
                <c:pt idx="1407">
                  <c:v>44508</c:v>
                </c:pt>
                <c:pt idx="1408">
                  <c:v>44509</c:v>
                </c:pt>
                <c:pt idx="1409">
                  <c:v>44510</c:v>
                </c:pt>
                <c:pt idx="1410">
                  <c:v>44511</c:v>
                </c:pt>
                <c:pt idx="1411">
                  <c:v>44512</c:v>
                </c:pt>
                <c:pt idx="1412">
                  <c:v>44513</c:v>
                </c:pt>
                <c:pt idx="1413">
                  <c:v>44514</c:v>
                </c:pt>
                <c:pt idx="1414">
                  <c:v>44515</c:v>
                </c:pt>
                <c:pt idx="1415">
                  <c:v>44516</c:v>
                </c:pt>
                <c:pt idx="1416">
                  <c:v>44517</c:v>
                </c:pt>
                <c:pt idx="1417">
                  <c:v>44518</c:v>
                </c:pt>
                <c:pt idx="1418">
                  <c:v>44519</c:v>
                </c:pt>
                <c:pt idx="1419">
                  <c:v>44520</c:v>
                </c:pt>
                <c:pt idx="1420">
                  <c:v>44521</c:v>
                </c:pt>
                <c:pt idx="1421">
                  <c:v>44522</c:v>
                </c:pt>
                <c:pt idx="1422">
                  <c:v>44523</c:v>
                </c:pt>
                <c:pt idx="1423">
                  <c:v>44524</c:v>
                </c:pt>
                <c:pt idx="1424">
                  <c:v>44525</c:v>
                </c:pt>
                <c:pt idx="1425">
                  <c:v>44526</c:v>
                </c:pt>
                <c:pt idx="1426">
                  <c:v>44527</c:v>
                </c:pt>
                <c:pt idx="1427">
                  <c:v>44528</c:v>
                </c:pt>
                <c:pt idx="1428">
                  <c:v>44529</c:v>
                </c:pt>
                <c:pt idx="1429">
                  <c:v>44530</c:v>
                </c:pt>
                <c:pt idx="1430">
                  <c:v>44531</c:v>
                </c:pt>
                <c:pt idx="1431">
                  <c:v>44532</c:v>
                </c:pt>
                <c:pt idx="1432">
                  <c:v>44533</c:v>
                </c:pt>
                <c:pt idx="1433">
                  <c:v>44534</c:v>
                </c:pt>
                <c:pt idx="1434">
                  <c:v>44535</c:v>
                </c:pt>
                <c:pt idx="1435">
                  <c:v>44536</c:v>
                </c:pt>
                <c:pt idx="1436">
                  <c:v>44537</c:v>
                </c:pt>
                <c:pt idx="1437">
                  <c:v>44538</c:v>
                </c:pt>
                <c:pt idx="1438">
                  <c:v>44539</c:v>
                </c:pt>
                <c:pt idx="1439">
                  <c:v>44540</c:v>
                </c:pt>
                <c:pt idx="1440">
                  <c:v>44541</c:v>
                </c:pt>
                <c:pt idx="1441">
                  <c:v>44542</c:v>
                </c:pt>
                <c:pt idx="1442">
                  <c:v>44543</c:v>
                </c:pt>
                <c:pt idx="1443">
                  <c:v>44544</c:v>
                </c:pt>
                <c:pt idx="1444">
                  <c:v>44545</c:v>
                </c:pt>
                <c:pt idx="1445">
                  <c:v>44546</c:v>
                </c:pt>
                <c:pt idx="1446">
                  <c:v>44547</c:v>
                </c:pt>
                <c:pt idx="1447">
                  <c:v>44548</c:v>
                </c:pt>
                <c:pt idx="1448">
                  <c:v>44549</c:v>
                </c:pt>
                <c:pt idx="1449">
                  <c:v>44550</c:v>
                </c:pt>
                <c:pt idx="1450">
                  <c:v>44551</c:v>
                </c:pt>
                <c:pt idx="1451">
                  <c:v>44552</c:v>
                </c:pt>
                <c:pt idx="1452">
                  <c:v>44553</c:v>
                </c:pt>
                <c:pt idx="1453">
                  <c:v>44554</c:v>
                </c:pt>
                <c:pt idx="1454">
                  <c:v>44555</c:v>
                </c:pt>
                <c:pt idx="1455">
                  <c:v>44556</c:v>
                </c:pt>
                <c:pt idx="1456">
                  <c:v>44557</c:v>
                </c:pt>
                <c:pt idx="1457">
                  <c:v>44558</c:v>
                </c:pt>
                <c:pt idx="1458">
                  <c:v>44559</c:v>
                </c:pt>
                <c:pt idx="1459">
                  <c:v>44560</c:v>
                </c:pt>
                <c:pt idx="1460">
                  <c:v>44561</c:v>
                </c:pt>
                <c:pt idx="1461">
                  <c:v>44562</c:v>
                </c:pt>
                <c:pt idx="1462">
                  <c:v>44563</c:v>
                </c:pt>
                <c:pt idx="1463">
                  <c:v>44564</c:v>
                </c:pt>
                <c:pt idx="1464">
                  <c:v>44565</c:v>
                </c:pt>
                <c:pt idx="1465">
                  <c:v>44566</c:v>
                </c:pt>
                <c:pt idx="1466">
                  <c:v>44567</c:v>
                </c:pt>
                <c:pt idx="1467">
                  <c:v>44568</c:v>
                </c:pt>
                <c:pt idx="1468">
                  <c:v>44569</c:v>
                </c:pt>
                <c:pt idx="1469">
                  <c:v>44570</c:v>
                </c:pt>
                <c:pt idx="1470">
                  <c:v>44571</c:v>
                </c:pt>
                <c:pt idx="1471">
                  <c:v>44572</c:v>
                </c:pt>
                <c:pt idx="1472">
                  <c:v>44573</c:v>
                </c:pt>
                <c:pt idx="1473">
                  <c:v>44574</c:v>
                </c:pt>
                <c:pt idx="1474">
                  <c:v>44575</c:v>
                </c:pt>
                <c:pt idx="1475">
                  <c:v>44576</c:v>
                </c:pt>
                <c:pt idx="1476">
                  <c:v>44577</c:v>
                </c:pt>
                <c:pt idx="1477">
                  <c:v>44578</c:v>
                </c:pt>
                <c:pt idx="1478">
                  <c:v>44579</c:v>
                </c:pt>
                <c:pt idx="1479">
                  <c:v>44580</c:v>
                </c:pt>
                <c:pt idx="1480">
                  <c:v>44581</c:v>
                </c:pt>
                <c:pt idx="1481">
                  <c:v>44582</c:v>
                </c:pt>
                <c:pt idx="1482">
                  <c:v>44583</c:v>
                </c:pt>
                <c:pt idx="1483">
                  <c:v>44584</c:v>
                </c:pt>
                <c:pt idx="1484">
                  <c:v>44585</c:v>
                </c:pt>
                <c:pt idx="1485">
                  <c:v>44586</c:v>
                </c:pt>
                <c:pt idx="1486">
                  <c:v>44587</c:v>
                </c:pt>
                <c:pt idx="1487">
                  <c:v>44588</c:v>
                </c:pt>
                <c:pt idx="1488">
                  <c:v>44589</c:v>
                </c:pt>
                <c:pt idx="1489">
                  <c:v>44590</c:v>
                </c:pt>
                <c:pt idx="1490">
                  <c:v>44591</c:v>
                </c:pt>
                <c:pt idx="1491">
                  <c:v>44592</c:v>
                </c:pt>
                <c:pt idx="1492">
                  <c:v>44593</c:v>
                </c:pt>
                <c:pt idx="1493">
                  <c:v>44594</c:v>
                </c:pt>
                <c:pt idx="1494">
                  <c:v>44595</c:v>
                </c:pt>
                <c:pt idx="1495">
                  <c:v>44596</c:v>
                </c:pt>
                <c:pt idx="1496">
                  <c:v>44597</c:v>
                </c:pt>
                <c:pt idx="1497">
                  <c:v>44598</c:v>
                </c:pt>
                <c:pt idx="1498">
                  <c:v>44599</c:v>
                </c:pt>
                <c:pt idx="1499">
                  <c:v>44600</c:v>
                </c:pt>
                <c:pt idx="1500">
                  <c:v>44601</c:v>
                </c:pt>
                <c:pt idx="1501">
                  <c:v>44602</c:v>
                </c:pt>
                <c:pt idx="1502">
                  <c:v>44603</c:v>
                </c:pt>
                <c:pt idx="1503">
                  <c:v>44604</c:v>
                </c:pt>
                <c:pt idx="1504">
                  <c:v>44605</c:v>
                </c:pt>
                <c:pt idx="1505">
                  <c:v>44606</c:v>
                </c:pt>
                <c:pt idx="1506">
                  <c:v>44607</c:v>
                </c:pt>
                <c:pt idx="1507">
                  <c:v>44608</c:v>
                </c:pt>
                <c:pt idx="1508">
                  <c:v>44609</c:v>
                </c:pt>
                <c:pt idx="1509">
                  <c:v>44610</c:v>
                </c:pt>
                <c:pt idx="1510">
                  <c:v>44611</c:v>
                </c:pt>
                <c:pt idx="1511">
                  <c:v>44612</c:v>
                </c:pt>
                <c:pt idx="1512">
                  <c:v>44613</c:v>
                </c:pt>
                <c:pt idx="1513">
                  <c:v>44614</c:v>
                </c:pt>
                <c:pt idx="1514">
                  <c:v>44615</c:v>
                </c:pt>
                <c:pt idx="1515">
                  <c:v>44616</c:v>
                </c:pt>
                <c:pt idx="1516">
                  <c:v>44617</c:v>
                </c:pt>
                <c:pt idx="1517">
                  <c:v>44618</c:v>
                </c:pt>
                <c:pt idx="1518">
                  <c:v>44619</c:v>
                </c:pt>
                <c:pt idx="1519">
                  <c:v>44620</c:v>
                </c:pt>
                <c:pt idx="1520">
                  <c:v>44621</c:v>
                </c:pt>
                <c:pt idx="1521">
                  <c:v>44622</c:v>
                </c:pt>
                <c:pt idx="1522">
                  <c:v>44623</c:v>
                </c:pt>
                <c:pt idx="1523">
                  <c:v>44624</c:v>
                </c:pt>
                <c:pt idx="1524">
                  <c:v>44625</c:v>
                </c:pt>
                <c:pt idx="1525">
                  <c:v>44626</c:v>
                </c:pt>
                <c:pt idx="1526">
                  <c:v>44627</c:v>
                </c:pt>
                <c:pt idx="1527">
                  <c:v>44628</c:v>
                </c:pt>
                <c:pt idx="1528">
                  <c:v>44629</c:v>
                </c:pt>
                <c:pt idx="1529">
                  <c:v>44630</c:v>
                </c:pt>
                <c:pt idx="1530">
                  <c:v>44631</c:v>
                </c:pt>
                <c:pt idx="1531">
                  <c:v>44632</c:v>
                </c:pt>
                <c:pt idx="1532">
                  <c:v>44633</c:v>
                </c:pt>
                <c:pt idx="1533">
                  <c:v>44634</c:v>
                </c:pt>
                <c:pt idx="1534">
                  <c:v>44635</c:v>
                </c:pt>
                <c:pt idx="1535">
                  <c:v>44636</c:v>
                </c:pt>
                <c:pt idx="1536">
                  <c:v>44637</c:v>
                </c:pt>
                <c:pt idx="1537">
                  <c:v>44638</c:v>
                </c:pt>
                <c:pt idx="1538">
                  <c:v>44639</c:v>
                </c:pt>
                <c:pt idx="1539">
                  <c:v>44640</c:v>
                </c:pt>
                <c:pt idx="1540">
                  <c:v>44641</c:v>
                </c:pt>
                <c:pt idx="1541">
                  <c:v>44642</c:v>
                </c:pt>
                <c:pt idx="1542">
                  <c:v>44643</c:v>
                </c:pt>
                <c:pt idx="1543">
                  <c:v>44644</c:v>
                </c:pt>
                <c:pt idx="1544">
                  <c:v>44645</c:v>
                </c:pt>
                <c:pt idx="1545">
                  <c:v>44646</c:v>
                </c:pt>
                <c:pt idx="1546">
                  <c:v>44647</c:v>
                </c:pt>
                <c:pt idx="1547">
                  <c:v>44648</c:v>
                </c:pt>
                <c:pt idx="1548">
                  <c:v>44649</c:v>
                </c:pt>
                <c:pt idx="1549">
                  <c:v>44650</c:v>
                </c:pt>
                <c:pt idx="1550">
                  <c:v>44651</c:v>
                </c:pt>
                <c:pt idx="1551">
                  <c:v>44652</c:v>
                </c:pt>
                <c:pt idx="1552">
                  <c:v>44653</c:v>
                </c:pt>
                <c:pt idx="1553">
                  <c:v>44654</c:v>
                </c:pt>
                <c:pt idx="1554">
                  <c:v>44655</c:v>
                </c:pt>
                <c:pt idx="1555">
                  <c:v>44656</c:v>
                </c:pt>
                <c:pt idx="1556">
                  <c:v>44657</c:v>
                </c:pt>
                <c:pt idx="1557">
                  <c:v>44658</c:v>
                </c:pt>
                <c:pt idx="1558">
                  <c:v>44659</c:v>
                </c:pt>
                <c:pt idx="1559">
                  <c:v>44660</c:v>
                </c:pt>
                <c:pt idx="1560">
                  <c:v>44661</c:v>
                </c:pt>
                <c:pt idx="1561">
                  <c:v>44662</c:v>
                </c:pt>
                <c:pt idx="1562">
                  <c:v>44663</c:v>
                </c:pt>
                <c:pt idx="1563">
                  <c:v>44664</c:v>
                </c:pt>
                <c:pt idx="1564">
                  <c:v>44665</c:v>
                </c:pt>
                <c:pt idx="1565">
                  <c:v>44666</c:v>
                </c:pt>
                <c:pt idx="1566">
                  <c:v>44667</c:v>
                </c:pt>
                <c:pt idx="1567">
                  <c:v>44668</c:v>
                </c:pt>
                <c:pt idx="1568">
                  <c:v>44669</c:v>
                </c:pt>
                <c:pt idx="1569">
                  <c:v>44670</c:v>
                </c:pt>
                <c:pt idx="1570">
                  <c:v>44671</c:v>
                </c:pt>
                <c:pt idx="1571">
                  <c:v>44672</c:v>
                </c:pt>
                <c:pt idx="1572">
                  <c:v>44673</c:v>
                </c:pt>
                <c:pt idx="1573">
                  <c:v>44674</c:v>
                </c:pt>
                <c:pt idx="1574">
                  <c:v>44675</c:v>
                </c:pt>
                <c:pt idx="1575">
                  <c:v>44676</c:v>
                </c:pt>
                <c:pt idx="1576">
                  <c:v>44677</c:v>
                </c:pt>
                <c:pt idx="1577">
                  <c:v>44678</c:v>
                </c:pt>
                <c:pt idx="1578">
                  <c:v>44679</c:v>
                </c:pt>
                <c:pt idx="1579">
                  <c:v>44680</c:v>
                </c:pt>
                <c:pt idx="1580">
                  <c:v>44681</c:v>
                </c:pt>
                <c:pt idx="1581">
                  <c:v>44682</c:v>
                </c:pt>
                <c:pt idx="1582">
                  <c:v>44683</c:v>
                </c:pt>
                <c:pt idx="1583">
                  <c:v>44684</c:v>
                </c:pt>
                <c:pt idx="1584">
                  <c:v>44685</c:v>
                </c:pt>
                <c:pt idx="1585">
                  <c:v>44686</c:v>
                </c:pt>
                <c:pt idx="1586">
                  <c:v>44687</c:v>
                </c:pt>
                <c:pt idx="1587">
                  <c:v>44688</c:v>
                </c:pt>
                <c:pt idx="1588">
                  <c:v>44689</c:v>
                </c:pt>
                <c:pt idx="1589">
                  <c:v>44690</c:v>
                </c:pt>
                <c:pt idx="1590">
                  <c:v>44691</c:v>
                </c:pt>
                <c:pt idx="1591">
                  <c:v>44692</c:v>
                </c:pt>
                <c:pt idx="1592">
                  <c:v>44693</c:v>
                </c:pt>
                <c:pt idx="1593">
                  <c:v>44694</c:v>
                </c:pt>
                <c:pt idx="1594">
                  <c:v>44695</c:v>
                </c:pt>
                <c:pt idx="1595">
                  <c:v>44696</c:v>
                </c:pt>
                <c:pt idx="1596">
                  <c:v>44697</c:v>
                </c:pt>
                <c:pt idx="1597">
                  <c:v>44698</c:v>
                </c:pt>
                <c:pt idx="1598">
                  <c:v>44699</c:v>
                </c:pt>
                <c:pt idx="1599">
                  <c:v>44700</c:v>
                </c:pt>
                <c:pt idx="1600">
                  <c:v>44701</c:v>
                </c:pt>
                <c:pt idx="1601">
                  <c:v>44702</c:v>
                </c:pt>
                <c:pt idx="1602">
                  <c:v>44703</c:v>
                </c:pt>
                <c:pt idx="1603">
                  <c:v>44704</c:v>
                </c:pt>
                <c:pt idx="1604">
                  <c:v>44705</c:v>
                </c:pt>
                <c:pt idx="1605">
                  <c:v>44706</c:v>
                </c:pt>
                <c:pt idx="1606">
                  <c:v>44707</c:v>
                </c:pt>
                <c:pt idx="1607">
                  <c:v>44708</c:v>
                </c:pt>
                <c:pt idx="1608">
                  <c:v>44709</c:v>
                </c:pt>
                <c:pt idx="1609">
                  <c:v>44710</c:v>
                </c:pt>
                <c:pt idx="1610">
                  <c:v>44711</c:v>
                </c:pt>
                <c:pt idx="1611">
                  <c:v>44712</c:v>
                </c:pt>
                <c:pt idx="1612">
                  <c:v>44713</c:v>
                </c:pt>
                <c:pt idx="1613">
                  <c:v>44714</c:v>
                </c:pt>
                <c:pt idx="1614">
                  <c:v>44715</c:v>
                </c:pt>
                <c:pt idx="1615">
                  <c:v>44716</c:v>
                </c:pt>
                <c:pt idx="1616">
                  <c:v>44717</c:v>
                </c:pt>
                <c:pt idx="1617">
                  <c:v>44718</c:v>
                </c:pt>
                <c:pt idx="1618">
                  <c:v>44719</c:v>
                </c:pt>
                <c:pt idx="1619">
                  <c:v>44720</c:v>
                </c:pt>
                <c:pt idx="1620">
                  <c:v>44721</c:v>
                </c:pt>
                <c:pt idx="1621">
                  <c:v>44722</c:v>
                </c:pt>
                <c:pt idx="1622">
                  <c:v>44723</c:v>
                </c:pt>
                <c:pt idx="1623">
                  <c:v>44724</c:v>
                </c:pt>
                <c:pt idx="1624">
                  <c:v>44725</c:v>
                </c:pt>
                <c:pt idx="1625">
                  <c:v>44726</c:v>
                </c:pt>
                <c:pt idx="1626">
                  <c:v>44727</c:v>
                </c:pt>
                <c:pt idx="1627">
                  <c:v>44728</c:v>
                </c:pt>
                <c:pt idx="1628">
                  <c:v>44729</c:v>
                </c:pt>
                <c:pt idx="1629">
                  <c:v>44730</c:v>
                </c:pt>
                <c:pt idx="1630">
                  <c:v>44731</c:v>
                </c:pt>
                <c:pt idx="1631">
                  <c:v>44732</c:v>
                </c:pt>
                <c:pt idx="1632">
                  <c:v>44733</c:v>
                </c:pt>
                <c:pt idx="1633">
                  <c:v>44734</c:v>
                </c:pt>
                <c:pt idx="1634">
                  <c:v>44735</c:v>
                </c:pt>
                <c:pt idx="1635">
                  <c:v>44736</c:v>
                </c:pt>
                <c:pt idx="1636">
                  <c:v>44737</c:v>
                </c:pt>
                <c:pt idx="1637">
                  <c:v>44738</c:v>
                </c:pt>
                <c:pt idx="1638">
                  <c:v>44739</c:v>
                </c:pt>
                <c:pt idx="1639">
                  <c:v>44740</c:v>
                </c:pt>
                <c:pt idx="1640">
                  <c:v>44741</c:v>
                </c:pt>
                <c:pt idx="1641">
                  <c:v>44742</c:v>
                </c:pt>
                <c:pt idx="1642">
                  <c:v>44743</c:v>
                </c:pt>
                <c:pt idx="1643">
                  <c:v>44744</c:v>
                </c:pt>
                <c:pt idx="1644">
                  <c:v>44745</c:v>
                </c:pt>
                <c:pt idx="1645">
                  <c:v>44746</c:v>
                </c:pt>
                <c:pt idx="1646">
                  <c:v>44747</c:v>
                </c:pt>
                <c:pt idx="1647">
                  <c:v>44748</c:v>
                </c:pt>
                <c:pt idx="1648">
                  <c:v>44749</c:v>
                </c:pt>
                <c:pt idx="1649">
                  <c:v>44750</c:v>
                </c:pt>
                <c:pt idx="1650">
                  <c:v>44751</c:v>
                </c:pt>
                <c:pt idx="1651">
                  <c:v>44752</c:v>
                </c:pt>
                <c:pt idx="1652">
                  <c:v>44753</c:v>
                </c:pt>
                <c:pt idx="1653">
                  <c:v>44754</c:v>
                </c:pt>
                <c:pt idx="1654">
                  <c:v>44755</c:v>
                </c:pt>
                <c:pt idx="1655">
                  <c:v>44756</c:v>
                </c:pt>
                <c:pt idx="1656">
                  <c:v>44757</c:v>
                </c:pt>
                <c:pt idx="1657">
                  <c:v>44758</c:v>
                </c:pt>
                <c:pt idx="1658">
                  <c:v>44759</c:v>
                </c:pt>
                <c:pt idx="1659">
                  <c:v>44760</c:v>
                </c:pt>
                <c:pt idx="1660">
                  <c:v>44761</c:v>
                </c:pt>
                <c:pt idx="1661">
                  <c:v>44762</c:v>
                </c:pt>
                <c:pt idx="1662">
                  <c:v>44763</c:v>
                </c:pt>
                <c:pt idx="1663">
                  <c:v>44764</c:v>
                </c:pt>
                <c:pt idx="1664">
                  <c:v>44765</c:v>
                </c:pt>
                <c:pt idx="1665">
                  <c:v>44766</c:v>
                </c:pt>
                <c:pt idx="1666">
                  <c:v>44767</c:v>
                </c:pt>
                <c:pt idx="1667">
                  <c:v>44768</c:v>
                </c:pt>
                <c:pt idx="1668">
                  <c:v>44769</c:v>
                </c:pt>
                <c:pt idx="1669">
                  <c:v>44770</c:v>
                </c:pt>
                <c:pt idx="1670">
                  <c:v>44771</c:v>
                </c:pt>
                <c:pt idx="1671">
                  <c:v>44772</c:v>
                </c:pt>
                <c:pt idx="1672">
                  <c:v>44773</c:v>
                </c:pt>
                <c:pt idx="1673">
                  <c:v>44774</c:v>
                </c:pt>
                <c:pt idx="1674">
                  <c:v>44775</c:v>
                </c:pt>
                <c:pt idx="1675">
                  <c:v>44776</c:v>
                </c:pt>
                <c:pt idx="1676">
                  <c:v>44777</c:v>
                </c:pt>
                <c:pt idx="1677">
                  <c:v>44778</c:v>
                </c:pt>
                <c:pt idx="1678">
                  <c:v>44779</c:v>
                </c:pt>
                <c:pt idx="1679">
                  <c:v>44780</c:v>
                </c:pt>
                <c:pt idx="1680">
                  <c:v>44781</c:v>
                </c:pt>
                <c:pt idx="1681">
                  <c:v>44782</c:v>
                </c:pt>
                <c:pt idx="1682">
                  <c:v>44783</c:v>
                </c:pt>
                <c:pt idx="1683">
                  <c:v>44784</c:v>
                </c:pt>
                <c:pt idx="1684">
                  <c:v>44785</c:v>
                </c:pt>
                <c:pt idx="1685">
                  <c:v>44786</c:v>
                </c:pt>
                <c:pt idx="1686">
                  <c:v>44787</c:v>
                </c:pt>
                <c:pt idx="1687">
                  <c:v>44788</c:v>
                </c:pt>
                <c:pt idx="1688">
                  <c:v>44789</c:v>
                </c:pt>
                <c:pt idx="1689">
                  <c:v>44790</c:v>
                </c:pt>
                <c:pt idx="1690">
                  <c:v>44791</c:v>
                </c:pt>
                <c:pt idx="1691">
                  <c:v>44792</c:v>
                </c:pt>
                <c:pt idx="1692">
                  <c:v>44793</c:v>
                </c:pt>
                <c:pt idx="1693">
                  <c:v>44794</c:v>
                </c:pt>
                <c:pt idx="1694">
                  <c:v>44795</c:v>
                </c:pt>
                <c:pt idx="1695">
                  <c:v>44796</c:v>
                </c:pt>
                <c:pt idx="1696">
                  <c:v>44797</c:v>
                </c:pt>
                <c:pt idx="1697">
                  <c:v>44798</c:v>
                </c:pt>
                <c:pt idx="1698">
                  <c:v>44799</c:v>
                </c:pt>
                <c:pt idx="1699">
                  <c:v>44800</c:v>
                </c:pt>
                <c:pt idx="1700">
                  <c:v>44801</c:v>
                </c:pt>
                <c:pt idx="1701">
                  <c:v>44802</c:v>
                </c:pt>
                <c:pt idx="1702">
                  <c:v>44803</c:v>
                </c:pt>
                <c:pt idx="1703">
                  <c:v>44804</c:v>
                </c:pt>
                <c:pt idx="1704">
                  <c:v>44805</c:v>
                </c:pt>
                <c:pt idx="1705">
                  <c:v>44806</c:v>
                </c:pt>
                <c:pt idx="1706">
                  <c:v>44807</c:v>
                </c:pt>
                <c:pt idx="1707">
                  <c:v>44808</c:v>
                </c:pt>
                <c:pt idx="1708">
                  <c:v>44809</c:v>
                </c:pt>
                <c:pt idx="1709">
                  <c:v>44810</c:v>
                </c:pt>
                <c:pt idx="1710">
                  <c:v>44811</c:v>
                </c:pt>
                <c:pt idx="1711">
                  <c:v>44812</c:v>
                </c:pt>
                <c:pt idx="1712">
                  <c:v>44813</c:v>
                </c:pt>
                <c:pt idx="1713">
                  <c:v>44814</c:v>
                </c:pt>
                <c:pt idx="1714">
                  <c:v>44815</c:v>
                </c:pt>
                <c:pt idx="1715">
                  <c:v>44816</c:v>
                </c:pt>
                <c:pt idx="1716">
                  <c:v>44817</c:v>
                </c:pt>
                <c:pt idx="1717">
                  <c:v>44818</c:v>
                </c:pt>
                <c:pt idx="1718">
                  <c:v>44819</c:v>
                </c:pt>
                <c:pt idx="1719">
                  <c:v>44820</c:v>
                </c:pt>
                <c:pt idx="1720">
                  <c:v>44821</c:v>
                </c:pt>
                <c:pt idx="1721">
                  <c:v>44822</c:v>
                </c:pt>
                <c:pt idx="1722">
                  <c:v>44823</c:v>
                </c:pt>
                <c:pt idx="1723">
                  <c:v>44824</c:v>
                </c:pt>
                <c:pt idx="1724">
                  <c:v>44825</c:v>
                </c:pt>
                <c:pt idx="1725">
                  <c:v>44826</c:v>
                </c:pt>
                <c:pt idx="1726">
                  <c:v>44827</c:v>
                </c:pt>
                <c:pt idx="1727">
                  <c:v>44828</c:v>
                </c:pt>
                <c:pt idx="1728">
                  <c:v>44829</c:v>
                </c:pt>
                <c:pt idx="1729">
                  <c:v>44830</c:v>
                </c:pt>
                <c:pt idx="1730">
                  <c:v>44831</c:v>
                </c:pt>
                <c:pt idx="1731">
                  <c:v>44832</c:v>
                </c:pt>
                <c:pt idx="1732">
                  <c:v>44833</c:v>
                </c:pt>
                <c:pt idx="1733">
                  <c:v>44834</c:v>
                </c:pt>
                <c:pt idx="1734">
                  <c:v>44835</c:v>
                </c:pt>
                <c:pt idx="1735">
                  <c:v>44836</c:v>
                </c:pt>
                <c:pt idx="1736">
                  <c:v>44837</c:v>
                </c:pt>
                <c:pt idx="1737">
                  <c:v>44838</c:v>
                </c:pt>
                <c:pt idx="1738">
                  <c:v>44839</c:v>
                </c:pt>
                <c:pt idx="1739">
                  <c:v>44840</c:v>
                </c:pt>
                <c:pt idx="1740">
                  <c:v>44841</c:v>
                </c:pt>
                <c:pt idx="1741">
                  <c:v>44842</c:v>
                </c:pt>
                <c:pt idx="1742">
                  <c:v>44843</c:v>
                </c:pt>
                <c:pt idx="1743">
                  <c:v>44844</c:v>
                </c:pt>
                <c:pt idx="1744">
                  <c:v>44845</c:v>
                </c:pt>
                <c:pt idx="1745">
                  <c:v>44846</c:v>
                </c:pt>
                <c:pt idx="1746">
                  <c:v>44847</c:v>
                </c:pt>
                <c:pt idx="1747">
                  <c:v>44848</c:v>
                </c:pt>
                <c:pt idx="1748">
                  <c:v>44849</c:v>
                </c:pt>
                <c:pt idx="1749">
                  <c:v>44850</c:v>
                </c:pt>
                <c:pt idx="1750">
                  <c:v>44851</c:v>
                </c:pt>
                <c:pt idx="1751">
                  <c:v>44852</c:v>
                </c:pt>
                <c:pt idx="1752">
                  <c:v>44853</c:v>
                </c:pt>
                <c:pt idx="1753">
                  <c:v>44854</c:v>
                </c:pt>
                <c:pt idx="1754">
                  <c:v>44855</c:v>
                </c:pt>
                <c:pt idx="1755">
                  <c:v>44856</c:v>
                </c:pt>
                <c:pt idx="1756">
                  <c:v>44857</c:v>
                </c:pt>
                <c:pt idx="1757">
                  <c:v>44858</c:v>
                </c:pt>
                <c:pt idx="1758">
                  <c:v>44859</c:v>
                </c:pt>
                <c:pt idx="1759">
                  <c:v>44860</c:v>
                </c:pt>
                <c:pt idx="1760">
                  <c:v>44861</c:v>
                </c:pt>
                <c:pt idx="1761">
                  <c:v>44862</c:v>
                </c:pt>
                <c:pt idx="1762">
                  <c:v>44863</c:v>
                </c:pt>
                <c:pt idx="1763">
                  <c:v>44864</c:v>
                </c:pt>
                <c:pt idx="1764">
                  <c:v>44865</c:v>
                </c:pt>
                <c:pt idx="1765">
                  <c:v>44866</c:v>
                </c:pt>
                <c:pt idx="1766">
                  <c:v>44867</c:v>
                </c:pt>
                <c:pt idx="1767">
                  <c:v>44868</c:v>
                </c:pt>
                <c:pt idx="1768">
                  <c:v>44869</c:v>
                </c:pt>
                <c:pt idx="1769">
                  <c:v>44870</c:v>
                </c:pt>
                <c:pt idx="1770">
                  <c:v>44871</c:v>
                </c:pt>
                <c:pt idx="1771">
                  <c:v>44872</c:v>
                </c:pt>
                <c:pt idx="1772">
                  <c:v>44873</c:v>
                </c:pt>
                <c:pt idx="1773">
                  <c:v>44874</c:v>
                </c:pt>
                <c:pt idx="1774">
                  <c:v>44875</c:v>
                </c:pt>
                <c:pt idx="1775">
                  <c:v>44876</c:v>
                </c:pt>
                <c:pt idx="1776">
                  <c:v>44877</c:v>
                </c:pt>
                <c:pt idx="1777">
                  <c:v>44878</c:v>
                </c:pt>
                <c:pt idx="1778">
                  <c:v>44879</c:v>
                </c:pt>
                <c:pt idx="1779">
                  <c:v>44880</c:v>
                </c:pt>
                <c:pt idx="1780">
                  <c:v>44881</c:v>
                </c:pt>
                <c:pt idx="1781">
                  <c:v>44882</c:v>
                </c:pt>
                <c:pt idx="1782">
                  <c:v>44883</c:v>
                </c:pt>
                <c:pt idx="1783">
                  <c:v>44884</c:v>
                </c:pt>
                <c:pt idx="1784">
                  <c:v>44885</c:v>
                </c:pt>
                <c:pt idx="1785">
                  <c:v>44886</c:v>
                </c:pt>
                <c:pt idx="1786">
                  <c:v>44887</c:v>
                </c:pt>
                <c:pt idx="1787">
                  <c:v>44888</c:v>
                </c:pt>
                <c:pt idx="1788">
                  <c:v>44889</c:v>
                </c:pt>
                <c:pt idx="1789">
                  <c:v>44890</c:v>
                </c:pt>
                <c:pt idx="1790">
                  <c:v>44891</c:v>
                </c:pt>
                <c:pt idx="1791">
                  <c:v>44892</c:v>
                </c:pt>
                <c:pt idx="1792">
                  <c:v>44893</c:v>
                </c:pt>
                <c:pt idx="1793">
                  <c:v>44894</c:v>
                </c:pt>
                <c:pt idx="1794">
                  <c:v>44895</c:v>
                </c:pt>
                <c:pt idx="1795">
                  <c:v>44896</c:v>
                </c:pt>
                <c:pt idx="1796">
                  <c:v>44897</c:v>
                </c:pt>
                <c:pt idx="1797">
                  <c:v>44898</c:v>
                </c:pt>
                <c:pt idx="1798">
                  <c:v>44899</c:v>
                </c:pt>
                <c:pt idx="1799">
                  <c:v>44900</c:v>
                </c:pt>
                <c:pt idx="1800">
                  <c:v>44901</c:v>
                </c:pt>
                <c:pt idx="1801">
                  <c:v>44902</c:v>
                </c:pt>
                <c:pt idx="1802">
                  <c:v>44903</c:v>
                </c:pt>
                <c:pt idx="1803">
                  <c:v>44904</c:v>
                </c:pt>
                <c:pt idx="1804">
                  <c:v>44905</c:v>
                </c:pt>
                <c:pt idx="1805">
                  <c:v>44906</c:v>
                </c:pt>
                <c:pt idx="1806">
                  <c:v>44907</c:v>
                </c:pt>
                <c:pt idx="1807">
                  <c:v>44908</c:v>
                </c:pt>
                <c:pt idx="1808">
                  <c:v>44909</c:v>
                </c:pt>
                <c:pt idx="1809">
                  <c:v>44910</c:v>
                </c:pt>
                <c:pt idx="1810">
                  <c:v>44911</c:v>
                </c:pt>
                <c:pt idx="1811">
                  <c:v>44912</c:v>
                </c:pt>
                <c:pt idx="1812">
                  <c:v>44913</c:v>
                </c:pt>
                <c:pt idx="1813">
                  <c:v>44914</c:v>
                </c:pt>
                <c:pt idx="1814">
                  <c:v>44915</c:v>
                </c:pt>
                <c:pt idx="1815">
                  <c:v>44916</c:v>
                </c:pt>
                <c:pt idx="1816">
                  <c:v>44917</c:v>
                </c:pt>
                <c:pt idx="1817">
                  <c:v>44918</c:v>
                </c:pt>
                <c:pt idx="1818">
                  <c:v>44919</c:v>
                </c:pt>
                <c:pt idx="1819">
                  <c:v>44920</c:v>
                </c:pt>
                <c:pt idx="1820">
                  <c:v>44921</c:v>
                </c:pt>
                <c:pt idx="1821">
                  <c:v>44922</c:v>
                </c:pt>
                <c:pt idx="1822">
                  <c:v>44923</c:v>
                </c:pt>
                <c:pt idx="1823">
                  <c:v>44924</c:v>
                </c:pt>
                <c:pt idx="1824">
                  <c:v>44925</c:v>
                </c:pt>
                <c:pt idx="1825">
                  <c:v>44926</c:v>
                </c:pt>
                <c:pt idx="1826">
                  <c:v>44927</c:v>
                </c:pt>
                <c:pt idx="1827">
                  <c:v>44928</c:v>
                </c:pt>
                <c:pt idx="1828">
                  <c:v>44929</c:v>
                </c:pt>
                <c:pt idx="1829">
                  <c:v>44930</c:v>
                </c:pt>
                <c:pt idx="1830">
                  <c:v>44931</c:v>
                </c:pt>
                <c:pt idx="1831">
                  <c:v>44932</c:v>
                </c:pt>
                <c:pt idx="1832">
                  <c:v>44933</c:v>
                </c:pt>
                <c:pt idx="1833">
                  <c:v>44934</c:v>
                </c:pt>
                <c:pt idx="1834">
                  <c:v>44935</c:v>
                </c:pt>
                <c:pt idx="1835">
                  <c:v>44936</c:v>
                </c:pt>
                <c:pt idx="1836">
                  <c:v>44937</c:v>
                </c:pt>
                <c:pt idx="1837">
                  <c:v>44938</c:v>
                </c:pt>
                <c:pt idx="1838">
                  <c:v>44939</c:v>
                </c:pt>
                <c:pt idx="1839">
                  <c:v>44940</c:v>
                </c:pt>
                <c:pt idx="1840">
                  <c:v>44941</c:v>
                </c:pt>
                <c:pt idx="1841">
                  <c:v>44942</c:v>
                </c:pt>
                <c:pt idx="1842">
                  <c:v>44943</c:v>
                </c:pt>
                <c:pt idx="1843">
                  <c:v>44944</c:v>
                </c:pt>
                <c:pt idx="1844">
                  <c:v>44945</c:v>
                </c:pt>
                <c:pt idx="1845">
                  <c:v>44946</c:v>
                </c:pt>
                <c:pt idx="1846">
                  <c:v>44947</c:v>
                </c:pt>
                <c:pt idx="1847">
                  <c:v>44948</c:v>
                </c:pt>
                <c:pt idx="1848">
                  <c:v>44949</c:v>
                </c:pt>
                <c:pt idx="1849">
                  <c:v>44950</c:v>
                </c:pt>
                <c:pt idx="1850">
                  <c:v>44951</c:v>
                </c:pt>
                <c:pt idx="1851">
                  <c:v>44952</c:v>
                </c:pt>
                <c:pt idx="1852">
                  <c:v>44953</c:v>
                </c:pt>
                <c:pt idx="1853">
                  <c:v>44954</c:v>
                </c:pt>
                <c:pt idx="1854">
                  <c:v>44955</c:v>
                </c:pt>
                <c:pt idx="1855">
                  <c:v>44956</c:v>
                </c:pt>
                <c:pt idx="1856">
                  <c:v>44957</c:v>
                </c:pt>
                <c:pt idx="1857">
                  <c:v>44958</c:v>
                </c:pt>
                <c:pt idx="1858">
                  <c:v>44959</c:v>
                </c:pt>
                <c:pt idx="1859">
                  <c:v>44960</c:v>
                </c:pt>
                <c:pt idx="1860">
                  <c:v>44961</c:v>
                </c:pt>
                <c:pt idx="1861">
                  <c:v>44962</c:v>
                </c:pt>
                <c:pt idx="1862">
                  <c:v>44963</c:v>
                </c:pt>
                <c:pt idx="1863">
                  <c:v>44964</c:v>
                </c:pt>
                <c:pt idx="1864">
                  <c:v>44965</c:v>
                </c:pt>
                <c:pt idx="1865">
                  <c:v>44966</c:v>
                </c:pt>
                <c:pt idx="1866">
                  <c:v>44967</c:v>
                </c:pt>
                <c:pt idx="1867">
                  <c:v>44968</c:v>
                </c:pt>
                <c:pt idx="1868">
                  <c:v>44969</c:v>
                </c:pt>
                <c:pt idx="1869">
                  <c:v>44970</c:v>
                </c:pt>
                <c:pt idx="1870">
                  <c:v>44971</c:v>
                </c:pt>
                <c:pt idx="1871">
                  <c:v>44972</c:v>
                </c:pt>
                <c:pt idx="1872">
                  <c:v>44973</c:v>
                </c:pt>
                <c:pt idx="1873">
                  <c:v>44974</c:v>
                </c:pt>
                <c:pt idx="1874">
                  <c:v>44975</c:v>
                </c:pt>
                <c:pt idx="1875">
                  <c:v>44976</c:v>
                </c:pt>
                <c:pt idx="1876">
                  <c:v>44977</c:v>
                </c:pt>
                <c:pt idx="1877">
                  <c:v>44978</c:v>
                </c:pt>
                <c:pt idx="1878">
                  <c:v>44979</c:v>
                </c:pt>
                <c:pt idx="1879">
                  <c:v>44980</c:v>
                </c:pt>
                <c:pt idx="1880">
                  <c:v>44981</c:v>
                </c:pt>
                <c:pt idx="1881">
                  <c:v>44982</c:v>
                </c:pt>
                <c:pt idx="1882">
                  <c:v>44983</c:v>
                </c:pt>
                <c:pt idx="1883">
                  <c:v>44984</c:v>
                </c:pt>
                <c:pt idx="1884">
                  <c:v>44985</c:v>
                </c:pt>
                <c:pt idx="1885">
                  <c:v>44986</c:v>
                </c:pt>
                <c:pt idx="1886">
                  <c:v>44987</c:v>
                </c:pt>
                <c:pt idx="1887">
                  <c:v>44988</c:v>
                </c:pt>
                <c:pt idx="1888">
                  <c:v>44989</c:v>
                </c:pt>
                <c:pt idx="1889">
                  <c:v>44990</c:v>
                </c:pt>
                <c:pt idx="1890">
                  <c:v>44991</c:v>
                </c:pt>
                <c:pt idx="1891">
                  <c:v>44992</c:v>
                </c:pt>
                <c:pt idx="1892">
                  <c:v>44993</c:v>
                </c:pt>
                <c:pt idx="1893">
                  <c:v>44994</c:v>
                </c:pt>
                <c:pt idx="1894">
                  <c:v>44995</c:v>
                </c:pt>
                <c:pt idx="1895">
                  <c:v>44996</c:v>
                </c:pt>
                <c:pt idx="1896">
                  <c:v>44997</c:v>
                </c:pt>
                <c:pt idx="1897">
                  <c:v>44998</c:v>
                </c:pt>
                <c:pt idx="1898">
                  <c:v>44999</c:v>
                </c:pt>
                <c:pt idx="1899">
                  <c:v>45000</c:v>
                </c:pt>
                <c:pt idx="1900">
                  <c:v>45001</c:v>
                </c:pt>
                <c:pt idx="1901">
                  <c:v>45002</c:v>
                </c:pt>
                <c:pt idx="1902">
                  <c:v>45003</c:v>
                </c:pt>
                <c:pt idx="1903">
                  <c:v>45004</c:v>
                </c:pt>
                <c:pt idx="1904">
                  <c:v>45005</c:v>
                </c:pt>
                <c:pt idx="1905">
                  <c:v>45006</c:v>
                </c:pt>
                <c:pt idx="1906">
                  <c:v>45007</c:v>
                </c:pt>
                <c:pt idx="1907">
                  <c:v>45008</c:v>
                </c:pt>
                <c:pt idx="1908">
                  <c:v>45009</c:v>
                </c:pt>
                <c:pt idx="1909">
                  <c:v>45010</c:v>
                </c:pt>
                <c:pt idx="1910">
                  <c:v>45011</c:v>
                </c:pt>
                <c:pt idx="1911">
                  <c:v>45012</c:v>
                </c:pt>
                <c:pt idx="1912">
                  <c:v>45013</c:v>
                </c:pt>
                <c:pt idx="1913">
                  <c:v>45014</c:v>
                </c:pt>
                <c:pt idx="1914">
                  <c:v>45015</c:v>
                </c:pt>
                <c:pt idx="1915">
                  <c:v>45016</c:v>
                </c:pt>
                <c:pt idx="1916">
                  <c:v>45017</c:v>
                </c:pt>
                <c:pt idx="1917">
                  <c:v>45018</c:v>
                </c:pt>
                <c:pt idx="1918">
                  <c:v>45019</c:v>
                </c:pt>
                <c:pt idx="1919">
                  <c:v>45020</c:v>
                </c:pt>
                <c:pt idx="1920">
                  <c:v>45021</c:v>
                </c:pt>
                <c:pt idx="1921">
                  <c:v>45022</c:v>
                </c:pt>
                <c:pt idx="1922">
                  <c:v>45023</c:v>
                </c:pt>
                <c:pt idx="1923">
                  <c:v>45024</c:v>
                </c:pt>
                <c:pt idx="1924">
                  <c:v>45025</c:v>
                </c:pt>
                <c:pt idx="1925">
                  <c:v>45026</c:v>
                </c:pt>
                <c:pt idx="1926">
                  <c:v>45027</c:v>
                </c:pt>
                <c:pt idx="1927">
                  <c:v>45028</c:v>
                </c:pt>
                <c:pt idx="1928">
                  <c:v>45029</c:v>
                </c:pt>
                <c:pt idx="1929">
                  <c:v>45030</c:v>
                </c:pt>
                <c:pt idx="1930">
                  <c:v>45031</c:v>
                </c:pt>
                <c:pt idx="1931">
                  <c:v>45032</c:v>
                </c:pt>
                <c:pt idx="1932">
                  <c:v>45033</c:v>
                </c:pt>
                <c:pt idx="1933">
                  <c:v>45034</c:v>
                </c:pt>
                <c:pt idx="1934">
                  <c:v>45035</c:v>
                </c:pt>
                <c:pt idx="1935">
                  <c:v>45036</c:v>
                </c:pt>
                <c:pt idx="1936">
                  <c:v>45037</c:v>
                </c:pt>
                <c:pt idx="1937">
                  <c:v>45038</c:v>
                </c:pt>
                <c:pt idx="1938">
                  <c:v>45039</c:v>
                </c:pt>
                <c:pt idx="1939">
                  <c:v>45040</c:v>
                </c:pt>
                <c:pt idx="1940">
                  <c:v>45041</c:v>
                </c:pt>
                <c:pt idx="1941">
                  <c:v>45042</c:v>
                </c:pt>
                <c:pt idx="1942">
                  <c:v>45043</c:v>
                </c:pt>
                <c:pt idx="1943">
                  <c:v>45044</c:v>
                </c:pt>
                <c:pt idx="1944">
                  <c:v>45045</c:v>
                </c:pt>
                <c:pt idx="1945">
                  <c:v>45046</c:v>
                </c:pt>
                <c:pt idx="1946">
                  <c:v>45047</c:v>
                </c:pt>
                <c:pt idx="1947">
                  <c:v>45048</c:v>
                </c:pt>
                <c:pt idx="1948">
                  <c:v>45049</c:v>
                </c:pt>
                <c:pt idx="1949">
                  <c:v>45050</c:v>
                </c:pt>
                <c:pt idx="1950">
                  <c:v>45051</c:v>
                </c:pt>
                <c:pt idx="1951">
                  <c:v>45052</c:v>
                </c:pt>
                <c:pt idx="1952">
                  <c:v>45053</c:v>
                </c:pt>
                <c:pt idx="1953">
                  <c:v>45054</c:v>
                </c:pt>
                <c:pt idx="1954">
                  <c:v>45055</c:v>
                </c:pt>
                <c:pt idx="1955">
                  <c:v>45056</c:v>
                </c:pt>
                <c:pt idx="1956">
                  <c:v>45057</c:v>
                </c:pt>
                <c:pt idx="1957">
                  <c:v>45058</c:v>
                </c:pt>
                <c:pt idx="1958">
                  <c:v>45059</c:v>
                </c:pt>
                <c:pt idx="1959">
                  <c:v>45060</c:v>
                </c:pt>
                <c:pt idx="1960">
                  <c:v>45061</c:v>
                </c:pt>
                <c:pt idx="1961">
                  <c:v>45062</c:v>
                </c:pt>
                <c:pt idx="1962">
                  <c:v>45063</c:v>
                </c:pt>
                <c:pt idx="1963">
                  <c:v>45064</c:v>
                </c:pt>
                <c:pt idx="1964">
                  <c:v>45065</c:v>
                </c:pt>
                <c:pt idx="1965">
                  <c:v>45066</c:v>
                </c:pt>
                <c:pt idx="1966">
                  <c:v>45067</c:v>
                </c:pt>
                <c:pt idx="1967">
                  <c:v>45068</c:v>
                </c:pt>
                <c:pt idx="1968">
                  <c:v>45069</c:v>
                </c:pt>
                <c:pt idx="1969">
                  <c:v>45070</c:v>
                </c:pt>
                <c:pt idx="1970">
                  <c:v>45071</c:v>
                </c:pt>
                <c:pt idx="1971">
                  <c:v>45072</c:v>
                </c:pt>
                <c:pt idx="1972">
                  <c:v>45073</c:v>
                </c:pt>
                <c:pt idx="1973">
                  <c:v>45074</c:v>
                </c:pt>
                <c:pt idx="1974">
                  <c:v>45075</c:v>
                </c:pt>
                <c:pt idx="1975">
                  <c:v>45076</c:v>
                </c:pt>
                <c:pt idx="1976">
                  <c:v>45077</c:v>
                </c:pt>
                <c:pt idx="1977">
                  <c:v>45078</c:v>
                </c:pt>
                <c:pt idx="1978">
                  <c:v>45079</c:v>
                </c:pt>
                <c:pt idx="1979">
                  <c:v>45080</c:v>
                </c:pt>
                <c:pt idx="1980">
                  <c:v>45081</c:v>
                </c:pt>
                <c:pt idx="1981">
                  <c:v>45082</c:v>
                </c:pt>
                <c:pt idx="1982">
                  <c:v>45083</c:v>
                </c:pt>
                <c:pt idx="1983">
                  <c:v>45084</c:v>
                </c:pt>
                <c:pt idx="1984">
                  <c:v>45085</c:v>
                </c:pt>
                <c:pt idx="1985">
                  <c:v>45086</c:v>
                </c:pt>
                <c:pt idx="1986">
                  <c:v>45087</c:v>
                </c:pt>
                <c:pt idx="1987">
                  <c:v>45088</c:v>
                </c:pt>
                <c:pt idx="1988">
                  <c:v>45089</c:v>
                </c:pt>
                <c:pt idx="1989">
                  <c:v>45090</c:v>
                </c:pt>
                <c:pt idx="1990">
                  <c:v>45091</c:v>
                </c:pt>
                <c:pt idx="1991">
                  <c:v>45092</c:v>
                </c:pt>
                <c:pt idx="1992">
                  <c:v>45093</c:v>
                </c:pt>
                <c:pt idx="1993">
                  <c:v>45094</c:v>
                </c:pt>
                <c:pt idx="1994">
                  <c:v>45095</c:v>
                </c:pt>
                <c:pt idx="1995">
                  <c:v>45096</c:v>
                </c:pt>
                <c:pt idx="1996">
                  <c:v>45097</c:v>
                </c:pt>
                <c:pt idx="1997">
                  <c:v>45098</c:v>
                </c:pt>
                <c:pt idx="1998">
                  <c:v>45099</c:v>
                </c:pt>
                <c:pt idx="1999">
                  <c:v>45100</c:v>
                </c:pt>
                <c:pt idx="2000">
                  <c:v>45101</c:v>
                </c:pt>
                <c:pt idx="2001">
                  <c:v>45102</c:v>
                </c:pt>
                <c:pt idx="2002">
                  <c:v>45103</c:v>
                </c:pt>
                <c:pt idx="2003">
                  <c:v>45104</c:v>
                </c:pt>
                <c:pt idx="2004">
                  <c:v>45105</c:v>
                </c:pt>
                <c:pt idx="2005">
                  <c:v>45106</c:v>
                </c:pt>
                <c:pt idx="2006">
                  <c:v>45107</c:v>
                </c:pt>
                <c:pt idx="2007">
                  <c:v>45108</c:v>
                </c:pt>
                <c:pt idx="2008">
                  <c:v>45109</c:v>
                </c:pt>
                <c:pt idx="2009">
                  <c:v>45110</c:v>
                </c:pt>
                <c:pt idx="2010">
                  <c:v>45111</c:v>
                </c:pt>
                <c:pt idx="2011">
                  <c:v>45112</c:v>
                </c:pt>
                <c:pt idx="2012">
                  <c:v>45113</c:v>
                </c:pt>
                <c:pt idx="2013">
                  <c:v>45114</c:v>
                </c:pt>
                <c:pt idx="2014">
                  <c:v>45115</c:v>
                </c:pt>
                <c:pt idx="2015">
                  <c:v>45116</c:v>
                </c:pt>
                <c:pt idx="2016">
                  <c:v>45117</c:v>
                </c:pt>
                <c:pt idx="2017">
                  <c:v>45118</c:v>
                </c:pt>
                <c:pt idx="2018">
                  <c:v>45119</c:v>
                </c:pt>
                <c:pt idx="2019">
                  <c:v>45120</c:v>
                </c:pt>
                <c:pt idx="2020">
                  <c:v>45121</c:v>
                </c:pt>
                <c:pt idx="2021">
                  <c:v>45122</c:v>
                </c:pt>
                <c:pt idx="2022">
                  <c:v>45123</c:v>
                </c:pt>
                <c:pt idx="2023">
                  <c:v>45124</c:v>
                </c:pt>
                <c:pt idx="2024">
                  <c:v>45125</c:v>
                </c:pt>
                <c:pt idx="2025">
                  <c:v>45126</c:v>
                </c:pt>
                <c:pt idx="2026">
                  <c:v>45127</c:v>
                </c:pt>
                <c:pt idx="2027">
                  <c:v>45128</c:v>
                </c:pt>
                <c:pt idx="2028">
                  <c:v>45129</c:v>
                </c:pt>
                <c:pt idx="2029">
                  <c:v>45130</c:v>
                </c:pt>
                <c:pt idx="2030">
                  <c:v>45131</c:v>
                </c:pt>
                <c:pt idx="2031">
                  <c:v>45132</c:v>
                </c:pt>
                <c:pt idx="2032">
                  <c:v>45133</c:v>
                </c:pt>
                <c:pt idx="2033">
                  <c:v>45134</c:v>
                </c:pt>
                <c:pt idx="2034">
                  <c:v>45135</c:v>
                </c:pt>
                <c:pt idx="2035">
                  <c:v>45136</c:v>
                </c:pt>
                <c:pt idx="2036">
                  <c:v>45137</c:v>
                </c:pt>
                <c:pt idx="2037">
                  <c:v>45138</c:v>
                </c:pt>
                <c:pt idx="2038">
                  <c:v>45139</c:v>
                </c:pt>
                <c:pt idx="2039">
                  <c:v>45140</c:v>
                </c:pt>
                <c:pt idx="2040">
                  <c:v>45141</c:v>
                </c:pt>
                <c:pt idx="2041">
                  <c:v>45142</c:v>
                </c:pt>
                <c:pt idx="2042">
                  <c:v>45143</c:v>
                </c:pt>
                <c:pt idx="2043">
                  <c:v>45144</c:v>
                </c:pt>
                <c:pt idx="2044">
                  <c:v>45145</c:v>
                </c:pt>
                <c:pt idx="2045">
                  <c:v>45146</c:v>
                </c:pt>
                <c:pt idx="2046">
                  <c:v>45147</c:v>
                </c:pt>
                <c:pt idx="2047">
                  <c:v>45148</c:v>
                </c:pt>
                <c:pt idx="2048">
                  <c:v>45149</c:v>
                </c:pt>
                <c:pt idx="2049">
                  <c:v>45150</c:v>
                </c:pt>
                <c:pt idx="2050">
                  <c:v>45151</c:v>
                </c:pt>
                <c:pt idx="2051">
                  <c:v>45152</c:v>
                </c:pt>
                <c:pt idx="2052">
                  <c:v>45153</c:v>
                </c:pt>
                <c:pt idx="2053">
                  <c:v>45154</c:v>
                </c:pt>
                <c:pt idx="2054">
                  <c:v>45155</c:v>
                </c:pt>
                <c:pt idx="2055">
                  <c:v>45156</c:v>
                </c:pt>
                <c:pt idx="2056">
                  <c:v>45157</c:v>
                </c:pt>
                <c:pt idx="2057">
                  <c:v>45158</c:v>
                </c:pt>
                <c:pt idx="2058">
                  <c:v>45159</c:v>
                </c:pt>
                <c:pt idx="2059">
                  <c:v>45160</c:v>
                </c:pt>
                <c:pt idx="2060">
                  <c:v>45161</c:v>
                </c:pt>
                <c:pt idx="2061">
                  <c:v>45162</c:v>
                </c:pt>
                <c:pt idx="2062">
                  <c:v>45163</c:v>
                </c:pt>
                <c:pt idx="2063">
                  <c:v>45164</c:v>
                </c:pt>
                <c:pt idx="2064">
                  <c:v>45165</c:v>
                </c:pt>
                <c:pt idx="2065">
                  <c:v>45166</c:v>
                </c:pt>
                <c:pt idx="2066">
                  <c:v>45167</c:v>
                </c:pt>
                <c:pt idx="2067">
                  <c:v>45168</c:v>
                </c:pt>
                <c:pt idx="2068">
                  <c:v>45169</c:v>
                </c:pt>
                <c:pt idx="2069">
                  <c:v>45170</c:v>
                </c:pt>
                <c:pt idx="2070">
                  <c:v>45171</c:v>
                </c:pt>
                <c:pt idx="2071">
                  <c:v>45172</c:v>
                </c:pt>
                <c:pt idx="2072">
                  <c:v>45173</c:v>
                </c:pt>
                <c:pt idx="2073">
                  <c:v>45174</c:v>
                </c:pt>
                <c:pt idx="2074">
                  <c:v>45175</c:v>
                </c:pt>
                <c:pt idx="2075">
                  <c:v>45176</c:v>
                </c:pt>
                <c:pt idx="2076">
                  <c:v>45177</c:v>
                </c:pt>
                <c:pt idx="2077">
                  <c:v>45178</c:v>
                </c:pt>
                <c:pt idx="2078">
                  <c:v>45179</c:v>
                </c:pt>
                <c:pt idx="2079">
                  <c:v>45180</c:v>
                </c:pt>
                <c:pt idx="2080">
                  <c:v>45181</c:v>
                </c:pt>
                <c:pt idx="2081">
                  <c:v>45182</c:v>
                </c:pt>
                <c:pt idx="2082">
                  <c:v>45183</c:v>
                </c:pt>
                <c:pt idx="2083">
                  <c:v>45184</c:v>
                </c:pt>
                <c:pt idx="2084">
                  <c:v>45185</c:v>
                </c:pt>
                <c:pt idx="2085">
                  <c:v>45186</c:v>
                </c:pt>
                <c:pt idx="2086">
                  <c:v>45187</c:v>
                </c:pt>
                <c:pt idx="2087">
                  <c:v>45188</c:v>
                </c:pt>
                <c:pt idx="2088">
                  <c:v>45189</c:v>
                </c:pt>
                <c:pt idx="2089">
                  <c:v>45190</c:v>
                </c:pt>
                <c:pt idx="2090">
                  <c:v>45191</c:v>
                </c:pt>
                <c:pt idx="2091">
                  <c:v>45192</c:v>
                </c:pt>
                <c:pt idx="2092">
                  <c:v>45193</c:v>
                </c:pt>
                <c:pt idx="2093">
                  <c:v>45194</c:v>
                </c:pt>
                <c:pt idx="2094">
                  <c:v>45195</c:v>
                </c:pt>
                <c:pt idx="2095">
                  <c:v>45196</c:v>
                </c:pt>
                <c:pt idx="2096">
                  <c:v>45197</c:v>
                </c:pt>
                <c:pt idx="2097">
                  <c:v>45198</c:v>
                </c:pt>
                <c:pt idx="2098">
                  <c:v>45199</c:v>
                </c:pt>
                <c:pt idx="2099">
                  <c:v>45200</c:v>
                </c:pt>
                <c:pt idx="2100">
                  <c:v>45201</c:v>
                </c:pt>
                <c:pt idx="2101">
                  <c:v>45202</c:v>
                </c:pt>
                <c:pt idx="2102">
                  <c:v>45203</c:v>
                </c:pt>
                <c:pt idx="2103">
                  <c:v>45204</c:v>
                </c:pt>
                <c:pt idx="2104">
                  <c:v>45205</c:v>
                </c:pt>
                <c:pt idx="2105">
                  <c:v>45206</c:v>
                </c:pt>
                <c:pt idx="2106">
                  <c:v>45207</c:v>
                </c:pt>
                <c:pt idx="2107">
                  <c:v>45208</c:v>
                </c:pt>
                <c:pt idx="2108">
                  <c:v>45209</c:v>
                </c:pt>
                <c:pt idx="2109">
                  <c:v>45210</c:v>
                </c:pt>
                <c:pt idx="2110">
                  <c:v>45211</c:v>
                </c:pt>
                <c:pt idx="2111">
                  <c:v>45212</c:v>
                </c:pt>
                <c:pt idx="2112">
                  <c:v>45213</c:v>
                </c:pt>
                <c:pt idx="2113">
                  <c:v>45214</c:v>
                </c:pt>
                <c:pt idx="2114">
                  <c:v>45215</c:v>
                </c:pt>
                <c:pt idx="2115">
                  <c:v>45216</c:v>
                </c:pt>
                <c:pt idx="2116">
                  <c:v>45217</c:v>
                </c:pt>
                <c:pt idx="2117">
                  <c:v>45218</c:v>
                </c:pt>
                <c:pt idx="2118">
                  <c:v>45219</c:v>
                </c:pt>
                <c:pt idx="2119">
                  <c:v>45220</c:v>
                </c:pt>
                <c:pt idx="2120">
                  <c:v>45221</c:v>
                </c:pt>
                <c:pt idx="2121">
                  <c:v>45222</c:v>
                </c:pt>
                <c:pt idx="2122">
                  <c:v>45223</c:v>
                </c:pt>
                <c:pt idx="2123">
                  <c:v>45224</c:v>
                </c:pt>
                <c:pt idx="2124">
                  <c:v>45225</c:v>
                </c:pt>
                <c:pt idx="2125">
                  <c:v>45226</c:v>
                </c:pt>
                <c:pt idx="2126">
                  <c:v>45227</c:v>
                </c:pt>
                <c:pt idx="2127">
                  <c:v>45228</c:v>
                </c:pt>
                <c:pt idx="2128">
                  <c:v>45229</c:v>
                </c:pt>
                <c:pt idx="2129">
                  <c:v>45230</c:v>
                </c:pt>
                <c:pt idx="2130">
                  <c:v>45231</c:v>
                </c:pt>
                <c:pt idx="2131">
                  <c:v>45232</c:v>
                </c:pt>
                <c:pt idx="2132">
                  <c:v>45233</c:v>
                </c:pt>
                <c:pt idx="2133">
                  <c:v>45234</c:v>
                </c:pt>
                <c:pt idx="2134">
                  <c:v>45235</c:v>
                </c:pt>
                <c:pt idx="2135">
                  <c:v>45236</c:v>
                </c:pt>
                <c:pt idx="2136">
                  <c:v>45237</c:v>
                </c:pt>
                <c:pt idx="2137">
                  <c:v>45238</c:v>
                </c:pt>
                <c:pt idx="2138">
                  <c:v>45239</c:v>
                </c:pt>
                <c:pt idx="2139">
                  <c:v>45240</c:v>
                </c:pt>
                <c:pt idx="2140">
                  <c:v>45241</c:v>
                </c:pt>
                <c:pt idx="2141">
                  <c:v>45242</c:v>
                </c:pt>
                <c:pt idx="2142">
                  <c:v>45243</c:v>
                </c:pt>
                <c:pt idx="2143">
                  <c:v>45244</c:v>
                </c:pt>
                <c:pt idx="2144">
                  <c:v>45245</c:v>
                </c:pt>
                <c:pt idx="2145">
                  <c:v>45246</c:v>
                </c:pt>
                <c:pt idx="2146">
                  <c:v>45247</c:v>
                </c:pt>
                <c:pt idx="2147">
                  <c:v>45248</c:v>
                </c:pt>
                <c:pt idx="2148">
                  <c:v>45249</c:v>
                </c:pt>
                <c:pt idx="2149">
                  <c:v>45250</c:v>
                </c:pt>
                <c:pt idx="2150">
                  <c:v>45251</c:v>
                </c:pt>
                <c:pt idx="2151">
                  <c:v>45252</c:v>
                </c:pt>
                <c:pt idx="2152">
                  <c:v>45253</c:v>
                </c:pt>
                <c:pt idx="2153">
                  <c:v>45254</c:v>
                </c:pt>
                <c:pt idx="2154">
                  <c:v>45255</c:v>
                </c:pt>
                <c:pt idx="2155">
                  <c:v>45256</c:v>
                </c:pt>
                <c:pt idx="2156">
                  <c:v>45257</c:v>
                </c:pt>
                <c:pt idx="2157">
                  <c:v>45258</c:v>
                </c:pt>
                <c:pt idx="2158">
                  <c:v>45259</c:v>
                </c:pt>
                <c:pt idx="2159">
                  <c:v>45260</c:v>
                </c:pt>
                <c:pt idx="2160">
                  <c:v>45261</c:v>
                </c:pt>
                <c:pt idx="2161">
                  <c:v>45262</c:v>
                </c:pt>
                <c:pt idx="2162">
                  <c:v>45263</c:v>
                </c:pt>
                <c:pt idx="2163">
                  <c:v>45264</c:v>
                </c:pt>
                <c:pt idx="2164">
                  <c:v>45265</c:v>
                </c:pt>
                <c:pt idx="2165">
                  <c:v>45266</c:v>
                </c:pt>
                <c:pt idx="2166">
                  <c:v>45267</c:v>
                </c:pt>
                <c:pt idx="2167">
                  <c:v>45268</c:v>
                </c:pt>
                <c:pt idx="2168">
                  <c:v>45269</c:v>
                </c:pt>
                <c:pt idx="2169">
                  <c:v>45270</c:v>
                </c:pt>
                <c:pt idx="2170">
                  <c:v>45271</c:v>
                </c:pt>
                <c:pt idx="2171">
                  <c:v>45272</c:v>
                </c:pt>
                <c:pt idx="2172">
                  <c:v>45273</c:v>
                </c:pt>
                <c:pt idx="2173">
                  <c:v>45274</c:v>
                </c:pt>
                <c:pt idx="2174">
                  <c:v>45275</c:v>
                </c:pt>
                <c:pt idx="2175">
                  <c:v>45276</c:v>
                </c:pt>
                <c:pt idx="2176">
                  <c:v>45277</c:v>
                </c:pt>
                <c:pt idx="2177">
                  <c:v>45278</c:v>
                </c:pt>
                <c:pt idx="2178">
                  <c:v>45279</c:v>
                </c:pt>
                <c:pt idx="2179">
                  <c:v>45280</c:v>
                </c:pt>
                <c:pt idx="2180">
                  <c:v>45281</c:v>
                </c:pt>
                <c:pt idx="2181">
                  <c:v>45282</c:v>
                </c:pt>
                <c:pt idx="2182">
                  <c:v>45283</c:v>
                </c:pt>
                <c:pt idx="2183">
                  <c:v>45284</c:v>
                </c:pt>
                <c:pt idx="2184">
                  <c:v>45285</c:v>
                </c:pt>
                <c:pt idx="2185">
                  <c:v>45286</c:v>
                </c:pt>
                <c:pt idx="2186">
                  <c:v>45287</c:v>
                </c:pt>
                <c:pt idx="2187">
                  <c:v>45288</c:v>
                </c:pt>
                <c:pt idx="2188">
                  <c:v>45289</c:v>
                </c:pt>
                <c:pt idx="2189">
                  <c:v>45290</c:v>
                </c:pt>
                <c:pt idx="2190">
                  <c:v>45291</c:v>
                </c:pt>
                <c:pt idx="2191">
                  <c:v>45292</c:v>
                </c:pt>
                <c:pt idx="2192">
                  <c:v>45293</c:v>
                </c:pt>
                <c:pt idx="2193">
                  <c:v>45294</c:v>
                </c:pt>
                <c:pt idx="2194">
                  <c:v>45295</c:v>
                </c:pt>
                <c:pt idx="2195">
                  <c:v>45296</c:v>
                </c:pt>
                <c:pt idx="2196">
                  <c:v>45297</c:v>
                </c:pt>
                <c:pt idx="2197">
                  <c:v>45298</c:v>
                </c:pt>
                <c:pt idx="2198">
                  <c:v>45299</c:v>
                </c:pt>
                <c:pt idx="2199">
                  <c:v>45300</c:v>
                </c:pt>
                <c:pt idx="2200">
                  <c:v>45301</c:v>
                </c:pt>
                <c:pt idx="2201">
                  <c:v>45302</c:v>
                </c:pt>
                <c:pt idx="2202">
                  <c:v>45303</c:v>
                </c:pt>
                <c:pt idx="2203">
                  <c:v>45304</c:v>
                </c:pt>
                <c:pt idx="2204">
                  <c:v>45305</c:v>
                </c:pt>
                <c:pt idx="2205">
                  <c:v>45306</c:v>
                </c:pt>
                <c:pt idx="2206">
                  <c:v>45307</c:v>
                </c:pt>
                <c:pt idx="2207">
                  <c:v>45308</c:v>
                </c:pt>
                <c:pt idx="2208">
                  <c:v>45309</c:v>
                </c:pt>
                <c:pt idx="2209">
                  <c:v>45310</c:v>
                </c:pt>
                <c:pt idx="2210">
                  <c:v>45311</c:v>
                </c:pt>
                <c:pt idx="2211">
                  <c:v>45312</c:v>
                </c:pt>
                <c:pt idx="2212">
                  <c:v>45313</c:v>
                </c:pt>
                <c:pt idx="2213">
                  <c:v>45314</c:v>
                </c:pt>
                <c:pt idx="2214">
                  <c:v>45315</c:v>
                </c:pt>
                <c:pt idx="2215">
                  <c:v>45316</c:v>
                </c:pt>
                <c:pt idx="2216">
                  <c:v>45317</c:v>
                </c:pt>
                <c:pt idx="2217">
                  <c:v>45318</c:v>
                </c:pt>
                <c:pt idx="2218">
                  <c:v>45319</c:v>
                </c:pt>
                <c:pt idx="2219">
                  <c:v>45320</c:v>
                </c:pt>
                <c:pt idx="2220">
                  <c:v>45321</c:v>
                </c:pt>
                <c:pt idx="2221">
                  <c:v>45322</c:v>
                </c:pt>
                <c:pt idx="2222">
                  <c:v>45323</c:v>
                </c:pt>
                <c:pt idx="2223">
                  <c:v>45324</c:v>
                </c:pt>
                <c:pt idx="2224">
                  <c:v>45325</c:v>
                </c:pt>
                <c:pt idx="2225">
                  <c:v>45326</c:v>
                </c:pt>
                <c:pt idx="2226">
                  <c:v>45327</c:v>
                </c:pt>
                <c:pt idx="2227">
                  <c:v>45328</c:v>
                </c:pt>
                <c:pt idx="2228">
                  <c:v>45329</c:v>
                </c:pt>
                <c:pt idx="2229">
                  <c:v>45330</c:v>
                </c:pt>
                <c:pt idx="2230">
                  <c:v>45331</c:v>
                </c:pt>
                <c:pt idx="2231">
                  <c:v>45332</c:v>
                </c:pt>
                <c:pt idx="2232">
                  <c:v>45333</c:v>
                </c:pt>
                <c:pt idx="2233">
                  <c:v>45334</c:v>
                </c:pt>
                <c:pt idx="2234">
                  <c:v>45335</c:v>
                </c:pt>
                <c:pt idx="2235">
                  <c:v>45336</c:v>
                </c:pt>
                <c:pt idx="2236">
                  <c:v>45337</c:v>
                </c:pt>
                <c:pt idx="2237">
                  <c:v>45338</c:v>
                </c:pt>
                <c:pt idx="2238">
                  <c:v>45339</c:v>
                </c:pt>
                <c:pt idx="2239">
                  <c:v>45340</c:v>
                </c:pt>
                <c:pt idx="2240">
                  <c:v>45341</c:v>
                </c:pt>
                <c:pt idx="2241">
                  <c:v>45342</c:v>
                </c:pt>
                <c:pt idx="2242">
                  <c:v>45343</c:v>
                </c:pt>
                <c:pt idx="2243">
                  <c:v>45344</c:v>
                </c:pt>
                <c:pt idx="2244">
                  <c:v>45345</c:v>
                </c:pt>
                <c:pt idx="2245">
                  <c:v>45346</c:v>
                </c:pt>
                <c:pt idx="2246">
                  <c:v>45347</c:v>
                </c:pt>
                <c:pt idx="2247">
                  <c:v>45348</c:v>
                </c:pt>
                <c:pt idx="2248">
                  <c:v>45349</c:v>
                </c:pt>
                <c:pt idx="2249">
                  <c:v>45350</c:v>
                </c:pt>
                <c:pt idx="2250">
                  <c:v>45351</c:v>
                </c:pt>
                <c:pt idx="2251">
                  <c:v>45352</c:v>
                </c:pt>
                <c:pt idx="2252">
                  <c:v>45353</c:v>
                </c:pt>
                <c:pt idx="2253">
                  <c:v>45354</c:v>
                </c:pt>
                <c:pt idx="2254">
                  <c:v>45355</c:v>
                </c:pt>
                <c:pt idx="2255">
                  <c:v>45356</c:v>
                </c:pt>
                <c:pt idx="2256">
                  <c:v>45357</c:v>
                </c:pt>
                <c:pt idx="2257">
                  <c:v>45358</c:v>
                </c:pt>
                <c:pt idx="2258">
                  <c:v>45359</c:v>
                </c:pt>
                <c:pt idx="2259">
                  <c:v>45360</c:v>
                </c:pt>
                <c:pt idx="2260">
                  <c:v>45361</c:v>
                </c:pt>
                <c:pt idx="2261">
                  <c:v>45362</c:v>
                </c:pt>
                <c:pt idx="2262">
                  <c:v>45363</c:v>
                </c:pt>
                <c:pt idx="2263">
                  <c:v>45364</c:v>
                </c:pt>
                <c:pt idx="2264">
                  <c:v>45365</c:v>
                </c:pt>
                <c:pt idx="2265">
                  <c:v>45366</c:v>
                </c:pt>
                <c:pt idx="2266">
                  <c:v>45367</c:v>
                </c:pt>
                <c:pt idx="2267">
                  <c:v>45368</c:v>
                </c:pt>
                <c:pt idx="2268">
                  <c:v>45369</c:v>
                </c:pt>
                <c:pt idx="2269">
                  <c:v>45370</c:v>
                </c:pt>
                <c:pt idx="2270">
                  <c:v>45371</c:v>
                </c:pt>
                <c:pt idx="2271">
                  <c:v>45372</c:v>
                </c:pt>
                <c:pt idx="2272">
                  <c:v>45373</c:v>
                </c:pt>
                <c:pt idx="2273">
                  <c:v>45374</c:v>
                </c:pt>
                <c:pt idx="2274">
                  <c:v>45375</c:v>
                </c:pt>
                <c:pt idx="2275">
                  <c:v>45376</c:v>
                </c:pt>
                <c:pt idx="2276">
                  <c:v>45377</c:v>
                </c:pt>
                <c:pt idx="2277">
                  <c:v>45378</c:v>
                </c:pt>
                <c:pt idx="2278">
                  <c:v>45379</c:v>
                </c:pt>
                <c:pt idx="2279">
                  <c:v>45380</c:v>
                </c:pt>
                <c:pt idx="2280">
                  <c:v>45381</c:v>
                </c:pt>
                <c:pt idx="2281">
                  <c:v>45382</c:v>
                </c:pt>
                <c:pt idx="2282">
                  <c:v>45383</c:v>
                </c:pt>
                <c:pt idx="2283">
                  <c:v>45384</c:v>
                </c:pt>
                <c:pt idx="2284">
                  <c:v>45385</c:v>
                </c:pt>
                <c:pt idx="2285">
                  <c:v>45386</c:v>
                </c:pt>
                <c:pt idx="2286">
                  <c:v>45387</c:v>
                </c:pt>
                <c:pt idx="2287">
                  <c:v>45388</c:v>
                </c:pt>
                <c:pt idx="2288">
                  <c:v>45389</c:v>
                </c:pt>
                <c:pt idx="2289">
                  <c:v>45390</c:v>
                </c:pt>
                <c:pt idx="2290">
                  <c:v>45391</c:v>
                </c:pt>
                <c:pt idx="2291">
                  <c:v>45392</c:v>
                </c:pt>
                <c:pt idx="2292">
                  <c:v>45393</c:v>
                </c:pt>
                <c:pt idx="2293">
                  <c:v>45394</c:v>
                </c:pt>
                <c:pt idx="2294">
                  <c:v>45395</c:v>
                </c:pt>
                <c:pt idx="2295">
                  <c:v>45396</c:v>
                </c:pt>
                <c:pt idx="2296">
                  <c:v>45397</c:v>
                </c:pt>
                <c:pt idx="2297">
                  <c:v>45398</c:v>
                </c:pt>
                <c:pt idx="2298">
                  <c:v>45399</c:v>
                </c:pt>
                <c:pt idx="2299">
                  <c:v>45400</c:v>
                </c:pt>
                <c:pt idx="2300">
                  <c:v>45401</c:v>
                </c:pt>
                <c:pt idx="2301">
                  <c:v>45402</c:v>
                </c:pt>
                <c:pt idx="2302">
                  <c:v>45403</c:v>
                </c:pt>
                <c:pt idx="2303">
                  <c:v>45404</c:v>
                </c:pt>
                <c:pt idx="2304">
                  <c:v>45405</c:v>
                </c:pt>
                <c:pt idx="2305">
                  <c:v>45406</c:v>
                </c:pt>
                <c:pt idx="2306">
                  <c:v>45407</c:v>
                </c:pt>
                <c:pt idx="2307">
                  <c:v>45408</c:v>
                </c:pt>
                <c:pt idx="2308">
                  <c:v>45409</c:v>
                </c:pt>
                <c:pt idx="2309">
                  <c:v>45410</c:v>
                </c:pt>
                <c:pt idx="2310">
                  <c:v>45411</c:v>
                </c:pt>
                <c:pt idx="2311">
                  <c:v>45412</c:v>
                </c:pt>
                <c:pt idx="2312">
                  <c:v>45413</c:v>
                </c:pt>
                <c:pt idx="2313">
                  <c:v>45414</c:v>
                </c:pt>
                <c:pt idx="2314">
                  <c:v>45415</c:v>
                </c:pt>
                <c:pt idx="2315">
                  <c:v>45416</c:v>
                </c:pt>
                <c:pt idx="2316">
                  <c:v>45417</c:v>
                </c:pt>
                <c:pt idx="2317">
                  <c:v>45418</c:v>
                </c:pt>
                <c:pt idx="2318">
                  <c:v>45419</c:v>
                </c:pt>
                <c:pt idx="2319">
                  <c:v>45420</c:v>
                </c:pt>
                <c:pt idx="2320">
                  <c:v>45421</c:v>
                </c:pt>
                <c:pt idx="2321">
                  <c:v>45422</c:v>
                </c:pt>
                <c:pt idx="2322">
                  <c:v>45423</c:v>
                </c:pt>
                <c:pt idx="2323">
                  <c:v>45424</c:v>
                </c:pt>
                <c:pt idx="2324">
                  <c:v>45425</c:v>
                </c:pt>
                <c:pt idx="2325">
                  <c:v>45426</c:v>
                </c:pt>
                <c:pt idx="2326">
                  <c:v>45427</c:v>
                </c:pt>
                <c:pt idx="2327">
                  <c:v>45428</c:v>
                </c:pt>
                <c:pt idx="2328">
                  <c:v>45429</c:v>
                </c:pt>
                <c:pt idx="2329">
                  <c:v>45430</c:v>
                </c:pt>
                <c:pt idx="2330">
                  <c:v>45431</c:v>
                </c:pt>
                <c:pt idx="2331">
                  <c:v>45432</c:v>
                </c:pt>
                <c:pt idx="2332">
                  <c:v>45433</c:v>
                </c:pt>
                <c:pt idx="2333">
                  <c:v>45434</c:v>
                </c:pt>
                <c:pt idx="2334">
                  <c:v>45435</c:v>
                </c:pt>
                <c:pt idx="2335">
                  <c:v>45436</c:v>
                </c:pt>
                <c:pt idx="2336">
                  <c:v>45437</c:v>
                </c:pt>
                <c:pt idx="2337">
                  <c:v>45438</c:v>
                </c:pt>
                <c:pt idx="2338">
                  <c:v>45439</c:v>
                </c:pt>
                <c:pt idx="2339">
                  <c:v>45440</c:v>
                </c:pt>
                <c:pt idx="2340">
                  <c:v>45441</c:v>
                </c:pt>
                <c:pt idx="2341">
                  <c:v>45442</c:v>
                </c:pt>
                <c:pt idx="2342">
                  <c:v>45443</c:v>
                </c:pt>
                <c:pt idx="2343">
                  <c:v>45444</c:v>
                </c:pt>
                <c:pt idx="2344">
                  <c:v>45445</c:v>
                </c:pt>
                <c:pt idx="2345">
                  <c:v>45446</c:v>
                </c:pt>
                <c:pt idx="2346">
                  <c:v>45447</c:v>
                </c:pt>
                <c:pt idx="2347">
                  <c:v>45448</c:v>
                </c:pt>
                <c:pt idx="2348">
                  <c:v>45449</c:v>
                </c:pt>
                <c:pt idx="2349">
                  <c:v>45450</c:v>
                </c:pt>
                <c:pt idx="2350">
                  <c:v>45451</c:v>
                </c:pt>
                <c:pt idx="2351">
                  <c:v>45452</c:v>
                </c:pt>
                <c:pt idx="2352">
                  <c:v>45453</c:v>
                </c:pt>
                <c:pt idx="2353">
                  <c:v>45454</c:v>
                </c:pt>
                <c:pt idx="2354">
                  <c:v>45455</c:v>
                </c:pt>
                <c:pt idx="2355">
                  <c:v>45456</c:v>
                </c:pt>
                <c:pt idx="2356">
                  <c:v>45457</c:v>
                </c:pt>
                <c:pt idx="2357">
                  <c:v>45458</c:v>
                </c:pt>
                <c:pt idx="2358">
                  <c:v>45459</c:v>
                </c:pt>
                <c:pt idx="2359">
                  <c:v>45460</c:v>
                </c:pt>
                <c:pt idx="2360">
                  <c:v>45461</c:v>
                </c:pt>
                <c:pt idx="2361">
                  <c:v>45462</c:v>
                </c:pt>
                <c:pt idx="2362">
                  <c:v>45463</c:v>
                </c:pt>
                <c:pt idx="2363">
                  <c:v>45464</c:v>
                </c:pt>
                <c:pt idx="2364">
                  <c:v>45465</c:v>
                </c:pt>
                <c:pt idx="2365">
                  <c:v>45466</c:v>
                </c:pt>
                <c:pt idx="2366">
                  <c:v>45467</c:v>
                </c:pt>
                <c:pt idx="2367">
                  <c:v>45468</c:v>
                </c:pt>
                <c:pt idx="2368">
                  <c:v>45469</c:v>
                </c:pt>
                <c:pt idx="2369">
                  <c:v>45470</c:v>
                </c:pt>
                <c:pt idx="2370">
                  <c:v>45471</c:v>
                </c:pt>
                <c:pt idx="2371">
                  <c:v>45472</c:v>
                </c:pt>
                <c:pt idx="2372">
                  <c:v>45473</c:v>
                </c:pt>
                <c:pt idx="2373">
                  <c:v>45474</c:v>
                </c:pt>
                <c:pt idx="2374">
                  <c:v>45475</c:v>
                </c:pt>
                <c:pt idx="2375">
                  <c:v>45476</c:v>
                </c:pt>
                <c:pt idx="2376">
                  <c:v>45477</c:v>
                </c:pt>
                <c:pt idx="2377">
                  <c:v>45478</c:v>
                </c:pt>
                <c:pt idx="2378">
                  <c:v>45479</c:v>
                </c:pt>
                <c:pt idx="2379">
                  <c:v>45480</c:v>
                </c:pt>
                <c:pt idx="2380">
                  <c:v>45481</c:v>
                </c:pt>
                <c:pt idx="2381">
                  <c:v>45482</c:v>
                </c:pt>
                <c:pt idx="2382">
                  <c:v>45483</c:v>
                </c:pt>
                <c:pt idx="2383">
                  <c:v>45484</c:v>
                </c:pt>
                <c:pt idx="2384">
                  <c:v>45485</c:v>
                </c:pt>
                <c:pt idx="2385">
                  <c:v>45486</c:v>
                </c:pt>
                <c:pt idx="2386">
                  <c:v>45487</c:v>
                </c:pt>
                <c:pt idx="2387">
                  <c:v>45488</c:v>
                </c:pt>
                <c:pt idx="2388">
                  <c:v>45489</c:v>
                </c:pt>
                <c:pt idx="2389">
                  <c:v>45490</c:v>
                </c:pt>
                <c:pt idx="2390">
                  <c:v>45491</c:v>
                </c:pt>
                <c:pt idx="2391">
                  <c:v>45492</c:v>
                </c:pt>
                <c:pt idx="2392">
                  <c:v>45493</c:v>
                </c:pt>
                <c:pt idx="2393">
                  <c:v>45494</c:v>
                </c:pt>
                <c:pt idx="2394">
                  <c:v>45495</c:v>
                </c:pt>
                <c:pt idx="2395">
                  <c:v>45496</c:v>
                </c:pt>
                <c:pt idx="2396">
                  <c:v>45497</c:v>
                </c:pt>
                <c:pt idx="2397">
                  <c:v>45498</c:v>
                </c:pt>
                <c:pt idx="2398">
                  <c:v>45499</c:v>
                </c:pt>
                <c:pt idx="2399">
                  <c:v>45500</c:v>
                </c:pt>
                <c:pt idx="2400">
                  <c:v>45501</c:v>
                </c:pt>
                <c:pt idx="2401">
                  <c:v>45502</c:v>
                </c:pt>
                <c:pt idx="2402">
                  <c:v>45503</c:v>
                </c:pt>
                <c:pt idx="2403">
                  <c:v>45504</c:v>
                </c:pt>
                <c:pt idx="2404">
                  <c:v>45505</c:v>
                </c:pt>
                <c:pt idx="2405">
                  <c:v>45506</c:v>
                </c:pt>
                <c:pt idx="2406">
                  <c:v>45507</c:v>
                </c:pt>
                <c:pt idx="2407">
                  <c:v>45508</c:v>
                </c:pt>
                <c:pt idx="2408">
                  <c:v>45509</c:v>
                </c:pt>
                <c:pt idx="2409">
                  <c:v>45510</c:v>
                </c:pt>
                <c:pt idx="2410">
                  <c:v>45511</c:v>
                </c:pt>
                <c:pt idx="2411">
                  <c:v>45512</c:v>
                </c:pt>
                <c:pt idx="2412">
                  <c:v>45513</c:v>
                </c:pt>
                <c:pt idx="2413">
                  <c:v>45514</c:v>
                </c:pt>
                <c:pt idx="2414">
                  <c:v>45515</c:v>
                </c:pt>
                <c:pt idx="2415">
                  <c:v>45516</c:v>
                </c:pt>
                <c:pt idx="2416">
                  <c:v>45517</c:v>
                </c:pt>
                <c:pt idx="2417">
                  <c:v>45518</c:v>
                </c:pt>
                <c:pt idx="2418">
                  <c:v>45519</c:v>
                </c:pt>
                <c:pt idx="2419">
                  <c:v>45520</c:v>
                </c:pt>
                <c:pt idx="2420">
                  <c:v>45521</c:v>
                </c:pt>
                <c:pt idx="2421">
                  <c:v>45522</c:v>
                </c:pt>
                <c:pt idx="2422">
                  <c:v>45523</c:v>
                </c:pt>
                <c:pt idx="2423">
                  <c:v>45524</c:v>
                </c:pt>
                <c:pt idx="2424">
                  <c:v>45525</c:v>
                </c:pt>
                <c:pt idx="2425">
                  <c:v>45526</c:v>
                </c:pt>
                <c:pt idx="2426">
                  <c:v>45527</c:v>
                </c:pt>
                <c:pt idx="2427">
                  <c:v>45528</c:v>
                </c:pt>
                <c:pt idx="2428">
                  <c:v>45529</c:v>
                </c:pt>
                <c:pt idx="2429">
                  <c:v>45530</c:v>
                </c:pt>
                <c:pt idx="2430">
                  <c:v>45531</c:v>
                </c:pt>
                <c:pt idx="2431">
                  <c:v>45532</c:v>
                </c:pt>
                <c:pt idx="2432">
                  <c:v>45533</c:v>
                </c:pt>
                <c:pt idx="2433">
                  <c:v>45534</c:v>
                </c:pt>
                <c:pt idx="2434">
                  <c:v>45535</c:v>
                </c:pt>
                <c:pt idx="2435">
                  <c:v>45536</c:v>
                </c:pt>
                <c:pt idx="2436">
                  <c:v>45537</c:v>
                </c:pt>
                <c:pt idx="2437">
                  <c:v>45538</c:v>
                </c:pt>
                <c:pt idx="2438">
                  <c:v>45539</c:v>
                </c:pt>
                <c:pt idx="2439">
                  <c:v>45540</c:v>
                </c:pt>
                <c:pt idx="2440">
                  <c:v>45541</c:v>
                </c:pt>
                <c:pt idx="2441">
                  <c:v>45542</c:v>
                </c:pt>
                <c:pt idx="2442">
                  <c:v>45543</c:v>
                </c:pt>
                <c:pt idx="2443">
                  <c:v>45544</c:v>
                </c:pt>
                <c:pt idx="2444">
                  <c:v>45545</c:v>
                </c:pt>
                <c:pt idx="2445">
                  <c:v>45546</c:v>
                </c:pt>
                <c:pt idx="2446">
                  <c:v>45547</c:v>
                </c:pt>
                <c:pt idx="2447">
                  <c:v>45548</c:v>
                </c:pt>
                <c:pt idx="2448">
                  <c:v>45549</c:v>
                </c:pt>
                <c:pt idx="2449">
                  <c:v>45550</c:v>
                </c:pt>
                <c:pt idx="2450">
                  <c:v>45551</c:v>
                </c:pt>
                <c:pt idx="2451">
                  <c:v>45552</c:v>
                </c:pt>
                <c:pt idx="2452">
                  <c:v>45553</c:v>
                </c:pt>
                <c:pt idx="2453">
                  <c:v>45554</c:v>
                </c:pt>
                <c:pt idx="2454">
                  <c:v>45555</c:v>
                </c:pt>
                <c:pt idx="2455">
                  <c:v>45556</c:v>
                </c:pt>
                <c:pt idx="2456">
                  <c:v>45557</c:v>
                </c:pt>
                <c:pt idx="2457">
                  <c:v>45558</c:v>
                </c:pt>
                <c:pt idx="2458">
                  <c:v>45559</c:v>
                </c:pt>
                <c:pt idx="2459">
                  <c:v>45560</c:v>
                </c:pt>
                <c:pt idx="2460">
                  <c:v>45561</c:v>
                </c:pt>
                <c:pt idx="2461">
                  <c:v>45562</c:v>
                </c:pt>
                <c:pt idx="2462">
                  <c:v>45563</c:v>
                </c:pt>
                <c:pt idx="2463">
                  <c:v>45564</c:v>
                </c:pt>
                <c:pt idx="2464">
                  <c:v>45565</c:v>
                </c:pt>
                <c:pt idx="2465">
                  <c:v>45566</c:v>
                </c:pt>
                <c:pt idx="2466">
                  <c:v>45567</c:v>
                </c:pt>
                <c:pt idx="2467">
                  <c:v>45568</c:v>
                </c:pt>
                <c:pt idx="2468">
                  <c:v>45569</c:v>
                </c:pt>
                <c:pt idx="2469">
                  <c:v>45570</c:v>
                </c:pt>
                <c:pt idx="2470">
                  <c:v>45571</c:v>
                </c:pt>
                <c:pt idx="2471">
                  <c:v>45572</c:v>
                </c:pt>
                <c:pt idx="2472">
                  <c:v>45573</c:v>
                </c:pt>
                <c:pt idx="2473">
                  <c:v>45574</c:v>
                </c:pt>
                <c:pt idx="2474">
                  <c:v>45575</c:v>
                </c:pt>
                <c:pt idx="2475">
                  <c:v>45576</c:v>
                </c:pt>
                <c:pt idx="2476">
                  <c:v>45577</c:v>
                </c:pt>
                <c:pt idx="2477">
                  <c:v>45578</c:v>
                </c:pt>
                <c:pt idx="2478">
                  <c:v>45579</c:v>
                </c:pt>
                <c:pt idx="2479">
                  <c:v>45580</c:v>
                </c:pt>
                <c:pt idx="2480">
                  <c:v>45581</c:v>
                </c:pt>
                <c:pt idx="2481">
                  <c:v>45582</c:v>
                </c:pt>
                <c:pt idx="2482">
                  <c:v>45583</c:v>
                </c:pt>
                <c:pt idx="2483">
                  <c:v>45584</c:v>
                </c:pt>
                <c:pt idx="2484">
                  <c:v>45585</c:v>
                </c:pt>
                <c:pt idx="2485">
                  <c:v>45586</c:v>
                </c:pt>
                <c:pt idx="2486">
                  <c:v>45587</c:v>
                </c:pt>
                <c:pt idx="2487">
                  <c:v>45588</c:v>
                </c:pt>
                <c:pt idx="2488">
                  <c:v>45589</c:v>
                </c:pt>
                <c:pt idx="2489">
                  <c:v>45590</c:v>
                </c:pt>
                <c:pt idx="2490">
                  <c:v>45591</c:v>
                </c:pt>
                <c:pt idx="2491">
                  <c:v>45592</c:v>
                </c:pt>
                <c:pt idx="2492">
                  <c:v>45593</c:v>
                </c:pt>
                <c:pt idx="2493">
                  <c:v>45594</c:v>
                </c:pt>
                <c:pt idx="2494">
                  <c:v>45595</c:v>
                </c:pt>
                <c:pt idx="2495">
                  <c:v>45596</c:v>
                </c:pt>
                <c:pt idx="2496">
                  <c:v>45597</c:v>
                </c:pt>
                <c:pt idx="2497">
                  <c:v>45598</c:v>
                </c:pt>
                <c:pt idx="2498">
                  <c:v>45599</c:v>
                </c:pt>
                <c:pt idx="2499">
                  <c:v>45600</c:v>
                </c:pt>
                <c:pt idx="2500">
                  <c:v>45601</c:v>
                </c:pt>
                <c:pt idx="2501">
                  <c:v>45602</c:v>
                </c:pt>
                <c:pt idx="2502">
                  <c:v>45603</c:v>
                </c:pt>
                <c:pt idx="2503">
                  <c:v>45604</c:v>
                </c:pt>
                <c:pt idx="2504">
                  <c:v>45605</c:v>
                </c:pt>
                <c:pt idx="2505">
                  <c:v>45606</c:v>
                </c:pt>
                <c:pt idx="2506">
                  <c:v>45607</c:v>
                </c:pt>
                <c:pt idx="2507">
                  <c:v>45608</c:v>
                </c:pt>
                <c:pt idx="2508">
                  <c:v>45609</c:v>
                </c:pt>
                <c:pt idx="2509">
                  <c:v>45610</c:v>
                </c:pt>
                <c:pt idx="2510">
                  <c:v>45611</c:v>
                </c:pt>
                <c:pt idx="2511">
                  <c:v>45612</c:v>
                </c:pt>
                <c:pt idx="2512">
                  <c:v>45613</c:v>
                </c:pt>
                <c:pt idx="2513">
                  <c:v>45614</c:v>
                </c:pt>
                <c:pt idx="2514">
                  <c:v>45615</c:v>
                </c:pt>
                <c:pt idx="2515">
                  <c:v>45616</c:v>
                </c:pt>
                <c:pt idx="2516">
                  <c:v>45617</c:v>
                </c:pt>
                <c:pt idx="2517">
                  <c:v>45618</c:v>
                </c:pt>
                <c:pt idx="2518">
                  <c:v>45619</c:v>
                </c:pt>
                <c:pt idx="2519">
                  <c:v>45620</c:v>
                </c:pt>
                <c:pt idx="2520">
                  <c:v>45621</c:v>
                </c:pt>
                <c:pt idx="2521">
                  <c:v>45622</c:v>
                </c:pt>
                <c:pt idx="2522">
                  <c:v>45623</c:v>
                </c:pt>
                <c:pt idx="2523">
                  <c:v>45624</c:v>
                </c:pt>
                <c:pt idx="2524">
                  <c:v>45625</c:v>
                </c:pt>
                <c:pt idx="2525">
                  <c:v>45626</c:v>
                </c:pt>
                <c:pt idx="2526">
                  <c:v>45627</c:v>
                </c:pt>
                <c:pt idx="2527">
                  <c:v>45628</c:v>
                </c:pt>
                <c:pt idx="2528">
                  <c:v>45629</c:v>
                </c:pt>
                <c:pt idx="2529">
                  <c:v>45630</c:v>
                </c:pt>
                <c:pt idx="2530">
                  <c:v>45631</c:v>
                </c:pt>
                <c:pt idx="2531">
                  <c:v>45632</c:v>
                </c:pt>
                <c:pt idx="2532">
                  <c:v>45633</c:v>
                </c:pt>
                <c:pt idx="2533">
                  <c:v>45634</c:v>
                </c:pt>
                <c:pt idx="2534">
                  <c:v>45635</c:v>
                </c:pt>
                <c:pt idx="2535">
                  <c:v>45636</c:v>
                </c:pt>
                <c:pt idx="2536">
                  <c:v>45637</c:v>
                </c:pt>
                <c:pt idx="2537">
                  <c:v>45638</c:v>
                </c:pt>
                <c:pt idx="2538">
                  <c:v>45639</c:v>
                </c:pt>
                <c:pt idx="2539">
                  <c:v>45640</c:v>
                </c:pt>
                <c:pt idx="2540">
                  <c:v>45641</c:v>
                </c:pt>
                <c:pt idx="2541">
                  <c:v>45642</c:v>
                </c:pt>
                <c:pt idx="2542">
                  <c:v>45643</c:v>
                </c:pt>
                <c:pt idx="2543">
                  <c:v>45644</c:v>
                </c:pt>
                <c:pt idx="2544">
                  <c:v>45645</c:v>
                </c:pt>
                <c:pt idx="2545">
                  <c:v>45646</c:v>
                </c:pt>
                <c:pt idx="2546">
                  <c:v>45647</c:v>
                </c:pt>
                <c:pt idx="2547">
                  <c:v>45648</c:v>
                </c:pt>
                <c:pt idx="2548">
                  <c:v>45649</c:v>
                </c:pt>
                <c:pt idx="2549">
                  <c:v>45650</c:v>
                </c:pt>
                <c:pt idx="2550">
                  <c:v>45651</c:v>
                </c:pt>
                <c:pt idx="2551">
                  <c:v>45652</c:v>
                </c:pt>
                <c:pt idx="2552">
                  <c:v>45653</c:v>
                </c:pt>
                <c:pt idx="2553">
                  <c:v>45654</c:v>
                </c:pt>
                <c:pt idx="2554">
                  <c:v>45655</c:v>
                </c:pt>
                <c:pt idx="2555">
                  <c:v>45656</c:v>
                </c:pt>
                <c:pt idx="2556">
                  <c:v>45657</c:v>
                </c:pt>
                <c:pt idx="2557">
                  <c:v>45658</c:v>
                </c:pt>
              </c:numCache>
            </c:numRef>
          </c:cat>
          <c:val>
            <c:numRef>
              <c:f>Onboarding!$E$7:$E$2564</c:f>
              <c:numCache>
                <c:formatCode>General</c:formatCode>
                <c:ptCount val="2558"/>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3</c:v>
                </c:pt>
                <c:pt idx="704">
                  <c:v>3</c:v>
                </c:pt>
                <c:pt idx="705">
                  <c:v>3</c:v>
                </c:pt>
                <c:pt idx="706">
                  <c:v>3</c:v>
                </c:pt>
                <c:pt idx="707">
                  <c:v>3</c:v>
                </c:pt>
                <c:pt idx="708">
                  <c:v>3</c:v>
                </c:pt>
                <c:pt idx="709">
                  <c:v>3</c:v>
                </c:pt>
                <c:pt idx="710">
                  <c:v>3</c:v>
                </c:pt>
                <c:pt idx="711">
                  <c:v>3</c:v>
                </c:pt>
                <c:pt idx="712">
                  <c:v>3</c:v>
                </c:pt>
                <c:pt idx="713">
                  <c:v>3</c:v>
                </c:pt>
                <c:pt idx="714">
                  <c:v>3</c:v>
                </c:pt>
                <c:pt idx="715">
                  <c:v>3</c:v>
                </c:pt>
                <c:pt idx="716">
                  <c:v>3</c:v>
                </c:pt>
                <c:pt idx="717">
                  <c:v>3</c:v>
                </c:pt>
                <c:pt idx="718">
                  <c:v>3</c:v>
                </c:pt>
                <c:pt idx="719">
                  <c:v>3</c:v>
                </c:pt>
                <c:pt idx="720">
                  <c:v>3</c:v>
                </c:pt>
                <c:pt idx="721">
                  <c:v>3</c:v>
                </c:pt>
                <c:pt idx="722">
                  <c:v>3</c:v>
                </c:pt>
                <c:pt idx="723">
                  <c:v>3</c:v>
                </c:pt>
                <c:pt idx="724">
                  <c:v>3</c:v>
                </c:pt>
                <c:pt idx="725">
                  <c:v>3</c:v>
                </c:pt>
                <c:pt idx="726">
                  <c:v>3</c:v>
                </c:pt>
                <c:pt idx="727">
                  <c:v>3</c:v>
                </c:pt>
                <c:pt idx="728">
                  <c:v>3</c:v>
                </c:pt>
                <c:pt idx="729">
                  <c:v>3</c:v>
                </c:pt>
                <c:pt idx="730">
                  <c:v>3</c:v>
                </c:pt>
                <c:pt idx="731">
                  <c:v>3</c:v>
                </c:pt>
                <c:pt idx="732">
                  <c:v>3</c:v>
                </c:pt>
                <c:pt idx="733">
                  <c:v>3</c:v>
                </c:pt>
                <c:pt idx="734">
                  <c:v>3</c:v>
                </c:pt>
                <c:pt idx="735">
                  <c:v>3</c:v>
                </c:pt>
                <c:pt idx="736">
                  <c:v>3</c:v>
                </c:pt>
                <c:pt idx="737">
                  <c:v>3</c:v>
                </c:pt>
                <c:pt idx="738">
                  <c:v>3</c:v>
                </c:pt>
                <c:pt idx="739">
                  <c:v>3</c:v>
                </c:pt>
                <c:pt idx="740">
                  <c:v>3</c:v>
                </c:pt>
                <c:pt idx="741">
                  <c:v>3</c:v>
                </c:pt>
                <c:pt idx="742">
                  <c:v>3</c:v>
                </c:pt>
                <c:pt idx="743">
                  <c:v>3</c:v>
                </c:pt>
                <c:pt idx="744">
                  <c:v>3</c:v>
                </c:pt>
                <c:pt idx="745">
                  <c:v>3</c:v>
                </c:pt>
                <c:pt idx="746">
                  <c:v>3</c:v>
                </c:pt>
                <c:pt idx="747">
                  <c:v>3</c:v>
                </c:pt>
                <c:pt idx="748">
                  <c:v>3</c:v>
                </c:pt>
                <c:pt idx="749">
                  <c:v>3</c:v>
                </c:pt>
                <c:pt idx="750">
                  <c:v>3</c:v>
                </c:pt>
                <c:pt idx="751">
                  <c:v>3</c:v>
                </c:pt>
                <c:pt idx="752">
                  <c:v>3</c:v>
                </c:pt>
                <c:pt idx="753">
                  <c:v>3</c:v>
                </c:pt>
                <c:pt idx="754">
                  <c:v>3</c:v>
                </c:pt>
                <c:pt idx="755">
                  <c:v>3</c:v>
                </c:pt>
                <c:pt idx="756">
                  <c:v>3</c:v>
                </c:pt>
                <c:pt idx="757">
                  <c:v>3</c:v>
                </c:pt>
                <c:pt idx="758">
                  <c:v>3</c:v>
                </c:pt>
                <c:pt idx="759">
                  <c:v>3</c:v>
                </c:pt>
                <c:pt idx="760">
                  <c:v>3</c:v>
                </c:pt>
                <c:pt idx="761">
                  <c:v>3</c:v>
                </c:pt>
                <c:pt idx="762">
                  <c:v>3</c:v>
                </c:pt>
                <c:pt idx="763">
                  <c:v>3</c:v>
                </c:pt>
                <c:pt idx="764">
                  <c:v>3</c:v>
                </c:pt>
                <c:pt idx="765">
                  <c:v>3</c:v>
                </c:pt>
                <c:pt idx="766">
                  <c:v>3</c:v>
                </c:pt>
                <c:pt idx="767">
                  <c:v>3</c:v>
                </c:pt>
                <c:pt idx="768">
                  <c:v>3</c:v>
                </c:pt>
                <c:pt idx="769">
                  <c:v>3</c:v>
                </c:pt>
                <c:pt idx="770">
                  <c:v>3</c:v>
                </c:pt>
                <c:pt idx="771">
                  <c:v>3</c:v>
                </c:pt>
                <c:pt idx="772">
                  <c:v>3</c:v>
                </c:pt>
                <c:pt idx="773">
                  <c:v>3</c:v>
                </c:pt>
                <c:pt idx="774">
                  <c:v>3</c:v>
                </c:pt>
                <c:pt idx="775">
                  <c:v>3</c:v>
                </c:pt>
                <c:pt idx="776">
                  <c:v>3</c:v>
                </c:pt>
                <c:pt idx="777">
                  <c:v>3</c:v>
                </c:pt>
                <c:pt idx="778">
                  <c:v>3</c:v>
                </c:pt>
                <c:pt idx="779">
                  <c:v>3</c:v>
                </c:pt>
                <c:pt idx="780">
                  <c:v>3</c:v>
                </c:pt>
                <c:pt idx="781">
                  <c:v>3</c:v>
                </c:pt>
                <c:pt idx="782">
                  <c:v>3</c:v>
                </c:pt>
                <c:pt idx="783">
                  <c:v>3</c:v>
                </c:pt>
                <c:pt idx="784">
                  <c:v>3</c:v>
                </c:pt>
                <c:pt idx="785">
                  <c:v>3</c:v>
                </c:pt>
                <c:pt idx="786">
                  <c:v>3</c:v>
                </c:pt>
                <c:pt idx="787">
                  <c:v>3</c:v>
                </c:pt>
                <c:pt idx="788">
                  <c:v>3</c:v>
                </c:pt>
                <c:pt idx="789">
                  <c:v>3</c:v>
                </c:pt>
                <c:pt idx="790">
                  <c:v>3</c:v>
                </c:pt>
                <c:pt idx="791">
                  <c:v>3</c:v>
                </c:pt>
                <c:pt idx="792">
                  <c:v>3</c:v>
                </c:pt>
                <c:pt idx="793">
                  <c:v>3</c:v>
                </c:pt>
                <c:pt idx="794">
                  <c:v>3</c:v>
                </c:pt>
                <c:pt idx="795">
                  <c:v>3</c:v>
                </c:pt>
                <c:pt idx="796">
                  <c:v>3</c:v>
                </c:pt>
                <c:pt idx="797">
                  <c:v>3</c:v>
                </c:pt>
                <c:pt idx="798">
                  <c:v>3</c:v>
                </c:pt>
                <c:pt idx="799">
                  <c:v>3</c:v>
                </c:pt>
                <c:pt idx="800">
                  <c:v>3</c:v>
                </c:pt>
                <c:pt idx="801">
                  <c:v>3</c:v>
                </c:pt>
                <c:pt idx="802">
                  <c:v>3</c:v>
                </c:pt>
                <c:pt idx="803">
                  <c:v>3</c:v>
                </c:pt>
                <c:pt idx="804">
                  <c:v>3</c:v>
                </c:pt>
                <c:pt idx="805">
                  <c:v>3</c:v>
                </c:pt>
                <c:pt idx="806">
                  <c:v>3</c:v>
                </c:pt>
                <c:pt idx="807">
                  <c:v>3</c:v>
                </c:pt>
                <c:pt idx="808">
                  <c:v>3</c:v>
                </c:pt>
                <c:pt idx="809">
                  <c:v>3</c:v>
                </c:pt>
                <c:pt idx="810">
                  <c:v>3</c:v>
                </c:pt>
                <c:pt idx="811">
                  <c:v>3</c:v>
                </c:pt>
                <c:pt idx="812">
                  <c:v>3</c:v>
                </c:pt>
                <c:pt idx="813">
                  <c:v>3</c:v>
                </c:pt>
                <c:pt idx="814">
                  <c:v>3</c:v>
                </c:pt>
                <c:pt idx="815">
                  <c:v>3</c:v>
                </c:pt>
                <c:pt idx="816">
                  <c:v>3</c:v>
                </c:pt>
                <c:pt idx="817">
                  <c:v>3</c:v>
                </c:pt>
                <c:pt idx="818">
                  <c:v>3</c:v>
                </c:pt>
                <c:pt idx="819">
                  <c:v>3</c:v>
                </c:pt>
                <c:pt idx="820">
                  <c:v>3</c:v>
                </c:pt>
                <c:pt idx="821">
                  <c:v>3</c:v>
                </c:pt>
                <c:pt idx="822">
                  <c:v>3</c:v>
                </c:pt>
                <c:pt idx="823">
                  <c:v>3</c:v>
                </c:pt>
                <c:pt idx="824">
                  <c:v>3</c:v>
                </c:pt>
                <c:pt idx="825">
                  <c:v>3</c:v>
                </c:pt>
                <c:pt idx="826">
                  <c:v>3</c:v>
                </c:pt>
                <c:pt idx="827">
                  <c:v>3</c:v>
                </c:pt>
                <c:pt idx="828">
                  <c:v>3</c:v>
                </c:pt>
                <c:pt idx="829">
                  <c:v>3</c:v>
                </c:pt>
                <c:pt idx="830">
                  <c:v>3</c:v>
                </c:pt>
                <c:pt idx="831">
                  <c:v>3</c:v>
                </c:pt>
                <c:pt idx="832">
                  <c:v>3</c:v>
                </c:pt>
                <c:pt idx="833">
                  <c:v>3</c:v>
                </c:pt>
                <c:pt idx="834">
                  <c:v>3</c:v>
                </c:pt>
                <c:pt idx="835">
                  <c:v>3</c:v>
                </c:pt>
                <c:pt idx="836">
                  <c:v>3</c:v>
                </c:pt>
                <c:pt idx="837">
                  <c:v>3</c:v>
                </c:pt>
                <c:pt idx="838">
                  <c:v>3</c:v>
                </c:pt>
                <c:pt idx="839">
                  <c:v>3</c:v>
                </c:pt>
                <c:pt idx="840">
                  <c:v>3</c:v>
                </c:pt>
                <c:pt idx="841">
                  <c:v>3</c:v>
                </c:pt>
                <c:pt idx="842">
                  <c:v>3</c:v>
                </c:pt>
                <c:pt idx="843">
                  <c:v>3</c:v>
                </c:pt>
                <c:pt idx="844">
                  <c:v>3</c:v>
                </c:pt>
                <c:pt idx="845">
                  <c:v>3</c:v>
                </c:pt>
                <c:pt idx="846">
                  <c:v>3</c:v>
                </c:pt>
                <c:pt idx="847">
                  <c:v>3</c:v>
                </c:pt>
                <c:pt idx="848">
                  <c:v>3</c:v>
                </c:pt>
                <c:pt idx="849">
                  <c:v>3</c:v>
                </c:pt>
                <c:pt idx="850">
                  <c:v>3</c:v>
                </c:pt>
                <c:pt idx="851">
                  <c:v>3</c:v>
                </c:pt>
                <c:pt idx="852">
                  <c:v>3</c:v>
                </c:pt>
                <c:pt idx="853">
                  <c:v>3</c:v>
                </c:pt>
                <c:pt idx="854">
                  <c:v>3</c:v>
                </c:pt>
                <c:pt idx="855">
                  <c:v>3</c:v>
                </c:pt>
                <c:pt idx="856">
                  <c:v>3</c:v>
                </c:pt>
                <c:pt idx="857">
                  <c:v>3</c:v>
                </c:pt>
                <c:pt idx="858">
                  <c:v>3</c:v>
                </c:pt>
                <c:pt idx="859">
                  <c:v>3</c:v>
                </c:pt>
                <c:pt idx="860">
                  <c:v>3</c:v>
                </c:pt>
                <c:pt idx="861">
                  <c:v>3</c:v>
                </c:pt>
                <c:pt idx="862">
                  <c:v>3</c:v>
                </c:pt>
                <c:pt idx="863">
                  <c:v>3</c:v>
                </c:pt>
                <c:pt idx="864">
                  <c:v>3</c:v>
                </c:pt>
                <c:pt idx="865">
                  <c:v>3</c:v>
                </c:pt>
                <c:pt idx="866">
                  <c:v>3</c:v>
                </c:pt>
                <c:pt idx="867">
                  <c:v>3</c:v>
                </c:pt>
                <c:pt idx="868">
                  <c:v>3</c:v>
                </c:pt>
                <c:pt idx="869">
                  <c:v>3</c:v>
                </c:pt>
                <c:pt idx="870">
                  <c:v>3</c:v>
                </c:pt>
                <c:pt idx="871">
                  <c:v>3</c:v>
                </c:pt>
                <c:pt idx="872">
                  <c:v>3</c:v>
                </c:pt>
                <c:pt idx="873">
                  <c:v>3</c:v>
                </c:pt>
                <c:pt idx="874">
                  <c:v>3</c:v>
                </c:pt>
                <c:pt idx="875">
                  <c:v>3</c:v>
                </c:pt>
                <c:pt idx="876">
                  <c:v>3</c:v>
                </c:pt>
                <c:pt idx="877">
                  <c:v>3</c:v>
                </c:pt>
                <c:pt idx="878">
                  <c:v>3</c:v>
                </c:pt>
                <c:pt idx="879">
                  <c:v>3</c:v>
                </c:pt>
                <c:pt idx="880">
                  <c:v>3</c:v>
                </c:pt>
                <c:pt idx="881">
                  <c:v>3</c:v>
                </c:pt>
                <c:pt idx="882">
                  <c:v>3</c:v>
                </c:pt>
                <c:pt idx="883">
                  <c:v>3</c:v>
                </c:pt>
                <c:pt idx="884">
                  <c:v>3</c:v>
                </c:pt>
                <c:pt idx="885">
                  <c:v>3</c:v>
                </c:pt>
                <c:pt idx="886">
                  <c:v>3</c:v>
                </c:pt>
                <c:pt idx="887">
                  <c:v>3</c:v>
                </c:pt>
                <c:pt idx="888">
                  <c:v>3</c:v>
                </c:pt>
                <c:pt idx="889">
                  <c:v>3</c:v>
                </c:pt>
                <c:pt idx="890">
                  <c:v>3</c:v>
                </c:pt>
                <c:pt idx="891">
                  <c:v>3</c:v>
                </c:pt>
                <c:pt idx="892">
                  <c:v>3</c:v>
                </c:pt>
                <c:pt idx="893">
                  <c:v>3</c:v>
                </c:pt>
                <c:pt idx="894">
                  <c:v>3</c:v>
                </c:pt>
                <c:pt idx="895">
                  <c:v>3</c:v>
                </c:pt>
                <c:pt idx="896">
                  <c:v>3</c:v>
                </c:pt>
                <c:pt idx="897">
                  <c:v>3</c:v>
                </c:pt>
                <c:pt idx="898">
                  <c:v>3</c:v>
                </c:pt>
                <c:pt idx="899">
                  <c:v>3</c:v>
                </c:pt>
                <c:pt idx="900">
                  <c:v>3</c:v>
                </c:pt>
                <c:pt idx="901">
                  <c:v>3</c:v>
                </c:pt>
                <c:pt idx="902">
                  <c:v>3</c:v>
                </c:pt>
                <c:pt idx="903">
                  <c:v>3</c:v>
                </c:pt>
                <c:pt idx="904">
                  <c:v>3</c:v>
                </c:pt>
                <c:pt idx="905">
                  <c:v>3</c:v>
                </c:pt>
                <c:pt idx="906">
                  <c:v>3</c:v>
                </c:pt>
                <c:pt idx="907">
                  <c:v>3</c:v>
                </c:pt>
                <c:pt idx="908">
                  <c:v>3</c:v>
                </c:pt>
                <c:pt idx="909">
                  <c:v>3</c:v>
                </c:pt>
                <c:pt idx="910">
                  <c:v>3</c:v>
                </c:pt>
                <c:pt idx="911">
                  <c:v>3</c:v>
                </c:pt>
                <c:pt idx="912">
                  <c:v>3</c:v>
                </c:pt>
                <c:pt idx="913">
                  <c:v>3</c:v>
                </c:pt>
                <c:pt idx="914">
                  <c:v>3</c:v>
                </c:pt>
                <c:pt idx="915">
                  <c:v>3</c:v>
                </c:pt>
                <c:pt idx="916">
                  <c:v>3</c:v>
                </c:pt>
                <c:pt idx="917">
                  <c:v>3</c:v>
                </c:pt>
                <c:pt idx="918">
                  <c:v>3</c:v>
                </c:pt>
                <c:pt idx="919">
                  <c:v>3</c:v>
                </c:pt>
                <c:pt idx="920">
                  <c:v>3</c:v>
                </c:pt>
                <c:pt idx="921">
                  <c:v>3</c:v>
                </c:pt>
                <c:pt idx="922">
                  <c:v>3</c:v>
                </c:pt>
                <c:pt idx="923">
                  <c:v>3</c:v>
                </c:pt>
                <c:pt idx="924">
                  <c:v>3</c:v>
                </c:pt>
                <c:pt idx="925">
                  <c:v>3</c:v>
                </c:pt>
                <c:pt idx="926">
                  <c:v>3</c:v>
                </c:pt>
                <c:pt idx="927">
                  <c:v>3</c:v>
                </c:pt>
                <c:pt idx="928">
                  <c:v>3</c:v>
                </c:pt>
                <c:pt idx="929">
                  <c:v>3</c:v>
                </c:pt>
                <c:pt idx="930">
                  <c:v>3</c:v>
                </c:pt>
                <c:pt idx="931">
                  <c:v>3</c:v>
                </c:pt>
                <c:pt idx="932">
                  <c:v>3</c:v>
                </c:pt>
                <c:pt idx="933">
                  <c:v>3</c:v>
                </c:pt>
                <c:pt idx="934">
                  <c:v>3</c:v>
                </c:pt>
                <c:pt idx="935">
                  <c:v>3</c:v>
                </c:pt>
                <c:pt idx="936">
                  <c:v>3</c:v>
                </c:pt>
                <c:pt idx="937">
                  <c:v>3</c:v>
                </c:pt>
                <c:pt idx="938">
                  <c:v>3</c:v>
                </c:pt>
                <c:pt idx="939">
                  <c:v>3</c:v>
                </c:pt>
                <c:pt idx="940">
                  <c:v>3</c:v>
                </c:pt>
                <c:pt idx="941">
                  <c:v>3</c:v>
                </c:pt>
                <c:pt idx="942">
                  <c:v>3</c:v>
                </c:pt>
                <c:pt idx="943">
                  <c:v>3</c:v>
                </c:pt>
                <c:pt idx="944">
                  <c:v>3</c:v>
                </c:pt>
                <c:pt idx="945">
                  <c:v>3</c:v>
                </c:pt>
                <c:pt idx="946">
                  <c:v>3</c:v>
                </c:pt>
                <c:pt idx="947">
                  <c:v>3</c:v>
                </c:pt>
                <c:pt idx="948">
                  <c:v>3</c:v>
                </c:pt>
                <c:pt idx="949">
                  <c:v>3</c:v>
                </c:pt>
                <c:pt idx="950">
                  <c:v>3</c:v>
                </c:pt>
                <c:pt idx="951">
                  <c:v>3</c:v>
                </c:pt>
                <c:pt idx="952">
                  <c:v>3</c:v>
                </c:pt>
                <c:pt idx="953">
                  <c:v>3</c:v>
                </c:pt>
                <c:pt idx="954">
                  <c:v>3</c:v>
                </c:pt>
                <c:pt idx="955">
                  <c:v>3</c:v>
                </c:pt>
                <c:pt idx="956">
                  <c:v>3</c:v>
                </c:pt>
                <c:pt idx="957">
                  <c:v>3</c:v>
                </c:pt>
                <c:pt idx="958">
                  <c:v>3</c:v>
                </c:pt>
                <c:pt idx="959">
                  <c:v>3</c:v>
                </c:pt>
                <c:pt idx="960">
                  <c:v>3</c:v>
                </c:pt>
                <c:pt idx="961">
                  <c:v>3</c:v>
                </c:pt>
                <c:pt idx="962">
                  <c:v>3</c:v>
                </c:pt>
                <c:pt idx="963">
                  <c:v>3</c:v>
                </c:pt>
                <c:pt idx="964">
                  <c:v>3</c:v>
                </c:pt>
                <c:pt idx="965">
                  <c:v>3</c:v>
                </c:pt>
                <c:pt idx="966">
                  <c:v>3</c:v>
                </c:pt>
                <c:pt idx="967">
                  <c:v>3</c:v>
                </c:pt>
                <c:pt idx="968">
                  <c:v>3</c:v>
                </c:pt>
                <c:pt idx="969">
                  <c:v>3</c:v>
                </c:pt>
                <c:pt idx="970">
                  <c:v>3</c:v>
                </c:pt>
                <c:pt idx="971">
                  <c:v>3</c:v>
                </c:pt>
                <c:pt idx="972">
                  <c:v>3</c:v>
                </c:pt>
                <c:pt idx="973">
                  <c:v>3</c:v>
                </c:pt>
                <c:pt idx="974">
                  <c:v>3</c:v>
                </c:pt>
                <c:pt idx="975">
                  <c:v>3</c:v>
                </c:pt>
                <c:pt idx="976">
                  <c:v>3</c:v>
                </c:pt>
                <c:pt idx="977">
                  <c:v>3</c:v>
                </c:pt>
                <c:pt idx="978">
                  <c:v>3</c:v>
                </c:pt>
                <c:pt idx="979">
                  <c:v>3</c:v>
                </c:pt>
                <c:pt idx="980">
                  <c:v>3</c:v>
                </c:pt>
                <c:pt idx="981">
                  <c:v>3</c:v>
                </c:pt>
                <c:pt idx="982">
                  <c:v>3</c:v>
                </c:pt>
                <c:pt idx="983">
                  <c:v>3</c:v>
                </c:pt>
                <c:pt idx="984">
                  <c:v>3</c:v>
                </c:pt>
                <c:pt idx="985">
                  <c:v>3</c:v>
                </c:pt>
                <c:pt idx="986">
                  <c:v>3</c:v>
                </c:pt>
                <c:pt idx="987">
                  <c:v>3</c:v>
                </c:pt>
                <c:pt idx="988">
                  <c:v>3</c:v>
                </c:pt>
                <c:pt idx="989">
                  <c:v>3</c:v>
                </c:pt>
                <c:pt idx="990">
                  <c:v>3</c:v>
                </c:pt>
                <c:pt idx="991">
                  <c:v>3</c:v>
                </c:pt>
                <c:pt idx="992">
                  <c:v>3</c:v>
                </c:pt>
                <c:pt idx="993">
                  <c:v>3</c:v>
                </c:pt>
                <c:pt idx="994">
                  <c:v>3</c:v>
                </c:pt>
                <c:pt idx="995">
                  <c:v>3</c:v>
                </c:pt>
                <c:pt idx="996">
                  <c:v>3</c:v>
                </c:pt>
                <c:pt idx="997">
                  <c:v>3</c:v>
                </c:pt>
                <c:pt idx="998">
                  <c:v>3</c:v>
                </c:pt>
                <c:pt idx="999">
                  <c:v>3</c:v>
                </c:pt>
                <c:pt idx="1000">
                  <c:v>3</c:v>
                </c:pt>
                <c:pt idx="1001">
                  <c:v>3</c:v>
                </c:pt>
                <c:pt idx="1002">
                  <c:v>3</c:v>
                </c:pt>
                <c:pt idx="1003">
                  <c:v>3</c:v>
                </c:pt>
                <c:pt idx="1004">
                  <c:v>3</c:v>
                </c:pt>
                <c:pt idx="1005">
                  <c:v>3</c:v>
                </c:pt>
                <c:pt idx="1006">
                  <c:v>3</c:v>
                </c:pt>
                <c:pt idx="1007">
                  <c:v>3</c:v>
                </c:pt>
                <c:pt idx="1008">
                  <c:v>3</c:v>
                </c:pt>
                <c:pt idx="1009">
                  <c:v>3</c:v>
                </c:pt>
                <c:pt idx="1010">
                  <c:v>3</c:v>
                </c:pt>
                <c:pt idx="1011">
                  <c:v>3</c:v>
                </c:pt>
                <c:pt idx="1012">
                  <c:v>3</c:v>
                </c:pt>
                <c:pt idx="1013">
                  <c:v>3</c:v>
                </c:pt>
                <c:pt idx="1014">
                  <c:v>3</c:v>
                </c:pt>
                <c:pt idx="1015">
                  <c:v>3</c:v>
                </c:pt>
                <c:pt idx="1016">
                  <c:v>3</c:v>
                </c:pt>
                <c:pt idx="1017">
                  <c:v>3</c:v>
                </c:pt>
                <c:pt idx="1018">
                  <c:v>3</c:v>
                </c:pt>
                <c:pt idx="1019">
                  <c:v>3</c:v>
                </c:pt>
                <c:pt idx="1020">
                  <c:v>3</c:v>
                </c:pt>
                <c:pt idx="1021">
                  <c:v>3</c:v>
                </c:pt>
                <c:pt idx="1022">
                  <c:v>3</c:v>
                </c:pt>
                <c:pt idx="1023">
                  <c:v>3</c:v>
                </c:pt>
                <c:pt idx="1024">
                  <c:v>3</c:v>
                </c:pt>
                <c:pt idx="1025">
                  <c:v>3</c:v>
                </c:pt>
                <c:pt idx="1026">
                  <c:v>3</c:v>
                </c:pt>
                <c:pt idx="1027">
                  <c:v>3</c:v>
                </c:pt>
                <c:pt idx="1028">
                  <c:v>3</c:v>
                </c:pt>
                <c:pt idx="1029">
                  <c:v>3</c:v>
                </c:pt>
                <c:pt idx="1030">
                  <c:v>3</c:v>
                </c:pt>
                <c:pt idx="1031">
                  <c:v>3</c:v>
                </c:pt>
                <c:pt idx="1032">
                  <c:v>3</c:v>
                </c:pt>
                <c:pt idx="1033">
                  <c:v>3</c:v>
                </c:pt>
                <c:pt idx="1034">
                  <c:v>3</c:v>
                </c:pt>
                <c:pt idx="1035">
                  <c:v>3</c:v>
                </c:pt>
                <c:pt idx="1036">
                  <c:v>3</c:v>
                </c:pt>
                <c:pt idx="1037">
                  <c:v>3</c:v>
                </c:pt>
                <c:pt idx="1038">
                  <c:v>3</c:v>
                </c:pt>
                <c:pt idx="1039">
                  <c:v>3</c:v>
                </c:pt>
                <c:pt idx="1040">
                  <c:v>3</c:v>
                </c:pt>
                <c:pt idx="1041">
                  <c:v>3</c:v>
                </c:pt>
                <c:pt idx="1042">
                  <c:v>3</c:v>
                </c:pt>
                <c:pt idx="1043">
                  <c:v>3</c:v>
                </c:pt>
                <c:pt idx="1044">
                  <c:v>3</c:v>
                </c:pt>
                <c:pt idx="1045">
                  <c:v>3</c:v>
                </c:pt>
                <c:pt idx="1046">
                  <c:v>3</c:v>
                </c:pt>
                <c:pt idx="1047">
                  <c:v>3</c:v>
                </c:pt>
                <c:pt idx="1048">
                  <c:v>3</c:v>
                </c:pt>
                <c:pt idx="1049">
                  <c:v>3</c:v>
                </c:pt>
                <c:pt idx="1050">
                  <c:v>3</c:v>
                </c:pt>
                <c:pt idx="1051">
                  <c:v>3</c:v>
                </c:pt>
                <c:pt idx="1052">
                  <c:v>3</c:v>
                </c:pt>
                <c:pt idx="1053">
                  <c:v>3</c:v>
                </c:pt>
                <c:pt idx="1054">
                  <c:v>3</c:v>
                </c:pt>
                <c:pt idx="1055">
                  <c:v>3</c:v>
                </c:pt>
                <c:pt idx="1056">
                  <c:v>3</c:v>
                </c:pt>
                <c:pt idx="1057">
                  <c:v>3</c:v>
                </c:pt>
                <c:pt idx="1058">
                  <c:v>3</c:v>
                </c:pt>
                <c:pt idx="1059">
                  <c:v>3</c:v>
                </c:pt>
                <c:pt idx="1060">
                  <c:v>3</c:v>
                </c:pt>
                <c:pt idx="1061">
                  <c:v>3</c:v>
                </c:pt>
                <c:pt idx="1062">
                  <c:v>3</c:v>
                </c:pt>
                <c:pt idx="1063">
                  <c:v>3</c:v>
                </c:pt>
                <c:pt idx="1064">
                  <c:v>3</c:v>
                </c:pt>
                <c:pt idx="1065">
                  <c:v>3</c:v>
                </c:pt>
                <c:pt idx="1066">
                  <c:v>3</c:v>
                </c:pt>
                <c:pt idx="1067">
                  <c:v>3</c:v>
                </c:pt>
                <c:pt idx="1068">
                  <c:v>3</c:v>
                </c:pt>
                <c:pt idx="1069">
                  <c:v>3</c:v>
                </c:pt>
                <c:pt idx="1070">
                  <c:v>3</c:v>
                </c:pt>
                <c:pt idx="1071">
                  <c:v>3</c:v>
                </c:pt>
                <c:pt idx="1072">
                  <c:v>3</c:v>
                </c:pt>
                <c:pt idx="1073">
                  <c:v>3</c:v>
                </c:pt>
                <c:pt idx="1074">
                  <c:v>3</c:v>
                </c:pt>
                <c:pt idx="1075">
                  <c:v>3</c:v>
                </c:pt>
                <c:pt idx="1076">
                  <c:v>3</c:v>
                </c:pt>
                <c:pt idx="1077">
                  <c:v>3</c:v>
                </c:pt>
                <c:pt idx="1078">
                  <c:v>3</c:v>
                </c:pt>
                <c:pt idx="1079">
                  <c:v>3</c:v>
                </c:pt>
                <c:pt idx="1080">
                  <c:v>3</c:v>
                </c:pt>
                <c:pt idx="1081">
                  <c:v>3</c:v>
                </c:pt>
                <c:pt idx="1082">
                  <c:v>3</c:v>
                </c:pt>
                <c:pt idx="1083">
                  <c:v>3</c:v>
                </c:pt>
                <c:pt idx="1084">
                  <c:v>3</c:v>
                </c:pt>
                <c:pt idx="1085">
                  <c:v>3</c:v>
                </c:pt>
                <c:pt idx="1086">
                  <c:v>3</c:v>
                </c:pt>
                <c:pt idx="1087">
                  <c:v>3</c:v>
                </c:pt>
                <c:pt idx="1088">
                  <c:v>3</c:v>
                </c:pt>
                <c:pt idx="1089">
                  <c:v>3</c:v>
                </c:pt>
                <c:pt idx="1090">
                  <c:v>3</c:v>
                </c:pt>
                <c:pt idx="1091">
                  <c:v>3</c:v>
                </c:pt>
                <c:pt idx="1092">
                  <c:v>3</c:v>
                </c:pt>
                <c:pt idx="1093">
                  <c:v>3</c:v>
                </c:pt>
                <c:pt idx="1094">
                  <c:v>3</c:v>
                </c:pt>
                <c:pt idx="1095">
                  <c:v>3</c:v>
                </c:pt>
                <c:pt idx="1096">
                  <c:v>3</c:v>
                </c:pt>
                <c:pt idx="1097">
                  <c:v>3</c:v>
                </c:pt>
                <c:pt idx="1098">
                  <c:v>3</c:v>
                </c:pt>
                <c:pt idx="1099">
                  <c:v>3</c:v>
                </c:pt>
                <c:pt idx="1100">
                  <c:v>3</c:v>
                </c:pt>
                <c:pt idx="1101">
                  <c:v>3</c:v>
                </c:pt>
                <c:pt idx="1102">
                  <c:v>3</c:v>
                </c:pt>
                <c:pt idx="1103">
                  <c:v>3</c:v>
                </c:pt>
                <c:pt idx="1104">
                  <c:v>3</c:v>
                </c:pt>
                <c:pt idx="1105">
                  <c:v>3</c:v>
                </c:pt>
                <c:pt idx="1106">
                  <c:v>3</c:v>
                </c:pt>
                <c:pt idx="1107">
                  <c:v>3</c:v>
                </c:pt>
                <c:pt idx="1108">
                  <c:v>3</c:v>
                </c:pt>
                <c:pt idx="1109">
                  <c:v>3</c:v>
                </c:pt>
                <c:pt idx="1110">
                  <c:v>3</c:v>
                </c:pt>
                <c:pt idx="1111">
                  <c:v>3</c:v>
                </c:pt>
                <c:pt idx="1112">
                  <c:v>3</c:v>
                </c:pt>
                <c:pt idx="1113">
                  <c:v>3</c:v>
                </c:pt>
                <c:pt idx="1114">
                  <c:v>3</c:v>
                </c:pt>
                <c:pt idx="1115">
                  <c:v>3</c:v>
                </c:pt>
                <c:pt idx="1116">
                  <c:v>3</c:v>
                </c:pt>
                <c:pt idx="1117">
                  <c:v>3</c:v>
                </c:pt>
                <c:pt idx="1118">
                  <c:v>3</c:v>
                </c:pt>
                <c:pt idx="1119">
                  <c:v>3</c:v>
                </c:pt>
                <c:pt idx="1120">
                  <c:v>3</c:v>
                </c:pt>
                <c:pt idx="1121">
                  <c:v>3</c:v>
                </c:pt>
                <c:pt idx="1122">
                  <c:v>3</c:v>
                </c:pt>
                <c:pt idx="1123">
                  <c:v>3</c:v>
                </c:pt>
                <c:pt idx="1124">
                  <c:v>3</c:v>
                </c:pt>
                <c:pt idx="1125">
                  <c:v>3</c:v>
                </c:pt>
                <c:pt idx="1126">
                  <c:v>3</c:v>
                </c:pt>
                <c:pt idx="1127">
                  <c:v>3</c:v>
                </c:pt>
                <c:pt idx="1128">
                  <c:v>3</c:v>
                </c:pt>
                <c:pt idx="1129">
                  <c:v>3</c:v>
                </c:pt>
                <c:pt idx="1130">
                  <c:v>3</c:v>
                </c:pt>
                <c:pt idx="1131">
                  <c:v>3</c:v>
                </c:pt>
                <c:pt idx="1132">
                  <c:v>3</c:v>
                </c:pt>
                <c:pt idx="1133">
                  <c:v>3</c:v>
                </c:pt>
                <c:pt idx="1134">
                  <c:v>3</c:v>
                </c:pt>
                <c:pt idx="1135">
                  <c:v>3</c:v>
                </c:pt>
                <c:pt idx="1136">
                  <c:v>3</c:v>
                </c:pt>
                <c:pt idx="1137">
                  <c:v>3</c:v>
                </c:pt>
                <c:pt idx="1138">
                  <c:v>3</c:v>
                </c:pt>
                <c:pt idx="1139">
                  <c:v>3</c:v>
                </c:pt>
                <c:pt idx="1140">
                  <c:v>3</c:v>
                </c:pt>
                <c:pt idx="1141">
                  <c:v>3</c:v>
                </c:pt>
                <c:pt idx="1142">
                  <c:v>3</c:v>
                </c:pt>
                <c:pt idx="1143">
                  <c:v>3</c:v>
                </c:pt>
                <c:pt idx="1144">
                  <c:v>3</c:v>
                </c:pt>
                <c:pt idx="1145">
                  <c:v>3</c:v>
                </c:pt>
                <c:pt idx="1146">
                  <c:v>3</c:v>
                </c:pt>
                <c:pt idx="1147">
                  <c:v>3</c:v>
                </c:pt>
                <c:pt idx="1148">
                  <c:v>3</c:v>
                </c:pt>
                <c:pt idx="1149">
                  <c:v>3</c:v>
                </c:pt>
                <c:pt idx="1150">
                  <c:v>3</c:v>
                </c:pt>
                <c:pt idx="1151">
                  <c:v>3</c:v>
                </c:pt>
                <c:pt idx="1152">
                  <c:v>3</c:v>
                </c:pt>
                <c:pt idx="1153">
                  <c:v>3</c:v>
                </c:pt>
                <c:pt idx="1154">
                  <c:v>3</c:v>
                </c:pt>
                <c:pt idx="1155">
                  <c:v>3</c:v>
                </c:pt>
                <c:pt idx="1156">
                  <c:v>3</c:v>
                </c:pt>
                <c:pt idx="1157">
                  <c:v>3</c:v>
                </c:pt>
                <c:pt idx="1158">
                  <c:v>3</c:v>
                </c:pt>
                <c:pt idx="1159">
                  <c:v>3</c:v>
                </c:pt>
                <c:pt idx="1160">
                  <c:v>3</c:v>
                </c:pt>
                <c:pt idx="1161">
                  <c:v>3</c:v>
                </c:pt>
                <c:pt idx="1162">
                  <c:v>3</c:v>
                </c:pt>
                <c:pt idx="1163">
                  <c:v>3</c:v>
                </c:pt>
                <c:pt idx="1164">
                  <c:v>3</c:v>
                </c:pt>
                <c:pt idx="1165">
                  <c:v>3</c:v>
                </c:pt>
                <c:pt idx="1166">
                  <c:v>3</c:v>
                </c:pt>
                <c:pt idx="1167">
                  <c:v>3</c:v>
                </c:pt>
                <c:pt idx="1168">
                  <c:v>3</c:v>
                </c:pt>
                <c:pt idx="1169">
                  <c:v>3</c:v>
                </c:pt>
                <c:pt idx="1170">
                  <c:v>3</c:v>
                </c:pt>
                <c:pt idx="1171">
                  <c:v>3</c:v>
                </c:pt>
                <c:pt idx="1172">
                  <c:v>3</c:v>
                </c:pt>
                <c:pt idx="1173">
                  <c:v>3</c:v>
                </c:pt>
                <c:pt idx="1174">
                  <c:v>3</c:v>
                </c:pt>
                <c:pt idx="1175">
                  <c:v>3</c:v>
                </c:pt>
                <c:pt idx="1176">
                  <c:v>3</c:v>
                </c:pt>
                <c:pt idx="1177">
                  <c:v>3</c:v>
                </c:pt>
                <c:pt idx="1178">
                  <c:v>3</c:v>
                </c:pt>
                <c:pt idx="1179">
                  <c:v>3</c:v>
                </c:pt>
                <c:pt idx="1180">
                  <c:v>3</c:v>
                </c:pt>
                <c:pt idx="1181">
                  <c:v>3</c:v>
                </c:pt>
                <c:pt idx="1182">
                  <c:v>3</c:v>
                </c:pt>
                <c:pt idx="1183">
                  <c:v>3</c:v>
                </c:pt>
                <c:pt idx="1184">
                  <c:v>3</c:v>
                </c:pt>
                <c:pt idx="1185">
                  <c:v>3</c:v>
                </c:pt>
                <c:pt idx="1186">
                  <c:v>3</c:v>
                </c:pt>
                <c:pt idx="1187">
                  <c:v>3</c:v>
                </c:pt>
                <c:pt idx="1188">
                  <c:v>3</c:v>
                </c:pt>
                <c:pt idx="1189">
                  <c:v>3</c:v>
                </c:pt>
                <c:pt idx="1190">
                  <c:v>3</c:v>
                </c:pt>
                <c:pt idx="1191">
                  <c:v>3</c:v>
                </c:pt>
                <c:pt idx="1192">
                  <c:v>3</c:v>
                </c:pt>
                <c:pt idx="1193">
                  <c:v>3</c:v>
                </c:pt>
                <c:pt idx="1194">
                  <c:v>3</c:v>
                </c:pt>
                <c:pt idx="1195">
                  <c:v>3</c:v>
                </c:pt>
                <c:pt idx="1196">
                  <c:v>3</c:v>
                </c:pt>
                <c:pt idx="1197">
                  <c:v>3</c:v>
                </c:pt>
                <c:pt idx="1198">
                  <c:v>3</c:v>
                </c:pt>
                <c:pt idx="1199">
                  <c:v>3</c:v>
                </c:pt>
                <c:pt idx="1200">
                  <c:v>3</c:v>
                </c:pt>
                <c:pt idx="1201">
                  <c:v>3</c:v>
                </c:pt>
                <c:pt idx="1202">
                  <c:v>3</c:v>
                </c:pt>
                <c:pt idx="1203">
                  <c:v>3</c:v>
                </c:pt>
                <c:pt idx="1204">
                  <c:v>3</c:v>
                </c:pt>
                <c:pt idx="1205">
                  <c:v>3</c:v>
                </c:pt>
                <c:pt idx="1206">
                  <c:v>3</c:v>
                </c:pt>
                <c:pt idx="1207">
                  <c:v>3</c:v>
                </c:pt>
                <c:pt idx="1208">
                  <c:v>3</c:v>
                </c:pt>
                <c:pt idx="1209">
                  <c:v>3</c:v>
                </c:pt>
                <c:pt idx="1210">
                  <c:v>3</c:v>
                </c:pt>
                <c:pt idx="1211">
                  <c:v>3</c:v>
                </c:pt>
                <c:pt idx="1212">
                  <c:v>3</c:v>
                </c:pt>
                <c:pt idx="1213">
                  <c:v>3</c:v>
                </c:pt>
                <c:pt idx="1214">
                  <c:v>3</c:v>
                </c:pt>
                <c:pt idx="1215">
                  <c:v>3</c:v>
                </c:pt>
                <c:pt idx="1216">
                  <c:v>3</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pt idx="1996">
                  <c:v>#N/A</c:v>
                </c:pt>
                <c:pt idx="1997">
                  <c:v>#N/A</c:v>
                </c:pt>
                <c:pt idx="1998">
                  <c:v>#N/A</c:v>
                </c:pt>
                <c:pt idx="1999">
                  <c:v>#N/A</c:v>
                </c:pt>
                <c:pt idx="2000">
                  <c:v>#N/A</c:v>
                </c:pt>
                <c:pt idx="2001">
                  <c:v>#N/A</c:v>
                </c:pt>
                <c:pt idx="2002">
                  <c:v>#N/A</c:v>
                </c:pt>
                <c:pt idx="2003">
                  <c:v>#N/A</c:v>
                </c:pt>
                <c:pt idx="2004">
                  <c:v>#N/A</c:v>
                </c:pt>
                <c:pt idx="2005">
                  <c:v>#N/A</c:v>
                </c:pt>
                <c:pt idx="2006">
                  <c:v>#N/A</c:v>
                </c:pt>
                <c:pt idx="2007">
                  <c:v>#N/A</c:v>
                </c:pt>
                <c:pt idx="2008">
                  <c:v>#N/A</c:v>
                </c:pt>
                <c:pt idx="2009">
                  <c:v>#N/A</c:v>
                </c:pt>
                <c:pt idx="2010">
                  <c:v>#N/A</c:v>
                </c:pt>
                <c:pt idx="2011">
                  <c:v>#N/A</c:v>
                </c:pt>
                <c:pt idx="2012">
                  <c:v>#N/A</c:v>
                </c:pt>
                <c:pt idx="2013">
                  <c:v>#N/A</c:v>
                </c:pt>
                <c:pt idx="2014">
                  <c:v>#N/A</c:v>
                </c:pt>
                <c:pt idx="2015">
                  <c:v>#N/A</c:v>
                </c:pt>
                <c:pt idx="2016">
                  <c:v>#N/A</c:v>
                </c:pt>
                <c:pt idx="2017">
                  <c:v>#N/A</c:v>
                </c:pt>
                <c:pt idx="2018">
                  <c:v>#N/A</c:v>
                </c:pt>
                <c:pt idx="2019">
                  <c:v>#N/A</c:v>
                </c:pt>
                <c:pt idx="2020">
                  <c:v>#N/A</c:v>
                </c:pt>
                <c:pt idx="2021">
                  <c:v>#N/A</c:v>
                </c:pt>
                <c:pt idx="2022">
                  <c:v>#N/A</c:v>
                </c:pt>
                <c:pt idx="2023">
                  <c:v>#N/A</c:v>
                </c:pt>
                <c:pt idx="2024">
                  <c:v>#N/A</c:v>
                </c:pt>
                <c:pt idx="2025">
                  <c:v>#N/A</c:v>
                </c:pt>
                <c:pt idx="2026">
                  <c:v>#N/A</c:v>
                </c:pt>
                <c:pt idx="2027">
                  <c:v>#N/A</c:v>
                </c:pt>
                <c:pt idx="2028">
                  <c:v>#N/A</c:v>
                </c:pt>
                <c:pt idx="2029">
                  <c:v>#N/A</c:v>
                </c:pt>
                <c:pt idx="2030">
                  <c:v>#N/A</c:v>
                </c:pt>
                <c:pt idx="2031">
                  <c:v>#N/A</c:v>
                </c:pt>
                <c:pt idx="2032">
                  <c:v>#N/A</c:v>
                </c:pt>
                <c:pt idx="2033">
                  <c:v>#N/A</c:v>
                </c:pt>
                <c:pt idx="2034">
                  <c:v>#N/A</c:v>
                </c:pt>
                <c:pt idx="2035">
                  <c:v>#N/A</c:v>
                </c:pt>
                <c:pt idx="2036">
                  <c:v>#N/A</c:v>
                </c:pt>
                <c:pt idx="2037">
                  <c:v>#N/A</c:v>
                </c:pt>
                <c:pt idx="2038">
                  <c:v>#N/A</c:v>
                </c:pt>
                <c:pt idx="2039">
                  <c:v>#N/A</c:v>
                </c:pt>
                <c:pt idx="2040">
                  <c:v>#N/A</c:v>
                </c:pt>
                <c:pt idx="2041">
                  <c:v>#N/A</c:v>
                </c:pt>
                <c:pt idx="2042">
                  <c:v>#N/A</c:v>
                </c:pt>
                <c:pt idx="2043">
                  <c:v>#N/A</c:v>
                </c:pt>
                <c:pt idx="2044">
                  <c:v>#N/A</c:v>
                </c:pt>
                <c:pt idx="2045">
                  <c:v>#N/A</c:v>
                </c:pt>
                <c:pt idx="2046">
                  <c:v>#N/A</c:v>
                </c:pt>
                <c:pt idx="2047">
                  <c:v>#N/A</c:v>
                </c:pt>
                <c:pt idx="2048">
                  <c:v>#N/A</c:v>
                </c:pt>
                <c:pt idx="2049">
                  <c:v>#N/A</c:v>
                </c:pt>
                <c:pt idx="2050">
                  <c:v>#N/A</c:v>
                </c:pt>
                <c:pt idx="2051">
                  <c:v>#N/A</c:v>
                </c:pt>
                <c:pt idx="2052">
                  <c:v>#N/A</c:v>
                </c:pt>
                <c:pt idx="2053">
                  <c:v>#N/A</c:v>
                </c:pt>
                <c:pt idx="2054">
                  <c:v>#N/A</c:v>
                </c:pt>
                <c:pt idx="2055">
                  <c:v>#N/A</c:v>
                </c:pt>
                <c:pt idx="2056">
                  <c:v>#N/A</c:v>
                </c:pt>
                <c:pt idx="2057">
                  <c:v>#N/A</c:v>
                </c:pt>
                <c:pt idx="2058">
                  <c:v>#N/A</c:v>
                </c:pt>
                <c:pt idx="2059">
                  <c:v>#N/A</c:v>
                </c:pt>
                <c:pt idx="2060">
                  <c:v>#N/A</c:v>
                </c:pt>
                <c:pt idx="2061">
                  <c:v>#N/A</c:v>
                </c:pt>
                <c:pt idx="2062">
                  <c:v>#N/A</c:v>
                </c:pt>
                <c:pt idx="2063">
                  <c:v>#N/A</c:v>
                </c:pt>
                <c:pt idx="2064">
                  <c:v>#N/A</c:v>
                </c:pt>
                <c:pt idx="2065">
                  <c:v>#N/A</c:v>
                </c:pt>
                <c:pt idx="2066">
                  <c:v>#N/A</c:v>
                </c:pt>
                <c:pt idx="2067">
                  <c:v>#N/A</c:v>
                </c:pt>
                <c:pt idx="2068">
                  <c:v>#N/A</c:v>
                </c:pt>
                <c:pt idx="2069">
                  <c:v>#N/A</c:v>
                </c:pt>
                <c:pt idx="2070">
                  <c:v>#N/A</c:v>
                </c:pt>
                <c:pt idx="2071">
                  <c:v>#N/A</c:v>
                </c:pt>
                <c:pt idx="2072">
                  <c:v>#N/A</c:v>
                </c:pt>
                <c:pt idx="2073">
                  <c:v>#N/A</c:v>
                </c:pt>
                <c:pt idx="2074">
                  <c:v>#N/A</c:v>
                </c:pt>
                <c:pt idx="2075">
                  <c:v>#N/A</c:v>
                </c:pt>
                <c:pt idx="2076">
                  <c:v>#N/A</c:v>
                </c:pt>
                <c:pt idx="2077">
                  <c:v>#N/A</c:v>
                </c:pt>
                <c:pt idx="2078">
                  <c:v>#N/A</c:v>
                </c:pt>
                <c:pt idx="2079">
                  <c:v>#N/A</c:v>
                </c:pt>
                <c:pt idx="2080">
                  <c:v>#N/A</c:v>
                </c:pt>
                <c:pt idx="2081">
                  <c:v>#N/A</c:v>
                </c:pt>
                <c:pt idx="2082">
                  <c:v>#N/A</c:v>
                </c:pt>
                <c:pt idx="2083">
                  <c:v>#N/A</c:v>
                </c:pt>
                <c:pt idx="2084">
                  <c:v>#N/A</c:v>
                </c:pt>
                <c:pt idx="2085">
                  <c:v>#N/A</c:v>
                </c:pt>
                <c:pt idx="2086">
                  <c:v>#N/A</c:v>
                </c:pt>
                <c:pt idx="2087">
                  <c:v>#N/A</c:v>
                </c:pt>
                <c:pt idx="2088">
                  <c:v>#N/A</c:v>
                </c:pt>
                <c:pt idx="2089">
                  <c:v>#N/A</c:v>
                </c:pt>
                <c:pt idx="2090">
                  <c:v>#N/A</c:v>
                </c:pt>
                <c:pt idx="2091">
                  <c:v>#N/A</c:v>
                </c:pt>
                <c:pt idx="2092">
                  <c:v>#N/A</c:v>
                </c:pt>
                <c:pt idx="2093">
                  <c:v>#N/A</c:v>
                </c:pt>
                <c:pt idx="2094">
                  <c:v>#N/A</c:v>
                </c:pt>
                <c:pt idx="2095">
                  <c:v>#N/A</c:v>
                </c:pt>
                <c:pt idx="2096">
                  <c:v>#N/A</c:v>
                </c:pt>
                <c:pt idx="2097">
                  <c:v>#N/A</c:v>
                </c:pt>
                <c:pt idx="2098">
                  <c:v>#N/A</c:v>
                </c:pt>
                <c:pt idx="2099">
                  <c:v>#N/A</c:v>
                </c:pt>
                <c:pt idx="2100">
                  <c:v>#N/A</c:v>
                </c:pt>
                <c:pt idx="2101">
                  <c:v>#N/A</c:v>
                </c:pt>
                <c:pt idx="2102">
                  <c:v>#N/A</c:v>
                </c:pt>
                <c:pt idx="2103">
                  <c:v>#N/A</c:v>
                </c:pt>
                <c:pt idx="2104">
                  <c:v>#N/A</c:v>
                </c:pt>
                <c:pt idx="2105">
                  <c:v>#N/A</c:v>
                </c:pt>
                <c:pt idx="2106">
                  <c:v>#N/A</c:v>
                </c:pt>
                <c:pt idx="2107">
                  <c:v>#N/A</c:v>
                </c:pt>
                <c:pt idx="2108">
                  <c:v>#N/A</c:v>
                </c:pt>
                <c:pt idx="2109">
                  <c:v>#N/A</c:v>
                </c:pt>
                <c:pt idx="2110">
                  <c:v>#N/A</c:v>
                </c:pt>
                <c:pt idx="2111">
                  <c:v>#N/A</c:v>
                </c:pt>
                <c:pt idx="2112">
                  <c:v>#N/A</c:v>
                </c:pt>
                <c:pt idx="2113">
                  <c:v>#N/A</c:v>
                </c:pt>
                <c:pt idx="2114">
                  <c:v>#N/A</c:v>
                </c:pt>
                <c:pt idx="2115">
                  <c:v>#N/A</c:v>
                </c:pt>
                <c:pt idx="2116">
                  <c:v>#N/A</c:v>
                </c:pt>
                <c:pt idx="2117">
                  <c:v>#N/A</c:v>
                </c:pt>
                <c:pt idx="2118">
                  <c:v>#N/A</c:v>
                </c:pt>
                <c:pt idx="2119">
                  <c:v>#N/A</c:v>
                </c:pt>
                <c:pt idx="2120">
                  <c:v>#N/A</c:v>
                </c:pt>
                <c:pt idx="2121">
                  <c:v>#N/A</c:v>
                </c:pt>
                <c:pt idx="2122">
                  <c:v>#N/A</c:v>
                </c:pt>
                <c:pt idx="2123">
                  <c:v>#N/A</c:v>
                </c:pt>
                <c:pt idx="2124">
                  <c:v>#N/A</c:v>
                </c:pt>
                <c:pt idx="2125">
                  <c:v>#N/A</c:v>
                </c:pt>
                <c:pt idx="2126">
                  <c:v>#N/A</c:v>
                </c:pt>
                <c:pt idx="2127">
                  <c:v>#N/A</c:v>
                </c:pt>
                <c:pt idx="2128">
                  <c:v>#N/A</c:v>
                </c:pt>
                <c:pt idx="2129">
                  <c:v>#N/A</c:v>
                </c:pt>
                <c:pt idx="2130">
                  <c:v>#N/A</c:v>
                </c:pt>
                <c:pt idx="2131">
                  <c:v>#N/A</c:v>
                </c:pt>
                <c:pt idx="2132">
                  <c:v>#N/A</c:v>
                </c:pt>
                <c:pt idx="2133">
                  <c:v>#N/A</c:v>
                </c:pt>
                <c:pt idx="2134">
                  <c:v>#N/A</c:v>
                </c:pt>
                <c:pt idx="2135">
                  <c:v>#N/A</c:v>
                </c:pt>
                <c:pt idx="2136">
                  <c:v>#N/A</c:v>
                </c:pt>
                <c:pt idx="2137">
                  <c:v>#N/A</c:v>
                </c:pt>
                <c:pt idx="2138">
                  <c:v>#N/A</c:v>
                </c:pt>
                <c:pt idx="2139">
                  <c:v>#N/A</c:v>
                </c:pt>
                <c:pt idx="2140">
                  <c:v>#N/A</c:v>
                </c:pt>
                <c:pt idx="2141">
                  <c:v>#N/A</c:v>
                </c:pt>
                <c:pt idx="2142">
                  <c:v>#N/A</c:v>
                </c:pt>
                <c:pt idx="2143">
                  <c:v>#N/A</c:v>
                </c:pt>
                <c:pt idx="2144">
                  <c:v>#N/A</c:v>
                </c:pt>
                <c:pt idx="2145">
                  <c:v>#N/A</c:v>
                </c:pt>
                <c:pt idx="2146">
                  <c:v>#N/A</c:v>
                </c:pt>
                <c:pt idx="2147">
                  <c:v>#N/A</c:v>
                </c:pt>
                <c:pt idx="2148">
                  <c:v>#N/A</c:v>
                </c:pt>
                <c:pt idx="2149">
                  <c:v>#N/A</c:v>
                </c:pt>
                <c:pt idx="2150">
                  <c:v>#N/A</c:v>
                </c:pt>
                <c:pt idx="2151">
                  <c:v>#N/A</c:v>
                </c:pt>
                <c:pt idx="2152">
                  <c:v>#N/A</c:v>
                </c:pt>
                <c:pt idx="2153">
                  <c:v>#N/A</c:v>
                </c:pt>
                <c:pt idx="2154">
                  <c:v>#N/A</c:v>
                </c:pt>
                <c:pt idx="2155">
                  <c:v>#N/A</c:v>
                </c:pt>
                <c:pt idx="2156">
                  <c:v>#N/A</c:v>
                </c:pt>
                <c:pt idx="2157">
                  <c:v>#N/A</c:v>
                </c:pt>
                <c:pt idx="2158">
                  <c:v>#N/A</c:v>
                </c:pt>
                <c:pt idx="2159">
                  <c:v>#N/A</c:v>
                </c:pt>
                <c:pt idx="2160">
                  <c:v>#N/A</c:v>
                </c:pt>
                <c:pt idx="2161">
                  <c:v>#N/A</c:v>
                </c:pt>
                <c:pt idx="2162">
                  <c:v>#N/A</c:v>
                </c:pt>
                <c:pt idx="2163">
                  <c:v>#N/A</c:v>
                </c:pt>
                <c:pt idx="2164">
                  <c:v>#N/A</c:v>
                </c:pt>
                <c:pt idx="2165">
                  <c:v>#N/A</c:v>
                </c:pt>
                <c:pt idx="2166">
                  <c:v>#N/A</c:v>
                </c:pt>
                <c:pt idx="2167">
                  <c:v>#N/A</c:v>
                </c:pt>
                <c:pt idx="2168">
                  <c:v>#N/A</c:v>
                </c:pt>
                <c:pt idx="2169">
                  <c:v>#N/A</c:v>
                </c:pt>
                <c:pt idx="2170">
                  <c:v>#N/A</c:v>
                </c:pt>
                <c:pt idx="2171">
                  <c:v>#N/A</c:v>
                </c:pt>
                <c:pt idx="2172">
                  <c:v>#N/A</c:v>
                </c:pt>
                <c:pt idx="2173">
                  <c:v>#N/A</c:v>
                </c:pt>
                <c:pt idx="2174">
                  <c:v>#N/A</c:v>
                </c:pt>
                <c:pt idx="2175">
                  <c:v>#N/A</c:v>
                </c:pt>
                <c:pt idx="2176">
                  <c:v>#N/A</c:v>
                </c:pt>
                <c:pt idx="2177">
                  <c:v>#N/A</c:v>
                </c:pt>
                <c:pt idx="2178">
                  <c:v>#N/A</c:v>
                </c:pt>
                <c:pt idx="2179">
                  <c:v>#N/A</c:v>
                </c:pt>
                <c:pt idx="2180">
                  <c:v>#N/A</c:v>
                </c:pt>
                <c:pt idx="2181">
                  <c:v>#N/A</c:v>
                </c:pt>
                <c:pt idx="2182">
                  <c:v>#N/A</c:v>
                </c:pt>
                <c:pt idx="2183">
                  <c:v>#N/A</c:v>
                </c:pt>
                <c:pt idx="2184">
                  <c:v>#N/A</c:v>
                </c:pt>
                <c:pt idx="2185">
                  <c:v>#N/A</c:v>
                </c:pt>
                <c:pt idx="2186">
                  <c:v>#N/A</c:v>
                </c:pt>
                <c:pt idx="2187">
                  <c:v>#N/A</c:v>
                </c:pt>
                <c:pt idx="2188">
                  <c:v>#N/A</c:v>
                </c:pt>
                <c:pt idx="2189">
                  <c:v>#N/A</c:v>
                </c:pt>
                <c:pt idx="2190">
                  <c:v>#N/A</c:v>
                </c:pt>
                <c:pt idx="2191">
                  <c:v>#N/A</c:v>
                </c:pt>
                <c:pt idx="2192">
                  <c:v>#N/A</c:v>
                </c:pt>
                <c:pt idx="2193">
                  <c:v>#N/A</c:v>
                </c:pt>
                <c:pt idx="2194">
                  <c:v>#N/A</c:v>
                </c:pt>
                <c:pt idx="2195">
                  <c:v>#N/A</c:v>
                </c:pt>
                <c:pt idx="2196">
                  <c:v>#N/A</c:v>
                </c:pt>
                <c:pt idx="2197">
                  <c:v>#N/A</c:v>
                </c:pt>
                <c:pt idx="2198">
                  <c:v>#N/A</c:v>
                </c:pt>
                <c:pt idx="2199">
                  <c:v>#N/A</c:v>
                </c:pt>
                <c:pt idx="2200">
                  <c:v>#N/A</c:v>
                </c:pt>
                <c:pt idx="2201">
                  <c:v>#N/A</c:v>
                </c:pt>
                <c:pt idx="2202">
                  <c:v>#N/A</c:v>
                </c:pt>
                <c:pt idx="2203">
                  <c:v>#N/A</c:v>
                </c:pt>
                <c:pt idx="2204">
                  <c:v>#N/A</c:v>
                </c:pt>
                <c:pt idx="2205">
                  <c:v>#N/A</c:v>
                </c:pt>
                <c:pt idx="2206">
                  <c:v>#N/A</c:v>
                </c:pt>
                <c:pt idx="2207">
                  <c:v>#N/A</c:v>
                </c:pt>
                <c:pt idx="2208">
                  <c:v>#N/A</c:v>
                </c:pt>
                <c:pt idx="2209">
                  <c:v>#N/A</c:v>
                </c:pt>
                <c:pt idx="2210">
                  <c:v>#N/A</c:v>
                </c:pt>
                <c:pt idx="2211">
                  <c:v>#N/A</c:v>
                </c:pt>
                <c:pt idx="2212">
                  <c:v>#N/A</c:v>
                </c:pt>
                <c:pt idx="2213">
                  <c:v>#N/A</c:v>
                </c:pt>
                <c:pt idx="2214">
                  <c:v>#N/A</c:v>
                </c:pt>
                <c:pt idx="2215">
                  <c:v>#N/A</c:v>
                </c:pt>
                <c:pt idx="2216">
                  <c:v>#N/A</c:v>
                </c:pt>
                <c:pt idx="2217">
                  <c:v>#N/A</c:v>
                </c:pt>
                <c:pt idx="2218">
                  <c:v>#N/A</c:v>
                </c:pt>
                <c:pt idx="2219">
                  <c:v>#N/A</c:v>
                </c:pt>
                <c:pt idx="2220">
                  <c:v>#N/A</c:v>
                </c:pt>
                <c:pt idx="2221">
                  <c:v>#N/A</c:v>
                </c:pt>
                <c:pt idx="2222">
                  <c:v>#N/A</c:v>
                </c:pt>
                <c:pt idx="2223">
                  <c:v>#N/A</c:v>
                </c:pt>
                <c:pt idx="2224">
                  <c:v>#N/A</c:v>
                </c:pt>
                <c:pt idx="2225">
                  <c:v>#N/A</c:v>
                </c:pt>
                <c:pt idx="2226">
                  <c:v>#N/A</c:v>
                </c:pt>
                <c:pt idx="2227">
                  <c:v>#N/A</c:v>
                </c:pt>
                <c:pt idx="2228">
                  <c:v>#N/A</c:v>
                </c:pt>
                <c:pt idx="2229">
                  <c:v>#N/A</c:v>
                </c:pt>
                <c:pt idx="2230">
                  <c:v>#N/A</c:v>
                </c:pt>
                <c:pt idx="2231">
                  <c:v>#N/A</c:v>
                </c:pt>
                <c:pt idx="2232">
                  <c:v>#N/A</c:v>
                </c:pt>
                <c:pt idx="2233">
                  <c:v>#N/A</c:v>
                </c:pt>
                <c:pt idx="2234">
                  <c:v>#N/A</c:v>
                </c:pt>
                <c:pt idx="2235">
                  <c:v>#N/A</c:v>
                </c:pt>
                <c:pt idx="2236">
                  <c:v>#N/A</c:v>
                </c:pt>
                <c:pt idx="2237">
                  <c:v>#N/A</c:v>
                </c:pt>
                <c:pt idx="2238">
                  <c:v>#N/A</c:v>
                </c:pt>
                <c:pt idx="2239">
                  <c:v>#N/A</c:v>
                </c:pt>
                <c:pt idx="2240">
                  <c:v>#N/A</c:v>
                </c:pt>
                <c:pt idx="2241">
                  <c:v>#N/A</c:v>
                </c:pt>
                <c:pt idx="2242">
                  <c:v>#N/A</c:v>
                </c:pt>
                <c:pt idx="2243">
                  <c:v>#N/A</c:v>
                </c:pt>
                <c:pt idx="2244">
                  <c:v>#N/A</c:v>
                </c:pt>
                <c:pt idx="2245">
                  <c:v>#N/A</c:v>
                </c:pt>
                <c:pt idx="2246">
                  <c:v>#N/A</c:v>
                </c:pt>
                <c:pt idx="2247">
                  <c:v>#N/A</c:v>
                </c:pt>
                <c:pt idx="2248">
                  <c:v>#N/A</c:v>
                </c:pt>
                <c:pt idx="2249">
                  <c:v>#N/A</c:v>
                </c:pt>
                <c:pt idx="2250">
                  <c:v>#N/A</c:v>
                </c:pt>
                <c:pt idx="2251">
                  <c:v>#N/A</c:v>
                </c:pt>
                <c:pt idx="2252">
                  <c:v>#N/A</c:v>
                </c:pt>
                <c:pt idx="2253">
                  <c:v>#N/A</c:v>
                </c:pt>
                <c:pt idx="2254">
                  <c:v>#N/A</c:v>
                </c:pt>
                <c:pt idx="2255">
                  <c:v>#N/A</c:v>
                </c:pt>
                <c:pt idx="2256">
                  <c:v>#N/A</c:v>
                </c:pt>
                <c:pt idx="2257">
                  <c:v>#N/A</c:v>
                </c:pt>
                <c:pt idx="2258">
                  <c:v>#N/A</c:v>
                </c:pt>
                <c:pt idx="2259">
                  <c:v>#N/A</c:v>
                </c:pt>
                <c:pt idx="2260">
                  <c:v>#N/A</c:v>
                </c:pt>
                <c:pt idx="2261">
                  <c:v>#N/A</c:v>
                </c:pt>
                <c:pt idx="2262">
                  <c:v>#N/A</c:v>
                </c:pt>
                <c:pt idx="2263">
                  <c:v>#N/A</c:v>
                </c:pt>
                <c:pt idx="2264">
                  <c:v>#N/A</c:v>
                </c:pt>
                <c:pt idx="2265">
                  <c:v>#N/A</c:v>
                </c:pt>
                <c:pt idx="2266">
                  <c:v>#N/A</c:v>
                </c:pt>
                <c:pt idx="2267">
                  <c:v>#N/A</c:v>
                </c:pt>
                <c:pt idx="2268">
                  <c:v>#N/A</c:v>
                </c:pt>
                <c:pt idx="2269">
                  <c:v>#N/A</c:v>
                </c:pt>
                <c:pt idx="2270">
                  <c:v>#N/A</c:v>
                </c:pt>
                <c:pt idx="2271">
                  <c:v>#N/A</c:v>
                </c:pt>
                <c:pt idx="2272">
                  <c:v>#N/A</c:v>
                </c:pt>
                <c:pt idx="2273">
                  <c:v>#N/A</c:v>
                </c:pt>
                <c:pt idx="2274">
                  <c:v>#N/A</c:v>
                </c:pt>
                <c:pt idx="2275">
                  <c:v>#N/A</c:v>
                </c:pt>
                <c:pt idx="2276">
                  <c:v>#N/A</c:v>
                </c:pt>
                <c:pt idx="2277">
                  <c:v>#N/A</c:v>
                </c:pt>
                <c:pt idx="2278">
                  <c:v>#N/A</c:v>
                </c:pt>
                <c:pt idx="2279">
                  <c:v>#N/A</c:v>
                </c:pt>
                <c:pt idx="2280">
                  <c:v>#N/A</c:v>
                </c:pt>
                <c:pt idx="2281">
                  <c:v>#N/A</c:v>
                </c:pt>
                <c:pt idx="2282">
                  <c:v>#N/A</c:v>
                </c:pt>
                <c:pt idx="2283">
                  <c:v>#N/A</c:v>
                </c:pt>
                <c:pt idx="2284">
                  <c:v>#N/A</c:v>
                </c:pt>
                <c:pt idx="2285">
                  <c:v>#N/A</c:v>
                </c:pt>
                <c:pt idx="2286">
                  <c:v>#N/A</c:v>
                </c:pt>
                <c:pt idx="2287">
                  <c:v>#N/A</c:v>
                </c:pt>
                <c:pt idx="2288">
                  <c:v>#N/A</c:v>
                </c:pt>
                <c:pt idx="2289">
                  <c:v>#N/A</c:v>
                </c:pt>
                <c:pt idx="2290">
                  <c:v>#N/A</c:v>
                </c:pt>
                <c:pt idx="2291">
                  <c:v>#N/A</c:v>
                </c:pt>
                <c:pt idx="2292">
                  <c:v>#N/A</c:v>
                </c:pt>
                <c:pt idx="2293">
                  <c:v>#N/A</c:v>
                </c:pt>
                <c:pt idx="2294">
                  <c:v>#N/A</c:v>
                </c:pt>
                <c:pt idx="2295">
                  <c:v>#N/A</c:v>
                </c:pt>
                <c:pt idx="2296">
                  <c:v>#N/A</c:v>
                </c:pt>
                <c:pt idx="2297">
                  <c:v>#N/A</c:v>
                </c:pt>
                <c:pt idx="2298">
                  <c:v>#N/A</c:v>
                </c:pt>
                <c:pt idx="2299">
                  <c:v>#N/A</c:v>
                </c:pt>
                <c:pt idx="2300">
                  <c:v>#N/A</c:v>
                </c:pt>
                <c:pt idx="2301">
                  <c:v>#N/A</c:v>
                </c:pt>
                <c:pt idx="2302">
                  <c:v>#N/A</c:v>
                </c:pt>
                <c:pt idx="2303">
                  <c:v>#N/A</c:v>
                </c:pt>
                <c:pt idx="2304">
                  <c:v>#N/A</c:v>
                </c:pt>
                <c:pt idx="2305">
                  <c:v>#N/A</c:v>
                </c:pt>
                <c:pt idx="2306">
                  <c:v>#N/A</c:v>
                </c:pt>
                <c:pt idx="2307">
                  <c:v>#N/A</c:v>
                </c:pt>
                <c:pt idx="2308">
                  <c:v>#N/A</c:v>
                </c:pt>
                <c:pt idx="2309">
                  <c:v>#N/A</c:v>
                </c:pt>
                <c:pt idx="2310">
                  <c:v>#N/A</c:v>
                </c:pt>
                <c:pt idx="2311">
                  <c:v>#N/A</c:v>
                </c:pt>
                <c:pt idx="2312">
                  <c:v>#N/A</c:v>
                </c:pt>
                <c:pt idx="2313">
                  <c:v>#N/A</c:v>
                </c:pt>
                <c:pt idx="2314">
                  <c:v>#N/A</c:v>
                </c:pt>
                <c:pt idx="2315">
                  <c:v>#N/A</c:v>
                </c:pt>
                <c:pt idx="2316">
                  <c:v>#N/A</c:v>
                </c:pt>
                <c:pt idx="2317">
                  <c:v>#N/A</c:v>
                </c:pt>
                <c:pt idx="2318">
                  <c:v>#N/A</c:v>
                </c:pt>
                <c:pt idx="2319">
                  <c:v>#N/A</c:v>
                </c:pt>
                <c:pt idx="2320">
                  <c:v>#N/A</c:v>
                </c:pt>
                <c:pt idx="2321">
                  <c:v>#N/A</c:v>
                </c:pt>
                <c:pt idx="2322">
                  <c:v>#N/A</c:v>
                </c:pt>
                <c:pt idx="2323">
                  <c:v>#N/A</c:v>
                </c:pt>
                <c:pt idx="2324">
                  <c:v>#N/A</c:v>
                </c:pt>
                <c:pt idx="2325">
                  <c:v>#N/A</c:v>
                </c:pt>
                <c:pt idx="2326">
                  <c:v>#N/A</c:v>
                </c:pt>
                <c:pt idx="2327">
                  <c:v>#N/A</c:v>
                </c:pt>
                <c:pt idx="2328">
                  <c:v>#N/A</c:v>
                </c:pt>
                <c:pt idx="2329">
                  <c:v>#N/A</c:v>
                </c:pt>
                <c:pt idx="2330">
                  <c:v>#N/A</c:v>
                </c:pt>
                <c:pt idx="2331">
                  <c:v>#N/A</c:v>
                </c:pt>
                <c:pt idx="2332">
                  <c:v>#N/A</c:v>
                </c:pt>
                <c:pt idx="2333">
                  <c:v>#N/A</c:v>
                </c:pt>
                <c:pt idx="2334">
                  <c:v>#N/A</c:v>
                </c:pt>
                <c:pt idx="2335">
                  <c:v>#N/A</c:v>
                </c:pt>
                <c:pt idx="2336">
                  <c:v>#N/A</c:v>
                </c:pt>
                <c:pt idx="2337">
                  <c:v>#N/A</c:v>
                </c:pt>
                <c:pt idx="2338">
                  <c:v>#N/A</c:v>
                </c:pt>
                <c:pt idx="2339">
                  <c:v>#N/A</c:v>
                </c:pt>
                <c:pt idx="2340">
                  <c:v>#N/A</c:v>
                </c:pt>
                <c:pt idx="2341">
                  <c:v>#N/A</c:v>
                </c:pt>
                <c:pt idx="2342">
                  <c:v>#N/A</c:v>
                </c:pt>
                <c:pt idx="2343">
                  <c:v>#N/A</c:v>
                </c:pt>
                <c:pt idx="2344">
                  <c:v>#N/A</c:v>
                </c:pt>
                <c:pt idx="2345">
                  <c:v>#N/A</c:v>
                </c:pt>
                <c:pt idx="2346">
                  <c:v>#N/A</c:v>
                </c:pt>
                <c:pt idx="2347">
                  <c:v>#N/A</c:v>
                </c:pt>
                <c:pt idx="2348">
                  <c:v>#N/A</c:v>
                </c:pt>
                <c:pt idx="2349">
                  <c:v>#N/A</c:v>
                </c:pt>
                <c:pt idx="2350">
                  <c:v>#N/A</c:v>
                </c:pt>
                <c:pt idx="2351">
                  <c:v>#N/A</c:v>
                </c:pt>
                <c:pt idx="2352">
                  <c:v>#N/A</c:v>
                </c:pt>
                <c:pt idx="2353">
                  <c:v>#N/A</c:v>
                </c:pt>
                <c:pt idx="2354">
                  <c:v>#N/A</c:v>
                </c:pt>
                <c:pt idx="2355">
                  <c:v>#N/A</c:v>
                </c:pt>
                <c:pt idx="2356">
                  <c:v>#N/A</c:v>
                </c:pt>
                <c:pt idx="2357">
                  <c:v>#N/A</c:v>
                </c:pt>
                <c:pt idx="2358">
                  <c:v>#N/A</c:v>
                </c:pt>
                <c:pt idx="2359">
                  <c:v>#N/A</c:v>
                </c:pt>
                <c:pt idx="2360">
                  <c:v>#N/A</c:v>
                </c:pt>
                <c:pt idx="2361">
                  <c:v>#N/A</c:v>
                </c:pt>
                <c:pt idx="2362">
                  <c:v>#N/A</c:v>
                </c:pt>
                <c:pt idx="2363">
                  <c:v>#N/A</c:v>
                </c:pt>
                <c:pt idx="2364">
                  <c:v>#N/A</c:v>
                </c:pt>
                <c:pt idx="2365">
                  <c:v>#N/A</c:v>
                </c:pt>
                <c:pt idx="2366">
                  <c:v>#N/A</c:v>
                </c:pt>
                <c:pt idx="2367">
                  <c:v>#N/A</c:v>
                </c:pt>
                <c:pt idx="2368">
                  <c:v>#N/A</c:v>
                </c:pt>
                <c:pt idx="2369">
                  <c:v>#N/A</c:v>
                </c:pt>
                <c:pt idx="2370">
                  <c:v>#N/A</c:v>
                </c:pt>
                <c:pt idx="2371">
                  <c:v>#N/A</c:v>
                </c:pt>
                <c:pt idx="2372">
                  <c:v>#N/A</c:v>
                </c:pt>
                <c:pt idx="2373">
                  <c:v>#N/A</c:v>
                </c:pt>
                <c:pt idx="2374">
                  <c:v>#N/A</c:v>
                </c:pt>
                <c:pt idx="2375">
                  <c:v>#N/A</c:v>
                </c:pt>
                <c:pt idx="2376">
                  <c:v>#N/A</c:v>
                </c:pt>
                <c:pt idx="2377">
                  <c:v>#N/A</c:v>
                </c:pt>
                <c:pt idx="2378">
                  <c:v>#N/A</c:v>
                </c:pt>
                <c:pt idx="2379">
                  <c:v>#N/A</c:v>
                </c:pt>
                <c:pt idx="2380">
                  <c:v>#N/A</c:v>
                </c:pt>
                <c:pt idx="2381">
                  <c:v>#N/A</c:v>
                </c:pt>
                <c:pt idx="2382">
                  <c:v>#N/A</c:v>
                </c:pt>
                <c:pt idx="2383">
                  <c:v>#N/A</c:v>
                </c:pt>
                <c:pt idx="2384">
                  <c:v>#N/A</c:v>
                </c:pt>
                <c:pt idx="2385">
                  <c:v>#N/A</c:v>
                </c:pt>
                <c:pt idx="2386">
                  <c:v>#N/A</c:v>
                </c:pt>
                <c:pt idx="2387">
                  <c:v>#N/A</c:v>
                </c:pt>
                <c:pt idx="2388">
                  <c:v>#N/A</c:v>
                </c:pt>
                <c:pt idx="2389">
                  <c:v>#N/A</c:v>
                </c:pt>
                <c:pt idx="2390">
                  <c:v>#N/A</c:v>
                </c:pt>
                <c:pt idx="2391">
                  <c:v>#N/A</c:v>
                </c:pt>
                <c:pt idx="2392">
                  <c:v>#N/A</c:v>
                </c:pt>
                <c:pt idx="2393">
                  <c:v>#N/A</c:v>
                </c:pt>
                <c:pt idx="2394">
                  <c:v>#N/A</c:v>
                </c:pt>
                <c:pt idx="2395">
                  <c:v>#N/A</c:v>
                </c:pt>
                <c:pt idx="2396">
                  <c:v>#N/A</c:v>
                </c:pt>
                <c:pt idx="2397">
                  <c:v>#N/A</c:v>
                </c:pt>
                <c:pt idx="2398">
                  <c:v>#N/A</c:v>
                </c:pt>
                <c:pt idx="2399">
                  <c:v>#N/A</c:v>
                </c:pt>
                <c:pt idx="2400">
                  <c:v>#N/A</c:v>
                </c:pt>
                <c:pt idx="2401">
                  <c:v>#N/A</c:v>
                </c:pt>
                <c:pt idx="2402">
                  <c:v>#N/A</c:v>
                </c:pt>
                <c:pt idx="2403">
                  <c:v>#N/A</c:v>
                </c:pt>
                <c:pt idx="2404">
                  <c:v>#N/A</c:v>
                </c:pt>
                <c:pt idx="2405">
                  <c:v>#N/A</c:v>
                </c:pt>
                <c:pt idx="2406">
                  <c:v>#N/A</c:v>
                </c:pt>
                <c:pt idx="2407">
                  <c:v>#N/A</c:v>
                </c:pt>
                <c:pt idx="2408">
                  <c:v>#N/A</c:v>
                </c:pt>
                <c:pt idx="2409">
                  <c:v>#N/A</c:v>
                </c:pt>
                <c:pt idx="2410">
                  <c:v>#N/A</c:v>
                </c:pt>
                <c:pt idx="2411">
                  <c:v>#N/A</c:v>
                </c:pt>
                <c:pt idx="2412">
                  <c:v>#N/A</c:v>
                </c:pt>
                <c:pt idx="2413">
                  <c:v>#N/A</c:v>
                </c:pt>
                <c:pt idx="2414">
                  <c:v>#N/A</c:v>
                </c:pt>
                <c:pt idx="2415">
                  <c:v>#N/A</c:v>
                </c:pt>
                <c:pt idx="2416">
                  <c:v>#N/A</c:v>
                </c:pt>
                <c:pt idx="2417">
                  <c:v>#N/A</c:v>
                </c:pt>
                <c:pt idx="2418">
                  <c:v>#N/A</c:v>
                </c:pt>
                <c:pt idx="2419">
                  <c:v>#N/A</c:v>
                </c:pt>
                <c:pt idx="2420">
                  <c:v>#N/A</c:v>
                </c:pt>
                <c:pt idx="2421">
                  <c:v>#N/A</c:v>
                </c:pt>
                <c:pt idx="2422">
                  <c:v>#N/A</c:v>
                </c:pt>
                <c:pt idx="2423">
                  <c:v>#N/A</c:v>
                </c:pt>
                <c:pt idx="2424">
                  <c:v>#N/A</c:v>
                </c:pt>
                <c:pt idx="2425">
                  <c:v>#N/A</c:v>
                </c:pt>
                <c:pt idx="2426">
                  <c:v>#N/A</c:v>
                </c:pt>
                <c:pt idx="2427">
                  <c:v>#N/A</c:v>
                </c:pt>
                <c:pt idx="2428">
                  <c:v>#N/A</c:v>
                </c:pt>
                <c:pt idx="2429">
                  <c:v>#N/A</c:v>
                </c:pt>
                <c:pt idx="2430">
                  <c:v>#N/A</c:v>
                </c:pt>
                <c:pt idx="2431">
                  <c:v>#N/A</c:v>
                </c:pt>
                <c:pt idx="2432">
                  <c:v>#N/A</c:v>
                </c:pt>
                <c:pt idx="2433">
                  <c:v>#N/A</c:v>
                </c:pt>
                <c:pt idx="2434">
                  <c:v>#N/A</c:v>
                </c:pt>
                <c:pt idx="2435">
                  <c:v>#N/A</c:v>
                </c:pt>
                <c:pt idx="2436">
                  <c:v>#N/A</c:v>
                </c:pt>
                <c:pt idx="2437">
                  <c:v>#N/A</c:v>
                </c:pt>
                <c:pt idx="2438">
                  <c:v>#N/A</c:v>
                </c:pt>
                <c:pt idx="2439">
                  <c:v>#N/A</c:v>
                </c:pt>
                <c:pt idx="2440">
                  <c:v>#N/A</c:v>
                </c:pt>
                <c:pt idx="2441">
                  <c:v>#N/A</c:v>
                </c:pt>
                <c:pt idx="2442">
                  <c:v>#N/A</c:v>
                </c:pt>
                <c:pt idx="2443">
                  <c:v>#N/A</c:v>
                </c:pt>
                <c:pt idx="2444">
                  <c:v>#N/A</c:v>
                </c:pt>
                <c:pt idx="2445">
                  <c:v>#N/A</c:v>
                </c:pt>
                <c:pt idx="2446">
                  <c:v>#N/A</c:v>
                </c:pt>
                <c:pt idx="2447">
                  <c:v>#N/A</c:v>
                </c:pt>
                <c:pt idx="2448">
                  <c:v>#N/A</c:v>
                </c:pt>
                <c:pt idx="2449">
                  <c:v>#N/A</c:v>
                </c:pt>
                <c:pt idx="2450">
                  <c:v>#N/A</c:v>
                </c:pt>
                <c:pt idx="2451">
                  <c:v>#N/A</c:v>
                </c:pt>
                <c:pt idx="2452">
                  <c:v>#N/A</c:v>
                </c:pt>
                <c:pt idx="2453">
                  <c:v>#N/A</c:v>
                </c:pt>
                <c:pt idx="2454">
                  <c:v>#N/A</c:v>
                </c:pt>
                <c:pt idx="2455">
                  <c:v>#N/A</c:v>
                </c:pt>
                <c:pt idx="2456">
                  <c:v>#N/A</c:v>
                </c:pt>
                <c:pt idx="2457">
                  <c:v>#N/A</c:v>
                </c:pt>
                <c:pt idx="2458">
                  <c:v>#N/A</c:v>
                </c:pt>
                <c:pt idx="2459">
                  <c:v>#N/A</c:v>
                </c:pt>
                <c:pt idx="2460">
                  <c:v>#N/A</c:v>
                </c:pt>
                <c:pt idx="2461">
                  <c:v>#N/A</c:v>
                </c:pt>
                <c:pt idx="2462">
                  <c:v>#N/A</c:v>
                </c:pt>
                <c:pt idx="2463">
                  <c:v>#N/A</c:v>
                </c:pt>
                <c:pt idx="2464">
                  <c:v>#N/A</c:v>
                </c:pt>
                <c:pt idx="2465">
                  <c:v>#N/A</c:v>
                </c:pt>
                <c:pt idx="2466">
                  <c:v>#N/A</c:v>
                </c:pt>
                <c:pt idx="2467">
                  <c:v>#N/A</c:v>
                </c:pt>
                <c:pt idx="2468">
                  <c:v>#N/A</c:v>
                </c:pt>
                <c:pt idx="2469">
                  <c:v>#N/A</c:v>
                </c:pt>
                <c:pt idx="2470">
                  <c:v>#N/A</c:v>
                </c:pt>
                <c:pt idx="2471">
                  <c:v>#N/A</c:v>
                </c:pt>
                <c:pt idx="2472">
                  <c:v>#N/A</c:v>
                </c:pt>
                <c:pt idx="2473">
                  <c:v>#N/A</c:v>
                </c:pt>
                <c:pt idx="2474">
                  <c:v>#N/A</c:v>
                </c:pt>
                <c:pt idx="2475">
                  <c:v>#N/A</c:v>
                </c:pt>
                <c:pt idx="2476">
                  <c:v>#N/A</c:v>
                </c:pt>
                <c:pt idx="2477">
                  <c:v>#N/A</c:v>
                </c:pt>
                <c:pt idx="2478">
                  <c:v>#N/A</c:v>
                </c:pt>
                <c:pt idx="2479">
                  <c:v>#N/A</c:v>
                </c:pt>
                <c:pt idx="2480">
                  <c:v>#N/A</c:v>
                </c:pt>
                <c:pt idx="2481">
                  <c:v>#N/A</c:v>
                </c:pt>
                <c:pt idx="2482">
                  <c:v>#N/A</c:v>
                </c:pt>
                <c:pt idx="2483">
                  <c:v>#N/A</c:v>
                </c:pt>
                <c:pt idx="2484">
                  <c:v>#N/A</c:v>
                </c:pt>
                <c:pt idx="2485">
                  <c:v>#N/A</c:v>
                </c:pt>
                <c:pt idx="2486">
                  <c:v>#N/A</c:v>
                </c:pt>
                <c:pt idx="2487">
                  <c:v>#N/A</c:v>
                </c:pt>
                <c:pt idx="2488">
                  <c:v>#N/A</c:v>
                </c:pt>
                <c:pt idx="2489">
                  <c:v>#N/A</c:v>
                </c:pt>
                <c:pt idx="2490">
                  <c:v>#N/A</c:v>
                </c:pt>
                <c:pt idx="2491">
                  <c:v>#N/A</c:v>
                </c:pt>
                <c:pt idx="2492">
                  <c:v>#N/A</c:v>
                </c:pt>
                <c:pt idx="2493">
                  <c:v>#N/A</c:v>
                </c:pt>
                <c:pt idx="2494">
                  <c:v>#N/A</c:v>
                </c:pt>
                <c:pt idx="2495">
                  <c:v>#N/A</c:v>
                </c:pt>
                <c:pt idx="2496">
                  <c:v>#N/A</c:v>
                </c:pt>
                <c:pt idx="2497">
                  <c:v>#N/A</c:v>
                </c:pt>
                <c:pt idx="2498">
                  <c:v>#N/A</c:v>
                </c:pt>
                <c:pt idx="2499">
                  <c:v>#N/A</c:v>
                </c:pt>
                <c:pt idx="2500">
                  <c:v>#N/A</c:v>
                </c:pt>
                <c:pt idx="2501">
                  <c:v>#N/A</c:v>
                </c:pt>
                <c:pt idx="2502">
                  <c:v>#N/A</c:v>
                </c:pt>
                <c:pt idx="2503">
                  <c:v>#N/A</c:v>
                </c:pt>
                <c:pt idx="2504">
                  <c:v>#N/A</c:v>
                </c:pt>
                <c:pt idx="2505">
                  <c:v>#N/A</c:v>
                </c:pt>
                <c:pt idx="2506">
                  <c:v>#N/A</c:v>
                </c:pt>
                <c:pt idx="2507">
                  <c:v>#N/A</c:v>
                </c:pt>
                <c:pt idx="2508">
                  <c:v>#N/A</c:v>
                </c:pt>
                <c:pt idx="2509">
                  <c:v>#N/A</c:v>
                </c:pt>
                <c:pt idx="2510">
                  <c:v>#N/A</c:v>
                </c:pt>
                <c:pt idx="2511">
                  <c:v>#N/A</c:v>
                </c:pt>
                <c:pt idx="2512">
                  <c:v>#N/A</c:v>
                </c:pt>
                <c:pt idx="2513">
                  <c:v>#N/A</c:v>
                </c:pt>
                <c:pt idx="2514">
                  <c:v>#N/A</c:v>
                </c:pt>
                <c:pt idx="2515">
                  <c:v>#N/A</c:v>
                </c:pt>
                <c:pt idx="2516">
                  <c:v>#N/A</c:v>
                </c:pt>
                <c:pt idx="2517">
                  <c:v>#N/A</c:v>
                </c:pt>
                <c:pt idx="2518">
                  <c:v>#N/A</c:v>
                </c:pt>
                <c:pt idx="2519">
                  <c:v>#N/A</c:v>
                </c:pt>
                <c:pt idx="2520">
                  <c:v>#N/A</c:v>
                </c:pt>
                <c:pt idx="2521">
                  <c:v>#N/A</c:v>
                </c:pt>
                <c:pt idx="2522">
                  <c:v>#N/A</c:v>
                </c:pt>
                <c:pt idx="2523">
                  <c:v>#N/A</c:v>
                </c:pt>
                <c:pt idx="2524">
                  <c:v>#N/A</c:v>
                </c:pt>
                <c:pt idx="2525">
                  <c:v>#N/A</c:v>
                </c:pt>
                <c:pt idx="2526">
                  <c:v>#N/A</c:v>
                </c:pt>
                <c:pt idx="2527">
                  <c:v>#N/A</c:v>
                </c:pt>
                <c:pt idx="2528">
                  <c:v>#N/A</c:v>
                </c:pt>
                <c:pt idx="2529">
                  <c:v>#N/A</c:v>
                </c:pt>
                <c:pt idx="2530">
                  <c:v>#N/A</c:v>
                </c:pt>
                <c:pt idx="2531">
                  <c:v>#N/A</c:v>
                </c:pt>
                <c:pt idx="2532">
                  <c:v>#N/A</c:v>
                </c:pt>
                <c:pt idx="2533">
                  <c:v>#N/A</c:v>
                </c:pt>
                <c:pt idx="2534">
                  <c:v>#N/A</c:v>
                </c:pt>
                <c:pt idx="2535">
                  <c:v>#N/A</c:v>
                </c:pt>
                <c:pt idx="2536">
                  <c:v>#N/A</c:v>
                </c:pt>
                <c:pt idx="2537">
                  <c:v>#N/A</c:v>
                </c:pt>
                <c:pt idx="2538">
                  <c:v>#N/A</c:v>
                </c:pt>
                <c:pt idx="2539">
                  <c:v>#N/A</c:v>
                </c:pt>
                <c:pt idx="2540">
                  <c:v>#N/A</c:v>
                </c:pt>
                <c:pt idx="2541">
                  <c:v>#N/A</c:v>
                </c:pt>
                <c:pt idx="2542">
                  <c:v>#N/A</c:v>
                </c:pt>
                <c:pt idx="2543">
                  <c:v>#N/A</c:v>
                </c:pt>
                <c:pt idx="2544">
                  <c:v>#N/A</c:v>
                </c:pt>
                <c:pt idx="2545">
                  <c:v>#N/A</c:v>
                </c:pt>
                <c:pt idx="2546">
                  <c:v>#N/A</c:v>
                </c:pt>
                <c:pt idx="2547">
                  <c:v>#N/A</c:v>
                </c:pt>
                <c:pt idx="2548">
                  <c:v>#N/A</c:v>
                </c:pt>
                <c:pt idx="2549">
                  <c:v>#N/A</c:v>
                </c:pt>
                <c:pt idx="2550">
                  <c:v>#N/A</c:v>
                </c:pt>
                <c:pt idx="2551">
                  <c:v>#N/A</c:v>
                </c:pt>
                <c:pt idx="2552">
                  <c:v>#N/A</c:v>
                </c:pt>
                <c:pt idx="2553">
                  <c:v>#N/A</c:v>
                </c:pt>
                <c:pt idx="2554">
                  <c:v>#N/A</c:v>
                </c:pt>
                <c:pt idx="2555">
                  <c:v>#N/A</c:v>
                </c:pt>
                <c:pt idx="2556">
                  <c:v>#N/A</c:v>
                </c:pt>
                <c:pt idx="2557">
                  <c:v>#N/A</c:v>
                </c:pt>
              </c:numCache>
            </c:numRef>
          </c:val>
          <c:smooth val="0"/>
          <c:extLst>
            <c:ext xmlns:c16="http://schemas.microsoft.com/office/drawing/2014/chart" uri="{C3380CC4-5D6E-409C-BE32-E72D297353CC}">
              <c16:uniqueId val="{00000008-CC99-4D1E-9B89-33613AE1EB93}"/>
            </c:ext>
          </c:extLst>
        </c:ser>
        <c:ser>
          <c:idx val="3"/>
          <c:order val="3"/>
          <c:tx>
            <c:strRef>
              <c:f>Onboarding!$F$2</c:f>
              <c:strCache>
                <c:ptCount val="1"/>
                <c:pt idx="0">
                  <c:v>St Helena</c:v>
                </c:pt>
              </c:strCache>
            </c:strRef>
          </c:tx>
          <c:spPr>
            <a:ln w="15875" cap="rnd">
              <a:solidFill>
                <a:schemeClr val="accent1"/>
              </a:solidFill>
              <a:round/>
            </a:ln>
            <a:effectLst/>
          </c:spPr>
          <c:marker>
            <c:symbol val="none"/>
          </c:marker>
          <c:dPt>
            <c:idx val="1087"/>
            <c:marker>
              <c:symbol val="diamond"/>
              <c:size val="9"/>
              <c:spPr>
                <a:solidFill>
                  <a:schemeClr val="accent1"/>
                </a:solidFill>
                <a:ln w="9525">
                  <a:noFill/>
                </a:ln>
                <a:effectLst/>
              </c:spPr>
            </c:marker>
            <c:bubble3D val="0"/>
            <c:extLst>
              <c:ext xmlns:c16="http://schemas.microsoft.com/office/drawing/2014/chart" uri="{C3380CC4-5D6E-409C-BE32-E72D297353CC}">
                <c16:uniqueId val="{00000009-CC99-4D1E-9B89-33613AE1EB93}"/>
              </c:ext>
            </c:extLst>
          </c:dPt>
          <c:dPt>
            <c:idx val="1420"/>
            <c:marker>
              <c:symbol val="diamond"/>
              <c:size val="9"/>
              <c:spPr>
                <a:solidFill>
                  <a:schemeClr val="accent1"/>
                </a:solidFill>
                <a:ln w="9525">
                  <a:noFill/>
                </a:ln>
                <a:effectLst/>
              </c:spPr>
            </c:marker>
            <c:bubble3D val="0"/>
            <c:extLst>
              <c:ext xmlns:c16="http://schemas.microsoft.com/office/drawing/2014/chart" uri="{C3380CC4-5D6E-409C-BE32-E72D297353CC}">
                <c16:uniqueId val="{0000000A-CC99-4D1E-9B89-33613AE1EB93}"/>
              </c:ext>
            </c:extLst>
          </c:dPt>
          <c:cat>
            <c:numRef>
              <c:f>Onboarding!$B$7:$B$2564</c:f>
              <c:numCache>
                <c:formatCode>m/d/yyyy</c:formatCode>
                <c:ptCount val="2558"/>
                <c:pt idx="0">
                  <c:v>43101</c:v>
                </c:pt>
                <c:pt idx="1">
                  <c:v>43102</c:v>
                </c:pt>
                <c:pt idx="2">
                  <c:v>43103</c:v>
                </c:pt>
                <c:pt idx="3">
                  <c:v>43104</c:v>
                </c:pt>
                <c:pt idx="4">
                  <c:v>43105</c:v>
                </c:pt>
                <c:pt idx="5">
                  <c:v>43106</c:v>
                </c:pt>
                <c:pt idx="6">
                  <c:v>43107</c:v>
                </c:pt>
                <c:pt idx="7">
                  <c:v>43108</c:v>
                </c:pt>
                <c:pt idx="8">
                  <c:v>43109</c:v>
                </c:pt>
                <c:pt idx="9">
                  <c:v>43110</c:v>
                </c:pt>
                <c:pt idx="10">
                  <c:v>43111</c:v>
                </c:pt>
                <c:pt idx="11">
                  <c:v>43112</c:v>
                </c:pt>
                <c:pt idx="12">
                  <c:v>43113</c:v>
                </c:pt>
                <c:pt idx="13">
                  <c:v>43114</c:v>
                </c:pt>
                <c:pt idx="14">
                  <c:v>43115</c:v>
                </c:pt>
                <c:pt idx="15">
                  <c:v>43116</c:v>
                </c:pt>
                <c:pt idx="16">
                  <c:v>43117</c:v>
                </c:pt>
                <c:pt idx="17">
                  <c:v>43118</c:v>
                </c:pt>
                <c:pt idx="18">
                  <c:v>43119</c:v>
                </c:pt>
                <c:pt idx="19">
                  <c:v>43120</c:v>
                </c:pt>
                <c:pt idx="20">
                  <c:v>43121</c:v>
                </c:pt>
                <c:pt idx="21">
                  <c:v>43122</c:v>
                </c:pt>
                <c:pt idx="22">
                  <c:v>43123</c:v>
                </c:pt>
                <c:pt idx="23">
                  <c:v>43124</c:v>
                </c:pt>
                <c:pt idx="24">
                  <c:v>43125</c:v>
                </c:pt>
                <c:pt idx="25">
                  <c:v>43126</c:v>
                </c:pt>
                <c:pt idx="26">
                  <c:v>43127</c:v>
                </c:pt>
                <c:pt idx="27">
                  <c:v>43128</c:v>
                </c:pt>
                <c:pt idx="28">
                  <c:v>43129</c:v>
                </c:pt>
                <c:pt idx="29">
                  <c:v>43130</c:v>
                </c:pt>
                <c:pt idx="30">
                  <c:v>43131</c:v>
                </c:pt>
                <c:pt idx="31">
                  <c:v>43132</c:v>
                </c:pt>
                <c:pt idx="32">
                  <c:v>43133</c:v>
                </c:pt>
                <c:pt idx="33">
                  <c:v>43134</c:v>
                </c:pt>
                <c:pt idx="34">
                  <c:v>43135</c:v>
                </c:pt>
                <c:pt idx="35">
                  <c:v>43136</c:v>
                </c:pt>
                <c:pt idx="36">
                  <c:v>43137</c:v>
                </c:pt>
                <c:pt idx="37">
                  <c:v>43138</c:v>
                </c:pt>
                <c:pt idx="38">
                  <c:v>43139</c:v>
                </c:pt>
                <c:pt idx="39">
                  <c:v>43140</c:v>
                </c:pt>
                <c:pt idx="40">
                  <c:v>43141</c:v>
                </c:pt>
                <c:pt idx="41">
                  <c:v>43142</c:v>
                </c:pt>
                <c:pt idx="42">
                  <c:v>43143</c:v>
                </c:pt>
                <c:pt idx="43">
                  <c:v>43144</c:v>
                </c:pt>
                <c:pt idx="44">
                  <c:v>43145</c:v>
                </c:pt>
                <c:pt idx="45">
                  <c:v>43146</c:v>
                </c:pt>
                <c:pt idx="46">
                  <c:v>43147</c:v>
                </c:pt>
                <c:pt idx="47">
                  <c:v>43148</c:v>
                </c:pt>
                <c:pt idx="48">
                  <c:v>43149</c:v>
                </c:pt>
                <c:pt idx="49">
                  <c:v>43150</c:v>
                </c:pt>
                <c:pt idx="50">
                  <c:v>43151</c:v>
                </c:pt>
                <c:pt idx="51">
                  <c:v>43152</c:v>
                </c:pt>
                <c:pt idx="52">
                  <c:v>43153</c:v>
                </c:pt>
                <c:pt idx="53">
                  <c:v>43154</c:v>
                </c:pt>
                <c:pt idx="54">
                  <c:v>43155</c:v>
                </c:pt>
                <c:pt idx="55">
                  <c:v>43156</c:v>
                </c:pt>
                <c:pt idx="56">
                  <c:v>43157</c:v>
                </c:pt>
                <c:pt idx="57">
                  <c:v>43158</c:v>
                </c:pt>
                <c:pt idx="58">
                  <c:v>43159</c:v>
                </c:pt>
                <c:pt idx="59">
                  <c:v>43160</c:v>
                </c:pt>
                <c:pt idx="60">
                  <c:v>43161</c:v>
                </c:pt>
                <c:pt idx="61">
                  <c:v>43162</c:v>
                </c:pt>
                <c:pt idx="62">
                  <c:v>43163</c:v>
                </c:pt>
                <c:pt idx="63">
                  <c:v>43164</c:v>
                </c:pt>
                <c:pt idx="64">
                  <c:v>43165</c:v>
                </c:pt>
                <c:pt idx="65">
                  <c:v>43166</c:v>
                </c:pt>
                <c:pt idx="66">
                  <c:v>43167</c:v>
                </c:pt>
                <c:pt idx="67">
                  <c:v>43168</c:v>
                </c:pt>
                <c:pt idx="68">
                  <c:v>43169</c:v>
                </c:pt>
                <c:pt idx="69">
                  <c:v>43170</c:v>
                </c:pt>
                <c:pt idx="70">
                  <c:v>43171</c:v>
                </c:pt>
                <c:pt idx="71">
                  <c:v>43172</c:v>
                </c:pt>
                <c:pt idx="72">
                  <c:v>43173</c:v>
                </c:pt>
                <c:pt idx="73">
                  <c:v>43174</c:v>
                </c:pt>
                <c:pt idx="74">
                  <c:v>43175</c:v>
                </c:pt>
                <c:pt idx="75">
                  <c:v>43176</c:v>
                </c:pt>
                <c:pt idx="76">
                  <c:v>43177</c:v>
                </c:pt>
                <c:pt idx="77">
                  <c:v>43178</c:v>
                </c:pt>
                <c:pt idx="78">
                  <c:v>43179</c:v>
                </c:pt>
                <c:pt idx="79">
                  <c:v>43180</c:v>
                </c:pt>
                <c:pt idx="80">
                  <c:v>43181</c:v>
                </c:pt>
                <c:pt idx="81">
                  <c:v>43182</c:v>
                </c:pt>
                <c:pt idx="82">
                  <c:v>43183</c:v>
                </c:pt>
                <c:pt idx="83">
                  <c:v>43184</c:v>
                </c:pt>
                <c:pt idx="84">
                  <c:v>43185</c:v>
                </c:pt>
                <c:pt idx="85">
                  <c:v>43186</c:v>
                </c:pt>
                <c:pt idx="86">
                  <c:v>43187</c:v>
                </c:pt>
                <c:pt idx="87">
                  <c:v>43188</c:v>
                </c:pt>
                <c:pt idx="88">
                  <c:v>43189</c:v>
                </c:pt>
                <c:pt idx="89">
                  <c:v>43190</c:v>
                </c:pt>
                <c:pt idx="90">
                  <c:v>43191</c:v>
                </c:pt>
                <c:pt idx="91">
                  <c:v>43192</c:v>
                </c:pt>
                <c:pt idx="92">
                  <c:v>43193</c:v>
                </c:pt>
                <c:pt idx="93">
                  <c:v>43194</c:v>
                </c:pt>
                <c:pt idx="94">
                  <c:v>43195</c:v>
                </c:pt>
                <c:pt idx="95">
                  <c:v>43196</c:v>
                </c:pt>
                <c:pt idx="96">
                  <c:v>43197</c:v>
                </c:pt>
                <c:pt idx="97">
                  <c:v>43198</c:v>
                </c:pt>
                <c:pt idx="98">
                  <c:v>43199</c:v>
                </c:pt>
                <c:pt idx="99">
                  <c:v>43200</c:v>
                </c:pt>
                <c:pt idx="100">
                  <c:v>43201</c:v>
                </c:pt>
                <c:pt idx="101">
                  <c:v>43202</c:v>
                </c:pt>
                <c:pt idx="102">
                  <c:v>43203</c:v>
                </c:pt>
                <c:pt idx="103">
                  <c:v>43204</c:v>
                </c:pt>
                <c:pt idx="104">
                  <c:v>43205</c:v>
                </c:pt>
                <c:pt idx="105">
                  <c:v>43206</c:v>
                </c:pt>
                <c:pt idx="106">
                  <c:v>43207</c:v>
                </c:pt>
                <c:pt idx="107">
                  <c:v>43208</c:v>
                </c:pt>
                <c:pt idx="108">
                  <c:v>43209</c:v>
                </c:pt>
                <c:pt idx="109">
                  <c:v>43210</c:v>
                </c:pt>
                <c:pt idx="110">
                  <c:v>43211</c:v>
                </c:pt>
                <c:pt idx="111">
                  <c:v>43212</c:v>
                </c:pt>
                <c:pt idx="112">
                  <c:v>43213</c:v>
                </c:pt>
                <c:pt idx="113">
                  <c:v>43214</c:v>
                </c:pt>
                <c:pt idx="114">
                  <c:v>43215</c:v>
                </c:pt>
                <c:pt idx="115">
                  <c:v>43216</c:v>
                </c:pt>
                <c:pt idx="116">
                  <c:v>43217</c:v>
                </c:pt>
                <c:pt idx="117">
                  <c:v>43218</c:v>
                </c:pt>
                <c:pt idx="118">
                  <c:v>43219</c:v>
                </c:pt>
                <c:pt idx="119">
                  <c:v>43220</c:v>
                </c:pt>
                <c:pt idx="120">
                  <c:v>43221</c:v>
                </c:pt>
                <c:pt idx="121">
                  <c:v>43222</c:v>
                </c:pt>
                <c:pt idx="122">
                  <c:v>43223</c:v>
                </c:pt>
                <c:pt idx="123">
                  <c:v>43224</c:v>
                </c:pt>
                <c:pt idx="124">
                  <c:v>43225</c:v>
                </c:pt>
                <c:pt idx="125">
                  <c:v>43226</c:v>
                </c:pt>
                <c:pt idx="126">
                  <c:v>43227</c:v>
                </c:pt>
                <c:pt idx="127">
                  <c:v>43228</c:v>
                </c:pt>
                <c:pt idx="128">
                  <c:v>43229</c:v>
                </c:pt>
                <c:pt idx="129">
                  <c:v>43230</c:v>
                </c:pt>
                <c:pt idx="130">
                  <c:v>43231</c:v>
                </c:pt>
                <c:pt idx="131">
                  <c:v>43232</c:v>
                </c:pt>
                <c:pt idx="132">
                  <c:v>43233</c:v>
                </c:pt>
                <c:pt idx="133">
                  <c:v>43234</c:v>
                </c:pt>
                <c:pt idx="134">
                  <c:v>43235</c:v>
                </c:pt>
                <c:pt idx="135">
                  <c:v>43236</c:v>
                </c:pt>
                <c:pt idx="136">
                  <c:v>43237</c:v>
                </c:pt>
                <c:pt idx="137">
                  <c:v>43238</c:v>
                </c:pt>
                <c:pt idx="138">
                  <c:v>43239</c:v>
                </c:pt>
                <c:pt idx="139">
                  <c:v>43240</c:v>
                </c:pt>
                <c:pt idx="140">
                  <c:v>43241</c:v>
                </c:pt>
                <c:pt idx="141">
                  <c:v>43242</c:v>
                </c:pt>
                <c:pt idx="142">
                  <c:v>43243</c:v>
                </c:pt>
                <c:pt idx="143">
                  <c:v>43244</c:v>
                </c:pt>
                <c:pt idx="144">
                  <c:v>43245</c:v>
                </c:pt>
                <c:pt idx="145">
                  <c:v>43246</c:v>
                </c:pt>
                <c:pt idx="146">
                  <c:v>43247</c:v>
                </c:pt>
                <c:pt idx="147">
                  <c:v>43248</c:v>
                </c:pt>
                <c:pt idx="148">
                  <c:v>43249</c:v>
                </c:pt>
                <c:pt idx="149">
                  <c:v>43250</c:v>
                </c:pt>
                <c:pt idx="150">
                  <c:v>43251</c:v>
                </c:pt>
                <c:pt idx="151">
                  <c:v>43252</c:v>
                </c:pt>
                <c:pt idx="152">
                  <c:v>43253</c:v>
                </c:pt>
                <c:pt idx="153">
                  <c:v>43254</c:v>
                </c:pt>
                <c:pt idx="154">
                  <c:v>43255</c:v>
                </c:pt>
                <c:pt idx="155">
                  <c:v>43256</c:v>
                </c:pt>
                <c:pt idx="156">
                  <c:v>43257</c:v>
                </c:pt>
                <c:pt idx="157">
                  <c:v>43258</c:v>
                </c:pt>
                <c:pt idx="158">
                  <c:v>43259</c:v>
                </c:pt>
                <c:pt idx="159">
                  <c:v>43260</c:v>
                </c:pt>
                <c:pt idx="160">
                  <c:v>43261</c:v>
                </c:pt>
                <c:pt idx="161">
                  <c:v>43262</c:v>
                </c:pt>
                <c:pt idx="162">
                  <c:v>43263</c:v>
                </c:pt>
                <c:pt idx="163">
                  <c:v>43264</c:v>
                </c:pt>
                <c:pt idx="164">
                  <c:v>43265</c:v>
                </c:pt>
                <c:pt idx="165">
                  <c:v>43266</c:v>
                </c:pt>
                <c:pt idx="166">
                  <c:v>43267</c:v>
                </c:pt>
                <c:pt idx="167">
                  <c:v>43268</c:v>
                </c:pt>
                <c:pt idx="168">
                  <c:v>43269</c:v>
                </c:pt>
                <c:pt idx="169">
                  <c:v>43270</c:v>
                </c:pt>
                <c:pt idx="170">
                  <c:v>43271</c:v>
                </c:pt>
                <c:pt idx="171">
                  <c:v>43272</c:v>
                </c:pt>
                <c:pt idx="172">
                  <c:v>43273</c:v>
                </c:pt>
                <c:pt idx="173">
                  <c:v>43274</c:v>
                </c:pt>
                <c:pt idx="174">
                  <c:v>43275</c:v>
                </c:pt>
                <c:pt idx="175">
                  <c:v>43276</c:v>
                </c:pt>
                <c:pt idx="176">
                  <c:v>43277</c:v>
                </c:pt>
                <c:pt idx="177">
                  <c:v>43278</c:v>
                </c:pt>
                <c:pt idx="178">
                  <c:v>43279</c:v>
                </c:pt>
                <c:pt idx="179">
                  <c:v>43280</c:v>
                </c:pt>
                <c:pt idx="180">
                  <c:v>43281</c:v>
                </c:pt>
                <c:pt idx="181">
                  <c:v>43282</c:v>
                </c:pt>
                <c:pt idx="182">
                  <c:v>43283</c:v>
                </c:pt>
                <c:pt idx="183">
                  <c:v>43284</c:v>
                </c:pt>
                <c:pt idx="184">
                  <c:v>43285</c:v>
                </c:pt>
                <c:pt idx="185">
                  <c:v>43286</c:v>
                </c:pt>
                <c:pt idx="186">
                  <c:v>43287</c:v>
                </c:pt>
                <c:pt idx="187">
                  <c:v>43288</c:v>
                </c:pt>
                <c:pt idx="188">
                  <c:v>43289</c:v>
                </c:pt>
                <c:pt idx="189">
                  <c:v>43290</c:v>
                </c:pt>
                <c:pt idx="190">
                  <c:v>43291</c:v>
                </c:pt>
                <c:pt idx="191">
                  <c:v>43292</c:v>
                </c:pt>
                <c:pt idx="192">
                  <c:v>43293</c:v>
                </c:pt>
                <c:pt idx="193">
                  <c:v>43294</c:v>
                </c:pt>
                <c:pt idx="194">
                  <c:v>43295</c:v>
                </c:pt>
                <c:pt idx="195">
                  <c:v>43296</c:v>
                </c:pt>
                <c:pt idx="196">
                  <c:v>43297</c:v>
                </c:pt>
                <c:pt idx="197">
                  <c:v>43298</c:v>
                </c:pt>
                <c:pt idx="198">
                  <c:v>43299</c:v>
                </c:pt>
                <c:pt idx="199">
                  <c:v>43300</c:v>
                </c:pt>
                <c:pt idx="200">
                  <c:v>43301</c:v>
                </c:pt>
                <c:pt idx="201">
                  <c:v>43302</c:v>
                </c:pt>
                <c:pt idx="202">
                  <c:v>43303</c:v>
                </c:pt>
                <c:pt idx="203">
                  <c:v>43304</c:v>
                </c:pt>
                <c:pt idx="204">
                  <c:v>43305</c:v>
                </c:pt>
                <c:pt idx="205">
                  <c:v>43306</c:v>
                </c:pt>
                <c:pt idx="206">
                  <c:v>43307</c:v>
                </c:pt>
                <c:pt idx="207">
                  <c:v>43308</c:v>
                </c:pt>
                <c:pt idx="208">
                  <c:v>43309</c:v>
                </c:pt>
                <c:pt idx="209">
                  <c:v>43310</c:v>
                </c:pt>
                <c:pt idx="210">
                  <c:v>43311</c:v>
                </c:pt>
                <c:pt idx="211">
                  <c:v>43312</c:v>
                </c:pt>
                <c:pt idx="212">
                  <c:v>43313</c:v>
                </c:pt>
                <c:pt idx="213">
                  <c:v>43314</c:v>
                </c:pt>
                <c:pt idx="214">
                  <c:v>43315</c:v>
                </c:pt>
                <c:pt idx="215">
                  <c:v>43316</c:v>
                </c:pt>
                <c:pt idx="216">
                  <c:v>43317</c:v>
                </c:pt>
                <c:pt idx="217">
                  <c:v>43318</c:v>
                </c:pt>
                <c:pt idx="218">
                  <c:v>43319</c:v>
                </c:pt>
                <c:pt idx="219">
                  <c:v>43320</c:v>
                </c:pt>
                <c:pt idx="220">
                  <c:v>43321</c:v>
                </c:pt>
                <c:pt idx="221">
                  <c:v>43322</c:v>
                </c:pt>
                <c:pt idx="222">
                  <c:v>43323</c:v>
                </c:pt>
                <c:pt idx="223">
                  <c:v>43324</c:v>
                </c:pt>
                <c:pt idx="224">
                  <c:v>43325</c:v>
                </c:pt>
                <c:pt idx="225">
                  <c:v>43326</c:v>
                </c:pt>
                <c:pt idx="226">
                  <c:v>43327</c:v>
                </c:pt>
                <c:pt idx="227">
                  <c:v>43328</c:v>
                </c:pt>
                <c:pt idx="228">
                  <c:v>43329</c:v>
                </c:pt>
                <c:pt idx="229">
                  <c:v>43330</c:v>
                </c:pt>
                <c:pt idx="230">
                  <c:v>43331</c:v>
                </c:pt>
                <c:pt idx="231">
                  <c:v>43332</c:v>
                </c:pt>
                <c:pt idx="232">
                  <c:v>43333</c:v>
                </c:pt>
                <c:pt idx="233">
                  <c:v>43334</c:v>
                </c:pt>
                <c:pt idx="234">
                  <c:v>43335</c:v>
                </c:pt>
                <c:pt idx="235">
                  <c:v>43336</c:v>
                </c:pt>
                <c:pt idx="236">
                  <c:v>43337</c:v>
                </c:pt>
                <c:pt idx="237">
                  <c:v>43338</c:v>
                </c:pt>
                <c:pt idx="238">
                  <c:v>43339</c:v>
                </c:pt>
                <c:pt idx="239">
                  <c:v>43340</c:v>
                </c:pt>
                <c:pt idx="240">
                  <c:v>43341</c:v>
                </c:pt>
                <c:pt idx="241">
                  <c:v>43342</c:v>
                </c:pt>
                <c:pt idx="242">
                  <c:v>43343</c:v>
                </c:pt>
                <c:pt idx="243">
                  <c:v>43344</c:v>
                </c:pt>
                <c:pt idx="244">
                  <c:v>43345</c:v>
                </c:pt>
                <c:pt idx="245">
                  <c:v>43346</c:v>
                </c:pt>
                <c:pt idx="246">
                  <c:v>43347</c:v>
                </c:pt>
                <c:pt idx="247">
                  <c:v>43348</c:v>
                </c:pt>
                <c:pt idx="248">
                  <c:v>43349</c:v>
                </c:pt>
                <c:pt idx="249">
                  <c:v>43350</c:v>
                </c:pt>
                <c:pt idx="250">
                  <c:v>43351</c:v>
                </c:pt>
                <c:pt idx="251">
                  <c:v>43352</c:v>
                </c:pt>
                <c:pt idx="252">
                  <c:v>43353</c:v>
                </c:pt>
                <c:pt idx="253">
                  <c:v>43354</c:v>
                </c:pt>
                <c:pt idx="254">
                  <c:v>43355</c:v>
                </c:pt>
                <c:pt idx="255">
                  <c:v>43356</c:v>
                </c:pt>
                <c:pt idx="256">
                  <c:v>43357</c:v>
                </c:pt>
                <c:pt idx="257">
                  <c:v>43358</c:v>
                </c:pt>
                <c:pt idx="258">
                  <c:v>43359</c:v>
                </c:pt>
                <c:pt idx="259">
                  <c:v>43360</c:v>
                </c:pt>
                <c:pt idx="260">
                  <c:v>43361</c:v>
                </c:pt>
                <c:pt idx="261">
                  <c:v>43362</c:v>
                </c:pt>
                <c:pt idx="262">
                  <c:v>43363</c:v>
                </c:pt>
                <c:pt idx="263">
                  <c:v>43364</c:v>
                </c:pt>
                <c:pt idx="264">
                  <c:v>43365</c:v>
                </c:pt>
                <c:pt idx="265">
                  <c:v>43366</c:v>
                </c:pt>
                <c:pt idx="266">
                  <c:v>43367</c:v>
                </c:pt>
                <c:pt idx="267">
                  <c:v>43368</c:v>
                </c:pt>
                <c:pt idx="268">
                  <c:v>43369</c:v>
                </c:pt>
                <c:pt idx="269">
                  <c:v>43370</c:v>
                </c:pt>
                <c:pt idx="270">
                  <c:v>43371</c:v>
                </c:pt>
                <c:pt idx="271">
                  <c:v>43372</c:v>
                </c:pt>
                <c:pt idx="272">
                  <c:v>43373</c:v>
                </c:pt>
                <c:pt idx="273">
                  <c:v>43374</c:v>
                </c:pt>
                <c:pt idx="274">
                  <c:v>43375</c:v>
                </c:pt>
                <c:pt idx="275">
                  <c:v>43376</c:v>
                </c:pt>
                <c:pt idx="276">
                  <c:v>43377</c:v>
                </c:pt>
                <c:pt idx="277">
                  <c:v>43378</c:v>
                </c:pt>
                <c:pt idx="278">
                  <c:v>43379</c:v>
                </c:pt>
                <c:pt idx="279">
                  <c:v>43380</c:v>
                </c:pt>
                <c:pt idx="280">
                  <c:v>43381</c:v>
                </c:pt>
                <c:pt idx="281">
                  <c:v>43382</c:v>
                </c:pt>
                <c:pt idx="282">
                  <c:v>43383</c:v>
                </c:pt>
                <c:pt idx="283">
                  <c:v>43384</c:v>
                </c:pt>
                <c:pt idx="284">
                  <c:v>43385</c:v>
                </c:pt>
                <c:pt idx="285">
                  <c:v>43386</c:v>
                </c:pt>
                <c:pt idx="286">
                  <c:v>43387</c:v>
                </c:pt>
                <c:pt idx="287">
                  <c:v>43388</c:v>
                </c:pt>
                <c:pt idx="288">
                  <c:v>43389</c:v>
                </c:pt>
                <c:pt idx="289">
                  <c:v>43390</c:v>
                </c:pt>
                <c:pt idx="290">
                  <c:v>43391</c:v>
                </c:pt>
                <c:pt idx="291">
                  <c:v>43392</c:v>
                </c:pt>
                <c:pt idx="292">
                  <c:v>43393</c:v>
                </c:pt>
                <c:pt idx="293">
                  <c:v>43394</c:v>
                </c:pt>
                <c:pt idx="294">
                  <c:v>43395</c:v>
                </c:pt>
                <c:pt idx="295">
                  <c:v>43396</c:v>
                </c:pt>
                <c:pt idx="296">
                  <c:v>43397</c:v>
                </c:pt>
                <c:pt idx="297">
                  <c:v>43398</c:v>
                </c:pt>
                <c:pt idx="298">
                  <c:v>43399</c:v>
                </c:pt>
                <c:pt idx="299">
                  <c:v>43400</c:v>
                </c:pt>
                <c:pt idx="300">
                  <c:v>43401</c:v>
                </c:pt>
                <c:pt idx="301">
                  <c:v>43402</c:v>
                </c:pt>
                <c:pt idx="302">
                  <c:v>43403</c:v>
                </c:pt>
                <c:pt idx="303">
                  <c:v>43404</c:v>
                </c:pt>
                <c:pt idx="304">
                  <c:v>43405</c:v>
                </c:pt>
                <c:pt idx="305">
                  <c:v>43406</c:v>
                </c:pt>
                <c:pt idx="306">
                  <c:v>43407</c:v>
                </c:pt>
                <c:pt idx="307">
                  <c:v>43408</c:v>
                </c:pt>
                <c:pt idx="308">
                  <c:v>43409</c:v>
                </c:pt>
                <c:pt idx="309">
                  <c:v>43410</c:v>
                </c:pt>
                <c:pt idx="310">
                  <c:v>43411</c:v>
                </c:pt>
                <c:pt idx="311">
                  <c:v>43412</c:v>
                </c:pt>
                <c:pt idx="312">
                  <c:v>43413</c:v>
                </c:pt>
                <c:pt idx="313">
                  <c:v>43414</c:v>
                </c:pt>
                <c:pt idx="314">
                  <c:v>43415</c:v>
                </c:pt>
                <c:pt idx="315">
                  <c:v>43416</c:v>
                </c:pt>
                <c:pt idx="316">
                  <c:v>43417</c:v>
                </c:pt>
                <c:pt idx="317">
                  <c:v>43418</c:v>
                </c:pt>
                <c:pt idx="318">
                  <c:v>43419</c:v>
                </c:pt>
                <c:pt idx="319">
                  <c:v>43420</c:v>
                </c:pt>
                <c:pt idx="320">
                  <c:v>43421</c:v>
                </c:pt>
                <c:pt idx="321">
                  <c:v>43422</c:v>
                </c:pt>
                <c:pt idx="322">
                  <c:v>43423</c:v>
                </c:pt>
                <c:pt idx="323">
                  <c:v>43424</c:v>
                </c:pt>
                <c:pt idx="324">
                  <c:v>43425</c:v>
                </c:pt>
                <c:pt idx="325">
                  <c:v>43426</c:v>
                </c:pt>
                <c:pt idx="326">
                  <c:v>43427</c:v>
                </c:pt>
                <c:pt idx="327">
                  <c:v>43428</c:v>
                </c:pt>
                <c:pt idx="328">
                  <c:v>43429</c:v>
                </c:pt>
                <c:pt idx="329">
                  <c:v>43430</c:v>
                </c:pt>
                <c:pt idx="330">
                  <c:v>43431</c:v>
                </c:pt>
                <c:pt idx="331">
                  <c:v>43432</c:v>
                </c:pt>
                <c:pt idx="332">
                  <c:v>43433</c:v>
                </c:pt>
                <c:pt idx="333">
                  <c:v>43434</c:v>
                </c:pt>
                <c:pt idx="334">
                  <c:v>43435</c:v>
                </c:pt>
                <c:pt idx="335">
                  <c:v>43436</c:v>
                </c:pt>
                <c:pt idx="336">
                  <c:v>43437</c:v>
                </c:pt>
                <c:pt idx="337">
                  <c:v>43438</c:v>
                </c:pt>
                <c:pt idx="338">
                  <c:v>43439</c:v>
                </c:pt>
                <c:pt idx="339">
                  <c:v>43440</c:v>
                </c:pt>
                <c:pt idx="340">
                  <c:v>43441</c:v>
                </c:pt>
                <c:pt idx="341">
                  <c:v>43442</c:v>
                </c:pt>
                <c:pt idx="342">
                  <c:v>43443</c:v>
                </c:pt>
                <c:pt idx="343">
                  <c:v>43444</c:v>
                </c:pt>
                <c:pt idx="344">
                  <c:v>43445</c:v>
                </c:pt>
                <c:pt idx="345">
                  <c:v>43446</c:v>
                </c:pt>
                <c:pt idx="346">
                  <c:v>43447</c:v>
                </c:pt>
                <c:pt idx="347">
                  <c:v>43448</c:v>
                </c:pt>
                <c:pt idx="348">
                  <c:v>43449</c:v>
                </c:pt>
                <c:pt idx="349">
                  <c:v>43450</c:v>
                </c:pt>
                <c:pt idx="350">
                  <c:v>43451</c:v>
                </c:pt>
                <c:pt idx="351">
                  <c:v>43452</c:v>
                </c:pt>
                <c:pt idx="352">
                  <c:v>43453</c:v>
                </c:pt>
                <c:pt idx="353">
                  <c:v>43454</c:v>
                </c:pt>
                <c:pt idx="354">
                  <c:v>43455</c:v>
                </c:pt>
                <c:pt idx="355">
                  <c:v>43456</c:v>
                </c:pt>
                <c:pt idx="356">
                  <c:v>43457</c:v>
                </c:pt>
                <c:pt idx="357">
                  <c:v>43458</c:v>
                </c:pt>
                <c:pt idx="358">
                  <c:v>43459</c:v>
                </c:pt>
                <c:pt idx="359">
                  <c:v>43460</c:v>
                </c:pt>
                <c:pt idx="360">
                  <c:v>43461</c:v>
                </c:pt>
                <c:pt idx="361">
                  <c:v>43462</c:v>
                </c:pt>
                <c:pt idx="362">
                  <c:v>43463</c:v>
                </c:pt>
                <c:pt idx="363">
                  <c:v>43464</c:v>
                </c:pt>
                <c:pt idx="364">
                  <c:v>43465</c:v>
                </c:pt>
                <c:pt idx="365">
                  <c:v>43466</c:v>
                </c:pt>
                <c:pt idx="366">
                  <c:v>43467</c:v>
                </c:pt>
                <c:pt idx="367">
                  <c:v>43468</c:v>
                </c:pt>
                <c:pt idx="368">
                  <c:v>43469</c:v>
                </c:pt>
                <c:pt idx="369">
                  <c:v>43470</c:v>
                </c:pt>
                <c:pt idx="370">
                  <c:v>43471</c:v>
                </c:pt>
                <c:pt idx="371">
                  <c:v>43472</c:v>
                </c:pt>
                <c:pt idx="372">
                  <c:v>43473</c:v>
                </c:pt>
                <c:pt idx="373">
                  <c:v>43474</c:v>
                </c:pt>
                <c:pt idx="374">
                  <c:v>43475</c:v>
                </c:pt>
                <c:pt idx="375">
                  <c:v>43476</c:v>
                </c:pt>
                <c:pt idx="376">
                  <c:v>43477</c:v>
                </c:pt>
                <c:pt idx="377">
                  <c:v>43478</c:v>
                </c:pt>
                <c:pt idx="378">
                  <c:v>43479</c:v>
                </c:pt>
                <c:pt idx="379">
                  <c:v>43480</c:v>
                </c:pt>
                <c:pt idx="380">
                  <c:v>43481</c:v>
                </c:pt>
                <c:pt idx="381">
                  <c:v>43482</c:v>
                </c:pt>
                <c:pt idx="382">
                  <c:v>43483</c:v>
                </c:pt>
                <c:pt idx="383">
                  <c:v>43484</c:v>
                </c:pt>
                <c:pt idx="384">
                  <c:v>43485</c:v>
                </c:pt>
                <c:pt idx="385">
                  <c:v>43486</c:v>
                </c:pt>
                <c:pt idx="386">
                  <c:v>43487</c:v>
                </c:pt>
                <c:pt idx="387">
                  <c:v>43488</c:v>
                </c:pt>
                <c:pt idx="388">
                  <c:v>43489</c:v>
                </c:pt>
                <c:pt idx="389">
                  <c:v>43490</c:v>
                </c:pt>
                <c:pt idx="390">
                  <c:v>43491</c:v>
                </c:pt>
                <c:pt idx="391">
                  <c:v>43492</c:v>
                </c:pt>
                <c:pt idx="392">
                  <c:v>43493</c:v>
                </c:pt>
                <c:pt idx="393">
                  <c:v>43494</c:v>
                </c:pt>
                <c:pt idx="394">
                  <c:v>43495</c:v>
                </c:pt>
                <c:pt idx="395">
                  <c:v>43496</c:v>
                </c:pt>
                <c:pt idx="396">
                  <c:v>43497</c:v>
                </c:pt>
                <c:pt idx="397">
                  <c:v>43498</c:v>
                </c:pt>
                <c:pt idx="398">
                  <c:v>43499</c:v>
                </c:pt>
                <c:pt idx="399">
                  <c:v>43500</c:v>
                </c:pt>
                <c:pt idx="400">
                  <c:v>43501</c:v>
                </c:pt>
                <c:pt idx="401">
                  <c:v>43502</c:v>
                </c:pt>
                <c:pt idx="402">
                  <c:v>43503</c:v>
                </c:pt>
                <c:pt idx="403">
                  <c:v>43504</c:v>
                </c:pt>
                <c:pt idx="404">
                  <c:v>43505</c:v>
                </c:pt>
                <c:pt idx="405">
                  <c:v>43506</c:v>
                </c:pt>
                <c:pt idx="406">
                  <c:v>43507</c:v>
                </c:pt>
                <c:pt idx="407">
                  <c:v>43508</c:v>
                </c:pt>
                <c:pt idx="408">
                  <c:v>43509</c:v>
                </c:pt>
                <c:pt idx="409">
                  <c:v>43510</c:v>
                </c:pt>
                <c:pt idx="410">
                  <c:v>43511</c:v>
                </c:pt>
                <c:pt idx="411">
                  <c:v>43512</c:v>
                </c:pt>
                <c:pt idx="412">
                  <c:v>43513</c:v>
                </c:pt>
                <c:pt idx="413">
                  <c:v>43514</c:v>
                </c:pt>
                <c:pt idx="414">
                  <c:v>43515</c:v>
                </c:pt>
                <c:pt idx="415">
                  <c:v>43516</c:v>
                </c:pt>
                <c:pt idx="416">
                  <c:v>43517</c:v>
                </c:pt>
                <c:pt idx="417">
                  <c:v>43518</c:v>
                </c:pt>
                <c:pt idx="418">
                  <c:v>43519</c:v>
                </c:pt>
                <c:pt idx="419">
                  <c:v>43520</c:v>
                </c:pt>
                <c:pt idx="420">
                  <c:v>43521</c:v>
                </c:pt>
                <c:pt idx="421">
                  <c:v>43522</c:v>
                </c:pt>
                <c:pt idx="422">
                  <c:v>43523</c:v>
                </c:pt>
                <c:pt idx="423">
                  <c:v>43524</c:v>
                </c:pt>
                <c:pt idx="424">
                  <c:v>43525</c:v>
                </c:pt>
                <c:pt idx="425">
                  <c:v>43526</c:v>
                </c:pt>
                <c:pt idx="426">
                  <c:v>43527</c:v>
                </c:pt>
                <c:pt idx="427">
                  <c:v>43528</c:v>
                </c:pt>
                <c:pt idx="428">
                  <c:v>43529</c:v>
                </c:pt>
                <c:pt idx="429">
                  <c:v>43530</c:v>
                </c:pt>
                <c:pt idx="430">
                  <c:v>43531</c:v>
                </c:pt>
                <c:pt idx="431">
                  <c:v>43532</c:v>
                </c:pt>
                <c:pt idx="432">
                  <c:v>43533</c:v>
                </c:pt>
                <c:pt idx="433">
                  <c:v>43534</c:v>
                </c:pt>
                <c:pt idx="434">
                  <c:v>43535</c:v>
                </c:pt>
                <c:pt idx="435">
                  <c:v>43536</c:v>
                </c:pt>
                <c:pt idx="436">
                  <c:v>43537</c:v>
                </c:pt>
                <c:pt idx="437">
                  <c:v>43538</c:v>
                </c:pt>
                <c:pt idx="438">
                  <c:v>43539</c:v>
                </c:pt>
                <c:pt idx="439">
                  <c:v>43540</c:v>
                </c:pt>
                <c:pt idx="440">
                  <c:v>43541</c:v>
                </c:pt>
                <c:pt idx="441">
                  <c:v>43542</c:v>
                </c:pt>
                <c:pt idx="442">
                  <c:v>43543</c:v>
                </c:pt>
                <c:pt idx="443">
                  <c:v>43544</c:v>
                </c:pt>
                <c:pt idx="444">
                  <c:v>43545</c:v>
                </c:pt>
                <c:pt idx="445">
                  <c:v>43546</c:v>
                </c:pt>
                <c:pt idx="446">
                  <c:v>43547</c:v>
                </c:pt>
                <c:pt idx="447">
                  <c:v>43548</c:v>
                </c:pt>
                <c:pt idx="448">
                  <c:v>43549</c:v>
                </c:pt>
                <c:pt idx="449">
                  <c:v>43550</c:v>
                </c:pt>
                <c:pt idx="450">
                  <c:v>43551</c:v>
                </c:pt>
                <c:pt idx="451">
                  <c:v>43552</c:v>
                </c:pt>
                <c:pt idx="452">
                  <c:v>43553</c:v>
                </c:pt>
                <c:pt idx="453">
                  <c:v>43554</c:v>
                </c:pt>
                <c:pt idx="454">
                  <c:v>43555</c:v>
                </c:pt>
                <c:pt idx="455">
                  <c:v>43556</c:v>
                </c:pt>
                <c:pt idx="456">
                  <c:v>43557</c:v>
                </c:pt>
                <c:pt idx="457">
                  <c:v>43558</c:v>
                </c:pt>
                <c:pt idx="458">
                  <c:v>43559</c:v>
                </c:pt>
                <c:pt idx="459">
                  <c:v>43560</c:v>
                </c:pt>
                <c:pt idx="460">
                  <c:v>43561</c:v>
                </c:pt>
                <c:pt idx="461">
                  <c:v>43562</c:v>
                </c:pt>
                <c:pt idx="462">
                  <c:v>43563</c:v>
                </c:pt>
                <c:pt idx="463">
                  <c:v>43564</c:v>
                </c:pt>
                <c:pt idx="464">
                  <c:v>43565</c:v>
                </c:pt>
                <c:pt idx="465">
                  <c:v>43566</c:v>
                </c:pt>
                <c:pt idx="466">
                  <c:v>43567</c:v>
                </c:pt>
                <c:pt idx="467">
                  <c:v>43568</c:v>
                </c:pt>
                <c:pt idx="468">
                  <c:v>43569</c:v>
                </c:pt>
                <c:pt idx="469">
                  <c:v>43570</c:v>
                </c:pt>
                <c:pt idx="470">
                  <c:v>43571</c:v>
                </c:pt>
                <c:pt idx="471">
                  <c:v>43572</c:v>
                </c:pt>
                <c:pt idx="472">
                  <c:v>43573</c:v>
                </c:pt>
                <c:pt idx="473">
                  <c:v>43574</c:v>
                </c:pt>
                <c:pt idx="474">
                  <c:v>43575</c:v>
                </c:pt>
                <c:pt idx="475">
                  <c:v>43576</c:v>
                </c:pt>
                <c:pt idx="476">
                  <c:v>43577</c:v>
                </c:pt>
                <c:pt idx="477">
                  <c:v>43578</c:v>
                </c:pt>
                <c:pt idx="478">
                  <c:v>43579</c:v>
                </c:pt>
                <c:pt idx="479">
                  <c:v>43580</c:v>
                </c:pt>
                <c:pt idx="480">
                  <c:v>43581</c:v>
                </c:pt>
                <c:pt idx="481">
                  <c:v>43582</c:v>
                </c:pt>
                <c:pt idx="482">
                  <c:v>43583</c:v>
                </c:pt>
                <c:pt idx="483">
                  <c:v>43584</c:v>
                </c:pt>
                <c:pt idx="484">
                  <c:v>43585</c:v>
                </c:pt>
                <c:pt idx="485">
                  <c:v>43586</c:v>
                </c:pt>
                <c:pt idx="486">
                  <c:v>43587</c:v>
                </c:pt>
                <c:pt idx="487">
                  <c:v>43588</c:v>
                </c:pt>
                <c:pt idx="488">
                  <c:v>43589</c:v>
                </c:pt>
                <c:pt idx="489">
                  <c:v>43590</c:v>
                </c:pt>
                <c:pt idx="490">
                  <c:v>43591</c:v>
                </c:pt>
                <c:pt idx="491">
                  <c:v>43592</c:v>
                </c:pt>
                <c:pt idx="492">
                  <c:v>43593</c:v>
                </c:pt>
                <c:pt idx="493">
                  <c:v>43594</c:v>
                </c:pt>
                <c:pt idx="494">
                  <c:v>43595</c:v>
                </c:pt>
                <c:pt idx="495">
                  <c:v>43596</c:v>
                </c:pt>
                <c:pt idx="496">
                  <c:v>43597</c:v>
                </c:pt>
                <c:pt idx="497">
                  <c:v>43598</c:v>
                </c:pt>
                <c:pt idx="498">
                  <c:v>43599</c:v>
                </c:pt>
                <c:pt idx="499">
                  <c:v>43600</c:v>
                </c:pt>
                <c:pt idx="500">
                  <c:v>43601</c:v>
                </c:pt>
                <c:pt idx="501">
                  <c:v>43602</c:v>
                </c:pt>
                <c:pt idx="502">
                  <c:v>43603</c:v>
                </c:pt>
                <c:pt idx="503">
                  <c:v>43604</c:v>
                </c:pt>
                <c:pt idx="504">
                  <c:v>43605</c:v>
                </c:pt>
                <c:pt idx="505">
                  <c:v>43606</c:v>
                </c:pt>
                <c:pt idx="506">
                  <c:v>43607</c:v>
                </c:pt>
                <c:pt idx="507">
                  <c:v>43608</c:v>
                </c:pt>
                <c:pt idx="508">
                  <c:v>43609</c:v>
                </c:pt>
                <c:pt idx="509">
                  <c:v>43610</c:v>
                </c:pt>
                <c:pt idx="510">
                  <c:v>43611</c:v>
                </c:pt>
                <c:pt idx="511">
                  <c:v>43612</c:v>
                </c:pt>
                <c:pt idx="512">
                  <c:v>43613</c:v>
                </c:pt>
                <c:pt idx="513">
                  <c:v>43614</c:v>
                </c:pt>
                <c:pt idx="514">
                  <c:v>43615</c:v>
                </c:pt>
                <c:pt idx="515">
                  <c:v>43616</c:v>
                </c:pt>
                <c:pt idx="516">
                  <c:v>43617</c:v>
                </c:pt>
                <c:pt idx="517">
                  <c:v>43618</c:v>
                </c:pt>
                <c:pt idx="518">
                  <c:v>43619</c:v>
                </c:pt>
                <c:pt idx="519">
                  <c:v>43620</c:v>
                </c:pt>
                <c:pt idx="520">
                  <c:v>43621</c:v>
                </c:pt>
                <c:pt idx="521">
                  <c:v>43622</c:v>
                </c:pt>
                <c:pt idx="522">
                  <c:v>43623</c:v>
                </c:pt>
                <c:pt idx="523">
                  <c:v>43624</c:v>
                </c:pt>
                <c:pt idx="524">
                  <c:v>43625</c:v>
                </c:pt>
                <c:pt idx="525">
                  <c:v>43626</c:v>
                </c:pt>
                <c:pt idx="526">
                  <c:v>43627</c:v>
                </c:pt>
                <c:pt idx="527">
                  <c:v>43628</c:v>
                </c:pt>
                <c:pt idx="528">
                  <c:v>43629</c:v>
                </c:pt>
                <c:pt idx="529">
                  <c:v>43630</c:v>
                </c:pt>
                <c:pt idx="530">
                  <c:v>43631</c:v>
                </c:pt>
                <c:pt idx="531">
                  <c:v>43632</c:v>
                </c:pt>
                <c:pt idx="532">
                  <c:v>43633</c:v>
                </c:pt>
                <c:pt idx="533">
                  <c:v>43634</c:v>
                </c:pt>
                <c:pt idx="534">
                  <c:v>43635</c:v>
                </c:pt>
                <c:pt idx="535">
                  <c:v>43636</c:v>
                </c:pt>
                <c:pt idx="536">
                  <c:v>43637</c:v>
                </c:pt>
                <c:pt idx="537">
                  <c:v>43638</c:v>
                </c:pt>
                <c:pt idx="538">
                  <c:v>43639</c:v>
                </c:pt>
                <c:pt idx="539">
                  <c:v>43640</c:v>
                </c:pt>
                <c:pt idx="540">
                  <c:v>43641</c:v>
                </c:pt>
                <c:pt idx="541">
                  <c:v>43642</c:v>
                </c:pt>
                <c:pt idx="542">
                  <c:v>43643</c:v>
                </c:pt>
                <c:pt idx="543">
                  <c:v>43644</c:v>
                </c:pt>
                <c:pt idx="544">
                  <c:v>43645</c:v>
                </c:pt>
                <c:pt idx="545">
                  <c:v>43646</c:v>
                </c:pt>
                <c:pt idx="546">
                  <c:v>43647</c:v>
                </c:pt>
                <c:pt idx="547">
                  <c:v>43648</c:v>
                </c:pt>
                <c:pt idx="548">
                  <c:v>43649</c:v>
                </c:pt>
                <c:pt idx="549">
                  <c:v>43650</c:v>
                </c:pt>
                <c:pt idx="550">
                  <c:v>43651</c:v>
                </c:pt>
                <c:pt idx="551">
                  <c:v>43652</c:v>
                </c:pt>
                <c:pt idx="552">
                  <c:v>43653</c:v>
                </c:pt>
                <c:pt idx="553">
                  <c:v>43654</c:v>
                </c:pt>
                <c:pt idx="554">
                  <c:v>43655</c:v>
                </c:pt>
                <c:pt idx="555">
                  <c:v>43656</c:v>
                </c:pt>
                <c:pt idx="556">
                  <c:v>43657</c:v>
                </c:pt>
                <c:pt idx="557">
                  <c:v>43658</c:v>
                </c:pt>
                <c:pt idx="558">
                  <c:v>43659</c:v>
                </c:pt>
                <c:pt idx="559">
                  <c:v>43660</c:v>
                </c:pt>
                <c:pt idx="560">
                  <c:v>43661</c:v>
                </c:pt>
                <c:pt idx="561">
                  <c:v>43662</c:v>
                </c:pt>
                <c:pt idx="562">
                  <c:v>43663</c:v>
                </c:pt>
                <c:pt idx="563">
                  <c:v>43664</c:v>
                </c:pt>
                <c:pt idx="564">
                  <c:v>43665</c:v>
                </c:pt>
                <c:pt idx="565">
                  <c:v>43666</c:v>
                </c:pt>
                <c:pt idx="566">
                  <c:v>43667</c:v>
                </c:pt>
                <c:pt idx="567">
                  <c:v>43668</c:v>
                </c:pt>
                <c:pt idx="568">
                  <c:v>43669</c:v>
                </c:pt>
                <c:pt idx="569">
                  <c:v>43670</c:v>
                </c:pt>
                <c:pt idx="570">
                  <c:v>43671</c:v>
                </c:pt>
                <c:pt idx="571">
                  <c:v>43672</c:v>
                </c:pt>
                <c:pt idx="572">
                  <c:v>43673</c:v>
                </c:pt>
                <c:pt idx="573">
                  <c:v>43674</c:v>
                </c:pt>
                <c:pt idx="574">
                  <c:v>43675</c:v>
                </c:pt>
                <c:pt idx="575">
                  <c:v>43676</c:v>
                </c:pt>
                <c:pt idx="576">
                  <c:v>43677</c:v>
                </c:pt>
                <c:pt idx="577">
                  <c:v>43678</c:v>
                </c:pt>
                <c:pt idx="578">
                  <c:v>43679</c:v>
                </c:pt>
                <c:pt idx="579">
                  <c:v>43680</c:v>
                </c:pt>
                <c:pt idx="580">
                  <c:v>43681</c:v>
                </c:pt>
                <c:pt idx="581">
                  <c:v>43682</c:v>
                </c:pt>
                <c:pt idx="582">
                  <c:v>43683</c:v>
                </c:pt>
                <c:pt idx="583">
                  <c:v>43684</c:v>
                </c:pt>
                <c:pt idx="584">
                  <c:v>43685</c:v>
                </c:pt>
                <c:pt idx="585">
                  <c:v>43686</c:v>
                </c:pt>
                <c:pt idx="586">
                  <c:v>43687</c:v>
                </c:pt>
                <c:pt idx="587">
                  <c:v>43688</c:v>
                </c:pt>
                <c:pt idx="588">
                  <c:v>43689</c:v>
                </c:pt>
                <c:pt idx="589">
                  <c:v>43690</c:v>
                </c:pt>
                <c:pt idx="590">
                  <c:v>43691</c:v>
                </c:pt>
                <c:pt idx="591">
                  <c:v>43692</c:v>
                </c:pt>
                <c:pt idx="592">
                  <c:v>43693</c:v>
                </c:pt>
                <c:pt idx="593">
                  <c:v>43694</c:v>
                </c:pt>
                <c:pt idx="594">
                  <c:v>43695</c:v>
                </c:pt>
                <c:pt idx="595">
                  <c:v>43696</c:v>
                </c:pt>
                <c:pt idx="596">
                  <c:v>43697</c:v>
                </c:pt>
                <c:pt idx="597">
                  <c:v>43698</c:v>
                </c:pt>
                <c:pt idx="598">
                  <c:v>43699</c:v>
                </c:pt>
                <c:pt idx="599">
                  <c:v>43700</c:v>
                </c:pt>
                <c:pt idx="600">
                  <c:v>43701</c:v>
                </c:pt>
                <c:pt idx="601">
                  <c:v>43702</c:v>
                </c:pt>
                <c:pt idx="602">
                  <c:v>43703</c:v>
                </c:pt>
                <c:pt idx="603">
                  <c:v>43704</c:v>
                </c:pt>
                <c:pt idx="604">
                  <c:v>43705</c:v>
                </c:pt>
                <c:pt idx="605">
                  <c:v>43706</c:v>
                </c:pt>
                <c:pt idx="606">
                  <c:v>43707</c:v>
                </c:pt>
                <c:pt idx="607">
                  <c:v>43708</c:v>
                </c:pt>
                <c:pt idx="608">
                  <c:v>43709</c:v>
                </c:pt>
                <c:pt idx="609">
                  <c:v>43710</c:v>
                </c:pt>
                <c:pt idx="610">
                  <c:v>43711</c:v>
                </c:pt>
                <c:pt idx="611">
                  <c:v>43712</c:v>
                </c:pt>
                <c:pt idx="612">
                  <c:v>43713</c:v>
                </c:pt>
                <c:pt idx="613">
                  <c:v>43714</c:v>
                </c:pt>
                <c:pt idx="614">
                  <c:v>43715</c:v>
                </c:pt>
                <c:pt idx="615">
                  <c:v>43716</c:v>
                </c:pt>
                <c:pt idx="616">
                  <c:v>43717</c:v>
                </c:pt>
                <c:pt idx="617">
                  <c:v>43718</c:v>
                </c:pt>
                <c:pt idx="618">
                  <c:v>43719</c:v>
                </c:pt>
                <c:pt idx="619">
                  <c:v>43720</c:v>
                </c:pt>
                <c:pt idx="620">
                  <c:v>43721</c:v>
                </c:pt>
                <c:pt idx="621">
                  <c:v>43722</c:v>
                </c:pt>
                <c:pt idx="622">
                  <c:v>43723</c:v>
                </c:pt>
                <c:pt idx="623">
                  <c:v>43724</c:v>
                </c:pt>
                <c:pt idx="624">
                  <c:v>43725</c:v>
                </c:pt>
                <c:pt idx="625">
                  <c:v>43726</c:v>
                </c:pt>
                <c:pt idx="626">
                  <c:v>43727</c:v>
                </c:pt>
                <c:pt idx="627">
                  <c:v>43728</c:v>
                </c:pt>
                <c:pt idx="628">
                  <c:v>43729</c:v>
                </c:pt>
                <c:pt idx="629">
                  <c:v>43730</c:v>
                </c:pt>
                <c:pt idx="630">
                  <c:v>43731</c:v>
                </c:pt>
                <c:pt idx="631">
                  <c:v>43732</c:v>
                </c:pt>
                <c:pt idx="632">
                  <c:v>43733</c:v>
                </c:pt>
                <c:pt idx="633">
                  <c:v>43734</c:v>
                </c:pt>
                <c:pt idx="634">
                  <c:v>43735</c:v>
                </c:pt>
                <c:pt idx="635">
                  <c:v>43736</c:v>
                </c:pt>
                <c:pt idx="636">
                  <c:v>43737</c:v>
                </c:pt>
                <c:pt idx="637">
                  <c:v>43738</c:v>
                </c:pt>
                <c:pt idx="638">
                  <c:v>43739</c:v>
                </c:pt>
                <c:pt idx="639">
                  <c:v>43740</c:v>
                </c:pt>
                <c:pt idx="640">
                  <c:v>43741</c:v>
                </c:pt>
                <c:pt idx="641">
                  <c:v>43742</c:v>
                </c:pt>
                <c:pt idx="642">
                  <c:v>43743</c:v>
                </c:pt>
                <c:pt idx="643">
                  <c:v>43744</c:v>
                </c:pt>
                <c:pt idx="644">
                  <c:v>43745</c:v>
                </c:pt>
                <c:pt idx="645">
                  <c:v>43746</c:v>
                </c:pt>
                <c:pt idx="646">
                  <c:v>43747</c:v>
                </c:pt>
                <c:pt idx="647">
                  <c:v>43748</c:v>
                </c:pt>
                <c:pt idx="648">
                  <c:v>43749</c:v>
                </c:pt>
                <c:pt idx="649">
                  <c:v>43750</c:v>
                </c:pt>
                <c:pt idx="650">
                  <c:v>43751</c:v>
                </c:pt>
                <c:pt idx="651">
                  <c:v>43752</c:v>
                </c:pt>
                <c:pt idx="652">
                  <c:v>43753</c:v>
                </c:pt>
                <c:pt idx="653">
                  <c:v>43754</c:v>
                </c:pt>
                <c:pt idx="654">
                  <c:v>43755</c:v>
                </c:pt>
                <c:pt idx="655">
                  <c:v>43756</c:v>
                </c:pt>
                <c:pt idx="656">
                  <c:v>43757</c:v>
                </c:pt>
                <c:pt idx="657">
                  <c:v>43758</c:v>
                </c:pt>
                <c:pt idx="658">
                  <c:v>43759</c:v>
                </c:pt>
                <c:pt idx="659">
                  <c:v>43760</c:v>
                </c:pt>
                <c:pt idx="660">
                  <c:v>43761</c:v>
                </c:pt>
                <c:pt idx="661">
                  <c:v>43762</c:v>
                </c:pt>
                <c:pt idx="662">
                  <c:v>43763</c:v>
                </c:pt>
                <c:pt idx="663">
                  <c:v>43764</c:v>
                </c:pt>
                <c:pt idx="664">
                  <c:v>43765</c:v>
                </c:pt>
                <c:pt idx="665">
                  <c:v>43766</c:v>
                </c:pt>
                <c:pt idx="666">
                  <c:v>43767</c:v>
                </c:pt>
                <c:pt idx="667">
                  <c:v>43768</c:v>
                </c:pt>
                <c:pt idx="668">
                  <c:v>43769</c:v>
                </c:pt>
                <c:pt idx="669">
                  <c:v>43770</c:v>
                </c:pt>
                <c:pt idx="670">
                  <c:v>43771</c:v>
                </c:pt>
                <c:pt idx="671">
                  <c:v>43772</c:v>
                </c:pt>
                <c:pt idx="672">
                  <c:v>43773</c:v>
                </c:pt>
                <c:pt idx="673">
                  <c:v>43774</c:v>
                </c:pt>
                <c:pt idx="674">
                  <c:v>43775</c:v>
                </c:pt>
                <c:pt idx="675">
                  <c:v>43776</c:v>
                </c:pt>
                <c:pt idx="676">
                  <c:v>43777</c:v>
                </c:pt>
                <c:pt idx="677">
                  <c:v>43778</c:v>
                </c:pt>
                <c:pt idx="678">
                  <c:v>43779</c:v>
                </c:pt>
                <c:pt idx="679">
                  <c:v>43780</c:v>
                </c:pt>
                <c:pt idx="680">
                  <c:v>43781</c:v>
                </c:pt>
                <c:pt idx="681">
                  <c:v>43782</c:v>
                </c:pt>
                <c:pt idx="682">
                  <c:v>43783</c:v>
                </c:pt>
                <c:pt idx="683">
                  <c:v>43784</c:v>
                </c:pt>
                <c:pt idx="684">
                  <c:v>43785</c:v>
                </c:pt>
                <c:pt idx="685">
                  <c:v>43786</c:v>
                </c:pt>
                <c:pt idx="686">
                  <c:v>43787</c:v>
                </c:pt>
                <c:pt idx="687">
                  <c:v>43788</c:v>
                </c:pt>
                <c:pt idx="688">
                  <c:v>43789</c:v>
                </c:pt>
                <c:pt idx="689">
                  <c:v>43790</c:v>
                </c:pt>
                <c:pt idx="690">
                  <c:v>43791</c:v>
                </c:pt>
                <c:pt idx="691">
                  <c:v>43792</c:v>
                </c:pt>
                <c:pt idx="692">
                  <c:v>43793</c:v>
                </c:pt>
                <c:pt idx="693">
                  <c:v>43794</c:v>
                </c:pt>
                <c:pt idx="694">
                  <c:v>43795</c:v>
                </c:pt>
                <c:pt idx="695">
                  <c:v>43796</c:v>
                </c:pt>
                <c:pt idx="696">
                  <c:v>43797</c:v>
                </c:pt>
                <c:pt idx="697">
                  <c:v>43798</c:v>
                </c:pt>
                <c:pt idx="698">
                  <c:v>43799</c:v>
                </c:pt>
                <c:pt idx="699">
                  <c:v>43800</c:v>
                </c:pt>
                <c:pt idx="700">
                  <c:v>43801</c:v>
                </c:pt>
                <c:pt idx="701">
                  <c:v>43802</c:v>
                </c:pt>
                <c:pt idx="702">
                  <c:v>43803</c:v>
                </c:pt>
                <c:pt idx="703">
                  <c:v>43804</c:v>
                </c:pt>
                <c:pt idx="704">
                  <c:v>43805</c:v>
                </c:pt>
                <c:pt idx="705">
                  <c:v>43806</c:v>
                </c:pt>
                <c:pt idx="706">
                  <c:v>43807</c:v>
                </c:pt>
                <c:pt idx="707">
                  <c:v>43808</c:v>
                </c:pt>
                <c:pt idx="708">
                  <c:v>43809</c:v>
                </c:pt>
                <c:pt idx="709">
                  <c:v>43810</c:v>
                </c:pt>
                <c:pt idx="710">
                  <c:v>43811</c:v>
                </c:pt>
                <c:pt idx="711">
                  <c:v>43812</c:v>
                </c:pt>
                <c:pt idx="712">
                  <c:v>43813</c:v>
                </c:pt>
                <c:pt idx="713">
                  <c:v>43814</c:v>
                </c:pt>
                <c:pt idx="714">
                  <c:v>43815</c:v>
                </c:pt>
                <c:pt idx="715">
                  <c:v>43816</c:v>
                </c:pt>
                <c:pt idx="716">
                  <c:v>43817</c:v>
                </c:pt>
                <c:pt idx="717">
                  <c:v>43818</c:v>
                </c:pt>
                <c:pt idx="718">
                  <c:v>43819</c:v>
                </c:pt>
                <c:pt idx="719">
                  <c:v>43820</c:v>
                </c:pt>
                <c:pt idx="720">
                  <c:v>43821</c:v>
                </c:pt>
                <c:pt idx="721">
                  <c:v>43822</c:v>
                </c:pt>
                <c:pt idx="722">
                  <c:v>43823</c:v>
                </c:pt>
                <c:pt idx="723">
                  <c:v>43824</c:v>
                </c:pt>
                <c:pt idx="724">
                  <c:v>43825</c:v>
                </c:pt>
                <c:pt idx="725">
                  <c:v>43826</c:v>
                </c:pt>
                <c:pt idx="726">
                  <c:v>43827</c:v>
                </c:pt>
                <c:pt idx="727">
                  <c:v>43828</c:v>
                </c:pt>
                <c:pt idx="728">
                  <c:v>43829</c:v>
                </c:pt>
                <c:pt idx="729">
                  <c:v>43830</c:v>
                </c:pt>
                <c:pt idx="730">
                  <c:v>43831</c:v>
                </c:pt>
                <c:pt idx="731">
                  <c:v>43832</c:v>
                </c:pt>
                <c:pt idx="732">
                  <c:v>43833</c:v>
                </c:pt>
                <c:pt idx="733">
                  <c:v>43834</c:v>
                </c:pt>
                <c:pt idx="734">
                  <c:v>43835</c:v>
                </c:pt>
                <c:pt idx="735">
                  <c:v>43836</c:v>
                </c:pt>
                <c:pt idx="736">
                  <c:v>43837</c:v>
                </c:pt>
                <c:pt idx="737">
                  <c:v>43838</c:v>
                </c:pt>
                <c:pt idx="738">
                  <c:v>43839</c:v>
                </c:pt>
                <c:pt idx="739">
                  <c:v>43840</c:v>
                </c:pt>
                <c:pt idx="740">
                  <c:v>43841</c:v>
                </c:pt>
                <c:pt idx="741">
                  <c:v>43842</c:v>
                </c:pt>
                <c:pt idx="742">
                  <c:v>43843</c:v>
                </c:pt>
                <c:pt idx="743">
                  <c:v>43844</c:v>
                </c:pt>
                <c:pt idx="744">
                  <c:v>43845</c:v>
                </c:pt>
                <c:pt idx="745">
                  <c:v>43846</c:v>
                </c:pt>
                <c:pt idx="746">
                  <c:v>43847</c:v>
                </c:pt>
                <c:pt idx="747">
                  <c:v>43848</c:v>
                </c:pt>
                <c:pt idx="748">
                  <c:v>43849</c:v>
                </c:pt>
                <c:pt idx="749">
                  <c:v>43850</c:v>
                </c:pt>
                <c:pt idx="750">
                  <c:v>43851</c:v>
                </c:pt>
                <c:pt idx="751">
                  <c:v>43852</c:v>
                </c:pt>
                <c:pt idx="752">
                  <c:v>43853</c:v>
                </c:pt>
                <c:pt idx="753">
                  <c:v>43854</c:v>
                </c:pt>
                <c:pt idx="754">
                  <c:v>43855</c:v>
                </c:pt>
                <c:pt idx="755">
                  <c:v>43856</c:v>
                </c:pt>
                <c:pt idx="756">
                  <c:v>43857</c:v>
                </c:pt>
                <c:pt idx="757">
                  <c:v>43858</c:v>
                </c:pt>
                <c:pt idx="758">
                  <c:v>43859</c:v>
                </c:pt>
                <c:pt idx="759">
                  <c:v>43860</c:v>
                </c:pt>
                <c:pt idx="760">
                  <c:v>43861</c:v>
                </c:pt>
                <c:pt idx="761">
                  <c:v>43862</c:v>
                </c:pt>
                <c:pt idx="762">
                  <c:v>43863</c:v>
                </c:pt>
                <c:pt idx="763">
                  <c:v>43864</c:v>
                </c:pt>
                <c:pt idx="764">
                  <c:v>43865</c:v>
                </c:pt>
                <c:pt idx="765">
                  <c:v>43866</c:v>
                </c:pt>
                <c:pt idx="766">
                  <c:v>43867</c:v>
                </c:pt>
                <c:pt idx="767">
                  <c:v>43868</c:v>
                </c:pt>
                <c:pt idx="768">
                  <c:v>43869</c:v>
                </c:pt>
                <c:pt idx="769">
                  <c:v>43870</c:v>
                </c:pt>
                <c:pt idx="770">
                  <c:v>43871</c:v>
                </c:pt>
                <c:pt idx="771">
                  <c:v>43872</c:v>
                </c:pt>
                <c:pt idx="772">
                  <c:v>43873</c:v>
                </c:pt>
                <c:pt idx="773">
                  <c:v>43874</c:v>
                </c:pt>
                <c:pt idx="774">
                  <c:v>43875</c:v>
                </c:pt>
                <c:pt idx="775">
                  <c:v>43876</c:v>
                </c:pt>
                <c:pt idx="776">
                  <c:v>43877</c:v>
                </c:pt>
                <c:pt idx="777">
                  <c:v>43878</c:v>
                </c:pt>
                <c:pt idx="778">
                  <c:v>43879</c:v>
                </c:pt>
                <c:pt idx="779">
                  <c:v>43880</c:v>
                </c:pt>
                <c:pt idx="780">
                  <c:v>43881</c:v>
                </c:pt>
                <c:pt idx="781">
                  <c:v>43882</c:v>
                </c:pt>
                <c:pt idx="782">
                  <c:v>43883</c:v>
                </c:pt>
                <c:pt idx="783">
                  <c:v>43884</c:v>
                </c:pt>
                <c:pt idx="784">
                  <c:v>43885</c:v>
                </c:pt>
                <c:pt idx="785">
                  <c:v>43886</c:v>
                </c:pt>
                <c:pt idx="786">
                  <c:v>43887</c:v>
                </c:pt>
                <c:pt idx="787">
                  <c:v>43888</c:v>
                </c:pt>
                <c:pt idx="788">
                  <c:v>43889</c:v>
                </c:pt>
                <c:pt idx="789">
                  <c:v>43890</c:v>
                </c:pt>
                <c:pt idx="790">
                  <c:v>43891</c:v>
                </c:pt>
                <c:pt idx="791">
                  <c:v>43892</c:v>
                </c:pt>
                <c:pt idx="792">
                  <c:v>43893</c:v>
                </c:pt>
                <c:pt idx="793">
                  <c:v>43894</c:v>
                </c:pt>
                <c:pt idx="794">
                  <c:v>43895</c:v>
                </c:pt>
                <c:pt idx="795">
                  <c:v>43896</c:v>
                </c:pt>
                <c:pt idx="796">
                  <c:v>43897</c:v>
                </c:pt>
                <c:pt idx="797">
                  <c:v>43898</c:v>
                </c:pt>
                <c:pt idx="798">
                  <c:v>43899</c:v>
                </c:pt>
                <c:pt idx="799">
                  <c:v>43900</c:v>
                </c:pt>
                <c:pt idx="800">
                  <c:v>43901</c:v>
                </c:pt>
                <c:pt idx="801">
                  <c:v>43902</c:v>
                </c:pt>
                <c:pt idx="802">
                  <c:v>43903</c:v>
                </c:pt>
                <c:pt idx="803">
                  <c:v>43904</c:v>
                </c:pt>
                <c:pt idx="804">
                  <c:v>43905</c:v>
                </c:pt>
                <c:pt idx="805">
                  <c:v>43906</c:v>
                </c:pt>
                <c:pt idx="806">
                  <c:v>43907</c:v>
                </c:pt>
                <c:pt idx="807">
                  <c:v>43908</c:v>
                </c:pt>
                <c:pt idx="808">
                  <c:v>43909</c:v>
                </c:pt>
                <c:pt idx="809">
                  <c:v>43910</c:v>
                </c:pt>
                <c:pt idx="810">
                  <c:v>43911</c:v>
                </c:pt>
                <c:pt idx="811">
                  <c:v>43912</c:v>
                </c:pt>
                <c:pt idx="812">
                  <c:v>43913</c:v>
                </c:pt>
                <c:pt idx="813">
                  <c:v>43914</c:v>
                </c:pt>
                <c:pt idx="814">
                  <c:v>43915</c:v>
                </c:pt>
                <c:pt idx="815">
                  <c:v>43916</c:v>
                </c:pt>
                <c:pt idx="816">
                  <c:v>43917</c:v>
                </c:pt>
                <c:pt idx="817">
                  <c:v>43918</c:v>
                </c:pt>
                <c:pt idx="818">
                  <c:v>43919</c:v>
                </c:pt>
                <c:pt idx="819">
                  <c:v>43920</c:v>
                </c:pt>
                <c:pt idx="820">
                  <c:v>43921</c:v>
                </c:pt>
                <c:pt idx="821">
                  <c:v>43922</c:v>
                </c:pt>
                <c:pt idx="822">
                  <c:v>43923</c:v>
                </c:pt>
                <c:pt idx="823">
                  <c:v>43924</c:v>
                </c:pt>
                <c:pt idx="824">
                  <c:v>43925</c:v>
                </c:pt>
                <c:pt idx="825">
                  <c:v>43926</c:v>
                </c:pt>
                <c:pt idx="826">
                  <c:v>43927</c:v>
                </c:pt>
                <c:pt idx="827">
                  <c:v>43928</c:v>
                </c:pt>
                <c:pt idx="828">
                  <c:v>43929</c:v>
                </c:pt>
                <c:pt idx="829">
                  <c:v>43930</c:v>
                </c:pt>
                <c:pt idx="830">
                  <c:v>43931</c:v>
                </c:pt>
                <c:pt idx="831">
                  <c:v>43932</c:v>
                </c:pt>
                <c:pt idx="832">
                  <c:v>43933</c:v>
                </c:pt>
                <c:pt idx="833">
                  <c:v>43934</c:v>
                </c:pt>
                <c:pt idx="834">
                  <c:v>43935</c:v>
                </c:pt>
                <c:pt idx="835">
                  <c:v>43936</c:v>
                </c:pt>
                <c:pt idx="836">
                  <c:v>43937</c:v>
                </c:pt>
                <c:pt idx="837">
                  <c:v>43938</c:v>
                </c:pt>
                <c:pt idx="838">
                  <c:v>43939</c:v>
                </c:pt>
                <c:pt idx="839">
                  <c:v>43940</c:v>
                </c:pt>
                <c:pt idx="840">
                  <c:v>43941</c:v>
                </c:pt>
                <c:pt idx="841">
                  <c:v>43942</c:v>
                </c:pt>
                <c:pt idx="842">
                  <c:v>43943</c:v>
                </c:pt>
                <c:pt idx="843">
                  <c:v>43944</c:v>
                </c:pt>
                <c:pt idx="844">
                  <c:v>43945</c:v>
                </c:pt>
                <c:pt idx="845">
                  <c:v>43946</c:v>
                </c:pt>
                <c:pt idx="846">
                  <c:v>43947</c:v>
                </c:pt>
                <c:pt idx="847">
                  <c:v>43948</c:v>
                </c:pt>
                <c:pt idx="848">
                  <c:v>43949</c:v>
                </c:pt>
                <c:pt idx="849">
                  <c:v>43950</c:v>
                </c:pt>
                <c:pt idx="850">
                  <c:v>43951</c:v>
                </c:pt>
                <c:pt idx="851">
                  <c:v>43952</c:v>
                </c:pt>
                <c:pt idx="852">
                  <c:v>43953</c:v>
                </c:pt>
                <c:pt idx="853">
                  <c:v>43954</c:v>
                </c:pt>
                <c:pt idx="854">
                  <c:v>43955</c:v>
                </c:pt>
                <c:pt idx="855">
                  <c:v>43956</c:v>
                </c:pt>
                <c:pt idx="856">
                  <c:v>43957</c:v>
                </c:pt>
                <c:pt idx="857">
                  <c:v>43958</c:v>
                </c:pt>
                <c:pt idx="858">
                  <c:v>43959</c:v>
                </c:pt>
                <c:pt idx="859">
                  <c:v>43960</c:v>
                </c:pt>
                <c:pt idx="860">
                  <c:v>43961</c:v>
                </c:pt>
                <c:pt idx="861">
                  <c:v>43962</c:v>
                </c:pt>
                <c:pt idx="862">
                  <c:v>43963</c:v>
                </c:pt>
                <c:pt idx="863">
                  <c:v>43964</c:v>
                </c:pt>
                <c:pt idx="864">
                  <c:v>43965</c:v>
                </c:pt>
                <c:pt idx="865">
                  <c:v>43966</c:v>
                </c:pt>
                <c:pt idx="866">
                  <c:v>43967</c:v>
                </c:pt>
                <c:pt idx="867">
                  <c:v>43968</c:v>
                </c:pt>
                <c:pt idx="868">
                  <c:v>43969</c:v>
                </c:pt>
                <c:pt idx="869">
                  <c:v>43970</c:v>
                </c:pt>
                <c:pt idx="870">
                  <c:v>43971</c:v>
                </c:pt>
                <c:pt idx="871">
                  <c:v>43972</c:v>
                </c:pt>
                <c:pt idx="872">
                  <c:v>43973</c:v>
                </c:pt>
                <c:pt idx="873">
                  <c:v>43974</c:v>
                </c:pt>
                <c:pt idx="874">
                  <c:v>43975</c:v>
                </c:pt>
                <c:pt idx="875">
                  <c:v>43976</c:v>
                </c:pt>
                <c:pt idx="876">
                  <c:v>43977</c:v>
                </c:pt>
                <c:pt idx="877">
                  <c:v>43978</c:v>
                </c:pt>
                <c:pt idx="878">
                  <c:v>43979</c:v>
                </c:pt>
                <c:pt idx="879">
                  <c:v>43980</c:v>
                </c:pt>
                <c:pt idx="880">
                  <c:v>43981</c:v>
                </c:pt>
                <c:pt idx="881">
                  <c:v>43982</c:v>
                </c:pt>
                <c:pt idx="882">
                  <c:v>43983</c:v>
                </c:pt>
                <c:pt idx="883">
                  <c:v>43984</c:v>
                </c:pt>
                <c:pt idx="884">
                  <c:v>43985</c:v>
                </c:pt>
                <c:pt idx="885">
                  <c:v>43986</c:v>
                </c:pt>
                <c:pt idx="886">
                  <c:v>43987</c:v>
                </c:pt>
                <c:pt idx="887">
                  <c:v>43988</c:v>
                </c:pt>
                <c:pt idx="888">
                  <c:v>43989</c:v>
                </c:pt>
                <c:pt idx="889">
                  <c:v>43990</c:v>
                </c:pt>
                <c:pt idx="890">
                  <c:v>43991</c:v>
                </c:pt>
                <c:pt idx="891">
                  <c:v>43992</c:v>
                </c:pt>
                <c:pt idx="892">
                  <c:v>43993</c:v>
                </c:pt>
                <c:pt idx="893">
                  <c:v>43994</c:v>
                </c:pt>
                <c:pt idx="894">
                  <c:v>43995</c:v>
                </c:pt>
                <c:pt idx="895">
                  <c:v>43996</c:v>
                </c:pt>
                <c:pt idx="896">
                  <c:v>43997</c:v>
                </c:pt>
                <c:pt idx="897">
                  <c:v>43998</c:v>
                </c:pt>
                <c:pt idx="898">
                  <c:v>43999</c:v>
                </c:pt>
                <c:pt idx="899">
                  <c:v>44000</c:v>
                </c:pt>
                <c:pt idx="900">
                  <c:v>44001</c:v>
                </c:pt>
                <c:pt idx="901">
                  <c:v>44002</c:v>
                </c:pt>
                <c:pt idx="902">
                  <c:v>44003</c:v>
                </c:pt>
                <c:pt idx="903">
                  <c:v>44004</c:v>
                </c:pt>
                <c:pt idx="904">
                  <c:v>44005</c:v>
                </c:pt>
                <c:pt idx="905">
                  <c:v>44006</c:v>
                </c:pt>
                <c:pt idx="906">
                  <c:v>44007</c:v>
                </c:pt>
                <c:pt idx="907">
                  <c:v>44008</c:v>
                </c:pt>
                <c:pt idx="908">
                  <c:v>44009</c:v>
                </c:pt>
                <c:pt idx="909">
                  <c:v>44010</c:v>
                </c:pt>
                <c:pt idx="910">
                  <c:v>44011</c:v>
                </c:pt>
                <c:pt idx="911">
                  <c:v>44012</c:v>
                </c:pt>
                <c:pt idx="912">
                  <c:v>44013</c:v>
                </c:pt>
                <c:pt idx="913">
                  <c:v>44014</c:v>
                </c:pt>
                <c:pt idx="914">
                  <c:v>44015</c:v>
                </c:pt>
                <c:pt idx="915">
                  <c:v>44016</c:v>
                </c:pt>
                <c:pt idx="916">
                  <c:v>44017</c:v>
                </c:pt>
                <c:pt idx="917">
                  <c:v>44018</c:v>
                </c:pt>
                <c:pt idx="918">
                  <c:v>44019</c:v>
                </c:pt>
                <c:pt idx="919">
                  <c:v>44020</c:v>
                </c:pt>
                <c:pt idx="920">
                  <c:v>44021</c:v>
                </c:pt>
                <c:pt idx="921">
                  <c:v>44022</c:v>
                </c:pt>
                <c:pt idx="922">
                  <c:v>44023</c:v>
                </c:pt>
                <c:pt idx="923">
                  <c:v>44024</c:v>
                </c:pt>
                <c:pt idx="924">
                  <c:v>44025</c:v>
                </c:pt>
                <c:pt idx="925">
                  <c:v>44026</c:v>
                </c:pt>
                <c:pt idx="926">
                  <c:v>44027</c:v>
                </c:pt>
                <c:pt idx="927">
                  <c:v>44028</c:v>
                </c:pt>
                <c:pt idx="928">
                  <c:v>44029</c:v>
                </c:pt>
                <c:pt idx="929">
                  <c:v>44030</c:v>
                </c:pt>
                <c:pt idx="930">
                  <c:v>44031</c:v>
                </c:pt>
                <c:pt idx="931">
                  <c:v>44032</c:v>
                </c:pt>
                <c:pt idx="932">
                  <c:v>44033</c:v>
                </c:pt>
                <c:pt idx="933">
                  <c:v>44034</c:v>
                </c:pt>
                <c:pt idx="934">
                  <c:v>44035</c:v>
                </c:pt>
                <c:pt idx="935">
                  <c:v>44036</c:v>
                </c:pt>
                <c:pt idx="936">
                  <c:v>44037</c:v>
                </c:pt>
                <c:pt idx="937">
                  <c:v>44038</c:v>
                </c:pt>
                <c:pt idx="938">
                  <c:v>44039</c:v>
                </c:pt>
                <c:pt idx="939">
                  <c:v>44040</c:v>
                </c:pt>
                <c:pt idx="940">
                  <c:v>44041</c:v>
                </c:pt>
                <c:pt idx="941">
                  <c:v>44042</c:v>
                </c:pt>
                <c:pt idx="942">
                  <c:v>44043</c:v>
                </c:pt>
                <c:pt idx="943">
                  <c:v>44044</c:v>
                </c:pt>
                <c:pt idx="944">
                  <c:v>44045</c:v>
                </c:pt>
                <c:pt idx="945">
                  <c:v>44046</c:v>
                </c:pt>
                <c:pt idx="946">
                  <c:v>44047</c:v>
                </c:pt>
                <c:pt idx="947">
                  <c:v>44048</c:v>
                </c:pt>
                <c:pt idx="948">
                  <c:v>44049</c:v>
                </c:pt>
                <c:pt idx="949">
                  <c:v>44050</c:v>
                </c:pt>
                <c:pt idx="950">
                  <c:v>44051</c:v>
                </c:pt>
                <c:pt idx="951">
                  <c:v>44052</c:v>
                </c:pt>
                <c:pt idx="952">
                  <c:v>44053</c:v>
                </c:pt>
                <c:pt idx="953">
                  <c:v>44054</c:v>
                </c:pt>
                <c:pt idx="954">
                  <c:v>44055</c:v>
                </c:pt>
                <c:pt idx="955">
                  <c:v>44056</c:v>
                </c:pt>
                <c:pt idx="956">
                  <c:v>44057</c:v>
                </c:pt>
                <c:pt idx="957">
                  <c:v>44058</c:v>
                </c:pt>
                <c:pt idx="958">
                  <c:v>44059</c:v>
                </c:pt>
                <c:pt idx="959">
                  <c:v>44060</c:v>
                </c:pt>
                <c:pt idx="960">
                  <c:v>44061</c:v>
                </c:pt>
                <c:pt idx="961">
                  <c:v>44062</c:v>
                </c:pt>
                <c:pt idx="962">
                  <c:v>44063</c:v>
                </c:pt>
                <c:pt idx="963">
                  <c:v>44064</c:v>
                </c:pt>
                <c:pt idx="964">
                  <c:v>44065</c:v>
                </c:pt>
                <c:pt idx="965">
                  <c:v>44066</c:v>
                </c:pt>
                <c:pt idx="966">
                  <c:v>44067</c:v>
                </c:pt>
                <c:pt idx="967">
                  <c:v>44068</c:v>
                </c:pt>
                <c:pt idx="968">
                  <c:v>44069</c:v>
                </c:pt>
                <c:pt idx="969">
                  <c:v>44070</c:v>
                </c:pt>
                <c:pt idx="970">
                  <c:v>44071</c:v>
                </c:pt>
                <c:pt idx="971">
                  <c:v>44072</c:v>
                </c:pt>
                <c:pt idx="972">
                  <c:v>44073</c:v>
                </c:pt>
                <c:pt idx="973">
                  <c:v>44074</c:v>
                </c:pt>
                <c:pt idx="974">
                  <c:v>44075</c:v>
                </c:pt>
                <c:pt idx="975">
                  <c:v>44076</c:v>
                </c:pt>
                <c:pt idx="976">
                  <c:v>44077</c:v>
                </c:pt>
                <c:pt idx="977">
                  <c:v>44078</c:v>
                </c:pt>
                <c:pt idx="978">
                  <c:v>44079</c:v>
                </c:pt>
                <c:pt idx="979">
                  <c:v>44080</c:v>
                </c:pt>
                <c:pt idx="980">
                  <c:v>44081</c:v>
                </c:pt>
                <c:pt idx="981">
                  <c:v>44082</c:v>
                </c:pt>
                <c:pt idx="982">
                  <c:v>44083</c:v>
                </c:pt>
                <c:pt idx="983">
                  <c:v>44084</c:v>
                </c:pt>
                <c:pt idx="984">
                  <c:v>44085</c:v>
                </c:pt>
                <c:pt idx="985">
                  <c:v>44086</c:v>
                </c:pt>
                <c:pt idx="986">
                  <c:v>44087</c:v>
                </c:pt>
                <c:pt idx="987">
                  <c:v>44088</c:v>
                </c:pt>
                <c:pt idx="988">
                  <c:v>44089</c:v>
                </c:pt>
                <c:pt idx="989">
                  <c:v>44090</c:v>
                </c:pt>
                <c:pt idx="990">
                  <c:v>44091</c:v>
                </c:pt>
                <c:pt idx="991">
                  <c:v>44092</c:v>
                </c:pt>
                <c:pt idx="992">
                  <c:v>44093</c:v>
                </c:pt>
                <c:pt idx="993">
                  <c:v>44094</c:v>
                </c:pt>
                <c:pt idx="994">
                  <c:v>44095</c:v>
                </c:pt>
                <c:pt idx="995">
                  <c:v>44096</c:v>
                </c:pt>
                <c:pt idx="996">
                  <c:v>44097</c:v>
                </c:pt>
                <c:pt idx="997">
                  <c:v>44098</c:v>
                </c:pt>
                <c:pt idx="998">
                  <c:v>44099</c:v>
                </c:pt>
                <c:pt idx="999">
                  <c:v>44100</c:v>
                </c:pt>
                <c:pt idx="1000">
                  <c:v>44101</c:v>
                </c:pt>
                <c:pt idx="1001">
                  <c:v>44102</c:v>
                </c:pt>
                <c:pt idx="1002">
                  <c:v>44103</c:v>
                </c:pt>
                <c:pt idx="1003">
                  <c:v>44104</c:v>
                </c:pt>
                <c:pt idx="1004">
                  <c:v>44105</c:v>
                </c:pt>
                <c:pt idx="1005">
                  <c:v>44106</c:v>
                </c:pt>
                <c:pt idx="1006">
                  <c:v>44107</c:v>
                </c:pt>
                <c:pt idx="1007">
                  <c:v>44108</c:v>
                </c:pt>
                <c:pt idx="1008">
                  <c:v>44109</c:v>
                </c:pt>
                <c:pt idx="1009">
                  <c:v>44110</c:v>
                </c:pt>
                <c:pt idx="1010">
                  <c:v>44111</c:v>
                </c:pt>
                <c:pt idx="1011">
                  <c:v>44112</c:v>
                </c:pt>
                <c:pt idx="1012">
                  <c:v>44113</c:v>
                </c:pt>
                <c:pt idx="1013">
                  <c:v>44114</c:v>
                </c:pt>
                <c:pt idx="1014">
                  <c:v>44115</c:v>
                </c:pt>
                <c:pt idx="1015">
                  <c:v>44116</c:v>
                </c:pt>
                <c:pt idx="1016">
                  <c:v>44117</c:v>
                </c:pt>
                <c:pt idx="1017">
                  <c:v>44118</c:v>
                </c:pt>
                <c:pt idx="1018">
                  <c:v>44119</c:v>
                </c:pt>
                <c:pt idx="1019">
                  <c:v>44120</c:v>
                </c:pt>
                <c:pt idx="1020">
                  <c:v>44121</c:v>
                </c:pt>
                <c:pt idx="1021">
                  <c:v>44122</c:v>
                </c:pt>
                <c:pt idx="1022">
                  <c:v>44123</c:v>
                </c:pt>
                <c:pt idx="1023">
                  <c:v>44124</c:v>
                </c:pt>
                <c:pt idx="1024">
                  <c:v>44125</c:v>
                </c:pt>
                <c:pt idx="1025">
                  <c:v>44126</c:v>
                </c:pt>
                <c:pt idx="1026">
                  <c:v>44127</c:v>
                </c:pt>
                <c:pt idx="1027">
                  <c:v>44128</c:v>
                </c:pt>
                <c:pt idx="1028">
                  <c:v>44129</c:v>
                </c:pt>
                <c:pt idx="1029">
                  <c:v>44130</c:v>
                </c:pt>
                <c:pt idx="1030">
                  <c:v>44131</c:v>
                </c:pt>
                <c:pt idx="1031">
                  <c:v>44132</c:v>
                </c:pt>
                <c:pt idx="1032">
                  <c:v>44133</c:v>
                </c:pt>
                <c:pt idx="1033">
                  <c:v>44134</c:v>
                </c:pt>
                <c:pt idx="1034">
                  <c:v>44135</c:v>
                </c:pt>
                <c:pt idx="1035">
                  <c:v>44136</c:v>
                </c:pt>
                <c:pt idx="1036">
                  <c:v>44137</c:v>
                </c:pt>
                <c:pt idx="1037">
                  <c:v>44138</c:v>
                </c:pt>
                <c:pt idx="1038">
                  <c:v>44139</c:v>
                </c:pt>
                <c:pt idx="1039">
                  <c:v>44140</c:v>
                </c:pt>
                <c:pt idx="1040">
                  <c:v>44141</c:v>
                </c:pt>
                <c:pt idx="1041">
                  <c:v>44142</c:v>
                </c:pt>
                <c:pt idx="1042">
                  <c:v>44143</c:v>
                </c:pt>
                <c:pt idx="1043">
                  <c:v>44144</c:v>
                </c:pt>
                <c:pt idx="1044">
                  <c:v>44145</c:v>
                </c:pt>
                <c:pt idx="1045">
                  <c:v>44146</c:v>
                </c:pt>
                <c:pt idx="1046">
                  <c:v>44147</c:v>
                </c:pt>
                <c:pt idx="1047">
                  <c:v>44148</c:v>
                </c:pt>
                <c:pt idx="1048">
                  <c:v>44149</c:v>
                </c:pt>
                <c:pt idx="1049">
                  <c:v>44150</c:v>
                </c:pt>
                <c:pt idx="1050">
                  <c:v>44151</c:v>
                </c:pt>
                <c:pt idx="1051">
                  <c:v>44152</c:v>
                </c:pt>
                <c:pt idx="1052">
                  <c:v>44153</c:v>
                </c:pt>
                <c:pt idx="1053">
                  <c:v>44154</c:v>
                </c:pt>
                <c:pt idx="1054">
                  <c:v>44155</c:v>
                </c:pt>
                <c:pt idx="1055">
                  <c:v>44156</c:v>
                </c:pt>
                <c:pt idx="1056">
                  <c:v>44157</c:v>
                </c:pt>
                <c:pt idx="1057">
                  <c:v>44158</c:v>
                </c:pt>
                <c:pt idx="1058">
                  <c:v>44159</c:v>
                </c:pt>
                <c:pt idx="1059">
                  <c:v>44160</c:v>
                </c:pt>
                <c:pt idx="1060">
                  <c:v>44161</c:v>
                </c:pt>
                <c:pt idx="1061">
                  <c:v>44162</c:v>
                </c:pt>
                <c:pt idx="1062">
                  <c:v>44163</c:v>
                </c:pt>
                <c:pt idx="1063">
                  <c:v>44164</c:v>
                </c:pt>
                <c:pt idx="1064">
                  <c:v>44165</c:v>
                </c:pt>
                <c:pt idx="1065">
                  <c:v>44166</c:v>
                </c:pt>
                <c:pt idx="1066">
                  <c:v>44167</c:v>
                </c:pt>
                <c:pt idx="1067">
                  <c:v>44168</c:v>
                </c:pt>
                <c:pt idx="1068">
                  <c:v>44169</c:v>
                </c:pt>
                <c:pt idx="1069">
                  <c:v>44170</c:v>
                </c:pt>
                <c:pt idx="1070">
                  <c:v>44171</c:v>
                </c:pt>
                <c:pt idx="1071">
                  <c:v>44172</c:v>
                </c:pt>
                <c:pt idx="1072">
                  <c:v>44173</c:v>
                </c:pt>
                <c:pt idx="1073">
                  <c:v>44174</c:v>
                </c:pt>
                <c:pt idx="1074">
                  <c:v>44175</c:v>
                </c:pt>
                <c:pt idx="1075">
                  <c:v>44176</c:v>
                </c:pt>
                <c:pt idx="1076">
                  <c:v>44177</c:v>
                </c:pt>
                <c:pt idx="1077">
                  <c:v>44178</c:v>
                </c:pt>
                <c:pt idx="1078">
                  <c:v>44179</c:v>
                </c:pt>
                <c:pt idx="1079">
                  <c:v>44180</c:v>
                </c:pt>
                <c:pt idx="1080">
                  <c:v>44181</c:v>
                </c:pt>
                <c:pt idx="1081">
                  <c:v>44182</c:v>
                </c:pt>
                <c:pt idx="1082">
                  <c:v>44183</c:v>
                </c:pt>
                <c:pt idx="1083">
                  <c:v>44184</c:v>
                </c:pt>
                <c:pt idx="1084">
                  <c:v>44185</c:v>
                </c:pt>
                <c:pt idx="1085">
                  <c:v>44186</c:v>
                </c:pt>
                <c:pt idx="1086">
                  <c:v>44187</c:v>
                </c:pt>
                <c:pt idx="1087">
                  <c:v>44188</c:v>
                </c:pt>
                <c:pt idx="1088">
                  <c:v>44189</c:v>
                </c:pt>
                <c:pt idx="1089">
                  <c:v>44190</c:v>
                </c:pt>
                <c:pt idx="1090">
                  <c:v>44191</c:v>
                </c:pt>
                <c:pt idx="1091">
                  <c:v>44192</c:v>
                </c:pt>
                <c:pt idx="1092">
                  <c:v>44193</c:v>
                </c:pt>
                <c:pt idx="1093">
                  <c:v>44194</c:v>
                </c:pt>
                <c:pt idx="1094">
                  <c:v>44195</c:v>
                </c:pt>
                <c:pt idx="1095">
                  <c:v>44196</c:v>
                </c:pt>
                <c:pt idx="1096">
                  <c:v>44197</c:v>
                </c:pt>
                <c:pt idx="1097">
                  <c:v>44198</c:v>
                </c:pt>
                <c:pt idx="1098">
                  <c:v>44199</c:v>
                </c:pt>
                <c:pt idx="1099">
                  <c:v>44200</c:v>
                </c:pt>
                <c:pt idx="1100">
                  <c:v>44201</c:v>
                </c:pt>
                <c:pt idx="1101">
                  <c:v>44202</c:v>
                </c:pt>
                <c:pt idx="1102">
                  <c:v>44203</c:v>
                </c:pt>
                <c:pt idx="1103">
                  <c:v>44204</c:v>
                </c:pt>
                <c:pt idx="1104">
                  <c:v>44205</c:v>
                </c:pt>
                <c:pt idx="1105">
                  <c:v>44206</c:v>
                </c:pt>
                <c:pt idx="1106">
                  <c:v>44207</c:v>
                </c:pt>
                <c:pt idx="1107">
                  <c:v>44208</c:v>
                </c:pt>
                <c:pt idx="1108">
                  <c:v>44209</c:v>
                </c:pt>
                <c:pt idx="1109">
                  <c:v>44210</c:v>
                </c:pt>
                <c:pt idx="1110">
                  <c:v>44211</c:v>
                </c:pt>
                <c:pt idx="1111">
                  <c:v>44212</c:v>
                </c:pt>
                <c:pt idx="1112">
                  <c:v>44213</c:v>
                </c:pt>
                <c:pt idx="1113">
                  <c:v>44214</c:v>
                </c:pt>
                <c:pt idx="1114">
                  <c:v>44215</c:v>
                </c:pt>
                <c:pt idx="1115">
                  <c:v>44216</c:v>
                </c:pt>
                <c:pt idx="1116">
                  <c:v>44217</c:v>
                </c:pt>
                <c:pt idx="1117">
                  <c:v>44218</c:v>
                </c:pt>
                <c:pt idx="1118">
                  <c:v>44219</c:v>
                </c:pt>
                <c:pt idx="1119">
                  <c:v>44220</c:v>
                </c:pt>
                <c:pt idx="1120">
                  <c:v>44221</c:v>
                </c:pt>
                <c:pt idx="1121">
                  <c:v>44222</c:v>
                </c:pt>
                <c:pt idx="1122">
                  <c:v>44223</c:v>
                </c:pt>
                <c:pt idx="1123">
                  <c:v>44224</c:v>
                </c:pt>
                <c:pt idx="1124">
                  <c:v>44225</c:v>
                </c:pt>
                <c:pt idx="1125">
                  <c:v>44226</c:v>
                </c:pt>
                <c:pt idx="1126">
                  <c:v>44227</c:v>
                </c:pt>
                <c:pt idx="1127">
                  <c:v>44228</c:v>
                </c:pt>
                <c:pt idx="1128">
                  <c:v>44229</c:v>
                </c:pt>
                <c:pt idx="1129">
                  <c:v>44230</c:v>
                </c:pt>
                <c:pt idx="1130">
                  <c:v>44231</c:v>
                </c:pt>
                <c:pt idx="1131">
                  <c:v>44232</c:v>
                </c:pt>
                <c:pt idx="1132">
                  <c:v>44233</c:v>
                </c:pt>
                <c:pt idx="1133">
                  <c:v>44234</c:v>
                </c:pt>
                <c:pt idx="1134">
                  <c:v>44235</c:v>
                </c:pt>
                <c:pt idx="1135">
                  <c:v>44236</c:v>
                </c:pt>
                <c:pt idx="1136">
                  <c:v>44237</c:v>
                </c:pt>
                <c:pt idx="1137">
                  <c:v>44238</c:v>
                </c:pt>
                <c:pt idx="1138">
                  <c:v>44239</c:v>
                </c:pt>
                <c:pt idx="1139">
                  <c:v>44240</c:v>
                </c:pt>
                <c:pt idx="1140">
                  <c:v>44241</c:v>
                </c:pt>
                <c:pt idx="1141">
                  <c:v>44242</c:v>
                </c:pt>
                <c:pt idx="1142">
                  <c:v>44243</c:v>
                </c:pt>
                <c:pt idx="1143">
                  <c:v>44244</c:v>
                </c:pt>
                <c:pt idx="1144">
                  <c:v>44245</c:v>
                </c:pt>
                <c:pt idx="1145">
                  <c:v>44246</c:v>
                </c:pt>
                <c:pt idx="1146">
                  <c:v>44247</c:v>
                </c:pt>
                <c:pt idx="1147">
                  <c:v>44248</c:v>
                </c:pt>
                <c:pt idx="1148">
                  <c:v>44249</c:v>
                </c:pt>
                <c:pt idx="1149">
                  <c:v>44250</c:v>
                </c:pt>
                <c:pt idx="1150">
                  <c:v>44251</c:v>
                </c:pt>
                <c:pt idx="1151">
                  <c:v>44252</c:v>
                </c:pt>
                <c:pt idx="1152">
                  <c:v>44253</c:v>
                </c:pt>
                <c:pt idx="1153">
                  <c:v>44254</c:v>
                </c:pt>
                <c:pt idx="1154">
                  <c:v>44255</c:v>
                </c:pt>
                <c:pt idx="1155">
                  <c:v>44256</c:v>
                </c:pt>
                <c:pt idx="1156">
                  <c:v>44257</c:v>
                </c:pt>
                <c:pt idx="1157">
                  <c:v>44258</c:v>
                </c:pt>
                <c:pt idx="1158">
                  <c:v>44259</c:v>
                </c:pt>
                <c:pt idx="1159">
                  <c:v>44260</c:v>
                </c:pt>
                <c:pt idx="1160">
                  <c:v>44261</c:v>
                </c:pt>
                <c:pt idx="1161">
                  <c:v>44262</c:v>
                </c:pt>
                <c:pt idx="1162">
                  <c:v>44263</c:v>
                </c:pt>
                <c:pt idx="1163">
                  <c:v>44264</c:v>
                </c:pt>
                <c:pt idx="1164">
                  <c:v>44265</c:v>
                </c:pt>
                <c:pt idx="1165">
                  <c:v>44266</c:v>
                </c:pt>
                <c:pt idx="1166">
                  <c:v>44267</c:v>
                </c:pt>
                <c:pt idx="1167">
                  <c:v>44268</c:v>
                </c:pt>
                <c:pt idx="1168">
                  <c:v>44269</c:v>
                </c:pt>
                <c:pt idx="1169">
                  <c:v>44270</c:v>
                </c:pt>
                <c:pt idx="1170">
                  <c:v>44271</c:v>
                </c:pt>
                <c:pt idx="1171">
                  <c:v>44272</c:v>
                </c:pt>
                <c:pt idx="1172">
                  <c:v>44273</c:v>
                </c:pt>
                <c:pt idx="1173">
                  <c:v>44274</c:v>
                </c:pt>
                <c:pt idx="1174">
                  <c:v>44275</c:v>
                </c:pt>
                <c:pt idx="1175">
                  <c:v>44276</c:v>
                </c:pt>
                <c:pt idx="1176">
                  <c:v>44277</c:v>
                </c:pt>
                <c:pt idx="1177">
                  <c:v>44278</c:v>
                </c:pt>
                <c:pt idx="1178">
                  <c:v>44279</c:v>
                </c:pt>
                <c:pt idx="1179">
                  <c:v>44280</c:v>
                </c:pt>
                <c:pt idx="1180">
                  <c:v>44281</c:v>
                </c:pt>
                <c:pt idx="1181">
                  <c:v>44282</c:v>
                </c:pt>
                <c:pt idx="1182">
                  <c:v>44283</c:v>
                </c:pt>
                <c:pt idx="1183">
                  <c:v>44284</c:v>
                </c:pt>
                <c:pt idx="1184">
                  <c:v>44285</c:v>
                </c:pt>
                <c:pt idx="1185">
                  <c:v>44286</c:v>
                </c:pt>
                <c:pt idx="1186">
                  <c:v>44287</c:v>
                </c:pt>
                <c:pt idx="1187">
                  <c:v>44288</c:v>
                </c:pt>
                <c:pt idx="1188">
                  <c:v>44289</c:v>
                </c:pt>
                <c:pt idx="1189">
                  <c:v>44290</c:v>
                </c:pt>
                <c:pt idx="1190">
                  <c:v>44291</c:v>
                </c:pt>
                <c:pt idx="1191">
                  <c:v>44292</c:v>
                </c:pt>
                <c:pt idx="1192">
                  <c:v>44293</c:v>
                </c:pt>
                <c:pt idx="1193">
                  <c:v>44294</c:v>
                </c:pt>
                <c:pt idx="1194">
                  <c:v>44295</c:v>
                </c:pt>
                <c:pt idx="1195">
                  <c:v>44296</c:v>
                </c:pt>
                <c:pt idx="1196">
                  <c:v>44297</c:v>
                </c:pt>
                <c:pt idx="1197">
                  <c:v>44298</c:v>
                </c:pt>
                <c:pt idx="1198">
                  <c:v>44299</c:v>
                </c:pt>
                <c:pt idx="1199">
                  <c:v>44300</c:v>
                </c:pt>
                <c:pt idx="1200">
                  <c:v>44301</c:v>
                </c:pt>
                <c:pt idx="1201">
                  <c:v>44302</c:v>
                </c:pt>
                <c:pt idx="1202">
                  <c:v>44303</c:v>
                </c:pt>
                <c:pt idx="1203">
                  <c:v>44304</c:v>
                </c:pt>
                <c:pt idx="1204">
                  <c:v>44305</c:v>
                </c:pt>
                <c:pt idx="1205">
                  <c:v>44306</c:v>
                </c:pt>
                <c:pt idx="1206">
                  <c:v>44307</c:v>
                </c:pt>
                <c:pt idx="1207">
                  <c:v>44308</c:v>
                </c:pt>
                <c:pt idx="1208">
                  <c:v>44309</c:v>
                </c:pt>
                <c:pt idx="1209">
                  <c:v>44310</c:v>
                </c:pt>
                <c:pt idx="1210">
                  <c:v>44311</c:v>
                </c:pt>
                <c:pt idx="1211">
                  <c:v>44312</c:v>
                </c:pt>
                <c:pt idx="1212">
                  <c:v>44313</c:v>
                </c:pt>
                <c:pt idx="1213">
                  <c:v>44314</c:v>
                </c:pt>
                <c:pt idx="1214">
                  <c:v>44315</c:v>
                </c:pt>
                <c:pt idx="1215">
                  <c:v>44316</c:v>
                </c:pt>
                <c:pt idx="1216">
                  <c:v>44317</c:v>
                </c:pt>
                <c:pt idx="1217">
                  <c:v>44318</c:v>
                </c:pt>
                <c:pt idx="1218">
                  <c:v>44319</c:v>
                </c:pt>
                <c:pt idx="1219">
                  <c:v>44320</c:v>
                </c:pt>
                <c:pt idx="1220">
                  <c:v>44321</c:v>
                </c:pt>
                <c:pt idx="1221">
                  <c:v>44322</c:v>
                </c:pt>
                <c:pt idx="1222">
                  <c:v>44323</c:v>
                </c:pt>
                <c:pt idx="1223">
                  <c:v>44324</c:v>
                </c:pt>
                <c:pt idx="1224">
                  <c:v>44325</c:v>
                </c:pt>
                <c:pt idx="1225">
                  <c:v>44326</c:v>
                </c:pt>
                <c:pt idx="1226">
                  <c:v>44327</c:v>
                </c:pt>
                <c:pt idx="1227">
                  <c:v>44328</c:v>
                </c:pt>
                <c:pt idx="1228">
                  <c:v>44329</c:v>
                </c:pt>
                <c:pt idx="1229">
                  <c:v>44330</c:v>
                </c:pt>
                <c:pt idx="1230">
                  <c:v>44331</c:v>
                </c:pt>
                <c:pt idx="1231">
                  <c:v>44332</c:v>
                </c:pt>
                <c:pt idx="1232">
                  <c:v>44333</c:v>
                </c:pt>
                <c:pt idx="1233">
                  <c:v>44334</c:v>
                </c:pt>
                <c:pt idx="1234">
                  <c:v>44335</c:v>
                </c:pt>
                <c:pt idx="1235">
                  <c:v>44336</c:v>
                </c:pt>
                <c:pt idx="1236">
                  <c:v>44337</c:v>
                </c:pt>
                <c:pt idx="1237">
                  <c:v>44338</c:v>
                </c:pt>
                <c:pt idx="1238">
                  <c:v>44339</c:v>
                </c:pt>
                <c:pt idx="1239">
                  <c:v>44340</c:v>
                </c:pt>
                <c:pt idx="1240">
                  <c:v>44341</c:v>
                </c:pt>
                <c:pt idx="1241">
                  <c:v>44342</c:v>
                </c:pt>
                <c:pt idx="1242">
                  <c:v>44343</c:v>
                </c:pt>
                <c:pt idx="1243">
                  <c:v>44344</c:v>
                </c:pt>
                <c:pt idx="1244">
                  <c:v>44345</c:v>
                </c:pt>
                <c:pt idx="1245">
                  <c:v>44346</c:v>
                </c:pt>
                <c:pt idx="1246">
                  <c:v>44347</c:v>
                </c:pt>
                <c:pt idx="1247">
                  <c:v>44348</c:v>
                </c:pt>
                <c:pt idx="1248">
                  <c:v>44349</c:v>
                </c:pt>
                <c:pt idx="1249">
                  <c:v>44350</c:v>
                </c:pt>
                <c:pt idx="1250">
                  <c:v>44351</c:v>
                </c:pt>
                <c:pt idx="1251">
                  <c:v>44352</c:v>
                </c:pt>
                <c:pt idx="1252">
                  <c:v>44353</c:v>
                </c:pt>
                <c:pt idx="1253">
                  <c:v>44354</c:v>
                </c:pt>
                <c:pt idx="1254">
                  <c:v>44355</c:v>
                </c:pt>
                <c:pt idx="1255">
                  <c:v>44356</c:v>
                </c:pt>
                <c:pt idx="1256">
                  <c:v>44357</c:v>
                </c:pt>
                <c:pt idx="1257">
                  <c:v>44358</c:v>
                </c:pt>
                <c:pt idx="1258">
                  <c:v>44359</c:v>
                </c:pt>
                <c:pt idx="1259">
                  <c:v>44360</c:v>
                </c:pt>
                <c:pt idx="1260">
                  <c:v>44361</c:v>
                </c:pt>
                <c:pt idx="1261">
                  <c:v>44362</c:v>
                </c:pt>
                <c:pt idx="1262">
                  <c:v>44363</c:v>
                </c:pt>
                <c:pt idx="1263">
                  <c:v>44364</c:v>
                </c:pt>
                <c:pt idx="1264">
                  <c:v>44365</c:v>
                </c:pt>
                <c:pt idx="1265">
                  <c:v>44366</c:v>
                </c:pt>
                <c:pt idx="1266">
                  <c:v>44367</c:v>
                </c:pt>
                <c:pt idx="1267">
                  <c:v>44368</c:v>
                </c:pt>
                <c:pt idx="1268">
                  <c:v>44369</c:v>
                </c:pt>
                <c:pt idx="1269">
                  <c:v>44370</c:v>
                </c:pt>
                <c:pt idx="1270">
                  <c:v>44371</c:v>
                </c:pt>
                <c:pt idx="1271">
                  <c:v>44372</c:v>
                </c:pt>
                <c:pt idx="1272">
                  <c:v>44373</c:v>
                </c:pt>
                <c:pt idx="1273">
                  <c:v>44374</c:v>
                </c:pt>
                <c:pt idx="1274">
                  <c:v>44375</c:v>
                </c:pt>
                <c:pt idx="1275">
                  <c:v>44376</c:v>
                </c:pt>
                <c:pt idx="1276">
                  <c:v>44377</c:v>
                </c:pt>
                <c:pt idx="1277">
                  <c:v>44378</c:v>
                </c:pt>
                <c:pt idx="1278">
                  <c:v>44379</c:v>
                </c:pt>
                <c:pt idx="1279">
                  <c:v>44380</c:v>
                </c:pt>
                <c:pt idx="1280">
                  <c:v>44381</c:v>
                </c:pt>
                <c:pt idx="1281">
                  <c:v>44382</c:v>
                </c:pt>
                <c:pt idx="1282">
                  <c:v>44383</c:v>
                </c:pt>
                <c:pt idx="1283">
                  <c:v>44384</c:v>
                </c:pt>
                <c:pt idx="1284">
                  <c:v>44385</c:v>
                </c:pt>
                <c:pt idx="1285">
                  <c:v>44386</c:v>
                </c:pt>
                <c:pt idx="1286">
                  <c:v>44387</c:v>
                </c:pt>
                <c:pt idx="1287">
                  <c:v>44388</c:v>
                </c:pt>
                <c:pt idx="1288">
                  <c:v>44389</c:v>
                </c:pt>
                <c:pt idx="1289">
                  <c:v>44390</c:v>
                </c:pt>
                <c:pt idx="1290">
                  <c:v>44391</c:v>
                </c:pt>
                <c:pt idx="1291">
                  <c:v>44392</c:v>
                </c:pt>
                <c:pt idx="1292">
                  <c:v>44393</c:v>
                </c:pt>
                <c:pt idx="1293">
                  <c:v>44394</c:v>
                </c:pt>
                <c:pt idx="1294">
                  <c:v>44395</c:v>
                </c:pt>
                <c:pt idx="1295">
                  <c:v>44396</c:v>
                </c:pt>
                <c:pt idx="1296">
                  <c:v>44397</c:v>
                </c:pt>
                <c:pt idx="1297">
                  <c:v>44398</c:v>
                </c:pt>
                <c:pt idx="1298">
                  <c:v>44399</c:v>
                </c:pt>
                <c:pt idx="1299">
                  <c:v>44400</c:v>
                </c:pt>
                <c:pt idx="1300">
                  <c:v>44401</c:v>
                </c:pt>
                <c:pt idx="1301">
                  <c:v>44402</c:v>
                </c:pt>
                <c:pt idx="1302">
                  <c:v>44403</c:v>
                </c:pt>
                <c:pt idx="1303">
                  <c:v>44404</c:v>
                </c:pt>
                <c:pt idx="1304">
                  <c:v>44405</c:v>
                </c:pt>
                <c:pt idx="1305">
                  <c:v>44406</c:v>
                </c:pt>
                <c:pt idx="1306">
                  <c:v>44407</c:v>
                </c:pt>
                <c:pt idx="1307">
                  <c:v>44408</c:v>
                </c:pt>
                <c:pt idx="1308">
                  <c:v>44409</c:v>
                </c:pt>
                <c:pt idx="1309">
                  <c:v>44410</c:v>
                </c:pt>
                <c:pt idx="1310">
                  <c:v>44411</c:v>
                </c:pt>
                <c:pt idx="1311">
                  <c:v>44412</c:v>
                </c:pt>
                <c:pt idx="1312">
                  <c:v>44413</c:v>
                </c:pt>
                <c:pt idx="1313">
                  <c:v>44414</c:v>
                </c:pt>
                <c:pt idx="1314">
                  <c:v>44415</c:v>
                </c:pt>
                <c:pt idx="1315">
                  <c:v>44416</c:v>
                </c:pt>
                <c:pt idx="1316">
                  <c:v>44417</c:v>
                </c:pt>
                <c:pt idx="1317">
                  <c:v>44418</c:v>
                </c:pt>
                <c:pt idx="1318">
                  <c:v>44419</c:v>
                </c:pt>
                <c:pt idx="1319">
                  <c:v>44420</c:v>
                </c:pt>
                <c:pt idx="1320">
                  <c:v>44421</c:v>
                </c:pt>
                <c:pt idx="1321">
                  <c:v>44422</c:v>
                </c:pt>
                <c:pt idx="1322">
                  <c:v>44423</c:v>
                </c:pt>
                <c:pt idx="1323">
                  <c:v>44424</c:v>
                </c:pt>
                <c:pt idx="1324">
                  <c:v>44425</c:v>
                </c:pt>
                <c:pt idx="1325">
                  <c:v>44426</c:v>
                </c:pt>
                <c:pt idx="1326">
                  <c:v>44427</c:v>
                </c:pt>
                <c:pt idx="1327">
                  <c:v>44428</c:v>
                </c:pt>
                <c:pt idx="1328">
                  <c:v>44429</c:v>
                </c:pt>
                <c:pt idx="1329">
                  <c:v>44430</c:v>
                </c:pt>
                <c:pt idx="1330">
                  <c:v>44431</c:v>
                </c:pt>
                <c:pt idx="1331">
                  <c:v>44432</c:v>
                </c:pt>
                <c:pt idx="1332">
                  <c:v>44433</c:v>
                </c:pt>
                <c:pt idx="1333">
                  <c:v>44434</c:v>
                </c:pt>
                <c:pt idx="1334">
                  <c:v>44435</c:v>
                </c:pt>
                <c:pt idx="1335">
                  <c:v>44436</c:v>
                </c:pt>
                <c:pt idx="1336">
                  <c:v>44437</c:v>
                </c:pt>
                <c:pt idx="1337">
                  <c:v>44438</c:v>
                </c:pt>
                <c:pt idx="1338">
                  <c:v>44439</c:v>
                </c:pt>
                <c:pt idx="1339">
                  <c:v>44440</c:v>
                </c:pt>
                <c:pt idx="1340">
                  <c:v>44441</c:v>
                </c:pt>
                <c:pt idx="1341">
                  <c:v>44442</c:v>
                </c:pt>
                <c:pt idx="1342">
                  <c:v>44443</c:v>
                </c:pt>
                <c:pt idx="1343">
                  <c:v>44444</c:v>
                </c:pt>
                <c:pt idx="1344">
                  <c:v>44445</c:v>
                </c:pt>
                <c:pt idx="1345">
                  <c:v>44446</c:v>
                </c:pt>
                <c:pt idx="1346">
                  <c:v>44447</c:v>
                </c:pt>
                <c:pt idx="1347">
                  <c:v>44448</c:v>
                </c:pt>
                <c:pt idx="1348">
                  <c:v>44449</c:v>
                </c:pt>
                <c:pt idx="1349">
                  <c:v>44450</c:v>
                </c:pt>
                <c:pt idx="1350">
                  <c:v>44451</c:v>
                </c:pt>
                <c:pt idx="1351">
                  <c:v>44452</c:v>
                </c:pt>
                <c:pt idx="1352">
                  <c:v>44453</c:v>
                </c:pt>
                <c:pt idx="1353">
                  <c:v>44454</c:v>
                </c:pt>
                <c:pt idx="1354">
                  <c:v>44455</c:v>
                </c:pt>
                <c:pt idx="1355">
                  <c:v>44456</c:v>
                </c:pt>
                <c:pt idx="1356">
                  <c:v>44457</c:v>
                </c:pt>
                <c:pt idx="1357">
                  <c:v>44458</c:v>
                </c:pt>
                <c:pt idx="1358">
                  <c:v>44459</c:v>
                </c:pt>
                <c:pt idx="1359">
                  <c:v>44460</c:v>
                </c:pt>
                <c:pt idx="1360">
                  <c:v>44461</c:v>
                </c:pt>
                <c:pt idx="1361">
                  <c:v>44462</c:v>
                </c:pt>
                <c:pt idx="1362">
                  <c:v>44463</c:v>
                </c:pt>
                <c:pt idx="1363">
                  <c:v>44464</c:v>
                </c:pt>
                <c:pt idx="1364">
                  <c:v>44465</c:v>
                </c:pt>
                <c:pt idx="1365">
                  <c:v>44466</c:v>
                </c:pt>
                <c:pt idx="1366">
                  <c:v>44467</c:v>
                </c:pt>
                <c:pt idx="1367">
                  <c:v>44468</c:v>
                </c:pt>
                <c:pt idx="1368">
                  <c:v>44469</c:v>
                </c:pt>
                <c:pt idx="1369">
                  <c:v>44470</c:v>
                </c:pt>
                <c:pt idx="1370">
                  <c:v>44471</c:v>
                </c:pt>
                <c:pt idx="1371">
                  <c:v>44472</c:v>
                </c:pt>
                <c:pt idx="1372">
                  <c:v>44473</c:v>
                </c:pt>
                <c:pt idx="1373">
                  <c:v>44474</c:v>
                </c:pt>
                <c:pt idx="1374">
                  <c:v>44475</c:v>
                </c:pt>
                <c:pt idx="1375">
                  <c:v>44476</c:v>
                </c:pt>
                <c:pt idx="1376">
                  <c:v>44477</c:v>
                </c:pt>
                <c:pt idx="1377">
                  <c:v>44478</c:v>
                </c:pt>
                <c:pt idx="1378">
                  <c:v>44479</c:v>
                </c:pt>
                <c:pt idx="1379">
                  <c:v>44480</c:v>
                </c:pt>
                <c:pt idx="1380">
                  <c:v>44481</c:v>
                </c:pt>
                <c:pt idx="1381">
                  <c:v>44482</c:v>
                </c:pt>
                <c:pt idx="1382">
                  <c:v>44483</c:v>
                </c:pt>
                <c:pt idx="1383">
                  <c:v>44484</c:v>
                </c:pt>
                <c:pt idx="1384">
                  <c:v>44485</c:v>
                </c:pt>
                <c:pt idx="1385">
                  <c:v>44486</c:v>
                </c:pt>
                <c:pt idx="1386">
                  <c:v>44487</c:v>
                </c:pt>
                <c:pt idx="1387">
                  <c:v>44488</c:v>
                </c:pt>
                <c:pt idx="1388">
                  <c:v>44489</c:v>
                </c:pt>
                <c:pt idx="1389">
                  <c:v>44490</c:v>
                </c:pt>
                <c:pt idx="1390">
                  <c:v>44491</c:v>
                </c:pt>
                <c:pt idx="1391">
                  <c:v>44492</c:v>
                </c:pt>
                <c:pt idx="1392">
                  <c:v>44493</c:v>
                </c:pt>
                <c:pt idx="1393">
                  <c:v>44494</c:v>
                </c:pt>
                <c:pt idx="1394">
                  <c:v>44495</c:v>
                </c:pt>
                <c:pt idx="1395">
                  <c:v>44496</c:v>
                </c:pt>
                <c:pt idx="1396">
                  <c:v>44497</c:v>
                </c:pt>
                <c:pt idx="1397">
                  <c:v>44498</c:v>
                </c:pt>
                <c:pt idx="1398">
                  <c:v>44499</c:v>
                </c:pt>
                <c:pt idx="1399">
                  <c:v>44500</c:v>
                </c:pt>
                <c:pt idx="1400">
                  <c:v>44501</c:v>
                </c:pt>
                <c:pt idx="1401">
                  <c:v>44502</c:v>
                </c:pt>
                <c:pt idx="1402">
                  <c:v>44503</c:v>
                </c:pt>
                <c:pt idx="1403">
                  <c:v>44504</c:v>
                </c:pt>
                <c:pt idx="1404">
                  <c:v>44505</c:v>
                </c:pt>
                <c:pt idx="1405">
                  <c:v>44506</c:v>
                </c:pt>
                <c:pt idx="1406">
                  <c:v>44507</c:v>
                </c:pt>
                <c:pt idx="1407">
                  <c:v>44508</c:v>
                </c:pt>
                <c:pt idx="1408">
                  <c:v>44509</c:v>
                </c:pt>
                <c:pt idx="1409">
                  <c:v>44510</c:v>
                </c:pt>
                <c:pt idx="1410">
                  <c:v>44511</c:v>
                </c:pt>
                <c:pt idx="1411">
                  <c:v>44512</c:v>
                </c:pt>
                <c:pt idx="1412">
                  <c:v>44513</c:v>
                </c:pt>
                <c:pt idx="1413">
                  <c:v>44514</c:v>
                </c:pt>
                <c:pt idx="1414">
                  <c:v>44515</c:v>
                </c:pt>
                <c:pt idx="1415">
                  <c:v>44516</c:v>
                </c:pt>
                <c:pt idx="1416">
                  <c:v>44517</c:v>
                </c:pt>
                <c:pt idx="1417">
                  <c:v>44518</c:v>
                </c:pt>
                <c:pt idx="1418">
                  <c:v>44519</c:v>
                </c:pt>
                <c:pt idx="1419">
                  <c:v>44520</c:v>
                </c:pt>
                <c:pt idx="1420">
                  <c:v>44521</c:v>
                </c:pt>
                <c:pt idx="1421">
                  <c:v>44522</c:v>
                </c:pt>
                <c:pt idx="1422">
                  <c:v>44523</c:v>
                </c:pt>
                <c:pt idx="1423">
                  <c:v>44524</c:v>
                </c:pt>
                <c:pt idx="1424">
                  <c:v>44525</c:v>
                </c:pt>
                <c:pt idx="1425">
                  <c:v>44526</c:v>
                </c:pt>
                <c:pt idx="1426">
                  <c:v>44527</c:v>
                </c:pt>
                <c:pt idx="1427">
                  <c:v>44528</c:v>
                </c:pt>
                <c:pt idx="1428">
                  <c:v>44529</c:v>
                </c:pt>
                <c:pt idx="1429">
                  <c:v>44530</c:v>
                </c:pt>
                <c:pt idx="1430">
                  <c:v>44531</c:v>
                </c:pt>
                <c:pt idx="1431">
                  <c:v>44532</c:v>
                </c:pt>
                <c:pt idx="1432">
                  <c:v>44533</c:v>
                </c:pt>
                <c:pt idx="1433">
                  <c:v>44534</c:v>
                </c:pt>
                <c:pt idx="1434">
                  <c:v>44535</c:v>
                </c:pt>
                <c:pt idx="1435">
                  <c:v>44536</c:v>
                </c:pt>
                <c:pt idx="1436">
                  <c:v>44537</c:v>
                </c:pt>
                <c:pt idx="1437">
                  <c:v>44538</c:v>
                </c:pt>
                <c:pt idx="1438">
                  <c:v>44539</c:v>
                </c:pt>
                <c:pt idx="1439">
                  <c:v>44540</c:v>
                </c:pt>
                <c:pt idx="1440">
                  <c:v>44541</c:v>
                </c:pt>
                <c:pt idx="1441">
                  <c:v>44542</c:v>
                </c:pt>
                <c:pt idx="1442">
                  <c:v>44543</c:v>
                </c:pt>
                <c:pt idx="1443">
                  <c:v>44544</c:v>
                </c:pt>
                <c:pt idx="1444">
                  <c:v>44545</c:v>
                </c:pt>
                <c:pt idx="1445">
                  <c:v>44546</c:v>
                </c:pt>
                <c:pt idx="1446">
                  <c:v>44547</c:v>
                </c:pt>
                <c:pt idx="1447">
                  <c:v>44548</c:v>
                </c:pt>
                <c:pt idx="1448">
                  <c:v>44549</c:v>
                </c:pt>
                <c:pt idx="1449">
                  <c:v>44550</c:v>
                </c:pt>
                <c:pt idx="1450">
                  <c:v>44551</c:v>
                </c:pt>
                <c:pt idx="1451">
                  <c:v>44552</c:v>
                </c:pt>
                <c:pt idx="1452">
                  <c:v>44553</c:v>
                </c:pt>
                <c:pt idx="1453">
                  <c:v>44554</c:v>
                </c:pt>
                <c:pt idx="1454">
                  <c:v>44555</c:v>
                </c:pt>
                <c:pt idx="1455">
                  <c:v>44556</c:v>
                </c:pt>
                <c:pt idx="1456">
                  <c:v>44557</c:v>
                </c:pt>
                <c:pt idx="1457">
                  <c:v>44558</c:v>
                </c:pt>
                <c:pt idx="1458">
                  <c:v>44559</c:v>
                </c:pt>
                <c:pt idx="1459">
                  <c:v>44560</c:v>
                </c:pt>
                <c:pt idx="1460">
                  <c:v>44561</c:v>
                </c:pt>
                <c:pt idx="1461">
                  <c:v>44562</c:v>
                </c:pt>
                <c:pt idx="1462">
                  <c:v>44563</c:v>
                </c:pt>
                <c:pt idx="1463">
                  <c:v>44564</c:v>
                </c:pt>
                <c:pt idx="1464">
                  <c:v>44565</c:v>
                </c:pt>
                <c:pt idx="1465">
                  <c:v>44566</c:v>
                </c:pt>
                <c:pt idx="1466">
                  <c:v>44567</c:v>
                </c:pt>
                <c:pt idx="1467">
                  <c:v>44568</c:v>
                </c:pt>
                <c:pt idx="1468">
                  <c:v>44569</c:v>
                </c:pt>
                <c:pt idx="1469">
                  <c:v>44570</c:v>
                </c:pt>
                <c:pt idx="1470">
                  <c:v>44571</c:v>
                </c:pt>
                <c:pt idx="1471">
                  <c:v>44572</c:v>
                </c:pt>
                <c:pt idx="1472">
                  <c:v>44573</c:v>
                </c:pt>
                <c:pt idx="1473">
                  <c:v>44574</c:v>
                </c:pt>
                <c:pt idx="1474">
                  <c:v>44575</c:v>
                </c:pt>
                <c:pt idx="1475">
                  <c:v>44576</c:v>
                </c:pt>
                <c:pt idx="1476">
                  <c:v>44577</c:v>
                </c:pt>
                <c:pt idx="1477">
                  <c:v>44578</c:v>
                </c:pt>
                <c:pt idx="1478">
                  <c:v>44579</c:v>
                </c:pt>
                <c:pt idx="1479">
                  <c:v>44580</c:v>
                </c:pt>
                <c:pt idx="1480">
                  <c:v>44581</c:v>
                </c:pt>
                <c:pt idx="1481">
                  <c:v>44582</c:v>
                </c:pt>
                <c:pt idx="1482">
                  <c:v>44583</c:v>
                </c:pt>
                <c:pt idx="1483">
                  <c:v>44584</c:v>
                </c:pt>
                <c:pt idx="1484">
                  <c:v>44585</c:v>
                </c:pt>
                <c:pt idx="1485">
                  <c:v>44586</c:v>
                </c:pt>
                <c:pt idx="1486">
                  <c:v>44587</c:v>
                </c:pt>
                <c:pt idx="1487">
                  <c:v>44588</c:v>
                </c:pt>
                <c:pt idx="1488">
                  <c:v>44589</c:v>
                </c:pt>
                <c:pt idx="1489">
                  <c:v>44590</c:v>
                </c:pt>
                <c:pt idx="1490">
                  <c:v>44591</c:v>
                </c:pt>
                <c:pt idx="1491">
                  <c:v>44592</c:v>
                </c:pt>
                <c:pt idx="1492">
                  <c:v>44593</c:v>
                </c:pt>
                <c:pt idx="1493">
                  <c:v>44594</c:v>
                </c:pt>
                <c:pt idx="1494">
                  <c:v>44595</c:v>
                </c:pt>
                <c:pt idx="1495">
                  <c:v>44596</c:v>
                </c:pt>
                <c:pt idx="1496">
                  <c:v>44597</c:v>
                </c:pt>
                <c:pt idx="1497">
                  <c:v>44598</c:v>
                </c:pt>
                <c:pt idx="1498">
                  <c:v>44599</c:v>
                </c:pt>
                <c:pt idx="1499">
                  <c:v>44600</c:v>
                </c:pt>
                <c:pt idx="1500">
                  <c:v>44601</c:v>
                </c:pt>
                <c:pt idx="1501">
                  <c:v>44602</c:v>
                </c:pt>
                <c:pt idx="1502">
                  <c:v>44603</c:v>
                </c:pt>
                <c:pt idx="1503">
                  <c:v>44604</c:v>
                </c:pt>
                <c:pt idx="1504">
                  <c:v>44605</c:v>
                </c:pt>
                <c:pt idx="1505">
                  <c:v>44606</c:v>
                </c:pt>
                <c:pt idx="1506">
                  <c:v>44607</c:v>
                </c:pt>
                <c:pt idx="1507">
                  <c:v>44608</c:v>
                </c:pt>
                <c:pt idx="1508">
                  <c:v>44609</c:v>
                </c:pt>
                <c:pt idx="1509">
                  <c:v>44610</c:v>
                </c:pt>
                <c:pt idx="1510">
                  <c:v>44611</c:v>
                </c:pt>
                <c:pt idx="1511">
                  <c:v>44612</c:v>
                </c:pt>
                <c:pt idx="1512">
                  <c:v>44613</c:v>
                </c:pt>
                <c:pt idx="1513">
                  <c:v>44614</c:v>
                </c:pt>
                <c:pt idx="1514">
                  <c:v>44615</c:v>
                </c:pt>
                <c:pt idx="1515">
                  <c:v>44616</c:v>
                </c:pt>
                <c:pt idx="1516">
                  <c:v>44617</c:v>
                </c:pt>
                <c:pt idx="1517">
                  <c:v>44618</c:v>
                </c:pt>
                <c:pt idx="1518">
                  <c:v>44619</c:v>
                </c:pt>
                <c:pt idx="1519">
                  <c:v>44620</c:v>
                </c:pt>
                <c:pt idx="1520">
                  <c:v>44621</c:v>
                </c:pt>
                <c:pt idx="1521">
                  <c:v>44622</c:v>
                </c:pt>
                <c:pt idx="1522">
                  <c:v>44623</c:v>
                </c:pt>
                <c:pt idx="1523">
                  <c:v>44624</c:v>
                </c:pt>
                <c:pt idx="1524">
                  <c:v>44625</c:v>
                </c:pt>
                <c:pt idx="1525">
                  <c:v>44626</c:v>
                </c:pt>
                <c:pt idx="1526">
                  <c:v>44627</c:v>
                </c:pt>
                <c:pt idx="1527">
                  <c:v>44628</c:v>
                </c:pt>
                <c:pt idx="1528">
                  <c:v>44629</c:v>
                </c:pt>
                <c:pt idx="1529">
                  <c:v>44630</c:v>
                </c:pt>
                <c:pt idx="1530">
                  <c:v>44631</c:v>
                </c:pt>
                <c:pt idx="1531">
                  <c:v>44632</c:v>
                </c:pt>
                <c:pt idx="1532">
                  <c:v>44633</c:v>
                </c:pt>
                <c:pt idx="1533">
                  <c:v>44634</c:v>
                </c:pt>
                <c:pt idx="1534">
                  <c:v>44635</c:v>
                </c:pt>
                <c:pt idx="1535">
                  <c:v>44636</c:v>
                </c:pt>
                <c:pt idx="1536">
                  <c:v>44637</c:v>
                </c:pt>
                <c:pt idx="1537">
                  <c:v>44638</c:v>
                </c:pt>
                <c:pt idx="1538">
                  <c:v>44639</c:v>
                </c:pt>
                <c:pt idx="1539">
                  <c:v>44640</c:v>
                </c:pt>
                <c:pt idx="1540">
                  <c:v>44641</c:v>
                </c:pt>
                <c:pt idx="1541">
                  <c:v>44642</c:v>
                </c:pt>
                <c:pt idx="1542">
                  <c:v>44643</c:v>
                </c:pt>
                <c:pt idx="1543">
                  <c:v>44644</c:v>
                </c:pt>
                <c:pt idx="1544">
                  <c:v>44645</c:v>
                </c:pt>
                <c:pt idx="1545">
                  <c:v>44646</c:v>
                </c:pt>
                <c:pt idx="1546">
                  <c:v>44647</c:v>
                </c:pt>
                <c:pt idx="1547">
                  <c:v>44648</c:v>
                </c:pt>
                <c:pt idx="1548">
                  <c:v>44649</c:v>
                </c:pt>
                <c:pt idx="1549">
                  <c:v>44650</c:v>
                </c:pt>
                <c:pt idx="1550">
                  <c:v>44651</c:v>
                </c:pt>
                <c:pt idx="1551">
                  <c:v>44652</c:v>
                </c:pt>
                <c:pt idx="1552">
                  <c:v>44653</c:v>
                </c:pt>
                <c:pt idx="1553">
                  <c:v>44654</c:v>
                </c:pt>
                <c:pt idx="1554">
                  <c:v>44655</c:v>
                </c:pt>
                <c:pt idx="1555">
                  <c:v>44656</c:v>
                </c:pt>
                <c:pt idx="1556">
                  <c:v>44657</c:v>
                </c:pt>
                <c:pt idx="1557">
                  <c:v>44658</c:v>
                </c:pt>
                <c:pt idx="1558">
                  <c:v>44659</c:v>
                </c:pt>
                <c:pt idx="1559">
                  <c:v>44660</c:v>
                </c:pt>
                <c:pt idx="1560">
                  <c:v>44661</c:v>
                </c:pt>
                <c:pt idx="1561">
                  <c:v>44662</c:v>
                </c:pt>
                <c:pt idx="1562">
                  <c:v>44663</c:v>
                </c:pt>
                <c:pt idx="1563">
                  <c:v>44664</c:v>
                </c:pt>
                <c:pt idx="1564">
                  <c:v>44665</c:v>
                </c:pt>
                <c:pt idx="1565">
                  <c:v>44666</c:v>
                </c:pt>
                <c:pt idx="1566">
                  <c:v>44667</c:v>
                </c:pt>
                <c:pt idx="1567">
                  <c:v>44668</c:v>
                </c:pt>
                <c:pt idx="1568">
                  <c:v>44669</c:v>
                </c:pt>
                <c:pt idx="1569">
                  <c:v>44670</c:v>
                </c:pt>
                <c:pt idx="1570">
                  <c:v>44671</c:v>
                </c:pt>
                <c:pt idx="1571">
                  <c:v>44672</c:v>
                </c:pt>
                <c:pt idx="1572">
                  <c:v>44673</c:v>
                </c:pt>
                <c:pt idx="1573">
                  <c:v>44674</c:v>
                </c:pt>
                <c:pt idx="1574">
                  <c:v>44675</c:v>
                </c:pt>
                <c:pt idx="1575">
                  <c:v>44676</c:v>
                </c:pt>
                <c:pt idx="1576">
                  <c:v>44677</c:v>
                </c:pt>
                <c:pt idx="1577">
                  <c:v>44678</c:v>
                </c:pt>
                <c:pt idx="1578">
                  <c:v>44679</c:v>
                </c:pt>
                <c:pt idx="1579">
                  <c:v>44680</c:v>
                </c:pt>
                <c:pt idx="1580">
                  <c:v>44681</c:v>
                </c:pt>
                <c:pt idx="1581">
                  <c:v>44682</c:v>
                </c:pt>
                <c:pt idx="1582">
                  <c:v>44683</c:v>
                </c:pt>
                <c:pt idx="1583">
                  <c:v>44684</c:v>
                </c:pt>
                <c:pt idx="1584">
                  <c:v>44685</c:v>
                </c:pt>
                <c:pt idx="1585">
                  <c:v>44686</c:v>
                </c:pt>
                <c:pt idx="1586">
                  <c:v>44687</c:v>
                </c:pt>
                <c:pt idx="1587">
                  <c:v>44688</c:v>
                </c:pt>
                <c:pt idx="1588">
                  <c:v>44689</c:v>
                </c:pt>
                <c:pt idx="1589">
                  <c:v>44690</c:v>
                </c:pt>
                <c:pt idx="1590">
                  <c:v>44691</c:v>
                </c:pt>
                <c:pt idx="1591">
                  <c:v>44692</c:v>
                </c:pt>
                <c:pt idx="1592">
                  <c:v>44693</c:v>
                </c:pt>
                <c:pt idx="1593">
                  <c:v>44694</c:v>
                </c:pt>
                <c:pt idx="1594">
                  <c:v>44695</c:v>
                </c:pt>
                <c:pt idx="1595">
                  <c:v>44696</c:v>
                </c:pt>
                <c:pt idx="1596">
                  <c:v>44697</c:v>
                </c:pt>
                <c:pt idx="1597">
                  <c:v>44698</c:v>
                </c:pt>
                <c:pt idx="1598">
                  <c:v>44699</c:v>
                </c:pt>
                <c:pt idx="1599">
                  <c:v>44700</c:v>
                </c:pt>
                <c:pt idx="1600">
                  <c:v>44701</c:v>
                </c:pt>
                <c:pt idx="1601">
                  <c:v>44702</c:v>
                </c:pt>
                <c:pt idx="1602">
                  <c:v>44703</c:v>
                </c:pt>
                <c:pt idx="1603">
                  <c:v>44704</c:v>
                </c:pt>
                <c:pt idx="1604">
                  <c:v>44705</c:v>
                </c:pt>
                <c:pt idx="1605">
                  <c:v>44706</c:v>
                </c:pt>
                <c:pt idx="1606">
                  <c:v>44707</c:v>
                </c:pt>
                <c:pt idx="1607">
                  <c:v>44708</c:v>
                </c:pt>
                <c:pt idx="1608">
                  <c:v>44709</c:v>
                </c:pt>
                <c:pt idx="1609">
                  <c:v>44710</c:v>
                </c:pt>
                <c:pt idx="1610">
                  <c:v>44711</c:v>
                </c:pt>
                <c:pt idx="1611">
                  <c:v>44712</c:v>
                </c:pt>
                <c:pt idx="1612">
                  <c:v>44713</c:v>
                </c:pt>
                <c:pt idx="1613">
                  <c:v>44714</c:v>
                </c:pt>
                <c:pt idx="1614">
                  <c:v>44715</c:v>
                </c:pt>
                <c:pt idx="1615">
                  <c:v>44716</c:v>
                </c:pt>
                <c:pt idx="1616">
                  <c:v>44717</c:v>
                </c:pt>
                <c:pt idx="1617">
                  <c:v>44718</c:v>
                </c:pt>
                <c:pt idx="1618">
                  <c:v>44719</c:v>
                </c:pt>
                <c:pt idx="1619">
                  <c:v>44720</c:v>
                </c:pt>
                <c:pt idx="1620">
                  <c:v>44721</c:v>
                </c:pt>
                <c:pt idx="1621">
                  <c:v>44722</c:v>
                </c:pt>
                <c:pt idx="1622">
                  <c:v>44723</c:v>
                </c:pt>
                <c:pt idx="1623">
                  <c:v>44724</c:v>
                </c:pt>
                <c:pt idx="1624">
                  <c:v>44725</c:v>
                </c:pt>
                <c:pt idx="1625">
                  <c:v>44726</c:v>
                </c:pt>
                <c:pt idx="1626">
                  <c:v>44727</c:v>
                </c:pt>
                <c:pt idx="1627">
                  <c:v>44728</c:v>
                </c:pt>
                <c:pt idx="1628">
                  <c:v>44729</c:v>
                </c:pt>
                <c:pt idx="1629">
                  <c:v>44730</c:v>
                </c:pt>
                <c:pt idx="1630">
                  <c:v>44731</c:v>
                </c:pt>
                <c:pt idx="1631">
                  <c:v>44732</c:v>
                </c:pt>
                <c:pt idx="1632">
                  <c:v>44733</c:v>
                </c:pt>
                <c:pt idx="1633">
                  <c:v>44734</c:v>
                </c:pt>
                <c:pt idx="1634">
                  <c:v>44735</c:v>
                </c:pt>
                <c:pt idx="1635">
                  <c:v>44736</c:v>
                </c:pt>
                <c:pt idx="1636">
                  <c:v>44737</c:v>
                </c:pt>
                <c:pt idx="1637">
                  <c:v>44738</c:v>
                </c:pt>
                <c:pt idx="1638">
                  <c:v>44739</c:v>
                </c:pt>
                <c:pt idx="1639">
                  <c:v>44740</c:v>
                </c:pt>
                <c:pt idx="1640">
                  <c:v>44741</c:v>
                </c:pt>
                <c:pt idx="1641">
                  <c:v>44742</c:v>
                </c:pt>
                <c:pt idx="1642">
                  <c:v>44743</c:v>
                </c:pt>
                <c:pt idx="1643">
                  <c:v>44744</c:v>
                </c:pt>
                <c:pt idx="1644">
                  <c:v>44745</c:v>
                </c:pt>
                <c:pt idx="1645">
                  <c:v>44746</c:v>
                </c:pt>
                <c:pt idx="1646">
                  <c:v>44747</c:v>
                </c:pt>
                <c:pt idx="1647">
                  <c:v>44748</c:v>
                </c:pt>
                <c:pt idx="1648">
                  <c:v>44749</c:v>
                </c:pt>
                <c:pt idx="1649">
                  <c:v>44750</c:v>
                </c:pt>
                <c:pt idx="1650">
                  <c:v>44751</c:v>
                </c:pt>
                <c:pt idx="1651">
                  <c:v>44752</c:v>
                </c:pt>
                <c:pt idx="1652">
                  <c:v>44753</c:v>
                </c:pt>
                <c:pt idx="1653">
                  <c:v>44754</c:v>
                </c:pt>
                <c:pt idx="1654">
                  <c:v>44755</c:v>
                </c:pt>
                <c:pt idx="1655">
                  <c:v>44756</c:v>
                </c:pt>
                <c:pt idx="1656">
                  <c:v>44757</c:v>
                </c:pt>
                <c:pt idx="1657">
                  <c:v>44758</c:v>
                </c:pt>
                <c:pt idx="1658">
                  <c:v>44759</c:v>
                </c:pt>
                <c:pt idx="1659">
                  <c:v>44760</c:v>
                </c:pt>
                <c:pt idx="1660">
                  <c:v>44761</c:v>
                </c:pt>
                <c:pt idx="1661">
                  <c:v>44762</c:v>
                </c:pt>
                <c:pt idx="1662">
                  <c:v>44763</c:v>
                </c:pt>
                <c:pt idx="1663">
                  <c:v>44764</c:v>
                </c:pt>
                <c:pt idx="1664">
                  <c:v>44765</c:v>
                </c:pt>
                <c:pt idx="1665">
                  <c:v>44766</c:v>
                </c:pt>
                <c:pt idx="1666">
                  <c:v>44767</c:v>
                </c:pt>
                <c:pt idx="1667">
                  <c:v>44768</c:v>
                </c:pt>
                <c:pt idx="1668">
                  <c:v>44769</c:v>
                </c:pt>
                <c:pt idx="1669">
                  <c:v>44770</c:v>
                </c:pt>
                <c:pt idx="1670">
                  <c:v>44771</c:v>
                </c:pt>
                <c:pt idx="1671">
                  <c:v>44772</c:v>
                </c:pt>
                <c:pt idx="1672">
                  <c:v>44773</c:v>
                </c:pt>
                <c:pt idx="1673">
                  <c:v>44774</c:v>
                </c:pt>
                <c:pt idx="1674">
                  <c:v>44775</c:v>
                </c:pt>
                <c:pt idx="1675">
                  <c:v>44776</c:v>
                </c:pt>
                <c:pt idx="1676">
                  <c:v>44777</c:v>
                </c:pt>
                <c:pt idx="1677">
                  <c:v>44778</c:v>
                </c:pt>
                <c:pt idx="1678">
                  <c:v>44779</c:v>
                </c:pt>
                <c:pt idx="1679">
                  <c:v>44780</c:v>
                </c:pt>
                <c:pt idx="1680">
                  <c:v>44781</c:v>
                </c:pt>
                <c:pt idx="1681">
                  <c:v>44782</c:v>
                </c:pt>
                <c:pt idx="1682">
                  <c:v>44783</c:v>
                </c:pt>
                <c:pt idx="1683">
                  <c:v>44784</c:v>
                </c:pt>
                <c:pt idx="1684">
                  <c:v>44785</c:v>
                </c:pt>
                <c:pt idx="1685">
                  <c:v>44786</c:v>
                </c:pt>
                <c:pt idx="1686">
                  <c:v>44787</c:v>
                </c:pt>
                <c:pt idx="1687">
                  <c:v>44788</c:v>
                </c:pt>
                <c:pt idx="1688">
                  <c:v>44789</c:v>
                </c:pt>
                <c:pt idx="1689">
                  <c:v>44790</c:v>
                </c:pt>
                <c:pt idx="1690">
                  <c:v>44791</c:v>
                </c:pt>
                <c:pt idx="1691">
                  <c:v>44792</c:v>
                </c:pt>
                <c:pt idx="1692">
                  <c:v>44793</c:v>
                </c:pt>
                <c:pt idx="1693">
                  <c:v>44794</c:v>
                </c:pt>
                <c:pt idx="1694">
                  <c:v>44795</c:v>
                </c:pt>
                <c:pt idx="1695">
                  <c:v>44796</c:v>
                </c:pt>
                <c:pt idx="1696">
                  <c:v>44797</c:v>
                </c:pt>
                <c:pt idx="1697">
                  <c:v>44798</c:v>
                </c:pt>
                <c:pt idx="1698">
                  <c:v>44799</c:v>
                </c:pt>
                <c:pt idx="1699">
                  <c:v>44800</c:v>
                </c:pt>
                <c:pt idx="1700">
                  <c:v>44801</c:v>
                </c:pt>
                <c:pt idx="1701">
                  <c:v>44802</c:v>
                </c:pt>
                <c:pt idx="1702">
                  <c:v>44803</c:v>
                </c:pt>
                <c:pt idx="1703">
                  <c:v>44804</c:v>
                </c:pt>
                <c:pt idx="1704">
                  <c:v>44805</c:v>
                </c:pt>
                <c:pt idx="1705">
                  <c:v>44806</c:v>
                </c:pt>
                <c:pt idx="1706">
                  <c:v>44807</c:v>
                </c:pt>
                <c:pt idx="1707">
                  <c:v>44808</c:v>
                </c:pt>
                <c:pt idx="1708">
                  <c:v>44809</c:v>
                </c:pt>
                <c:pt idx="1709">
                  <c:v>44810</c:v>
                </c:pt>
                <c:pt idx="1710">
                  <c:v>44811</c:v>
                </c:pt>
                <c:pt idx="1711">
                  <c:v>44812</c:v>
                </c:pt>
                <c:pt idx="1712">
                  <c:v>44813</c:v>
                </c:pt>
                <c:pt idx="1713">
                  <c:v>44814</c:v>
                </c:pt>
                <c:pt idx="1714">
                  <c:v>44815</c:v>
                </c:pt>
                <c:pt idx="1715">
                  <c:v>44816</c:v>
                </c:pt>
                <c:pt idx="1716">
                  <c:v>44817</c:v>
                </c:pt>
                <c:pt idx="1717">
                  <c:v>44818</c:v>
                </c:pt>
                <c:pt idx="1718">
                  <c:v>44819</c:v>
                </c:pt>
                <c:pt idx="1719">
                  <c:v>44820</c:v>
                </c:pt>
                <c:pt idx="1720">
                  <c:v>44821</c:v>
                </c:pt>
                <c:pt idx="1721">
                  <c:v>44822</c:v>
                </c:pt>
                <c:pt idx="1722">
                  <c:v>44823</c:v>
                </c:pt>
                <c:pt idx="1723">
                  <c:v>44824</c:v>
                </c:pt>
                <c:pt idx="1724">
                  <c:v>44825</c:v>
                </c:pt>
                <c:pt idx="1725">
                  <c:v>44826</c:v>
                </c:pt>
                <c:pt idx="1726">
                  <c:v>44827</c:v>
                </c:pt>
                <c:pt idx="1727">
                  <c:v>44828</c:v>
                </c:pt>
                <c:pt idx="1728">
                  <c:v>44829</c:v>
                </c:pt>
                <c:pt idx="1729">
                  <c:v>44830</c:v>
                </c:pt>
                <c:pt idx="1730">
                  <c:v>44831</c:v>
                </c:pt>
                <c:pt idx="1731">
                  <c:v>44832</c:v>
                </c:pt>
                <c:pt idx="1732">
                  <c:v>44833</c:v>
                </c:pt>
                <c:pt idx="1733">
                  <c:v>44834</c:v>
                </c:pt>
                <c:pt idx="1734">
                  <c:v>44835</c:v>
                </c:pt>
                <c:pt idx="1735">
                  <c:v>44836</c:v>
                </c:pt>
                <c:pt idx="1736">
                  <c:v>44837</c:v>
                </c:pt>
                <c:pt idx="1737">
                  <c:v>44838</c:v>
                </c:pt>
                <c:pt idx="1738">
                  <c:v>44839</c:v>
                </c:pt>
                <c:pt idx="1739">
                  <c:v>44840</c:v>
                </c:pt>
                <c:pt idx="1740">
                  <c:v>44841</c:v>
                </c:pt>
                <c:pt idx="1741">
                  <c:v>44842</c:v>
                </c:pt>
                <c:pt idx="1742">
                  <c:v>44843</c:v>
                </c:pt>
                <c:pt idx="1743">
                  <c:v>44844</c:v>
                </c:pt>
                <c:pt idx="1744">
                  <c:v>44845</c:v>
                </c:pt>
                <c:pt idx="1745">
                  <c:v>44846</c:v>
                </c:pt>
                <c:pt idx="1746">
                  <c:v>44847</c:v>
                </c:pt>
                <c:pt idx="1747">
                  <c:v>44848</c:v>
                </c:pt>
                <c:pt idx="1748">
                  <c:v>44849</c:v>
                </c:pt>
                <c:pt idx="1749">
                  <c:v>44850</c:v>
                </c:pt>
                <c:pt idx="1750">
                  <c:v>44851</c:v>
                </c:pt>
                <c:pt idx="1751">
                  <c:v>44852</c:v>
                </c:pt>
                <c:pt idx="1752">
                  <c:v>44853</c:v>
                </c:pt>
                <c:pt idx="1753">
                  <c:v>44854</c:v>
                </c:pt>
                <c:pt idx="1754">
                  <c:v>44855</c:v>
                </c:pt>
                <c:pt idx="1755">
                  <c:v>44856</c:v>
                </c:pt>
                <c:pt idx="1756">
                  <c:v>44857</c:v>
                </c:pt>
                <c:pt idx="1757">
                  <c:v>44858</c:v>
                </c:pt>
                <c:pt idx="1758">
                  <c:v>44859</c:v>
                </c:pt>
                <c:pt idx="1759">
                  <c:v>44860</c:v>
                </c:pt>
                <c:pt idx="1760">
                  <c:v>44861</c:v>
                </c:pt>
                <c:pt idx="1761">
                  <c:v>44862</c:v>
                </c:pt>
                <c:pt idx="1762">
                  <c:v>44863</c:v>
                </c:pt>
                <c:pt idx="1763">
                  <c:v>44864</c:v>
                </c:pt>
                <c:pt idx="1764">
                  <c:v>44865</c:v>
                </c:pt>
                <c:pt idx="1765">
                  <c:v>44866</c:v>
                </c:pt>
                <c:pt idx="1766">
                  <c:v>44867</c:v>
                </c:pt>
                <c:pt idx="1767">
                  <c:v>44868</c:v>
                </c:pt>
                <c:pt idx="1768">
                  <c:v>44869</c:v>
                </c:pt>
                <c:pt idx="1769">
                  <c:v>44870</c:v>
                </c:pt>
                <c:pt idx="1770">
                  <c:v>44871</c:v>
                </c:pt>
                <c:pt idx="1771">
                  <c:v>44872</c:v>
                </c:pt>
                <c:pt idx="1772">
                  <c:v>44873</c:v>
                </c:pt>
                <c:pt idx="1773">
                  <c:v>44874</c:v>
                </c:pt>
                <c:pt idx="1774">
                  <c:v>44875</c:v>
                </c:pt>
                <c:pt idx="1775">
                  <c:v>44876</c:v>
                </c:pt>
                <c:pt idx="1776">
                  <c:v>44877</c:v>
                </c:pt>
                <c:pt idx="1777">
                  <c:v>44878</c:v>
                </c:pt>
                <c:pt idx="1778">
                  <c:v>44879</c:v>
                </c:pt>
                <c:pt idx="1779">
                  <c:v>44880</c:v>
                </c:pt>
                <c:pt idx="1780">
                  <c:v>44881</c:v>
                </c:pt>
                <c:pt idx="1781">
                  <c:v>44882</c:v>
                </c:pt>
                <c:pt idx="1782">
                  <c:v>44883</c:v>
                </c:pt>
                <c:pt idx="1783">
                  <c:v>44884</c:v>
                </c:pt>
                <c:pt idx="1784">
                  <c:v>44885</c:v>
                </c:pt>
                <c:pt idx="1785">
                  <c:v>44886</c:v>
                </c:pt>
                <c:pt idx="1786">
                  <c:v>44887</c:v>
                </c:pt>
                <c:pt idx="1787">
                  <c:v>44888</c:v>
                </c:pt>
                <c:pt idx="1788">
                  <c:v>44889</c:v>
                </c:pt>
                <c:pt idx="1789">
                  <c:v>44890</c:v>
                </c:pt>
                <c:pt idx="1790">
                  <c:v>44891</c:v>
                </c:pt>
                <c:pt idx="1791">
                  <c:v>44892</c:v>
                </c:pt>
                <c:pt idx="1792">
                  <c:v>44893</c:v>
                </c:pt>
                <c:pt idx="1793">
                  <c:v>44894</c:v>
                </c:pt>
                <c:pt idx="1794">
                  <c:v>44895</c:v>
                </c:pt>
                <c:pt idx="1795">
                  <c:v>44896</c:v>
                </c:pt>
                <c:pt idx="1796">
                  <c:v>44897</c:v>
                </c:pt>
                <c:pt idx="1797">
                  <c:v>44898</c:v>
                </c:pt>
                <c:pt idx="1798">
                  <c:v>44899</c:v>
                </c:pt>
                <c:pt idx="1799">
                  <c:v>44900</c:v>
                </c:pt>
                <c:pt idx="1800">
                  <c:v>44901</c:v>
                </c:pt>
                <c:pt idx="1801">
                  <c:v>44902</c:v>
                </c:pt>
                <c:pt idx="1802">
                  <c:v>44903</c:v>
                </c:pt>
                <c:pt idx="1803">
                  <c:v>44904</c:v>
                </c:pt>
                <c:pt idx="1804">
                  <c:v>44905</c:v>
                </c:pt>
                <c:pt idx="1805">
                  <c:v>44906</c:v>
                </c:pt>
                <c:pt idx="1806">
                  <c:v>44907</c:v>
                </c:pt>
                <c:pt idx="1807">
                  <c:v>44908</c:v>
                </c:pt>
                <c:pt idx="1808">
                  <c:v>44909</c:v>
                </c:pt>
                <c:pt idx="1809">
                  <c:v>44910</c:v>
                </c:pt>
                <c:pt idx="1810">
                  <c:v>44911</c:v>
                </c:pt>
                <c:pt idx="1811">
                  <c:v>44912</c:v>
                </c:pt>
                <c:pt idx="1812">
                  <c:v>44913</c:v>
                </c:pt>
                <c:pt idx="1813">
                  <c:v>44914</c:v>
                </c:pt>
                <c:pt idx="1814">
                  <c:v>44915</c:v>
                </c:pt>
                <c:pt idx="1815">
                  <c:v>44916</c:v>
                </c:pt>
                <c:pt idx="1816">
                  <c:v>44917</c:v>
                </c:pt>
                <c:pt idx="1817">
                  <c:v>44918</c:v>
                </c:pt>
                <c:pt idx="1818">
                  <c:v>44919</c:v>
                </c:pt>
                <c:pt idx="1819">
                  <c:v>44920</c:v>
                </c:pt>
                <c:pt idx="1820">
                  <c:v>44921</c:v>
                </c:pt>
                <c:pt idx="1821">
                  <c:v>44922</c:v>
                </c:pt>
                <c:pt idx="1822">
                  <c:v>44923</c:v>
                </c:pt>
                <c:pt idx="1823">
                  <c:v>44924</c:v>
                </c:pt>
                <c:pt idx="1824">
                  <c:v>44925</c:v>
                </c:pt>
                <c:pt idx="1825">
                  <c:v>44926</c:v>
                </c:pt>
                <c:pt idx="1826">
                  <c:v>44927</c:v>
                </c:pt>
                <c:pt idx="1827">
                  <c:v>44928</c:v>
                </c:pt>
                <c:pt idx="1828">
                  <c:v>44929</c:v>
                </c:pt>
                <c:pt idx="1829">
                  <c:v>44930</c:v>
                </c:pt>
                <c:pt idx="1830">
                  <c:v>44931</c:v>
                </c:pt>
                <c:pt idx="1831">
                  <c:v>44932</c:v>
                </c:pt>
                <c:pt idx="1832">
                  <c:v>44933</c:v>
                </c:pt>
                <c:pt idx="1833">
                  <c:v>44934</c:v>
                </c:pt>
                <c:pt idx="1834">
                  <c:v>44935</c:v>
                </c:pt>
                <c:pt idx="1835">
                  <c:v>44936</c:v>
                </c:pt>
                <c:pt idx="1836">
                  <c:v>44937</c:v>
                </c:pt>
                <c:pt idx="1837">
                  <c:v>44938</c:v>
                </c:pt>
                <c:pt idx="1838">
                  <c:v>44939</c:v>
                </c:pt>
                <c:pt idx="1839">
                  <c:v>44940</c:v>
                </c:pt>
                <c:pt idx="1840">
                  <c:v>44941</c:v>
                </c:pt>
                <c:pt idx="1841">
                  <c:v>44942</c:v>
                </c:pt>
                <c:pt idx="1842">
                  <c:v>44943</c:v>
                </c:pt>
                <c:pt idx="1843">
                  <c:v>44944</c:v>
                </c:pt>
                <c:pt idx="1844">
                  <c:v>44945</c:v>
                </c:pt>
                <c:pt idx="1845">
                  <c:v>44946</c:v>
                </c:pt>
                <c:pt idx="1846">
                  <c:v>44947</c:v>
                </c:pt>
                <c:pt idx="1847">
                  <c:v>44948</c:v>
                </c:pt>
                <c:pt idx="1848">
                  <c:v>44949</c:v>
                </c:pt>
                <c:pt idx="1849">
                  <c:v>44950</c:v>
                </c:pt>
                <c:pt idx="1850">
                  <c:v>44951</c:v>
                </c:pt>
                <c:pt idx="1851">
                  <c:v>44952</c:v>
                </c:pt>
                <c:pt idx="1852">
                  <c:v>44953</c:v>
                </c:pt>
                <c:pt idx="1853">
                  <c:v>44954</c:v>
                </c:pt>
                <c:pt idx="1854">
                  <c:v>44955</c:v>
                </c:pt>
                <c:pt idx="1855">
                  <c:v>44956</c:v>
                </c:pt>
                <c:pt idx="1856">
                  <c:v>44957</c:v>
                </c:pt>
                <c:pt idx="1857">
                  <c:v>44958</c:v>
                </c:pt>
                <c:pt idx="1858">
                  <c:v>44959</c:v>
                </c:pt>
                <c:pt idx="1859">
                  <c:v>44960</c:v>
                </c:pt>
                <c:pt idx="1860">
                  <c:v>44961</c:v>
                </c:pt>
                <c:pt idx="1861">
                  <c:v>44962</c:v>
                </c:pt>
                <c:pt idx="1862">
                  <c:v>44963</c:v>
                </c:pt>
                <c:pt idx="1863">
                  <c:v>44964</c:v>
                </c:pt>
                <c:pt idx="1864">
                  <c:v>44965</c:v>
                </c:pt>
                <c:pt idx="1865">
                  <c:v>44966</c:v>
                </c:pt>
                <c:pt idx="1866">
                  <c:v>44967</c:v>
                </c:pt>
                <c:pt idx="1867">
                  <c:v>44968</c:v>
                </c:pt>
                <c:pt idx="1868">
                  <c:v>44969</c:v>
                </c:pt>
                <c:pt idx="1869">
                  <c:v>44970</c:v>
                </c:pt>
                <c:pt idx="1870">
                  <c:v>44971</c:v>
                </c:pt>
                <c:pt idx="1871">
                  <c:v>44972</c:v>
                </c:pt>
                <c:pt idx="1872">
                  <c:v>44973</c:v>
                </c:pt>
                <c:pt idx="1873">
                  <c:v>44974</c:v>
                </c:pt>
                <c:pt idx="1874">
                  <c:v>44975</c:v>
                </c:pt>
                <c:pt idx="1875">
                  <c:v>44976</c:v>
                </c:pt>
                <c:pt idx="1876">
                  <c:v>44977</c:v>
                </c:pt>
                <c:pt idx="1877">
                  <c:v>44978</c:v>
                </c:pt>
                <c:pt idx="1878">
                  <c:v>44979</c:v>
                </c:pt>
                <c:pt idx="1879">
                  <c:v>44980</c:v>
                </c:pt>
                <c:pt idx="1880">
                  <c:v>44981</c:v>
                </c:pt>
                <c:pt idx="1881">
                  <c:v>44982</c:v>
                </c:pt>
                <c:pt idx="1882">
                  <c:v>44983</c:v>
                </c:pt>
                <c:pt idx="1883">
                  <c:v>44984</c:v>
                </c:pt>
                <c:pt idx="1884">
                  <c:v>44985</c:v>
                </c:pt>
                <c:pt idx="1885">
                  <c:v>44986</c:v>
                </c:pt>
                <c:pt idx="1886">
                  <c:v>44987</c:v>
                </c:pt>
                <c:pt idx="1887">
                  <c:v>44988</c:v>
                </c:pt>
                <c:pt idx="1888">
                  <c:v>44989</c:v>
                </c:pt>
                <c:pt idx="1889">
                  <c:v>44990</c:v>
                </c:pt>
                <c:pt idx="1890">
                  <c:v>44991</c:v>
                </c:pt>
                <c:pt idx="1891">
                  <c:v>44992</c:v>
                </c:pt>
                <c:pt idx="1892">
                  <c:v>44993</c:v>
                </c:pt>
                <c:pt idx="1893">
                  <c:v>44994</c:v>
                </c:pt>
                <c:pt idx="1894">
                  <c:v>44995</c:v>
                </c:pt>
                <c:pt idx="1895">
                  <c:v>44996</c:v>
                </c:pt>
                <c:pt idx="1896">
                  <c:v>44997</c:v>
                </c:pt>
                <c:pt idx="1897">
                  <c:v>44998</c:v>
                </c:pt>
                <c:pt idx="1898">
                  <c:v>44999</c:v>
                </c:pt>
                <c:pt idx="1899">
                  <c:v>45000</c:v>
                </c:pt>
                <c:pt idx="1900">
                  <c:v>45001</c:v>
                </c:pt>
                <c:pt idx="1901">
                  <c:v>45002</c:v>
                </c:pt>
                <c:pt idx="1902">
                  <c:v>45003</c:v>
                </c:pt>
                <c:pt idx="1903">
                  <c:v>45004</c:v>
                </c:pt>
                <c:pt idx="1904">
                  <c:v>45005</c:v>
                </c:pt>
                <c:pt idx="1905">
                  <c:v>45006</c:v>
                </c:pt>
                <c:pt idx="1906">
                  <c:v>45007</c:v>
                </c:pt>
                <c:pt idx="1907">
                  <c:v>45008</c:v>
                </c:pt>
                <c:pt idx="1908">
                  <c:v>45009</c:v>
                </c:pt>
                <c:pt idx="1909">
                  <c:v>45010</c:v>
                </c:pt>
                <c:pt idx="1910">
                  <c:v>45011</c:v>
                </c:pt>
                <c:pt idx="1911">
                  <c:v>45012</c:v>
                </c:pt>
                <c:pt idx="1912">
                  <c:v>45013</c:v>
                </c:pt>
                <c:pt idx="1913">
                  <c:v>45014</c:v>
                </c:pt>
                <c:pt idx="1914">
                  <c:v>45015</c:v>
                </c:pt>
                <c:pt idx="1915">
                  <c:v>45016</c:v>
                </c:pt>
                <c:pt idx="1916">
                  <c:v>45017</c:v>
                </c:pt>
                <c:pt idx="1917">
                  <c:v>45018</c:v>
                </c:pt>
                <c:pt idx="1918">
                  <c:v>45019</c:v>
                </c:pt>
                <c:pt idx="1919">
                  <c:v>45020</c:v>
                </c:pt>
                <c:pt idx="1920">
                  <c:v>45021</c:v>
                </c:pt>
                <c:pt idx="1921">
                  <c:v>45022</c:v>
                </c:pt>
                <c:pt idx="1922">
                  <c:v>45023</c:v>
                </c:pt>
                <c:pt idx="1923">
                  <c:v>45024</c:v>
                </c:pt>
                <c:pt idx="1924">
                  <c:v>45025</c:v>
                </c:pt>
                <c:pt idx="1925">
                  <c:v>45026</c:v>
                </c:pt>
                <c:pt idx="1926">
                  <c:v>45027</c:v>
                </c:pt>
                <c:pt idx="1927">
                  <c:v>45028</c:v>
                </c:pt>
                <c:pt idx="1928">
                  <c:v>45029</c:v>
                </c:pt>
                <c:pt idx="1929">
                  <c:v>45030</c:v>
                </c:pt>
                <c:pt idx="1930">
                  <c:v>45031</c:v>
                </c:pt>
                <c:pt idx="1931">
                  <c:v>45032</c:v>
                </c:pt>
                <c:pt idx="1932">
                  <c:v>45033</c:v>
                </c:pt>
                <c:pt idx="1933">
                  <c:v>45034</c:v>
                </c:pt>
                <c:pt idx="1934">
                  <c:v>45035</c:v>
                </c:pt>
                <c:pt idx="1935">
                  <c:v>45036</c:v>
                </c:pt>
                <c:pt idx="1936">
                  <c:v>45037</c:v>
                </c:pt>
                <c:pt idx="1937">
                  <c:v>45038</c:v>
                </c:pt>
                <c:pt idx="1938">
                  <c:v>45039</c:v>
                </c:pt>
                <c:pt idx="1939">
                  <c:v>45040</c:v>
                </c:pt>
                <c:pt idx="1940">
                  <c:v>45041</c:v>
                </c:pt>
                <c:pt idx="1941">
                  <c:v>45042</c:v>
                </c:pt>
                <c:pt idx="1942">
                  <c:v>45043</c:v>
                </c:pt>
                <c:pt idx="1943">
                  <c:v>45044</c:v>
                </c:pt>
                <c:pt idx="1944">
                  <c:v>45045</c:v>
                </c:pt>
                <c:pt idx="1945">
                  <c:v>45046</c:v>
                </c:pt>
                <c:pt idx="1946">
                  <c:v>45047</c:v>
                </c:pt>
                <c:pt idx="1947">
                  <c:v>45048</c:v>
                </c:pt>
                <c:pt idx="1948">
                  <c:v>45049</c:v>
                </c:pt>
                <c:pt idx="1949">
                  <c:v>45050</c:v>
                </c:pt>
                <c:pt idx="1950">
                  <c:v>45051</c:v>
                </c:pt>
                <c:pt idx="1951">
                  <c:v>45052</c:v>
                </c:pt>
                <c:pt idx="1952">
                  <c:v>45053</c:v>
                </c:pt>
                <c:pt idx="1953">
                  <c:v>45054</c:v>
                </c:pt>
                <c:pt idx="1954">
                  <c:v>45055</c:v>
                </c:pt>
                <c:pt idx="1955">
                  <c:v>45056</c:v>
                </c:pt>
                <c:pt idx="1956">
                  <c:v>45057</c:v>
                </c:pt>
                <c:pt idx="1957">
                  <c:v>45058</c:v>
                </c:pt>
                <c:pt idx="1958">
                  <c:v>45059</c:v>
                </c:pt>
                <c:pt idx="1959">
                  <c:v>45060</c:v>
                </c:pt>
                <c:pt idx="1960">
                  <c:v>45061</c:v>
                </c:pt>
                <c:pt idx="1961">
                  <c:v>45062</c:v>
                </c:pt>
                <c:pt idx="1962">
                  <c:v>45063</c:v>
                </c:pt>
                <c:pt idx="1963">
                  <c:v>45064</c:v>
                </c:pt>
                <c:pt idx="1964">
                  <c:v>45065</c:v>
                </c:pt>
                <c:pt idx="1965">
                  <c:v>45066</c:v>
                </c:pt>
                <c:pt idx="1966">
                  <c:v>45067</c:v>
                </c:pt>
                <c:pt idx="1967">
                  <c:v>45068</c:v>
                </c:pt>
                <c:pt idx="1968">
                  <c:v>45069</c:v>
                </c:pt>
                <c:pt idx="1969">
                  <c:v>45070</c:v>
                </c:pt>
                <c:pt idx="1970">
                  <c:v>45071</c:v>
                </c:pt>
                <c:pt idx="1971">
                  <c:v>45072</c:v>
                </c:pt>
                <c:pt idx="1972">
                  <c:v>45073</c:v>
                </c:pt>
                <c:pt idx="1973">
                  <c:v>45074</c:v>
                </c:pt>
                <c:pt idx="1974">
                  <c:v>45075</c:v>
                </c:pt>
                <c:pt idx="1975">
                  <c:v>45076</c:v>
                </c:pt>
                <c:pt idx="1976">
                  <c:v>45077</c:v>
                </c:pt>
                <c:pt idx="1977">
                  <c:v>45078</c:v>
                </c:pt>
                <c:pt idx="1978">
                  <c:v>45079</c:v>
                </c:pt>
                <c:pt idx="1979">
                  <c:v>45080</c:v>
                </c:pt>
                <c:pt idx="1980">
                  <c:v>45081</c:v>
                </c:pt>
                <c:pt idx="1981">
                  <c:v>45082</c:v>
                </c:pt>
                <c:pt idx="1982">
                  <c:v>45083</c:v>
                </c:pt>
                <c:pt idx="1983">
                  <c:v>45084</c:v>
                </c:pt>
                <c:pt idx="1984">
                  <c:v>45085</c:v>
                </c:pt>
                <c:pt idx="1985">
                  <c:v>45086</c:v>
                </c:pt>
                <c:pt idx="1986">
                  <c:v>45087</c:v>
                </c:pt>
                <c:pt idx="1987">
                  <c:v>45088</c:v>
                </c:pt>
                <c:pt idx="1988">
                  <c:v>45089</c:v>
                </c:pt>
                <c:pt idx="1989">
                  <c:v>45090</c:v>
                </c:pt>
                <c:pt idx="1990">
                  <c:v>45091</c:v>
                </c:pt>
                <c:pt idx="1991">
                  <c:v>45092</c:v>
                </c:pt>
                <c:pt idx="1992">
                  <c:v>45093</c:v>
                </c:pt>
                <c:pt idx="1993">
                  <c:v>45094</c:v>
                </c:pt>
                <c:pt idx="1994">
                  <c:v>45095</c:v>
                </c:pt>
                <c:pt idx="1995">
                  <c:v>45096</c:v>
                </c:pt>
                <c:pt idx="1996">
                  <c:v>45097</c:v>
                </c:pt>
                <c:pt idx="1997">
                  <c:v>45098</c:v>
                </c:pt>
                <c:pt idx="1998">
                  <c:v>45099</c:v>
                </c:pt>
                <c:pt idx="1999">
                  <c:v>45100</c:v>
                </c:pt>
                <c:pt idx="2000">
                  <c:v>45101</c:v>
                </c:pt>
                <c:pt idx="2001">
                  <c:v>45102</c:v>
                </c:pt>
                <c:pt idx="2002">
                  <c:v>45103</c:v>
                </c:pt>
                <c:pt idx="2003">
                  <c:v>45104</c:v>
                </c:pt>
                <c:pt idx="2004">
                  <c:v>45105</c:v>
                </c:pt>
                <c:pt idx="2005">
                  <c:v>45106</c:v>
                </c:pt>
                <c:pt idx="2006">
                  <c:v>45107</c:v>
                </c:pt>
                <c:pt idx="2007">
                  <c:v>45108</c:v>
                </c:pt>
                <c:pt idx="2008">
                  <c:v>45109</c:v>
                </c:pt>
                <c:pt idx="2009">
                  <c:v>45110</c:v>
                </c:pt>
                <c:pt idx="2010">
                  <c:v>45111</c:v>
                </c:pt>
                <c:pt idx="2011">
                  <c:v>45112</c:v>
                </c:pt>
                <c:pt idx="2012">
                  <c:v>45113</c:v>
                </c:pt>
                <c:pt idx="2013">
                  <c:v>45114</c:v>
                </c:pt>
                <c:pt idx="2014">
                  <c:v>45115</c:v>
                </c:pt>
                <c:pt idx="2015">
                  <c:v>45116</c:v>
                </c:pt>
                <c:pt idx="2016">
                  <c:v>45117</c:v>
                </c:pt>
                <c:pt idx="2017">
                  <c:v>45118</c:v>
                </c:pt>
                <c:pt idx="2018">
                  <c:v>45119</c:v>
                </c:pt>
                <c:pt idx="2019">
                  <c:v>45120</c:v>
                </c:pt>
                <c:pt idx="2020">
                  <c:v>45121</c:v>
                </c:pt>
                <c:pt idx="2021">
                  <c:v>45122</c:v>
                </c:pt>
                <c:pt idx="2022">
                  <c:v>45123</c:v>
                </c:pt>
                <c:pt idx="2023">
                  <c:v>45124</c:v>
                </c:pt>
                <c:pt idx="2024">
                  <c:v>45125</c:v>
                </c:pt>
                <c:pt idx="2025">
                  <c:v>45126</c:v>
                </c:pt>
                <c:pt idx="2026">
                  <c:v>45127</c:v>
                </c:pt>
                <c:pt idx="2027">
                  <c:v>45128</c:v>
                </c:pt>
                <c:pt idx="2028">
                  <c:v>45129</c:v>
                </c:pt>
                <c:pt idx="2029">
                  <c:v>45130</c:v>
                </c:pt>
                <c:pt idx="2030">
                  <c:v>45131</c:v>
                </c:pt>
                <c:pt idx="2031">
                  <c:v>45132</c:v>
                </c:pt>
                <c:pt idx="2032">
                  <c:v>45133</c:v>
                </c:pt>
                <c:pt idx="2033">
                  <c:v>45134</c:v>
                </c:pt>
                <c:pt idx="2034">
                  <c:v>45135</c:v>
                </c:pt>
                <c:pt idx="2035">
                  <c:v>45136</c:v>
                </c:pt>
                <c:pt idx="2036">
                  <c:v>45137</c:v>
                </c:pt>
                <c:pt idx="2037">
                  <c:v>45138</c:v>
                </c:pt>
                <c:pt idx="2038">
                  <c:v>45139</c:v>
                </c:pt>
                <c:pt idx="2039">
                  <c:v>45140</c:v>
                </c:pt>
                <c:pt idx="2040">
                  <c:v>45141</c:v>
                </c:pt>
                <c:pt idx="2041">
                  <c:v>45142</c:v>
                </c:pt>
                <c:pt idx="2042">
                  <c:v>45143</c:v>
                </c:pt>
                <c:pt idx="2043">
                  <c:v>45144</c:v>
                </c:pt>
                <c:pt idx="2044">
                  <c:v>45145</c:v>
                </c:pt>
                <c:pt idx="2045">
                  <c:v>45146</c:v>
                </c:pt>
                <c:pt idx="2046">
                  <c:v>45147</c:v>
                </c:pt>
                <c:pt idx="2047">
                  <c:v>45148</c:v>
                </c:pt>
                <c:pt idx="2048">
                  <c:v>45149</c:v>
                </c:pt>
                <c:pt idx="2049">
                  <c:v>45150</c:v>
                </c:pt>
                <c:pt idx="2050">
                  <c:v>45151</c:v>
                </c:pt>
                <c:pt idx="2051">
                  <c:v>45152</c:v>
                </c:pt>
                <c:pt idx="2052">
                  <c:v>45153</c:v>
                </c:pt>
                <c:pt idx="2053">
                  <c:v>45154</c:v>
                </c:pt>
                <c:pt idx="2054">
                  <c:v>45155</c:v>
                </c:pt>
                <c:pt idx="2055">
                  <c:v>45156</c:v>
                </c:pt>
                <c:pt idx="2056">
                  <c:v>45157</c:v>
                </c:pt>
                <c:pt idx="2057">
                  <c:v>45158</c:v>
                </c:pt>
                <c:pt idx="2058">
                  <c:v>45159</c:v>
                </c:pt>
                <c:pt idx="2059">
                  <c:v>45160</c:v>
                </c:pt>
                <c:pt idx="2060">
                  <c:v>45161</c:v>
                </c:pt>
                <c:pt idx="2061">
                  <c:v>45162</c:v>
                </c:pt>
                <c:pt idx="2062">
                  <c:v>45163</c:v>
                </c:pt>
                <c:pt idx="2063">
                  <c:v>45164</c:v>
                </c:pt>
                <c:pt idx="2064">
                  <c:v>45165</c:v>
                </c:pt>
                <c:pt idx="2065">
                  <c:v>45166</c:v>
                </c:pt>
                <c:pt idx="2066">
                  <c:v>45167</c:v>
                </c:pt>
                <c:pt idx="2067">
                  <c:v>45168</c:v>
                </c:pt>
                <c:pt idx="2068">
                  <c:v>45169</c:v>
                </c:pt>
                <c:pt idx="2069">
                  <c:v>45170</c:v>
                </c:pt>
                <c:pt idx="2070">
                  <c:v>45171</c:v>
                </c:pt>
                <c:pt idx="2071">
                  <c:v>45172</c:v>
                </c:pt>
                <c:pt idx="2072">
                  <c:v>45173</c:v>
                </c:pt>
                <c:pt idx="2073">
                  <c:v>45174</c:v>
                </c:pt>
                <c:pt idx="2074">
                  <c:v>45175</c:v>
                </c:pt>
                <c:pt idx="2075">
                  <c:v>45176</c:v>
                </c:pt>
                <c:pt idx="2076">
                  <c:v>45177</c:v>
                </c:pt>
                <c:pt idx="2077">
                  <c:v>45178</c:v>
                </c:pt>
                <c:pt idx="2078">
                  <c:v>45179</c:v>
                </c:pt>
                <c:pt idx="2079">
                  <c:v>45180</c:v>
                </c:pt>
                <c:pt idx="2080">
                  <c:v>45181</c:v>
                </c:pt>
                <c:pt idx="2081">
                  <c:v>45182</c:v>
                </c:pt>
                <c:pt idx="2082">
                  <c:v>45183</c:v>
                </c:pt>
                <c:pt idx="2083">
                  <c:v>45184</c:v>
                </c:pt>
                <c:pt idx="2084">
                  <c:v>45185</c:v>
                </c:pt>
                <c:pt idx="2085">
                  <c:v>45186</c:v>
                </c:pt>
                <c:pt idx="2086">
                  <c:v>45187</c:v>
                </c:pt>
                <c:pt idx="2087">
                  <c:v>45188</c:v>
                </c:pt>
                <c:pt idx="2088">
                  <c:v>45189</c:v>
                </c:pt>
                <c:pt idx="2089">
                  <c:v>45190</c:v>
                </c:pt>
                <c:pt idx="2090">
                  <c:v>45191</c:v>
                </c:pt>
                <c:pt idx="2091">
                  <c:v>45192</c:v>
                </c:pt>
                <c:pt idx="2092">
                  <c:v>45193</c:v>
                </c:pt>
                <c:pt idx="2093">
                  <c:v>45194</c:v>
                </c:pt>
                <c:pt idx="2094">
                  <c:v>45195</c:v>
                </c:pt>
                <c:pt idx="2095">
                  <c:v>45196</c:v>
                </c:pt>
                <c:pt idx="2096">
                  <c:v>45197</c:v>
                </c:pt>
                <c:pt idx="2097">
                  <c:v>45198</c:v>
                </c:pt>
                <c:pt idx="2098">
                  <c:v>45199</c:v>
                </c:pt>
                <c:pt idx="2099">
                  <c:v>45200</c:v>
                </c:pt>
                <c:pt idx="2100">
                  <c:v>45201</c:v>
                </c:pt>
                <c:pt idx="2101">
                  <c:v>45202</c:v>
                </c:pt>
                <c:pt idx="2102">
                  <c:v>45203</c:v>
                </c:pt>
                <c:pt idx="2103">
                  <c:v>45204</c:v>
                </c:pt>
                <c:pt idx="2104">
                  <c:v>45205</c:v>
                </c:pt>
                <c:pt idx="2105">
                  <c:v>45206</c:v>
                </c:pt>
                <c:pt idx="2106">
                  <c:v>45207</c:v>
                </c:pt>
                <c:pt idx="2107">
                  <c:v>45208</c:v>
                </c:pt>
                <c:pt idx="2108">
                  <c:v>45209</c:v>
                </c:pt>
                <c:pt idx="2109">
                  <c:v>45210</c:v>
                </c:pt>
                <c:pt idx="2110">
                  <c:v>45211</c:v>
                </c:pt>
                <c:pt idx="2111">
                  <c:v>45212</c:v>
                </c:pt>
                <c:pt idx="2112">
                  <c:v>45213</c:v>
                </c:pt>
                <c:pt idx="2113">
                  <c:v>45214</c:v>
                </c:pt>
                <c:pt idx="2114">
                  <c:v>45215</c:v>
                </c:pt>
                <c:pt idx="2115">
                  <c:v>45216</c:v>
                </c:pt>
                <c:pt idx="2116">
                  <c:v>45217</c:v>
                </c:pt>
                <c:pt idx="2117">
                  <c:v>45218</c:v>
                </c:pt>
                <c:pt idx="2118">
                  <c:v>45219</c:v>
                </c:pt>
                <c:pt idx="2119">
                  <c:v>45220</c:v>
                </c:pt>
                <c:pt idx="2120">
                  <c:v>45221</c:v>
                </c:pt>
                <c:pt idx="2121">
                  <c:v>45222</c:v>
                </c:pt>
                <c:pt idx="2122">
                  <c:v>45223</c:v>
                </c:pt>
                <c:pt idx="2123">
                  <c:v>45224</c:v>
                </c:pt>
                <c:pt idx="2124">
                  <c:v>45225</c:v>
                </c:pt>
                <c:pt idx="2125">
                  <c:v>45226</c:v>
                </c:pt>
                <c:pt idx="2126">
                  <c:v>45227</c:v>
                </c:pt>
                <c:pt idx="2127">
                  <c:v>45228</c:v>
                </c:pt>
                <c:pt idx="2128">
                  <c:v>45229</c:v>
                </c:pt>
                <c:pt idx="2129">
                  <c:v>45230</c:v>
                </c:pt>
                <c:pt idx="2130">
                  <c:v>45231</c:v>
                </c:pt>
                <c:pt idx="2131">
                  <c:v>45232</c:v>
                </c:pt>
                <c:pt idx="2132">
                  <c:v>45233</c:v>
                </c:pt>
                <c:pt idx="2133">
                  <c:v>45234</c:v>
                </c:pt>
                <c:pt idx="2134">
                  <c:v>45235</c:v>
                </c:pt>
                <c:pt idx="2135">
                  <c:v>45236</c:v>
                </c:pt>
                <c:pt idx="2136">
                  <c:v>45237</c:v>
                </c:pt>
                <c:pt idx="2137">
                  <c:v>45238</c:v>
                </c:pt>
                <c:pt idx="2138">
                  <c:v>45239</c:v>
                </c:pt>
                <c:pt idx="2139">
                  <c:v>45240</c:v>
                </c:pt>
                <c:pt idx="2140">
                  <c:v>45241</c:v>
                </c:pt>
                <c:pt idx="2141">
                  <c:v>45242</c:v>
                </c:pt>
                <c:pt idx="2142">
                  <c:v>45243</c:v>
                </c:pt>
                <c:pt idx="2143">
                  <c:v>45244</c:v>
                </c:pt>
                <c:pt idx="2144">
                  <c:v>45245</c:v>
                </c:pt>
                <c:pt idx="2145">
                  <c:v>45246</c:v>
                </c:pt>
                <c:pt idx="2146">
                  <c:v>45247</c:v>
                </c:pt>
                <c:pt idx="2147">
                  <c:v>45248</c:v>
                </c:pt>
                <c:pt idx="2148">
                  <c:v>45249</c:v>
                </c:pt>
                <c:pt idx="2149">
                  <c:v>45250</c:v>
                </c:pt>
                <c:pt idx="2150">
                  <c:v>45251</c:v>
                </c:pt>
                <c:pt idx="2151">
                  <c:v>45252</c:v>
                </c:pt>
                <c:pt idx="2152">
                  <c:v>45253</c:v>
                </c:pt>
                <c:pt idx="2153">
                  <c:v>45254</c:v>
                </c:pt>
                <c:pt idx="2154">
                  <c:v>45255</c:v>
                </c:pt>
                <c:pt idx="2155">
                  <c:v>45256</c:v>
                </c:pt>
                <c:pt idx="2156">
                  <c:v>45257</c:v>
                </c:pt>
                <c:pt idx="2157">
                  <c:v>45258</c:v>
                </c:pt>
                <c:pt idx="2158">
                  <c:v>45259</c:v>
                </c:pt>
                <c:pt idx="2159">
                  <c:v>45260</c:v>
                </c:pt>
                <c:pt idx="2160">
                  <c:v>45261</c:v>
                </c:pt>
                <c:pt idx="2161">
                  <c:v>45262</c:v>
                </c:pt>
                <c:pt idx="2162">
                  <c:v>45263</c:v>
                </c:pt>
                <c:pt idx="2163">
                  <c:v>45264</c:v>
                </c:pt>
                <c:pt idx="2164">
                  <c:v>45265</c:v>
                </c:pt>
                <c:pt idx="2165">
                  <c:v>45266</c:v>
                </c:pt>
                <c:pt idx="2166">
                  <c:v>45267</c:v>
                </c:pt>
                <c:pt idx="2167">
                  <c:v>45268</c:v>
                </c:pt>
                <c:pt idx="2168">
                  <c:v>45269</c:v>
                </c:pt>
                <c:pt idx="2169">
                  <c:v>45270</c:v>
                </c:pt>
                <c:pt idx="2170">
                  <c:v>45271</c:v>
                </c:pt>
                <c:pt idx="2171">
                  <c:v>45272</c:v>
                </c:pt>
                <c:pt idx="2172">
                  <c:v>45273</c:v>
                </c:pt>
                <c:pt idx="2173">
                  <c:v>45274</c:v>
                </c:pt>
                <c:pt idx="2174">
                  <c:v>45275</c:v>
                </c:pt>
                <c:pt idx="2175">
                  <c:v>45276</c:v>
                </c:pt>
                <c:pt idx="2176">
                  <c:v>45277</c:v>
                </c:pt>
                <c:pt idx="2177">
                  <c:v>45278</c:v>
                </c:pt>
                <c:pt idx="2178">
                  <c:v>45279</c:v>
                </c:pt>
                <c:pt idx="2179">
                  <c:v>45280</c:v>
                </c:pt>
                <c:pt idx="2180">
                  <c:v>45281</c:v>
                </c:pt>
                <c:pt idx="2181">
                  <c:v>45282</c:v>
                </c:pt>
                <c:pt idx="2182">
                  <c:v>45283</c:v>
                </c:pt>
                <c:pt idx="2183">
                  <c:v>45284</c:v>
                </c:pt>
                <c:pt idx="2184">
                  <c:v>45285</c:v>
                </c:pt>
                <c:pt idx="2185">
                  <c:v>45286</c:v>
                </c:pt>
                <c:pt idx="2186">
                  <c:v>45287</c:v>
                </c:pt>
                <c:pt idx="2187">
                  <c:v>45288</c:v>
                </c:pt>
                <c:pt idx="2188">
                  <c:v>45289</c:v>
                </c:pt>
                <c:pt idx="2189">
                  <c:v>45290</c:v>
                </c:pt>
                <c:pt idx="2190">
                  <c:v>45291</c:v>
                </c:pt>
                <c:pt idx="2191">
                  <c:v>45292</c:v>
                </c:pt>
                <c:pt idx="2192">
                  <c:v>45293</c:v>
                </c:pt>
                <c:pt idx="2193">
                  <c:v>45294</c:v>
                </c:pt>
                <c:pt idx="2194">
                  <c:v>45295</c:v>
                </c:pt>
                <c:pt idx="2195">
                  <c:v>45296</c:v>
                </c:pt>
                <c:pt idx="2196">
                  <c:v>45297</c:v>
                </c:pt>
                <c:pt idx="2197">
                  <c:v>45298</c:v>
                </c:pt>
                <c:pt idx="2198">
                  <c:v>45299</c:v>
                </c:pt>
                <c:pt idx="2199">
                  <c:v>45300</c:v>
                </c:pt>
                <c:pt idx="2200">
                  <c:v>45301</c:v>
                </c:pt>
                <c:pt idx="2201">
                  <c:v>45302</c:v>
                </c:pt>
                <c:pt idx="2202">
                  <c:v>45303</c:v>
                </c:pt>
                <c:pt idx="2203">
                  <c:v>45304</c:v>
                </c:pt>
                <c:pt idx="2204">
                  <c:v>45305</c:v>
                </c:pt>
                <c:pt idx="2205">
                  <c:v>45306</c:v>
                </c:pt>
                <c:pt idx="2206">
                  <c:v>45307</c:v>
                </c:pt>
                <c:pt idx="2207">
                  <c:v>45308</c:v>
                </c:pt>
                <c:pt idx="2208">
                  <c:v>45309</c:v>
                </c:pt>
                <c:pt idx="2209">
                  <c:v>45310</c:v>
                </c:pt>
                <c:pt idx="2210">
                  <c:v>45311</c:v>
                </c:pt>
                <c:pt idx="2211">
                  <c:v>45312</c:v>
                </c:pt>
                <c:pt idx="2212">
                  <c:v>45313</c:v>
                </c:pt>
                <c:pt idx="2213">
                  <c:v>45314</c:v>
                </c:pt>
                <c:pt idx="2214">
                  <c:v>45315</c:v>
                </c:pt>
                <c:pt idx="2215">
                  <c:v>45316</c:v>
                </c:pt>
                <c:pt idx="2216">
                  <c:v>45317</c:v>
                </c:pt>
                <c:pt idx="2217">
                  <c:v>45318</c:v>
                </c:pt>
                <c:pt idx="2218">
                  <c:v>45319</c:v>
                </c:pt>
                <c:pt idx="2219">
                  <c:v>45320</c:v>
                </c:pt>
                <c:pt idx="2220">
                  <c:v>45321</c:v>
                </c:pt>
                <c:pt idx="2221">
                  <c:v>45322</c:v>
                </c:pt>
                <c:pt idx="2222">
                  <c:v>45323</c:v>
                </c:pt>
                <c:pt idx="2223">
                  <c:v>45324</c:v>
                </c:pt>
                <c:pt idx="2224">
                  <c:v>45325</c:v>
                </c:pt>
                <c:pt idx="2225">
                  <c:v>45326</c:v>
                </c:pt>
                <c:pt idx="2226">
                  <c:v>45327</c:v>
                </c:pt>
                <c:pt idx="2227">
                  <c:v>45328</c:v>
                </c:pt>
                <c:pt idx="2228">
                  <c:v>45329</c:v>
                </c:pt>
                <c:pt idx="2229">
                  <c:v>45330</c:v>
                </c:pt>
                <c:pt idx="2230">
                  <c:v>45331</c:v>
                </c:pt>
                <c:pt idx="2231">
                  <c:v>45332</c:v>
                </c:pt>
                <c:pt idx="2232">
                  <c:v>45333</c:v>
                </c:pt>
                <c:pt idx="2233">
                  <c:v>45334</c:v>
                </c:pt>
                <c:pt idx="2234">
                  <c:v>45335</c:v>
                </c:pt>
                <c:pt idx="2235">
                  <c:v>45336</c:v>
                </c:pt>
                <c:pt idx="2236">
                  <c:v>45337</c:v>
                </c:pt>
                <c:pt idx="2237">
                  <c:v>45338</c:v>
                </c:pt>
                <c:pt idx="2238">
                  <c:v>45339</c:v>
                </c:pt>
                <c:pt idx="2239">
                  <c:v>45340</c:v>
                </c:pt>
                <c:pt idx="2240">
                  <c:v>45341</c:v>
                </c:pt>
                <c:pt idx="2241">
                  <c:v>45342</c:v>
                </c:pt>
                <c:pt idx="2242">
                  <c:v>45343</c:v>
                </c:pt>
                <c:pt idx="2243">
                  <c:v>45344</c:v>
                </c:pt>
                <c:pt idx="2244">
                  <c:v>45345</c:v>
                </c:pt>
                <c:pt idx="2245">
                  <c:v>45346</c:v>
                </c:pt>
                <c:pt idx="2246">
                  <c:v>45347</c:v>
                </c:pt>
                <c:pt idx="2247">
                  <c:v>45348</c:v>
                </c:pt>
                <c:pt idx="2248">
                  <c:v>45349</c:v>
                </c:pt>
                <c:pt idx="2249">
                  <c:v>45350</c:v>
                </c:pt>
                <c:pt idx="2250">
                  <c:v>45351</c:v>
                </c:pt>
                <c:pt idx="2251">
                  <c:v>45352</c:v>
                </c:pt>
                <c:pt idx="2252">
                  <c:v>45353</c:v>
                </c:pt>
                <c:pt idx="2253">
                  <c:v>45354</c:v>
                </c:pt>
                <c:pt idx="2254">
                  <c:v>45355</c:v>
                </c:pt>
                <c:pt idx="2255">
                  <c:v>45356</c:v>
                </c:pt>
                <c:pt idx="2256">
                  <c:v>45357</c:v>
                </c:pt>
                <c:pt idx="2257">
                  <c:v>45358</c:v>
                </c:pt>
                <c:pt idx="2258">
                  <c:v>45359</c:v>
                </c:pt>
                <c:pt idx="2259">
                  <c:v>45360</c:v>
                </c:pt>
                <c:pt idx="2260">
                  <c:v>45361</c:v>
                </c:pt>
                <c:pt idx="2261">
                  <c:v>45362</c:v>
                </c:pt>
                <c:pt idx="2262">
                  <c:v>45363</c:v>
                </c:pt>
                <c:pt idx="2263">
                  <c:v>45364</c:v>
                </c:pt>
                <c:pt idx="2264">
                  <c:v>45365</c:v>
                </c:pt>
                <c:pt idx="2265">
                  <c:v>45366</c:v>
                </c:pt>
                <c:pt idx="2266">
                  <c:v>45367</c:v>
                </c:pt>
                <c:pt idx="2267">
                  <c:v>45368</c:v>
                </c:pt>
                <c:pt idx="2268">
                  <c:v>45369</c:v>
                </c:pt>
                <c:pt idx="2269">
                  <c:v>45370</c:v>
                </c:pt>
                <c:pt idx="2270">
                  <c:v>45371</c:v>
                </c:pt>
                <c:pt idx="2271">
                  <c:v>45372</c:v>
                </c:pt>
                <c:pt idx="2272">
                  <c:v>45373</c:v>
                </c:pt>
                <c:pt idx="2273">
                  <c:v>45374</c:v>
                </c:pt>
                <c:pt idx="2274">
                  <c:v>45375</c:v>
                </c:pt>
                <c:pt idx="2275">
                  <c:v>45376</c:v>
                </c:pt>
                <c:pt idx="2276">
                  <c:v>45377</c:v>
                </c:pt>
                <c:pt idx="2277">
                  <c:v>45378</c:v>
                </c:pt>
                <c:pt idx="2278">
                  <c:v>45379</c:v>
                </c:pt>
                <c:pt idx="2279">
                  <c:v>45380</c:v>
                </c:pt>
                <c:pt idx="2280">
                  <c:v>45381</c:v>
                </c:pt>
                <c:pt idx="2281">
                  <c:v>45382</c:v>
                </c:pt>
                <c:pt idx="2282">
                  <c:v>45383</c:v>
                </c:pt>
                <c:pt idx="2283">
                  <c:v>45384</c:v>
                </c:pt>
                <c:pt idx="2284">
                  <c:v>45385</c:v>
                </c:pt>
                <c:pt idx="2285">
                  <c:v>45386</c:v>
                </c:pt>
                <c:pt idx="2286">
                  <c:v>45387</c:v>
                </c:pt>
                <c:pt idx="2287">
                  <c:v>45388</c:v>
                </c:pt>
                <c:pt idx="2288">
                  <c:v>45389</c:v>
                </c:pt>
                <c:pt idx="2289">
                  <c:v>45390</c:v>
                </c:pt>
                <c:pt idx="2290">
                  <c:v>45391</c:v>
                </c:pt>
                <c:pt idx="2291">
                  <c:v>45392</c:v>
                </c:pt>
                <c:pt idx="2292">
                  <c:v>45393</c:v>
                </c:pt>
                <c:pt idx="2293">
                  <c:v>45394</c:v>
                </c:pt>
                <c:pt idx="2294">
                  <c:v>45395</c:v>
                </c:pt>
                <c:pt idx="2295">
                  <c:v>45396</c:v>
                </c:pt>
                <c:pt idx="2296">
                  <c:v>45397</c:v>
                </c:pt>
                <c:pt idx="2297">
                  <c:v>45398</c:v>
                </c:pt>
                <c:pt idx="2298">
                  <c:v>45399</c:v>
                </c:pt>
                <c:pt idx="2299">
                  <c:v>45400</c:v>
                </c:pt>
                <c:pt idx="2300">
                  <c:v>45401</c:v>
                </c:pt>
                <c:pt idx="2301">
                  <c:v>45402</c:v>
                </c:pt>
                <c:pt idx="2302">
                  <c:v>45403</c:v>
                </c:pt>
                <c:pt idx="2303">
                  <c:v>45404</c:v>
                </c:pt>
                <c:pt idx="2304">
                  <c:v>45405</c:v>
                </c:pt>
                <c:pt idx="2305">
                  <c:v>45406</c:v>
                </c:pt>
                <c:pt idx="2306">
                  <c:v>45407</c:v>
                </c:pt>
                <c:pt idx="2307">
                  <c:v>45408</c:v>
                </c:pt>
                <c:pt idx="2308">
                  <c:v>45409</c:v>
                </c:pt>
                <c:pt idx="2309">
                  <c:v>45410</c:v>
                </c:pt>
                <c:pt idx="2310">
                  <c:v>45411</c:v>
                </c:pt>
                <c:pt idx="2311">
                  <c:v>45412</c:v>
                </c:pt>
                <c:pt idx="2312">
                  <c:v>45413</c:v>
                </c:pt>
                <c:pt idx="2313">
                  <c:v>45414</c:v>
                </c:pt>
                <c:pt idx="2314">
                  <c:v>45415</c:v>
                </c:pt>
                <c:pt idx="2315">
                  <c:v>45416</c:v>
                </c:pt>
                <c:pt idx="2316">
                  <c:v>45417</c:v>
                </c:pt>
                <c:pt idx="2317">
                  <c:v>45418</c:v>
                </c:pt>
                <c:pt idx="2318">
                  <c:v>45419</c:v>
                </c:pt>
                <c:pt idx="2319">
                  <c:v>45420</c:v>
                </c:pt>
                <c:pt idx="2320">
                  <c:v>45421</c:v>
                </c:pt>
                <c:pt idx="2321">
                  <c:v>45422</c:v>
                </c:pt>
                <c:pt idx="2322">
                  <c:v>45423</c:v>
                </c:pt>
                <c:pt idx="2323">
                  <c:v>45424</c:v>
                </c:pt>
                <c:pt idx="2324">
                  <c:v>45425</c:v>
                </c:pt>
                <c:pt idx="2325">
                  <c:v>45426</c:v>
                </c:pt>
                <c:pt idx="2326">
                  <c:v>45427</c:v>
                </c:pt>
                <c:pt idx="2327">
                  <c:v>45428</c:v>
                </c:pt>
                <c:pt idx="2328">
                  <c:v>45429</c:v>
                </c:pt>
                <c:pt idx="2329">
                  <c:v>45430</c:v>
                </c:pt>
                <c:pt idx="2330">
                  <c:v>45431</c:v>
                </c:pt>
                <c:pt idx="2331">
                  <c:v>45432</c:v>
                </c:pt>
                <c:pt idx="2332">
                  <c:v>45433</c:v>
                </c:pt>
                <c:pt idx="2333">
                  <c:v>45434</c:v>
                </c:pt>
                <c:pt idx="2334">
                  <c:v>45435</c:v>
                </c:pt>
                <c:pt idx="2335">
                  <c:v>45436</c:v>
                </c:pt>
                <c:pt idx="2336">
                  <c:v>45437</c:v>
                </c:pt>
                <c:pt idx="2337">
                  <c:v>45438</c:v>
                </c:pt>
                <c:pt idx="2338">
                  <c:v>45439</c:v>
                </c:pt>
                <c:pt idx="2339">
                  <c:v>45440</c:v>
                </c:pt>
                <c:pt idx="2340">
                  <c:v>45441</c:v>
                </c:pt>
                <c:pt idx="2341">
                  <c:v>45442</c:v>
                </c:pt>
                <c:pt idx="2342">
                  <c:v>45443</c:v>
                </c:pt>
                <c:pt idx="2343">
                  <c:v>45444</c:v>
                </c:pt>
                <c:pt idx="2344">
                  <c:v>45445</c:v>
                </c:pt>
                <c:pt idx="2345">
                  <c:v>45446</c:v>
                </c:pt>
                <c:pt idx="2346">
                  <c:v>45447</c:v>
                </c:pt>
                <c:pt idx="2347">
                  <c:v>45448</c:v>
                </c:pt>
                <c:pt idx="2348">
                  <c:v>45449</c:v>
                </c:pt>
                <c:pt idx="2349">
                  <c:v>45450</c:v>
                </c:pt>
                <c:pt idx="2350">
                  <c:v>45451</c:v>
                </c:pt>
                <c:pt idx="2351">
                  <c:v>45452</c:v>
                </c:pt>
                <c:pt idx="2352">
                  <c:v>45453</c:v>
                </c:pt>
                <c:pt idx="2353">
                  <c:v>45454</c:v>
                </c:pt>
                <c:pt idx="2354">
                  <c:v>45455</c:v>
                </c:pt>
                <c:pt idx="2355">
                  <c:v>45456</c:v>
                </c:pt>
                <c:pt idx="2356">
                  <c:v>45457</c:v>
                </c:pt>
                <c:pt idx="2357">
                  <c:v>45458</c:v>
                </c:pt>
                <c:pt idx="2358">
                  <c:v>45459</c:v>
                </c:pt>
                <c:pt idx="2359">
                  <c:v>45460</c:v>
                </c:pt>
                <c:pt idx="2360">
                  <c:v>45461</c:v>
                </c:pt>
                <c:pt idx="2361">
                  <c:v>45462</c:v>
                </c:pt>
                <c:pt idx="2362">
                  <c:v>45463</c:v>
                </c:pt>
                <c:pt idx="2363">
                  <c:v>45464</c:v>
                </c:pt>
                <c:pt idx="2364">
                  <c:v>45465</c:v>
                </c:pt>
                <c:pt idx="2365">
                  <c:v>45466</c:v>
                </c:pt>
                <c:pt idx="2366">
                  <c:v>45467</c:v>
                </c:pt>
                <c:pt idx="2367">
                  <c:v>45468</c:v>
                </c:pt>
                <c:pt idx="2368">
                  <c:v>45469</c:v>
                </c:pt>
                <c:pt idx="2369">
                  <c:v>45470</c:v>
                </c:pt>
                <c:pt idx="2370">
                  <c:v>45471</c:v>
                </c:pt>
                <c:pt idx="2371">
                  <c:v>45472</c:v>
                </c:pt>
                <c:pt idx="2372">
                  <c:v>45473</c:v>
                </c:pt>
                <c:pt idx="2373">
                  <c:v>45474</c:v>
                </c:pt>
                <c:pt idx="2374">
                  <c:v>45475</c:v>
                </c:pt>
                <c:pt idx="2375">
                  <c:v>45476</c:v>
                </c:pt>
                <c:pt idx="2376">
                  <c:v>45477</c:v>
                </c:pt>
                <c:pt idx="2377">
                  <c:v>45478</c:v>
                </c:pt>
                <c:pt idx="2378">
                  <c:v>45479</c:v>
                </c:pt>
                <c:pt idx="2379">
                  <c:v>45480</c:v>
                </c:pt>
                <c:pt idx="2380">
                  <c:v>45481</c:v>
                </c:pt>
                <c:pt idx="2381">
                  <c:v>45482</c:v>
                </c:pt>
                <c:pt idx="2382">
                  <c:v>45483</c:v>
                </c:pt>
                <c:pt idx="2383">
                  <c:v>45484</c:v>
                </c:pt>
                <c:pt idx="2384">
                  <c:v>45485</c:v>
                </c:pt>
                <c:pt idx="2385">
                  <c:v>45486</c:v>
                </c:pt>
                <c:pt idx="2386">
                  <c:v>45487</c:v>
                </c:pt>
                <c:pt idx="2387">
                  <c:v>45488</c:v>
                </c:pt>
                <c:pt idx="2388">
                  <c:v>45489</c:v>
                </c:pt>
                <c:pt idx="2389">
                  <c:v>45490</c:v>
                </c:pt>
                <c:pt idx="2390">
                  <c:v>45491</c:v>
                </c:pt>
                <c:pt idx="2391">
                  <c:v>45492</c:v>
                </c:pt>
                <c:pt idx="2392">
                  <c:v>45493</c:v>
                </c:pt>
                <c:pt idx="2393">
                  <c:v>45494</c:v>
                </c:pt>
                <c:pt idx="2394">
                  <c:v>45495</c:v>
                </c:pt>
                <c:pt idx="2395">
                  <c:v>45496</c:v>
                </c:pt>
                <c:pt idx="2396">
                  <c:v>45497</c:v>
                </c:pt>
                <c:pt idx="2397">
                  <c:v>45498</c:v>
                </c:pt>
                <c:pt idx="2398">
                  <c:v>45499</c:v>
                </c:pt>
                <c:pt idx="2399">
                  <c:v>45500</c:v>
                </c:pt>
                <c:pt idx="2400">
                  <c:v>45501</c:v>
                </c:pt>
                <c:pt idx="2401">
                  <c:v>45502</c:v>
                </c:pt>
                <c:pt idx="2402">
                  <c:v>45503</c:v>
                </c:pt>
                <c:pt idx="2403">
                  <c:v>45504</c:v>
                </c:pt>
                <c:pt idx="2404">
                  <c:v>45505</c:v>
                </c:pt>
                <c:pt idx="2405">
                  <c:v>45506</c:v>
                </c:pt>
                <c:pt idx="2406">
                  <c:v>45507</c:v>
                </c:pt>
                <c:pt idx="2407">
                  <c:v>45508</c:v>
                </c:pt>
                <c:pt idx="2408">
                  <c:v>45509</c:v>
                </c:pt>
                <c:pt idx="2409">
                  <c:v>45510</c:v>
                </c:pt>
                <c:pt idx="2410">
                  <c:v>45511</c:v>
                </c:pt>
                <c:pt idx="2411">
                  <c:v>45512</c:v>
                </c:pt>
                <c:pt idx="2412">
                  <c:v>45513</c:v>
                </c:pt>
                <c:pt idx="2413">
                  <c:v>45514</c:v>
                </c:pt>
                <c:pt idx="2414">
                  <c:v>45515</c:v>
                </c:pt>
                <c:pt idx="2415">
                  <c:v>45516</c:v>
                </c:pt>
                <c:pt idx="2416">
                  <c:v>45517</c:v>
                </c:pt>
                <c:pt idx="2417">
                  <c:v>45518</c:v>
                </c:pt>
                <c:pt idx="2418">
                  <c:v>45519</c:v>
                </c:pt>
                <c:pt idx="2419">
                  <c:v>45520</c:v>
                </c:pt>
                <c:pt idx="2420">
                  <c:v>45521</c:v>
                </c:pt>
                <c:pt idx="2421">
                  <c:v>45522</c:v>
                </c:pt>
                <c:pt idx="2422">
                  <c:v>45523</c:v>
                </c:pt>
                <c:pt idx="2423">
                  <c:v>45524</c:v>
                </c:pt>
                <c:pt idx="2424">
                  <c:v>45525</c:v>
                </c:pt>
                <c:pt idx="2425">
                  <c:v>45526</c:v>
                </c:pt>
                <c:pt idx="2426">
                  <c:v>45527</c:v>
                </c:pt>
                <c:pt idx="2427">
                  <c:v>45528</c:v>
                </c:pt>
                <c:pt idx="2428">
                  <c:v>45529</c:v>
                </c:pt>
                <c:pt idx="2429">
                  <c:v>45530</c:v>
                </c:pt>
                <c:pt idx="2430">
                  <c:v>45531</c:v>
                </c:pt>
                <c:pt idx="2431">
                  <c:v>45532</c:v>
                </c:pt>
                <c:pt idx="2432">
                  <c:v>45533</c:v>
                </c:pt>
                <c:pt idx="2433">
                  <c:v>45534</c:v>
                </c:pt>
                <c:pt idx="2434">
                  <c:v>45535</c:v>
                </c:pt>
                <c:pt idx="2435">
                  <c:v>45536</c:v>
                </c:pt>
                <c:pt idx="2436">
                  <c:v>45537</c:v>
                </c:pt>
                <c:pt idx="2437">
                  <c:v>45538</c:v>
                </c:pt>
                <c:pt idx="2438">
                  <c:v>45539</c:v>
                </c:pt>
                <c:pt idx="2439">
                  <c:v>45540</c:v>
                </c:pt>
                <c:pt idx="2440">
                  <c:v>45541</c:v>
                </c:pt>
                <c:pt idx="2441">
                  <c:v>45542</c:v>
                </c:pt>
                <c:pt idx="2442">
                  <c:v>45543</c:v>
                </c:pt>
                <c:pt idx="2443">
                  <c:v>45544</c:v>
                </c:pt>
                <c:pt idx="2444">
                  <c:v>45545</c:v>
                </c:pt>
                <c:pt idx="2445">
                  <c:v>45546</c:v>
                </c:pt>
                <c:pt idx="2446">
                  <c:v>45547</c:v>
                </c:pt>
                <c:pt idx="2447">
                  <c:v>45548</c:v>
                </c:pt>
                <c:pt idx="2448">
                  <c:v>45549</c:v>
                </c:pt>
                <c:pt idx="2449">
                  <c:v>45550</c:v>
                </c:pt>
                <c:pt idx="2450">
                  <c:v>45551</c:v>
                </c:pt>
                <c:pt idx="2451">
                  <c:v>45552</c:v>
                </c:pt>
                <c:pt idx="2452">
                  <c:v>45553</c:v>
                </c:pt>
                <c:pt idx="2453">
                  <c:v>45554</c:v>
                </c:pt>
                <c:pt idx="2454">
                  <c:v>45555</c:v>
                </c:pt>
                <c:pt idx="2455">
                  <c:v>45556</c:v>
                </c:pt>
                <c:pt idx="2456">
                  <c:v>45557</c:v>
                </c:pt>
                <c:pt idx="2457">
                  <c:v>45558</c:v>
                </c:pt>
                <c:pt idx="2458">
                  <c:v>45559</c:v>
                </c:pt>
                <c:pt idx="2459">
                  <c:v>45560</c:v>
                </c:pt>
                <c:pt idx="2460">
                  <c:v>45561</c:v>
                </c:pt>
                <c:pt idx="2461">
                  <c:v>45562</c:v>
                </c:pt>
                <c:pt idx="2462">
                  <c:v>45563</c:v>
                </c:pt>
                <c:pt idx="2463">
                  <c:v>45564</c:v>
                </c:pt>
                <c:pt idx="2464">
                  <c:v>45565</c:v>
                </c:pt>
                <c:pt idx="2465">
                  <c:v>45566</c:v>
                </c:pt>
                <c:pt idx="2466">
                  <c:v>45567</c:v>
                </c:pt>
                <c:pt idx="2467">
                  <c:v>45568</c:v>
                </c:pt>
                <c:pt idx="2468">
                  <c:v>45569</c:v>
                </c:pt>
                <c:pt idx="2469">
                  <c:v>45570</c:v>
                </c:pt>
                <c:pt idx="2470">
                  <c:v>45571</c:v>
                </c:pt>
                <c:pt idx="2471">
                  <c:v>45572</c:v>
                </c:pt>
                <c:pt idx="2472">
                  <c:v>45573</c:v>
                </c:pt>
                <c:pt idx="2473">
                  <c:v>45574</c:v>
                </c:pt>
                <c:pt idx="2474">
                  <c:v>45575</c:v>
                </c:pt>
                <c:pt idx="2475">
                  <c:v>45576</c:v>
                </c:pt>
                <c:pt idx="2476">
                  <c:v>45577</c:v>
                </c:pt>
                <c:pt idx="2477">
                  <c:v>45578</c:v>
                </c:pt>
                <c:pt idx="2478">
                  <c:v>45579</c:v>
                </c:pt>
                <c:pt idx="2479">
                  <c:v>45580</c:v>
                </c:pt>
                <c:pt idx="2480">
                  <c:v>45581</c:v>
                </c:pt>
                <c:pt idx="2481">
                  <c:v>45582</c:v>
                </c:pt>
                <c:pt idx="2482">
                  <c:v>45583</c:v>
                </c:pt>
                <c:pt idx="2483">
                  <c:v>45584</c:v>
                </c:pt>
                <c:pt idx="2484">
                  <c:v>45585</c:v>
                </c:pt>
                <c:pt idx="2485">
                  <c:v>45586</c:v>
                </c:pt>
                <c:pt idx="2486">
                  <c:v>45587</c:v>
                </c:pt>
                <c:pt idx="2487">
                  <c:v>45588</c:v>
                </c:pt>
                <c:pt idx="2488">
                  <c:v>45589</c:v>
                </c:pt>
                <c:pt idx="2489">
                  <c:v>45590</c:v>
                </c:pt>
                <c:pt idx="2490">
                  <c:v>45591</c:v>
                </c:pt>
                <c:pt idx="2491">
                  <c:v>45592</c:v>
                </c:pt>
                <c:pt idx="2492">
                  <c:v>45593</c:v>
                </c:pt>
                <c:pt idx="2493">
                  <c:v>45594</c:v>
                </c:pt>
                <c:pt idx="2494">
                  <c:v>45595</c:v>
                </c:pt>
                <c:pt idx="2495">
                  <c:v>45596</c:v>
                </c:pt>
                <c:pt idx="2496">
                  <c:v>45597</c:v>
                </c:pt>
                <c:pt idx="2497">
                  <c:v>45598</c:v>
                </c:pt>
                <c:pt idx="2498">
                  <c:v>45599</c:v>
                </c:pt>
                <c:pt idx="2499">
                  <c:v>45600</c:v>
                </c:pt>
                <c:pt idx="2500">
                  <c:v>45601</c:v>
                </c:pt>
                <c:pt idx="2501">
                  <c:v>45602</c:v>
                </c:pt>
                <c:pt idx="2502">
                  <c:v>45603</c:v>
                </c:pt>
                <c:pt idx="2503">
                  <c:v>45604</c:v>
                </c:pt>
                <c:pt idx="2504">
                  <c:v>45605</c:v>
                </c:pt>
                <c:pt idx="2505">
                  <c:v>45606</c:v>
                </c:pt>
                <c:pt idx="2506">
                  <c:v>45607</c:v>
                </c:pt>
                <c:pt idx="2507">
                  <c:v>45608</c:v>
                </c:pt>
                <c:pt idx="2508">
                  <c:v>45609</c:v>
                </c:pt>
                <c:pt idx="2509">
                  <c:v>45610</c:v>
                </c:pt>
                <c:pt idx="2510">
                  <c:v>45611</c:v>
                </c:pt>
                <c:pt idx="2511">
                  <c:v>45612</c:v>
                </c:pt>
                <c:pt idx="2512">
                  <c:v>45613</c:v>
                </c:pt>
                <c:pt idx="2513">
                  <c:v>45614</c:v>
                </c:pt>
                <c:pt idx="2514">
                  <c:v>45615</c:v>
                </c:pt>
                <c:pt idx="2515">
                  <c:v>45616</c:v>
                </c:pt>
                <c:pt idx="2516">
                  <c:v>45617</c:v>
                </c:pt>
                <c:pt idx="2517">
                  <c:v>45618</c:v>
                </c:pt>
                <c:pt idx="2518">
                  <c:v>45619</c:v>
                </c:pt>
                <c:pt idx="2519">
                  <c:v>45620</c:v>
                </c:pt>
                <c:pt idx="2520">
                  <c:v>45621</c:v>
                </c:pt>
                <c:pt idx="2521">
                  <c:v>45622</c:v>
                </c:pt>
                <c:pt idx="2522">
                  <c:v>45623</c:v>
                </c:pt>
                <c:pt idx="2523">
                  <c:v>45624</c:v>
                </c:pt>
                <c:pt idx="2524">
                  <c:v>45625</c:v>
                </c:pt>
                <c:pt idx="2525">
                  <c:v>45626</c:v>
                </c:pt>
                <c:pt idx="2526">
                  <c:v>45627</c:v>
                </c:pt>
                <c:pt idx="2527">
                  <c:v>45628</c:v>
                </c:pt>
                <c:pt idx="2528">
                  <c:v>45629</c:v>
                </c:pt>
                <c:pt idx="2529">
                  <c:v>45630</c:v>
                </c:pt>
                <c:pt idx="2530">
                  <c:v>45631</c:v>
                </c:pt>
                <c:pt idx="2531">
                  <c:v>45632</c:v>
                </c:pt>
                <c:pt idx="2532">
                  <c:v>45633</c:v>
                </c:pt>
                <c:pt idx="2533">
                  <c:v>45634</c:v>
                </c:pt>
                <c:pt idx="2534">
                  <c:v>45635</c:v>
                </c:pt>
                <c:pt idx="2535">
                  <c:v>45636</c:v>
                </c:pt>
                <c:pt idx="2536">
                  <c:v>45637</c:v>
                </c:pt>
                <c:pt idx="2537">
                  <c:v>45638</c:v>
                </c:pt>
                <c:pt idx="2538">
                  <c:v>45639</c:v>
                </c:pt>
                <c:pt idx="2539">
                  <c:v>45640</c:v>
                </c:pt>
                <c:pt idx="2540">
                  <c:v>45641</c:v>
                </c:pt>
                <c:pt idx="2541">
                  <c:v>45642</c:v>
                </c:pt>
                <c:pt idx="2542">
                  <c:v>45643</c:v>
                </c:pt>
                <c:pt idx="2543">
                  <c:v>45644</c:v>
                </c:pt>
                <c:pt idx="2544">
                  <c:v>45645</c:v>
                </c:pt>
                <c:pt idx="2545">
                  <c:v>45646</c:v>
                </c:pt>
                <c:pt idx="2546">
                  <c:v>45647</c:v>
                </c:pt>
                <c:pt idx="2547">
                  <c:v>45648</c:v>
                </c:pt>
                <c:pt idx="2548">
                  <c:v>45649</c:v>
                </c:pt>
                <c:pt idx="2549">
                  <c:v>45650</c:v>
                </c:pt>
                <c:pt idx="2550">
                  <c:v>45651</c:v>
                </c:pt>
                <c:pt idx="2551">
                  <c:v>45652</c:v>
                </c:pt>
                <c:pt idx="2552">
                  <c:v>45653</c:v>
                </c:pt>
                <c:pt idx="2553">
                  <c:v>45654</c:v>
                </c:pt>
                <c:pt idx="2554">
                  <c:v>45655</c:v>
                </c:pt>
                <c:pt idx="2555">
                  <c:v>45656</c:v>
                </c:pt>
                <c:pt idx="2556">
                  <c:v>45657</c:v>
                </c:pt>
                <c:pt idx="2557">
                  <c:v>45658</c:v>
                </c:pt>
              </c:numCache>
            </c:numRef>
          </c:cat>
          <c:val>
            <c:numRef>
              <c:f>Onboarding!$F$7:$F$2564</c:f>
              <c:numCache>
                <c:formatCode>General</c:formatCode>
                <c:ptCount val="2558"/>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2</c:v>
                </c:pt>
                <c:pt idx="1088">
                  <c:v>2</c:v>
                </c:pt>
                <c:pt idx="1089">
                  <c:v>2</c:v>
                </c:pt>
                <c:pt idx="1090">
                  <c:v>2</c:v>
                </c:pt>
                <c:pt idx="1091">
                  <c:v>2</c:v>
                </c:pt>
                <c:pt idx="1092">
                  <c:v>2</c:v>
                </c:pt>
                <c:pt idx="1093">
                  <c:v>2</c:v>
                </c:pt>
                <c:pt idx="1094">
                  <c:v>2</c:v>
                </c:pt>
                <c:pt idx="1095">
                  <c:v>2</c:v>
                </c:pt>
                <c:pt idx="1096">
                  <c:v>2</c:v>
                </c:pt>
                <c:pt idx="1097">
                  <c:v>2</c:v>
                </c:pt>
                <c:pt idx="1098">
                  <c:v>2</c:v>
                </c:pt>
                <c:pt idx="1099">
                  <c:v>2</c:v>
                </c:pt>
                <c:pt idx="1100">
                  <c:v>2</c:v>
                </c:pt>
                <c:pt idx="1101">
                  <c:v>2</c:v>
                </c:pt>
                <c:pt idx="1102">
                  <c:v>2</c:v>
                </c:pt>
                <c:pt idx="1103">
                  <c:v>2</c:v>
                </c:pt>
                <c:pt idx="1104">
                  <c:v>2</c:v>
                </c:pt>
                <c:pt idx="1105">
                  <c:v>2</c:v>
                </c:pt>
                <c:pt idx="1106">
                  <c:v>2</c:v>
                </c:pt>
                <c:pt idx="1107">
                  <c:v>2</c:v>
                </c:pt>
                <c:pt idx="1108">
                  <c:v>2</c:v>
                </c:pt>
                <c:pt idx="1109">
                  <c:v>2</c:v>
                </c:pt>
                <c:pt idx="1110">
                  <c:v>2</c:v>
                </c:pt>
                <c:pt idx="1111">
                  <c:v>2</c:v>
                </c:pt>
                <c:pt idx="1112">
                  <c:v>2</c:v>
                </c:pt>
                <c:pt idx="1113">
                  <c:v>2</c:v>
                </c:pt>
                <c:pt idx="1114">
                  <c:v>2</c:v>
                </c:pt>
                <c:pt idx="1115">
                  <c:v>2</c:v>
                </c:pt>
                <c:pt idx="1116">
                  <c:v>2</c:v>
                </c:pt>
                <c:pt idx="1117">
                  <c:v>2</c:v>
                </c:pt>
                <c:pt idx="1118">
                  <c:v>2</c:v>
                </c:pt>
                <c:pt idx="1119">
                  <c:v>2</c:v>
                </c:pt>
                <c:pt idx="1120">
                  <c:v>2</c:v>
                </c:pt>
                <c:pt idx="1121">
                  <c:v>2</c:v>
                </c:pt>
                <c:pt idx="1122">
                  <c:v>2</c:v>
                </c:pt>
                <c:pt idx="1123">
                  <c:v>2</c:v>
                </c:pt>
                <c:pt idx="1124">
                  <c:v>2</c:v>
                </c:pt>
                <c:pt idx="1125">
                  <c:v>2</c:v>
                </c:pt>
                <c:pt idx="1126">
                  <c:v>2</c:v>
                </c:pt>
                <c:pt idx="1127">
                  <c:v>2</c:v>
                </c:pt>
                <c:pt idx="1128">
                  <c:v>2</c:v>
                </c:pt>
                <c:pt idx="1129">
                  <c:v>2</c:v>
                </c:pt>
                <c:pt idx="1130">
                  <c:v>2</c:v>
                </c:pt>
                <c:pt idx="1131">
                  <c:v>2</c:v>
                </c:pt>
                <c:pt idx="1132">
                  <c:v>2</c:v>
                </c:pt>
                <c:pt idx="1133">
                  <c:v>2</c:v>
                </c:pt>
                <c:pt idx="1134">
                  <c:v>2</c:v>
                </c:pt>
                <c:pt idx="1135">
                  <c:v>2</c:v>
                </c:pt>
                <c:pt idx="1136">
                  <c:v>2</c:v>
                </c:pt>
                <c:pt idx="1137">
                  <c:v>2</c:v>
                </c:pt>
                <c:pt idx="1138">
                  <c:v>2</c:v>
                </c:pt>
                <c:pt idx="1139">
                  <c:v>2</c:v>
                </c:pt>
                <c:pt idx="1140">
                  <c:v>2</c:v>
                </c:pt>
                <c:pt idx="1141">
                  <c:v>2</c:v>
                </c:pt>
                <c:pt idx="1142">
                  <c:v>2</c:v>
                </c:pt>
                <c:pt idx="1143">
                  <c:v>2</c:v>
                </c:pt>
                <c:pt idx="1144">
                  <c:v>2</c:v>
                </c:pt>
                <c:pt idx="1145">
                  <c:v>2</c:v>
                </c:pt>
                <c:pt idx="1146">
                  <c:v>2</c:v>
                </c:pt>
                <c:pt idx="1147">
                  <c:v>2</c:v>
                </c:pt>
                <c:pt idx="1148">
                  <c:v>2</c:v>
                </c:pt>
                <c:pt idx="1149">
                  <c:v>2</c:v>
                </c:pt>
                <c:pt idx="1150">
                  <c:v>2</c:v>
                </c:pt>
                <c:pt idx="1151">
                  <c:v>2</c:v>
                </c:pt>
                <c:pt idx="1152">
                  <c:v>2</c:v>
                </c:pt>
                <c:pt idx="1153">
                  <c:v>2</c:v>
                </c:pt>
                <c:pt idx="1154">
                  <c:v>2</c:v>
                </c:pt>
                <c:pt idx="1155">
                  <c:v>2</c:v>
                </c:pt>
                <c:pt idx="1156">
                  <c:v>2</c:v>
                </c:pt>
                <c:pt idx="1157">
                  <c:v>2</c:v>
                </c:pt>
                <c:pt idx="1158">
                  <c:v>2</c:v>
                </c:pt>
                <c:pt idx="1159">
                  <c:v>2</c:v>
                </c:pt>
                <c:pt idx="1160">
                  <c:v>2</c:v>
                </c:pt>
                <c:pt idx="1161">
                  <c:v>2</c:v>
                </c:pt>
                <c:pt idx="1162">
                  <c:v>2</c:v>
                </c:pt>
                <c:pt idx="1163">
                  <c:v>2</c:v>
                </c:pt>
                <c:pt idx="1164">
                  <c:v>2</c:v>
                </c:pt>
                <c:pt idx="1165">
                  <c:v>2</c:v>
                </c:pt>
                <c:pt idx="1166">
                  <c:v>2</c:v>
                </c:pt>
                <c:pt idx="1167">
                  <c:v>2</c:v>
                </c:pt>
                <c:pt idx="1168">
                  <c:v>2</c:v>
                </c:pt>
                <c:pt idx="1169">
                  <c:v>2</c:v>
                </c:pt>
                <c:pt idx="1170">
                  <c:v>2</c:v>
                </c:pt>
                <c:pt idx="1171">
                  <c:v>2</c:v>
                </c:pt>
                <c:pt idx="1172">
                  <c:v>2</c:v>
                </c:pt>
                <c:pt idx="1173">
                  <c:v>2</c:v>
                </c:pt>
                <c:pt idx="1174">
                  <c:v>2</c:v>
                </c:pt>
                <c:pt idx="1175">
                  <c:v>2</c:v>
                </c:pt>
                <c:pt idx="1176">
                  <c:v>2</c:v>
                </c:pt>
                <c:pt idx="1177">
                  <c:v>2</c:v>
                </c:pt>
                <c:pt idx="1178">
                  <c:v>2</c:v>
                </c:pt>
                <c:pt idx="1179">
                  <c:v>2</c:v>
                </c:pt>
                <c:pt idx="1180">
                  <c:v>2</c:v>
                </c:pt>
                <c:pt idx="1181">
                  <c:v>2</c:v>
                </c:pt>
                <c:pt idx="1182">
                  <c:v>2</c:v>
                </c:pt>
                <c:pt idx="1183">
                  <c:v>2</c:v>
                </c:pt>
                <c:pt idx="1184">
                  <c:v>2</c:v>
                </c:pt>
                <c:pt idx="1185">
                  <c:v>2</c:v>
                </c:pt>
                <c:pt idx="1186">
                  <c:v>2</c:v>
                </c:pt>
                <c:pt idx="1187">
                  <c:v>2</c:v>
                </c:pt>
                <c:pt idx="1188">
                  <c:v>2</c:v>
                </c:pt>
                <c:pt idx="1189">
                  <c:v>2</c:v>
                </c:pt>
                <c:pt idx="1190">
                  <c:v>2</c:v>
                </c:pt>
                <c:pt idx="1191">
                  <c:v>2</c:v>
                </c:pt>
                <c:pt idx="1192">
                  <c:v>2</c:v>
                </c:pt>
                <c:pt idx="1193">
                  <c:v>2</c:v>
                </c:pt>
                <c:pt idx="1194">
                  <c:v>2</c:v>
                </c:pt>
                <c:pt idx="1195">
                  <c:v>2</c:v>
                </c:pt>
                <c:pt idx="1196">
                  <c:v>2</c:v>
                </c:pt>
                <c:pt idx="1197">
                  <c:v>2</c:v>
                </c:pt>
                <c:pt idx="1198">
                  <c:v>2</c:v>
                </c:pt>
                <c:pt idx="1199">
                  <c:v>2</c:v>
                </c:pt>
                <c:pt idx="1200">
                  <c:v>2</c:v>
                </c:pt>
                <c:pt idx="1201">
                  <c:v>2</c:v>
                </c:pt>
                <c:pt idx="1202">
                  <c:v>2</c:v>
                </c:pt>
                <c:pt idx="1203">
                  <c:v>2</c:v>
                </c:pt>
                <c:pt idx="1204">
                  <c:v>2</c:v>
                </c:pt>
                <c:pt idx="1205">
                  <c:v>2</c:v>
                </c:pt>
                <c:pt idx="1206">
                  <c:v>2</c:v>
                </c:pt>
                <c:pt idx="1207">
                  <c:v>2</c:v>
                </c:pt>
                <c:pt idx="1208">
                  <c:v>2</c:v>
                </c:pt>
                <c:pt idx="1209">
                  <c:v>2</c:v>
                </c:pt>
                <c:pt idx="1210">
                  <c:v>2</c:v>
                </c:pt>
                <c:pt idx="1211">
                  <c:v>2</c:v>
                </c:pt>
                <c:pt idx="1212">
                  <c:v>2</c:v>
                </c:pt>
                <c:pt idx="1213">
                  <c:v>2</c:v>
                </c:pt>
                <c:pt idx="1214">
                  <c:v>2</c:v>
                </c:pt>
                <c:pt idx="1215">
                  <c:v>2</c:v>
                </c:pt>
                <c:pt idx="1216">
                  <c:v>2</c:v>
                </c:pt>
                <c:pt idx="1217">
                  <c:v>2</c:v>
                </c:pt>
                <c:pt idx="1218">
                  <c:v>2</c:v>
                </c:pt>
                <c:pt idx="1219">
                  <c:v>2</c:v>
                </c:pt>
                <c:pt idx="1220">
                  <c:v>2</c:v>
                </c:pt>
                <c:pt idx="1221">
                  <c:v>2</c:v>
                </c:pt>
                <c:pt idx="1222">
                  <c:v>2</c:v>
                </c:pt>
                <c:pt idx="1223">
                  <c:v>2</c:v>
                </c:pt>
                <c:pt idx="1224">
                  <c:v>2</c:v>
                </c:pt>
                <c:pt idx="1225">
                  <c:v>2</c:v>
                </c:pt>
                <c:pt idx="1226">
                  <c:v>2</c:v>
                </c:pt>
                <c:pt idx="1227">
                  <c:v>2</c:v>
                </c:pt>
                <c:pt idx="1228">
                  <c:v>2</c:v>
                </c:pt>
                <c:pt idx="1229">
                  <c:v>2</c:v>
                </c:pt>
                <c:pt idx="1230">
                  <c:v>2</c:v>
                </c:pt>
                <c:pt idx="1231">
                  <c:v>2</c:v>
                </c:pt>
                <c:pt idx="1232">
                  <c:v>2</c:v>
                </c:pt>
                <c:pt idx="1233">
                  <c:v>2</c:v>
                </c:pt>
                <c:pt idx="1234">
                  <c:v>2</c:v>
                </c:pt>
                <c:pt idx="1235">
                  <c:v>2</c:v>
                </c:pt>
                <c:pt idx="1236">
                  <c:v>2</c:v>
                </c:pt>
                <c:pt idx="1237">
                  <c:v>2</c:v>
                </c:pt>
                <c:pt idx="1238">
                  <c:v>2</c:v>
                </c:pt>
                <c:pt idx="1239">
                  <c:v>2</c:v>
                </c:pt>
                <c:pt idx="1240">
                  <c:v>2</c:v>
                </c:pt>
                <c:pt idx="1241">
                  <c:v>2</c:v>
                </c:pt>
                <c:pt idx="1242">
                  <c:v>2</c:v>
                </c:pt>
                <c:pt idx="1243">
                  <c:v>2</c:v>
                </c:pt>
                <c:pt idx="1244">
                  <c:v>2</c:v>
                </c:pt>
                <c:pt idx="1245">
                  <c:v>2</c:v>
                </c:pt>
                <c:pt idx="1246">
                  <c:v>2</c:v>
                </c:pt>
                <c:pt idx="1247">
                  <c:v>2</c:v>
                </c:pt>
                <c:pt idx="1248">
                  <c:v>2</c:v>
                </c:pt>
                <c:pt idx="1249">
                  <c:v>2</c:v>
                </c:pt>
                <c:pt idx="1250">
                  <c:v>2</c:v>
                </c:pt>
                <c:pt idx="1251">
                  <c:v>2</c:v>
                </c:pt>
                <c:pt idx="1252">
                  <c:v>2</c:v>
                </c:pt>
                <c:pt idx="1253">
                  <c:v>2</c:v>
                </c:pt>
                <c:pt idx="1254">
                  <c:v>2</c:v>
                </c:pt>
                <c:pt idx="1255">
                  <c:v>2</c:v>
                </c:pt>
                <c:pt idx="1256">
                  <c:v>2</c:v>
                </c:pt>
                <c:pt idx="1257">
                  <c:v>2</c:v>
                </c:pt>
                <c:pt idx="1258">
                  <c:v>2</c:v>
                </c:pt>
                <c:pt idx="1259">
                  <c:v>2</c:v>
                </c:pt>
                <c:pt idx="1260">
                  <c:v>2</c:v>
                </c:pt>
                <c:pt idx="1261">
                  <c:v>2</c:v>
                </c:pt>
                <c:pt idx="1262">
                  <c:v>2</c:v>
                </c:pt>
                <c:pt idx="1263">
                  <c:v>2</c:v>
                </c:pt>
                <c:pt idx="1264">
                  <c:v>2</c:v>
                </c:pt>
                <c:pt idx="1265">
                  <c:v>2</c:v>
                </c:pt>
                <c:pt idx="1266">
                  <c:v>2</c:v>
                </c:pt>
                <c:pt idx="1267">
                  <c:v>2</c:v>
                </c:pt>
                <c:pt idx="1268">
                  <c:v>2</c:v>
                </c:pt>
                <c:pt idx="1269">
                  <c:v>2</c:v>
                </c:pt>
                <c:pt idx="1270">
                  <c:v>2</c:v>
                </c:pt>
                <c:pt idx="1271">
                  <c:v>2</c:v>
                </c:pt>
                <c:pt idx="1272">
                  <c:v>2</c:v>
                </c:pt>
                <c:pt idx="1273">
                  <c:v>2</c:v>
                </c:pt>
                <c:pt idx="1274">
                  <c:v>2</c:v>
                </c:pt>
                <c:pt idx="1275">
                  <c:v>2</c:v>
                </c:pt>
                <c:pt idx="1276">
                  <c:v>2</c:v>
                </c:pt>
                <c:pt idx="1277">
                  <c:v>2</c:v>
                </c:pt>
                <c:pt idx="1278">
                  <c:v>2</c:v>
                </c:pt>
                <c:pt idx="1279">
                  <c:v>2</c:v>
                </c:pt>
                <c:pt idx="1280">
                  <c:v>2</c:v>
                </c:pt>
                <c:pt idx="1281">
                  <c:v>2</c:v>
                </c:pt>
                <c:pt idx="1282">
                  <c:v>2</c:v>
                </c:pt>
                <c:pt idx="1283">
                  <c:v>2</c:v>
                </c:pt>
                <c:pt idx="1284">
                  <c:v>2</c:v>
                </c:pt>
                <c:pt idx="1285">
                  <c:v>2</c:v>
                </c:pt>
                <c:pt idx="1286">
                  <c:v>2</c:v>
                </c:pt>
                <c:pt idx="1287">
                  <c:v>2</c:v>
                </c:pt>
                <c:pt idx="1288">
                  <c:v>2</c:v>
                </c:pt>
                <c:pt idx="1289">
                  <c:v>2</c:v>
                </c:pt>
                <c:pt idx="1290">
                  <c:v>2</c:v>
                </c:pt>
                <c:pt idx="1291">
                  <c:v>2</c:v>
                </c:pt>
                <c:pt idx="1292">
                  <c:v>2</c:v>
                </c:pt>
                <c:pt idx="1293">
                  <c:v>2</c:v>
                </c:pt>
                <c:pt idx="1294">
                  <c:v>2</c:v>
                </c:pt>
                <c:pt idx="1295">
                  <c:v>2</c:v>
                </c:pt>
                <c:pt idx="1296">
                  <c:v>2</c:v>
                </c:pt>
                <c:pt idx="1297">
                  <c:v>2</c:v>
                </c:pt>
                <c:pt idx="1298">
                  <c:v>2</c:v>
                </c:pt>
                <c:pt idx="1299">
                  <c:v>2</c:v>
                </c:pt>
                <c:pt idx="1300">
                  <c:v>2</c:v>
                </c:pt>
                <c:pt idx="1301">
                  <c:v>2</c:v>
                </c:pt>
                <c:pt idx="1302">
                  <c:v>2</c:v>
                </c:pt>
                <c:pt idx="1303">
                  <c:v>2</c:v>
                </c:pt>
                <c:pt idx="1304">
                  <c:v>2</c:v>
                </c:pt>
                <c:pt idx="1305">
                  <c:v>2</c:v>
                </c:pt>
                <c:pt idx="1306">
                  <c:v>2</c:v>
                </c:pt>
                <c:pt idx="1307">
                  <c:v>2</c:v>
                </c:pt>
                <c:pt idx="1308">
                  <c:v>2</c:v>
                </c:pt>
                <c:pt idx="1309">
                  <c:v>2</c:v>
                </c:pt>
                <c:pt idx="1310">
                  <c:v>2</c:v>
                </c:pt>
                <c:pt idx="1311">
                  <c:v>2</c:v>
                </c:pt>
                <c:pt idx="1312">
                  <c:v>2</c:v>
                </c:pt>
                <c:pt idx="1313">
                  <c:v>2</c:v>
                </c:pt>
                <c:pt idx="1314">
                  <c:v>2</c:v>
                </c:pt>
                <c:pt idx="1315">
                  <c:v>2</c:v>
                </c:pt>
                <c:pt idx="1316">
                  <c:v>2</c:v>
                </c:pt>
                <c:pt idx="1317">
                  <c:v>2</c:v>
                </c:pt>
                <c:pt idx="1318">
                  <c:v>2</c:v>
                </c:pt>
                <c:pt idx="1319">
                  <c:v>2</c:v>
                </c:pt>
                <c:pt idx="1320">
                  <c:v>2</c:v>
                </c:pt>
                <c:pt idx="1321">
                  <c:v>2</c:v>
                </c:pt>
                <c:pt idx="1322">
                  <c:v>2</c:v>
                </c:pt>
                <c:pt idx="1323">
                  <c:v>2</c:v>
                </c:pt>
                <c:pt idx="1324">
                  <c:v>2</c:v>
                </c:pt>
                <c:pt idx="1325">
                  <c:v>2</c:v>
                </c:pt>
                <c:pt idx="1326">
                  <c:v>2</c:v>
                </c:pt>
                <c:pt idx="1327">
                  <c:v>2</c:v>
                </c:pt>
                <c:pt idx="1328">
                  <c:v>2</c:v>
                </c:pt>
                <c:pt idx="1329">
                  <c:v>2</c:v>
                </c:pt>
                <c:pt idx="1330">
                  <c:v>2</c:v>
                </c:pt>
                <c:pt idx="1331">
                  <c:v>2</c:v>
                </c:pt>
                <c:pt idx="1332">
                  <c:v>2</c:v>
                </c:pt>
                <c:pt idx="1333">
                  <c:v>2</c:v>
                </c:pt>
                <c:pt idx="1334">
                  <c:v>2</c:v>
                </c:pt>
                <c:pt idx="1335">
                  <c:v>2</c:v>
                </c:pt>
                <c:pt idx="1336">
                  <c:v>2</c:v>
                </c:pt>
                <c:pt idx="1337">
                  <c:v>2</c:v>
                </c:pt>
                <c:pt idx="1338">
                  <c:v>2</c:v>
                </c:pt>
                <c:pt idx="1339">
                  <c:v>2</c:v>
                </c:pt>
                <c:pt idx="1340">
                  <c:v>2</c:v>
                </c:pt>
                <c:pt idx="1341">
                  <c:v>2</c:v>
                </c:pt>
                <c:pt idx="1342">
                  <c:v>2</c:v>
                </c:pt>
                <c:pt idx="1343">
                  <c:v>2</c:v>
                </c:pt>
                <c:pt idx="1344">
                  <c:v>2</c:v>
                </c:pt>
                <c:pt idx="1345">
                  <c:v>2</c:v>
                </c:pt>
                <c:pt idx="1346">
                  <c:v>2</c:v>
                </c:pt>
                <c:pt idx="1347">
                  <c:v>2</c:v>
                </c:pt>
                <c:pt idx="1348">
                  <c:v>2</c:v>
                </c:pt>
                <c:pt idx="1349">
                  <c:v>2</c:v>
                </c:pt>
                <c:pt idx="1350">
                  <c:v>2</c:v>
                </c:pt>
                <c:pt idx="1351">
                  <c:v>2</c:v>
                </c:pt>
                <c:pt idx="1352">
                  <c:v>2</c:v>
                </c:pt>
                <c:pt idx="1353">
                  <c:v>2</c:v>
                </c:pt>
                <c:pt idx="1354">
                  <c:v>2</c:v>
                </c:pt>
                <c:pt idx="1355">
                  <c:v>2</c:v>
                </c:pt>
                <c:pt idx="1356">
                  <c:v>2</c:v>
                </c:pt>
                <c:pt idx="1357">
                  <c:v>2</c:v>
                </c:pt>
                <c:pt idx="1358">
                  <c:v>2</c:v>
                </c:pt>
                <c:pt idx="1359">
                  <c:v>2</c:v>
                </c:pt>
                <c:pt idx="1360">
                  <c:v>2</c:v>
                </c:pt>
                <c:pt idx="1361">
                  <c:v>2</c:v>
                </c:pt>
                <c:pt idx="1362">
                  <c:v>2</c:v>
                </c:pt>
                <c:pt idx="1363">
                  <c:v>2</c:v>
                </c:pt>
                <c:pt idx="1364">
                  <c:v>2</c:v>
                </c:pt>
                <c:pt idx="1365">
                  <c:v>2</c:v>
                </c:pt>
                <c:pt idx="1366">
                  <c:v>2</c:v>
                </c:pt>
                <c:pt idx="1367">
                  <c:v>2</c:v>
                </c:pt>
                <c:pt idx="1368">
                  <c:v>2</c:v>
                </c:pt>
                <c:pt idx="1369">
                  <c:v>2</c:v>
                </c:pt>
                <c:pt idx="1370">
                  <c:v>2</c:v>
                </c:pt>
                <c:pt idx="1371">
                  <c:v>2</c:v>
                </c:pt>
                <c:pt idx="1372">
                  <c:v>2</c:v>
                </c:pt>
                <c:pt idx="1373">
                  <c:v>2</c:v>
                </c:pt>
                <c:pt idx="1374">
                  <c:v>2</c:v>
                </c:pt>
                <c:pt idx="1375">
                  <c:v>2</c:v>
                </c:pt>
                <c:pt idx="1376">
                  <c:v>2</c:v>
                </c:pt>
                <c:pt idx="1377">
                  <c:v>2</c:v>
                </c:pt>
                <c:pt idx="1378">
                  <c:v>2</c:v>
                </c:pt>
                <c:pt idx="1379">
                  <c:v>2</c:v>
                </c:pt>
                <c:pt idx="1380">
                  <c:v>2</c:v>
                </c:pt>
                <c:pt idx="1381">
                  <c:v>2</c:v>
                </c:pt>
                <c:pt idx="1382">
                  <c:v>2</c:v>
                </c:pt>
                <c:pt idx="1383">
                  <c:v>2</c:v>
                </c:pt>
                <c:pt idx="1384">
                  <c:v>2</c:v>
                </c:pt>
                <c:pt idx="1385">
                  <c:v>2</c:v>
                </c:pt>
                <c:pt idx="1386">
                  <c:v>2</c:v>
                </c:pt>
                <c:pt idx="1387">
                  <c:v>2</c:v>
                </c:pt>
                <c:pt idx="1388">
                  <c:v>2</c:v>
                </c:pt>
                <c:pt idx="1389">
                  <c:v>2</c:v>
                </c:pt>
                <c:pt idx="1390">
                  <c:v>2</c:v>
                </c:pt>
                <c:pt idx="1391">
                  <c:v>2</c:v>
                </c:pt>
                <c:pt idx="1392">
                  <c:v>2</c:v>
                </c:pt>
                <c:pt idx="1393">
                  <c:v>2</c:v>
                </c:pt>
                <c:pt idx="1394">
                  <c:v>2</c:v>
                </c:pt>
                <c:pt idx="1395">
                  <c:v>2</c:v>
                </c:pt>
                <c:pt idx="1396">
                  <c:v>2</c:v>
                </c:pt>
                <c:pt idx="1397">
                  <c:v>2</c:v>
                </c:pt>
                <c:pt idx="1398">
                  <c:v>2</c:v>
                </c:pt>
                <c:pt idx="1399">
                  <c:v>2</c:v>
                </c:pt>
                <c:pt idx="1400">
                  <c:v>2</c:v>
                </c:pt>
                <c:pt idx="1401">
                  <c:v>2</c:v>
                </c:pt>
                <c:pt idx="1402">
                  <c:v>2</c:v>
                </c:pt>
                <c:pt idx="1403">
                  <c:v>2</c:v>
                </c:pt>
                <c:pt idx="1404">
                  <c:v>2</c:v>
                </c:pt>
                <c:pt idx="1405">
                  <c:v>2</c:v>
                </c:pt>
                <c:pt idx="1406">
                  <c:v>2</c:v>
                </c:pt>
                <c:pt idx="1407">
                  <c:v>2</c:v>
                </c:pt>
                <c:pt idx="1408">
                  <c:v>2</c:v>
                </c:pt>
                <c:pt idx="1409">
                  <c:v>2</c:v>
                </c:pt>
                <c:pt idx="1410">
                  <c:v>2</c:v>
                </c:pt>
                <c:pt idx="1411">
                  <c:v>2</c:v>
                </c:pt>
                <c:pt idx="1412">
                  <c:v>2</c:v>
                </c:pt>
                <c:pt idx="1413">
                  <c:v>2</c:v>
                </c:pt>
                <c:pt idx="1414">
                  <c:v>2</c:v>
                </c:pt>
                <c:pt idx="1415">
                  <c:v>2</c:v>
                </c:pt>
                <c:pt idx="1416">
                  <c:v>2</c:v>
                </c:pt>
                <c:pt idx="1417">
                  <c:v>2</c:v>
                </c:pt>
                <c:pt idx="1418">
                  <c:v>2</c:v>
                </c:pt>
                <c:pt idx="1419">
                  <c:v>2</c:v>
                </c:pt>
                <c:pt idx="1420">
                  <c:v>2</c:v>
                </c:pt>
                <c:pt idx="1421">
                  <c:v>2</c:v>
                </c:pt>
                <c:pt idx="1422">
                  <c:v>2</c:v>
                </c:pt>
                <c:pt idx="1423">
                  <c:v>2</c:v>
                </c:pt>
                <c:pt idx="1424">
                  <c:v>2</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pt idx="1996">
                  <c:v>#N/A</c:v>
                </c:pt>
                <c:pt idx="1997">
                  <c:v>#N/A</c:v>
                </c:pt>
                <c:pt idx="1998">
                  <c:v>#N/A</c:v>
                </c:pt>
                <c:pt idx="1999">
                  <c:v>#N/A</c:v>
                </c:pt>
                <c:pt idx="2000">
                  <c:v>#N/A</c:v>
                </c:pt>
                <c:pt idx="2001">
                  <c:v>#N/A</c:v>
                </c:pt>
                <c:pt idx="2002">
                  <c:v>#N/A</c:v>
                </c:pt>
                <c:pt idx="2003">
                  <c:v>#N/A</c:v>
                </c:pt>
                <c:pt idx="2004">
                  <c:v>#N/A</c:v>
                </c:pt>
                <c:pt idx="2005">
                  <c:v>#N/A</c:v>
                </c:pt>
                <c:pt idx="2006">
                  <c:v>#N/A</c:v>
                </c:pt>
                <c:pt idx="2007">
                  <c:v>#N/A</c:v>
                </c:pt>
                <c:pt idx="2008">
                  <c:v>#N/A</c:v>
                </c:pt>
                <c:pt idx="2009">
                  <c:v>#N/A</c:v>
                </c:pt>
                <c:pt idx="2010">
                  <c:v>#N/A</c:v>
                </c:pt>
                <c:pt idx="2011">
                  <c:v>#N/A</c:v>
                </c:pt>
                <c:pt idx="2012">
                  <c:v>#N/A</c:v>
                </c:pt>
                <c:pt idx="2013">
                  <c:v>#N/A</c:v>
                </c:pt>
                <c:pt idx="2014">
                  <c:v>#N/A</c:v>
                </c:pt>
                <c:pt idx="2015">
                  <c:v>#N/A</c:v>
                </c:pt>
                <c:pt idx="2016">
                  <c:v>#N/A</c:v>
                </c:pt>
                <c:pt idx="2017">
                  <c:v>#N/A</c:v>
                </c:pt>
                <c:pt idx="2018">
                  <c:v>#N/A</c:v>
                </c:pt>
                <c:pt idx="2019">
                  <c:v>#N/A</c:v>
                </c:pt>
                <c:pt idx="2020">
                  <c:v>#N/A</c:v>
                </c:pt>
                <c:pt idx="2021">
                  <c:v>#N/A</c:v>
                </c:pt>
                <c:pt idx="2022">
                  <c:v>#N/A</c:v>
                </c:pt>
                <c:pt idx="2023">
                  <c:v>#N/A</c:v>
                </c:pt>
                <c:pt idx="2024">
                  <c:v>#N/A</c:v>
                </c:pt>
                <c:pt idx="2025">
                  <c:v>#N/A</c:v>
                </c:pt>
                <c:pt idx="2026">
                  <c:v>#N/A</c:v>
                </c:pt>
                <c:pt idx="2027">
                  <c:v>#N/A</c:v>
                </c:pt>
                <c:pt idx="2028">
                  <c:v>#N/A</c:v>
                </c:pt>
                <c:pt idx="2029">
                  <c:v>#N/A</c:v>
                </c:pt>
                <c:pt idx="2030">
                  <c:v>#N/A</c:v>
                </c:pt>
                <c:pt idx="2031">
                  <c:v>#N/A</c:v>
                </c:pt>
                <c:pt idx="2032">
                  <c:v>#N/A</c:v>
                </c:pt>
                <c:pt idx="2033">
                  <c:v>#N/A</c:v>
                </c:pt>
                <c:pt idx="2034">
                  <c:v>#N/A</c:v>
                </c:pt>
                <c:pt idx="2035">
                  <c:v>#N/A</c:v>
                </c:pt>
                <c:pt idx="2036">
                  <c:v>#N/A</c:v>
                </c:pt>
                <c:pt idx="2037">
                  <c:v>#N/A</c:v>
                </c:pt>
                <c:pt idx="2038">
                  <c:v>#N/A</c:v>
                </c:pt>
                <c:pt idx="2039">
                  <c:v>#N/A</c:v>
                </c:pt>
                <c:pt idx="2040">
                  <c:v>#N/A</c:v>
                </c:pt>
                <c:pt idx="2041">
                  <c:v>#N/A</c:v>
                </c:pt>
                <c:pt idx="2042">
                  <c:v>#N/A</c:v>
                </c:pt>
                <c:pt idx="2043">
                  <c:v>#N/A</c:v>
                </c:pt>
                <c:pt idx="2044">
                  <c:v>#N/A</c:v>
                </c:pt>
                <c:pt idx="2045">
                  <c:v>#N/A</c:v>
                </c:pt>
                <c:pt idx="2046">
                  <c:v>#N/A</c:v>
                </c:pt>
                <c:pt idx="2047">
                  <c:v>#N/A</c:v>
                </c:pt>
                <c:pt idx="2048">
                  <c:v>#N/A</c:v>
                </c:pt>
                <c:pt idx="2049">
                  <c:v>#N/A</c:v>
                </c:pt>
                <c:pt idx="2050">
                  <c:v>#N/A</c:v>
                </c:pt>
                <c:pt idx="2051">
                  <c:v>#N/A</c:v>
                </c:pt>
                <c:pt idx="2052">
                  <c:v>#N/A</c:v>
                </c:pt>
                <c:pt idx="2053">
                  <c:v>#N/A</c:v>
                </c:pt>
                <c:pt idx="2054">
                  <c:v>#N/A</c:v>
                </c:pt>
                <c:pt idx="2055">
                  <c:v>#N/A</c:v>
                </c:pt>
                <c:pt idx="2056">
                  <c:v>#N/A</c:v>
                </c:pt>
                <c:pt idx="2057">
                  <c:v>#N/A</c:v>
                </c:pt>
                <c:pt idx="2058">
                  <c:v>#N/A</c:v>
                </c:pt>
                <c:pt idx="2059">
                  <c:v>#N/A</c:v>
                </c:pt>
                <c:pt idx="2060">
                  <c:v>#N/A</c:v>
                </c:pt>
                <c:pt idx="2061">
                  <c:v>#N/A</c:v>
                </c:pt>
                <c:pt idx="2062">
                  <c:v>#N/A</c:v>
                </c:pt>
                <c:pt idx="2063">
                  <c:v>#N/A</c:v>
                </c:pt>
                <c:pt idx="2064">
                  <c:v>#N/A</c:v>
                </c:pt>
                <c:pt idx="2065">
                  <c:v>#N/A</c:v>
                </c:pt>
                <c:pt idx="2066">
                  <c:v>#N/A</c:v>
                </c:pt>
                <c:pt idx="2067">
                  <c:v>#N/A</c:v>
                </c:pt>
                <c:pt idx="2068">
                  <c:v>#N/A</c:v>
                </c:pt>
                <c:pt idx="2069">
                  <c:v>#N/A</c:v>
                </c:pt>
                <c:pt idx="2070">
                  <c:v>#N/A</c:v>
                </c:pt>
                <c:pt idx="2071">
                  <c:v>#N/A</c:v>
                </c:pt>
                <c:pt idx="2072">
                  <c:v>#N/A</c:v>
                </c:pt>
                <c:pt idx="2073">
                  <c:v>#N/A</c:v>
                </c:pt>
                <c:pt idx="2074">
                  <c:v>#N/A</c:v>
                </c:pt>
                <c:pt idx="2075">
                  <c:v>#N/A</c:v>
                </c:pt>
                <c:pt idx="2076">
                  <c:v>#N/A</c:v>
                </c:pt>
                <c:pt idx="2077">
                  <c:v>#N/A</c:v>
                </c:pt>
                <c:pt idx="2078">
                  <c:v>#N/A</c:v>
                </c:pt>
                <c:pt idx="2079">
                  <c:v>#N/A</c:v>
                </c:pt>
                <c:pt idx="2080">
                  <c:v>#N/A</c:v>
                </c:pt>
                <c:pt idx="2081">
                  <c:v>#N/A</c:v>
                </c:pt>
                <c:pt idx="2082">
                  <c:v>#N/A</c:v>
                </c:pt>
                <c:pt idx="2083">
                  <c:v>#N/A</c:v>
                </c:pt>
                <c:pt idx="2084">
                  <c:v>#N/A</c:v>
                </c:pt>
                <c:pt idx="2085">
                  <c:v>#N/A</c:v>
                </c:pt>
                <c:pt idx="2086">
                  <c:v>#N/A</c:v>
                </c:pt>
                <c:pt idx="2087">
                  <c:v>#N/A</c:v>
                </c:pt>
                <c:pt idx="2088">
                  <c:v>#N/A</c:v>
                </c:pt>
                <c:pt idx="2089">
                  <c:v>#N/A</c:v>
                </c:pt>
                <c:pt idx="2090">
                  <c:v>#N/A</c:v>
                </c:pt>
                <c:pt idx="2091">
                  <c:v>#N/A</c:v>
                </c:pt>
                <c:pt idx="2092">
                  <c:v>#N/A</c:v>
                </c:pt>
                <c:pt idx="2093">
                  <c:v>#N/A</c:v>
                </c:pt>
                <c:pt idx="2094">
                  <c:v>#N/A</c:v>
                </c:pt>
                <c:pt idx="2095">
                  <c:v>#N/A</c:v>
                </c:pt>
                <c:pt idx="2096">
                  <c:v>#N/A</c:v>
                </c:pt>
                <c:pt idx="2097">
                  <c:v>#N/A</c:v>
                </c:pt>
                <c:pt idx="2098">
                  <c:v>#N/A</c:v>
                </c:pt>
                <c:pt idx="2099">
                  <c:v>#N/A</c:v>
                </c:pt>
                <c:pt idx="2100">
                  <c:v>#N/A</c:v>
                </c:pt>
                <c:pt idx="2101">
                  <c:v>#N/A</c:v>
                </c:pt>
                <c:pt idx="2102">
                  <c:v>#N/A</c:v>
                </c:pt>
                <c:pt idx="2103">
                  <c:v>#N/A</c:v>
                </c:pt>
                <c:pt idx="2104">
                  <c:v>#N/A</c:v>
                </c:pt>
                <c:pt idx="2105">
                  <c:v>#N/A</c:v>
                </c:pt>
                <c:pt idx="2106">
                  <c:v>#N/A</c:v>
                </c:pt>
                <c:pt idx="2107">
                  <c:v>#N/A</c:v>
                </c:pt>
                <c:pt idx="2108">
                  <c:v>#N/A</c:v>
                </c:pt>
                <c:pt idx="2109">
                  <c:v>#N/A</c:v>
                </c:pt>
                <c:pt idx="2110">
                  <c:v>#N/A</c:v>
                </c:pt>
                <c:pt idx="2111">
                  <c:v>#N/A</c:v>
                </c:pt>
                <c:pt idx="2112">
                  <c:v>#N/A</c:v>
                </c:pt>
                <c:pt idx="2113">
                  <c:v>#N/A</c:v>
                </c:pt>
                <c:pt idx="2114">
                  <c:v>#N/A</c:v>
                </c:pt>
                <c:pt idx="2115">
                  <c:v>#N/A</c:v>
                </c:pt>
                <c:pt idx="2116">
                  <c:v>#N/A</c:v>
                </c:pt>
                <c:pt idx="2117">
                  <c:v>#N/A</c:v>
                </c:pt>
                <c:pt idx="2118">
                  <c:v>#N/A</c:v>
                </c:pt>
                <c:pt idx="2119">
                  <c:v>#N/A</c:v>
                </c:pt>
                <c:pt idx="2120">
                  <c:v>#N/A</c:v>
                </c:pt>
                <c:pt idx="2121">
                  <c:v>#N/A</c:v>
                </c:pt>
                <c:pt idx="2122">
                  <c:v>#N/A</c:v>
                </c:pt>
                <c:pt idx="2123">
                  <c:v>#N/A</c:v>
                </c:pt>
                <c:pt idx="2124">
                  <c:v>#N/A</c:v>
                </c:pt>
                <c:pt idx="2125">
                  <c:v>#N/A</c:v>
                </c:pt>
                <c:pt idx="2126">
                  <c:v>#N/A</c:v>
                </c:pt>
                <c:pt idx="2127">
                  <c:v>#N/A</c:v>
                </c:pt>
                <c:pt idx="2128">
                  <c:v>#N/A</c:v>
                </c:pt>
                <c:pt idx="2129">
                  <c:v>#N/A</c:v>
                </c:pt>
                <c:pt idx="2130">
                  <c:v>#N/A</c:v>
                </c:pt>
                <c:pt idx="2131">
                  <c:v>#N/A</c:v>
                </c:pt>
                <c:pt idx="2132">
                  <c:v>#N/A</c:v>
                </c:pt>
                <c:pt idx="2133">
                  <c:v>#N/A</c:v>
                </c:pt>
                <c:pt idx="2134">
                  <c:v>#N/A</c:v>
                </c:pt>
                <c:pt idx="2135">
                  <c:v>#N/A</c:v>
                </c:pt>
                <c:pt idx="2136">
                  <c:v>#N/A</c:v>
                </c:pt>
                <c:pt idx="2137">
                  <c:v>#N/A</c:v>
                </c:pt>
                <c:pt idx="2138">
                  <c:v>#N/A</c:v>
                </c:pt>
                <c:pt idx="2139">
                  <c:v>#N/A</c:v>
                </c:pt>
                <c:pt idx="2140">
                  <c:v>#N/A</c:v>
                </c:pt>
                <c:pt idx="2141">
                  <c:v>#N/A</c:v>
                </c:pt>
                <c:pt idx="2142">
                  <c:v>#N/A</c:v>
                </c:pt>
                <c:pt idx="2143">
                  <c:v>#N/A</c:v>
                </c:pt>
                <c:pt idx="2144">
                  <c:v>#N/A</c:v>
                </c:pt>
                <c:pt idx="2145">
                  <c:v>#N/A</c:v>
                </c:pt>
                <c:pt idx="2146">
                  <c:v>#N/A</c:v>
                </c:pt>
                <c:pt idx="2147">
                  <c:v>#N/A</c:v>
                </c:pt>
                <c:pt idx="2148">
                  <c:v>#N/A</c:v>
                </c:pt>
                <c:pt idx="2149">
                  <c:v>#N/A</c:v>
                </c:pt>
                <c:pt idx="2150">
                  <c:v>#N/A</c:v>
                </c:pt>
                <c:pt idx="2151">
                  <c:v>#N/A</c:v>
                </c:pt>
                <c:pt idx="2152">
                  <c:v>#N/A</c:v>
                </c:pt>
                <c:pt idx="2153">
                  <c:v>#N/A</c:v>
                </c:pt>
                <c:pt idx="2154">
                  <c:v>#N/A</c:v>
                </c:pt>
                <c:pt idx="2155">
                  <c:v>#N/A</c:v>
                </c:pt>
                <c:pt idx="2156">
                  <c:v>#N/A</c:v>
                </c:pt>
                <c:pt idx="2157">
                  <c:v>#N/A</c:v>
                </c:pt>
                <c:pt idx="2158">
                  <c:v>#N/A</c:v>
                </c:pt>
                <c:pt idx="2159">
                  <c:v>#N/A</c:v>
                </c:pt>
                <c:pt idx="2160">
                  <c:v>#N/A</c:v>
                </c:pt>
                <c:pt idx="2161">
                  <c:v>#N/A</c:v>
                </c:pt>
                <c:pt idx="2162">
                  <c:v>#N/A</c:v>
                </c:pt>
                <c:pt idx="2163">
                  <c:v>#N/A</c:v>
                </c:pt>
                <c:pt idx="2164">
                  <c:v>#N/A</c:v>
                </c:pt>
                <c:pt idx="2165">
                  <c:v>#N/A</c:v>
                </c:pt>
                <c:pt idx="2166">
                  <c:v>#N/A</c:v>
                </c:pt>
                <c:pt idx="2167">
                  <c:v>#N/A</c:v>
                </c:pt>
                <c:pt idx="2168">
                  <c:v>#N/A</c:v>
                </c:pt>
                <c:pt idx="2169">
                  <c:v>#N/A</c:v>
                </c:pt>
                <c:pt idx="2170">
                  <c:v>#N/A</c:v>
                </c:pt>
                <c:pt idx="2171">
                  <c:v>#N/A</c:v>
                </c:pt>
                <c:pt idx="2172">
                  <c:v>#N/A</c:v>
                </c:pt>
                <c:pt idx="2173">
                  <c:v>#N/A</c:v>
                </c:pt>
                <c:pt idx="2174">
                  <c:v>#N/A</c:v>
                </c:pt>
                <c:pt idx="2175">
                  <c:v>#N/A</c:v>
                </c:pt>
                <c:pt idx="2176">
                  <c:v>#N/A</c:v>
                </c:pt>
                <c:pt idx="2177">
                  <c:v>#N/A</c:v>
                </c:pt>
                <c:pt idx="2178">
                  <c:v>#N/A</c:v>
                </c:pt>
                <c:pt idx="2179">
                  <c:v>#N/A</c:v>
                </c:pt>
                <c:pt idx="2180">
                  <c:v>#N/A</c:v>
                </c:pt>
                <c:pt idx="2181">
                  <c:v>#N/A</c:v>
                </c:pt>
                <c:pt idx="2182">
                  <c:v>#N/A</c:v>
                </c:pt>
                <c:pt idx="2183">
                  <c:v>#N/A</c:v>
                </c:pt>
                <c:pt idx="2184">
                  <c:v>#N/A</c:v>
                </c:pt>
                <c:pt idx="2185">
                  <c:v>#N/A</c:v>
                </c:pt>
                <c:pt idx="2186">
                  <c:v>#N/A</c:v>
                </c:pt>
                <c:pt idx="2187">
                  <c:v>#N/A</c:v>
                </c:pt>
                <c:pt idx="2188">
                  <c:v>#N/A</c:v>
                </c:pt>
                <c:pt idx="2189">
                  <c:v>#N/A</c:v>
                </c:pt>
                <c:pt idx="2190">
                  <c:v>#N/A</c:v>
                </c:pt>
                <c:pt idx="2191">
                  <c:v>#N/A</c:v>
                </c:pt>
                <c:pt idx="2192">
                  <c:v>#N/A</c:v>
                </c:pt>
                <c:pt idx="2193">
                  <c:v>#N/A</c:v>
                </c:pt>
                <c:pt idx="2194">
                  <c:v>#N/A</c:v>
                </c:pt>
                <c:pt idx="2195">
                  <c:v>#N/A</c:v>
                </c:pt>
                <c:pt idx="2196">
                  <c:v>#N/A</c:v>
                </c:pt>
                <c:pt idx="2197">
                  <c:v>#N/A</c:v>
                </c:pt>
                <c:pt idx="2198">
                  <c:v>#N/A</c:v>
                </c:pt>
                <c:pt idx="2199">
                  <c:v>#N/A</c:v>
                </c:pt>
                <c:pt idx="2200">
                  <c:v>#N/A</c:v>
                </c:pt>
                <c:pt idx="2201">
                  <c:v>#N/A</c:v>
                </c:pt>
                <c:pt idx="2202">
                  <c:v>#N/A</c:v>
                </c:pt>
                <c:pt idx="2203">
                  <c:v>#N/A</c:v>
                </c:pt>
                <c:pt idx="2204">
                  <c:v>#N/A</c:v>
                </c:pt>
                <c:pt idx="2205">
                  <c:v>#N/A</c:v>
                </c:pt>
                <c:pt idx="2206">
                  <c:v>#N/A</c:v>
                </c:pt>
                <c:pt idx="2207">
                  <c:v>#N/A</c:v>
                </c:pt>
                <c:pt idx="2208">
                  <c:v>#N/A</c:v>
                </c:pt>
                <c:pt idx="2209">
                  <c:v>#N/A</c:v>
                </c:pt>
                <c:pt idx="2210">
                  <c:v>#N/A</c:v>
                </c:pt>
                <c:pt idx="2211">
                  <c:v>#N/A</c:v>
                </c:pt>
                <c:pt idx="2212">
                  <c:v>#N/A</c:v>
                </c:pt>
                <c:pt idx="2213">
                  <c:v>#N/A</c:v>
                </c:pt>
                <c:pt idx="2214">
                  <c:v>#N/A</c:v>
                </c:pt>
                <c:pt idx="2215">
                  <c:v>#N/A</c:v>
                </c:pt>
                <c:pt idx="2216">
                  <c:v>#N/A</c:v>
                </c:pt>
                <c:pt idx="2217">
                  <c:v>#N/A</c:v>
                </c:pt>
                <c:pt idx="2218">
                  <c:v>#N/A</c:v>
                </c:pt>
                <c:pt idx="2219">
                  <c:v>#N/A</c:v>
                </c:pt>
                <c:pt idx="2220">
                  <c:v>#N/A</c:v>
                </c:pt>
                <c:pt idx="2221">
                  <c:v>#N/A</c:v>
                </c:pt>
                <c:pt idx="2222">
                  <c:v>#N/A</c:v>
                </c:pt>
                <c:pt idx="2223">
                  <c:v>#N/A</c:v>
                </c:pt>
                <c:pt idx="2224">
                  <c:v>#N/A</c:v>
                </c:pt>
                <c:pt idx="2225">
                  <c:v>#N/A</c:v>
                </c:pt>
                <c:pt idx="2226">
                  <c:v>#N/A</c:v>
                </c:pt>
                <c:pt idx="2227">
                  <c:v>#N/A</c:v>
                </c:pt>
                <c:pt idx="2228">
                  <c:v>#N/A</c:v>
                </c:pt>
                <c:pt idx="2229">
                  <c:v>#N/A</c:v>
                </c:pt>
                <c:pt idx="2230">
                  <c:v>#N/A</c:v>
                </c:pt>
                <c:pt idx="2231">
                  <c:v>#N/A</c:v>
                </c:pt>
                <c:pt idx="2232">
                  <c:v>#N/A</c:v>
                </c:pt>
                <c:pt idx="2233">
                  <c:v>#N/A</c:v>
                </c:pt>
                <c:pt idx="2234">
                  <c:v>#N/A</c:v>
                </c:pt>
                <c:pt idx="2235">
                  <c:v>#N/A</c:v>
                </c:pt>
                <c:pt idx="2236">
                  <c:v>#N/A</c:v>
                </c:pt>
                <c:pt idx="2237">
                  <c:v>#N/A</c:v>
                </c:pt>
                <c:pt idx="2238">
                  <c:v>#N/A</c:v>
                </c:pt>
                <c:pt idx="2239">
                  <c:v>#N/A</c:v>
                </c:pt>
                <c:pt idx="2240">
                  <c:v>#N/A</c:v>
                </c:pt>
                <c:pt idx="2241">
                  <c:v>#N/A</c:v>
                </c:pt>
                <c:pt idx="2242">
                  <c:v>#N/A</c:v>
                </c:pt>
                <c:pt idx="2243">
                  <c:v>#N/A</c:v>
                </c:pt>
                <c:pt idx="2244">
                  <c:v>#N/A</c:v>
                </c:pt>
                <c:pt idx="2245">
                  <c:v>#N/A</c:v>
                </c:pt>
                <c:pt idx="2246">
                  <c:v>#N/A</c:v>
                </c:pt>
                <c:pt idx="2247">
                  <c:v>#N/A</c:v>
                </c:pt>
                <c:pt idx="2248">
                  <c:v>#N/A</c:v>
                </c:pt>
                <c:pt idx="2249">
                  <c:v>#N/A</c:v>
                </c:pt>
                <c:pt idx="2250">
                  <c:v>#N/A</c:v>
                </c:pt>
                <c:pt idx="2251">
                  <c:v>#N/A</c:v>
                </c:pt>
                <c:pt idx="2252">
                  <c:v>#N/A</c:v>
                </c:pt>
                <c:pt idx="2253">
                  <c:v>#N/A</c:v>
                </c:pt>
                <c:pt idx="2254">
                  <c:v>#N/A</c:v>
                </c:pt>
                <c:pt idx="2255">
                  <c:v>#N/A</c:v>
                </c:pt>
                <c:pt idx="2256">
                  <c:v>#N/A</c:v>
                </c:pt>
                <c:pt idx="2257">
                  <c:v>#N/A</c:v>
                </c:pt>
                <c:pt idx="2258">
                  <c:v>#N/A</c:v>
                </c:pt>
                <c:pt idx="2259">
                  <c:v>#N/A</c:v>
                </c:pt>
                <c:pt idx="2260">
                  <c:v>#N/A</c:v>
                </c:pt>
                <c:pt idx="2261">
                  <c:v>#N/A</c:v>
                </c:pt>
                <c:pt idx="2262">
                  <c:v>#N/A</c:v>
                </c:pt>
                <c:pt idx="2263">
                  <c:v>#N/A</c:v>
                </c:pt>
                <c:pt idx="2264">
                  <c:v>#N/A</c:v>
                </c:pt>
                <c:pt idx="2265">
                  <c:v>#N/A</c:v>
                </c:pt>
                <c:pt idx="2266">
                  <c:v>#N/A</c:v>
                </c:pt>
                <c:pt idx="2267">
                  <c:v>#N/A</c:v>
                </c:pt>
                <c:pt idx="2268">
                  <c:v>#N/A</c:v>
                </c:pt>
                <c:pt idx="2269">
                  <c:v>#N/A</c:v>
                </c:pt>
                <c:pt idx="2270">
                  <c:v>#N/A</c:v>
                </c:pt>
                <c:pt idx="2271">
                  <c:v>#N/A</c:v>
                </c:pt>
                <c:pt idx="2272">
                  <c:v>#N/A</c:v>
                </c:pt>
                <c:pt idx="2273">
                  <c:v>#N/A</c:v>
                </c:pt>
                <c:pt idx="2274">
                  <c:v>#N/A</c:v>
                </c:pt>
                <c:pt idx="2275">
                  <c:v>#N/A</c:v>
                </c:pt>
                <c:pt idx="2276">
                  <c:v>#N/A</c:v>
                </c:pt>
                <c:pt idx="2277">
                  <c:v>#N/A</c:v>
                </c:pt>
                <c:pt idx="2278">
                  <c:v>#N/A</c:v>
                </c:pt>
                <c:pt idx="2279">
                  <c:v>#N/A</c:v>
                </c:pt>
                <c:pt idx="2280">
                  <c:v>#N/A</c:v>
                </c:pt>
                <c:pt idx="2281">
                  <c:v>#N/A</c:v>
                </c:pt>
                <c:pt idx="2282">
                  <c:v>#N/A</c:v>
                </c:pt>
                <c:pt idx="2283">
                  <c:v>#N/A</c:v>
                </c:pt>
                <c:pt idx="2284">
                  <c:v>#N/A</c:v>
                </c:pt>
                <c:pt idx="2285">
                  <c:v>#N/A</c:v>
                </c:pt>
                <c:pt idx="2286">
                  <c:v>#N/A</c:v>
                </c:pt>
                <c:pt idx="2287">
                  <c:v>#N/A</c:v>
                </c:pt>
                <c:pt idx="2288">
                  <c:v>#N/A</c:v>
                </c:pt>
                <c:pt idx="2289">
                  <c:v>#N/A</c:v>
                </c:pt>
                <c:pt idx="2290">
                  <c:v>#N/A</c:v>
                </c:pt>
                <c:pt idx="2291">
                  <c:v>#N/A</c:v>
                </c:pt>
                <c:pt idx="2292">
                  <c:v>#N/A</c:v>
                </c:pt>
                <c:pt idx="2293">
                  <c:v>#N/A</c:v>
                </c:pt>
                <c:pt idx="2294">
                  <c:v>#N/A</c:v>
                </c:pt>
                <c:pt idx="2295">
                  <c:v>#N/A</c:v>
                </c:pt>
                <c:pt idx="2296">
                  <c:v>#N/A</c:v>
                </c:pt>
                <c:pt idx="2297">
                  <c:v>#N/A</c:v>
                </c:pt>
                <c:pt idx="2298">
                  <c:v>#N/A</c:v>
                </c:pt>
                <c:pt idx="2299">
                  <c:v>#N/A</c:v>
                </c:pt>
                <c:pt idx="2300">
                  <c:v>#N/A</c:v>
                </c:pt>
                <c:pt idx="2301">
                  <c:v>#N/A</c:v>
                </c:pt>
                <c:pt idx="2302">
                  <c:v>#N/A</c:v>
                </c:pt>
                <c:pt idx="2303">
                  <c:v>#N/A</c:v>
                </c:pt>
                <c:pt idx="2304">
                  <c:v>#N/A</c:v>
                </c:pt>
                <c:pt idx="2305">
                  <c:v>#N/A</c:v>
                </c:pt>
                <c:pt idx="2306">
                  <c:v>#N/A</c:v>
                </c:pt>
                <c:pt idx="2307">
                  <c:v>#N/A</c:v>
                </c:pt>
                <c:pt idx="2308">
                  <c:v>#N/A</c:v>
                </c:pt>
                <c:pt idx="2309">
                  <c:v>#N/A</c:v>
                </c:pt>
                <c:pt idx="2310">
                  <c:v>#N/A</c:v>
                </c:pt>
                <c:pt idx="2311">
                  <c:v>#N/A</c:v>
                </c:pt>
                <c:pt idx="2312">
                  <c:v>#N/A</c:v>
                </c:pt>
                <c:pt idx="2313">
                  <c:v>#N/A</c:v>
                </c:pt>
                <c:pt idx="2314">
                  <c:v>#N/A</c:v>
                </c:pt>
                <c:pt idx="2315">
                  <c:v>#N/A</c:v>
                </c:pt>
                <c:pt idx="2316">
                  <c:v>#N/A</c:v>
                </c:pt>
                <c:pt idx="2317">
                  <c:v>#N/A</c:v>
                </c:pt>
                <c:pt idx="2318">
                  <c:v>#N/A</c:v>
                </c:pt>
                <c:pt idx="2319">
                  <c:v>#N/A</c:v>
                </c:pt>
                <c:pt idx="2320">
                  <c:v>#N/A</c:v>
                </c:pt>
                <c:pt idx="2321">
                  <c:v>#N/A</c:v>
                </c:pt>
                <c:pt idx="2322">
                  <c:v>#N/A</c:v>
                </c:pt>
                <c:pt idx="2323">
                  <c:v>#N/A</c:v>
                </c:pt>
                <c:pt idx="2324">
                  <c:v>#N/A</c:v>
                </c:pt>
                <c:pt idx="2325">
                  <c:v>#N/A</c:v>
                </c:pt>
                <c:pt idx="2326">
                  <c:v>#N/A</c:v>
                </c:pt>
                <c:pt idx="2327">
                  <c:v>#N/A</c:v>
                </c:pt>
                <c:pt idx="2328">
                  <c:v>#N/A</c:v>
                </c:pt>
                <c:pt idx="2329">
                  <c:v>#N/A</c:v>
                </c:pt>
                <c:pt idx="2330">
                  <c:v>#N/A</c:v>
                </c:pt>
                <c:pt idx="2331">
                  <c:v>#N/A</c:v>
                </c:pt>
                <c:pt idx="2332">
                  <c:v>#N/A</c:v>
                </c:pt>
                <c:pt idx="2333">
                  <c:v>#N/A</c:v>
                </c:pt>
                <c:pt idx="2334">
                  <c:v>#N/A</c:v>
                </c:pt>
                <c:pt idx="2335">
                  <c:v>#N/A</c:v>
                </c:pt>
                <c:pt idx="2336">
                  <c:v>#N/A</c:v>
                </c:pt>
                <c:pt idx="2337">
                  <c:v>#N/A</c:v>
                </c:pt>
                <c:pt idx="2338">
                  <c:v>#N/A</c:v>
                </c:pt>
                <c:pt idx="2339">
                  <c:v>#N/A</c:v>
                </c:pt>
                <c:pt idx="2340">
                  <c:v>#N/A</c:v>
                </c:pt>
                <c:pt idx="2341">
                  <c:v>#N/A</c:v>
                </c:pt>
                <c:pt idx="2342">
                  <c:v>#N/A</c:v>
                </c:pt>
                <c:pt idx="2343">
                  <c:v>#N/A</c:v>
                </c:pt>
                <c:pt idx="2344">
                  <c:v>#N/A</c:v>
                </c:pt>
                <c:pt idx="2345">
                  <c:v>#N/A</c:v>
                </c:pt>
                <c:pt idx="2346">
                  <c:v>#N/A</c:v>
                </c:pt>
                <c:pt idx="2347">
                  <c:v>#N/A</c:v>
                </c:pt>
                <c:pt idx="2348">
                  <c:v>#N/A</c:v>
                </c:pt>
                <c:pt idx="2349">
                  <c:v>#N/A</c:v>
                </c:pt>
                <c:pt idx="2350">
                  <c:v>#N/A</c:v>
                </c:pt>
                <c:pt idx="2351">
                  <c:v>#N/A</c:v>
                </c:pt>
                <c:pt idx="2352">
                  <c:v>#N/A</c:v>
                </c:pt>
                <c:pt idx="2353">
                  <c:v>#N/A</c:v>
                </c:pt>
                <c:pt idx="2354">
                  <c:v>#N/A</c:v>
                </c:pt>
                <c:pt idx="2355">
                  <c:v>#N/A</c:v>
                </c:pt>
                <c:pt idx="2356">
                  <c:v>#N/A</c:v>
                </c:pt>
                <c:pt idx="2357">
                  <c:v>#N/A</c:v>
                </c:pt>
                <c:pt idx="2358">
                  <c:v>#N/A</c:v>
                </c:pt>
                <c:pt idx="2359">
                  <c:v>#N/A</c:v>
                </c:pt>
                <c:pt idx="2360">
                  <c:v>#N/A</c:v>
                </c:pt>
                <c:pt idx="2361">
                  <c:v>#N/A</c:v>
                </c:pt>
                <c:pt idx="2362">
                  <c:v>#N/A</c:v>
                </c:pt>
                <c:pt idx="2363">
                  <c:v>#N/A</c:v>
                </c:pt>
                <c:pt idx="2364">
                  <c:v>#N/A</c:v>
                </c:pt>
                <c:pt idx="2365">
                  <c:v>#N/A</c:v>
                </c:pt>
                <c:pt idx="2366">
                  <c:v>#N/A</c:v>
                </c:pt>
                <c:pt idx="2367">
                  <c:v>#N/A</c:v>
                </c:pt>
                <c:pt idx="2368">
                  <c:v>#N/A</c:v>
                </c:pt>
                <c:pt idx="2369">
                  <c:v>#N/A</c:v>
                </c:pt>
                <c:pt idx="2370">
                  <c:v>#N/A</c:v>
                </c:pt>
                <c:pt idx="2371">
                  <c:v>#N/A</c:v>
                </c:pt>
                <c:pt idx="2372">
                  <c:v>#N/A</c:v>
                </c:pt>
                <c:pt idx="2373">
                  <c:v>#N/A</c:v>
                </c:pt>
                <c:pt idx="2374">
                  <c:v>#N/A</c:v>
                </c:pt>
                <c:pt idx="2375">
                  <c:v>#N/A</c:v>
                </c:pt>
                <c:pt idx="2376">
                  <c:v>#N/A</c:v>
                </c:pt>
                <c:pt idx="2377">
                  <c:v>#N/A</c:v>
                </c:pt>
                <c:pt idx="2378">
                  <c:v>#N/A</c:v>
                </c:pt>
                <c:pt idx="2379">
                  <c:v>#N/A</c:v>
                </c:pt>
                <c:pt idx="2380">
                  <c:v>#N/A</c:v>
                </c:pt>
                <c:pt idx="2381">
                  <c:v>#N/A</c:v>
                </c:pt>
                <c:pt idx="2382">
                  <c:v>#N/A</c:v>
                </c:pt>
                <c:pt idx="2383">
                  <c:v>#N/A</c:v>
                </c:pt>
                <c:pt idx="2384">
                  <c:v>#N/A</c:v>
                </c:pt>
                <c:pt idx="2385">
                  <c:v>#N/A</c:v>
                </c:pt>
                <c:pt idx="2386">
                  <c:v>#N/A</c:v>
                </c:pt>
                <c:pt idx="2387">
                  <c:v>#N/A</c:v>
                </c:pt>
                <c:pt idx="2388">
                  <c:v>#N/A</c:v>
                </c:pt>
                <c:pt idx="2389">
                  <c:v>#N/A</c:v>
                </c:pt>
                <c:pt idx="2390">
                  <c:v>#N/A</c:v>
                </c:pt>
                <c:pt idx="2391">
                  <c:v>#N/A</c:v>
                </c:pt>
                <c:pt idx="2392">
                  <c:v>#N/A</c:v>
                </c:pt>
                <c:pt idx="2393">
                  <c:v>#N/A</c:v>
                </c:pt>
                <c:pt idx="2394">
                  <c:v>#N/A</c:v>
                </c:pt>
                <c:pt idx="2395">
                  <c:v>#N/A</c:v>
                </c:pt>
                <c:pt idx="2396">
                  <c:v>#N/A</c:v>
                </c:pt>
                <c:pt idx="2397">
                  <c:v>#N/A</c:v>
                </c:pt>
                <c:pt idx="2398">
                  <c:v>#N/A</c:v>
                </c:pt>
                <c:pt idx="2399">
                  <c:v>#N/A</c:v>
                </c:pt>
                <c:pt idx="2400">
                  <c:v>#N/A</c:v>
                </c:pt>
                <c:pt idx="2401">
                  <c:v>#N/A</c:v>
                </c:pt>
                <c:pt idx="2402">
                  <c:v>#N/A</c:v>
                </c:pt>
                <c:pt idx="2403">
                  <c:v>#N/A</c:v>
                </c:pt>
                <c:pt idx="2404">
                  <c:v>#N/A</c:v>
                </c:pt>
                <c:pt idx="2405">
                  <c:v>#N/A</c:v>
                </c:pt>
                <c:pt idx="2406">
                  <c:v>#N/A</c:v>
                </c:pt>
                <c:pt idx="2407">
                  <c:v>#N/A</c:v>
                </c:pt>
                <c:pt idx="2408">
                  <c:v>#N/A</c:v>
                </c:pt>
                <c:pt idx="2409">
                  <c:v>#N/A</c:v>
                </c:pt>
                <c:pt idx="2410">
                  <c:v>#N/A</c:v>
                </c:pt>
                <c:pt idx="2411">
                  <c:v>#N/A</c:v>
                </c:pt>
                <c:pt idx="2412">
                  <c:v>#N/A</c:v>
                </c:pt>
                <c:pt idx="2413">
                  <c:v>#N/A</c:v>
                </c:pt>
                <c:pt idx="2414">
                  <c:v>#N/A</c:v>
                </c:pt>
                <c:pt idx="2415">
                  <c:v>#N/A</c:v>
                </c:pt>
                <c:pt idx="2416">
                  <c:v>#N/A</c:v>
                </c:pt>
                <c:pt idx="2417">
                  <c:v>#N/A</c:v>
                </c:pt>
                <c:pt idx="2418">
                  <c:v>#N/A</c:v>
                </c:pt>
                <c:pt idx="2419">
                  <c:v>#N/A</c:v>
                </c:pt>
                <c:pt idx="2420">
                  <c:v>#N/A</c:v>
                </c:pt>
                <c:pt idx="2421">
                  <c:v>#N/A</c:v>
                </c:pt>
                <c:pt idx="2422">
                  <c:v>#N/A</c:v>
                </c:pt>
                <c:pt idx="2423">
                  <c:v>#N/A</c:v>
                </c:pt>
                <c:pt idx="2424">
                  <c:v>#N/A</c:v>
                </c:pt>
                <c:pt idx="2425">
                  <c:v>#N/A</c:v>
                </c:pt>
                <c:pt idx="2426">
                  <c:v>#N/A</c:v>
                </c:pt>
                <c:pt idx="2427">
                  <c:v>#N/A</c:v>
                </c:pt>
                <c:pt idx="2428">
                  <c:v>#N/A</c:v>
                </c:pt>
                <c:pt idx="2429">
                  <c:v>#N/A</c:v>
                </c:pt>
                <c:pt idx="2430">
                  <c:v>#N/A</c:v>
                </c:pt>
                <c:pt idx="2431">
                  <c:v>#N/A</c:v>
                </c:pt>
                <c:pt idx="2432">
                  <c:v>#N/A</c:v>
                </c:pt>
                <c:pt idx="2433">
                  <c:v>#N/A</c:v>
                </c:pt>
                <c:pt idx="2434">
                  <c:v>#N/A</c:v>
                </c:pt>
                <c:pt idx="2435">
                  <c:v>#N/A</c:v>
                </c:pt>
                <c:pt idx="2436">
                  <c:v>#N/A</c:v>
                </c:pt>
                <c:pt idx="2437">
                  <c:v>#N/A</c:v>
                </c:pt>
                <c:pt idx="2438">
                  <c:v>#N/A</c:v>
                </c:pt>
                <c:pt idx="2439">
                  <c:v>#N/A</c:v>
                </c:pt>
                <c:pt idx="2440">
                  <c:v>#N/A</c:v>
                </c:pt>
                <c:pt idx="2441">
                  <c:v>#N/A</c:v>
                </c:pt>
                <c:pt idx="2442">
                  <c:v>#N/A</c:v>
                </c:pt>
                <c:pt idx="2443">
                  <c:v>#N/A</c:v>
                </c:pt>
                <c:pt idx="2444">
                  <c:v>#N/A</c:v>
                </c:pt>
                <c:pt idx="2445">
                  <c:v>#N/A</c:v>
                </c:pt>
                <c:pt idx="2446">
                  <c:v>#N/A</c:v>
                </c:pt>
                <c:pt idx="2447">
                  <c:v>#N/A</c:v>
                </c:pt>
                <c:pt idx="2448">
                  <c:v>#N/A</c:v>
                </c:pt>
                <c:pt idx="2449">
                  <c:v>#N/A</c:v>
                </c:pt>
                <c:pt idx="2450">
                  <c:v>#N/A</c:v>
                </c:pt>
                <c:pt idx="2451">
                  <c:v>#N/A</c:v>
                </c:pt>
                <c:pt idx="2452">
                  <c:v>#N/A</c:v>
                </c:pt>
                <c:pt idx="2453">
                  <c:v>#N/A</c:v>
                </c:pt>
                <c:pt idx="2454">
                  <c:v>#N/A</c:v>
                </c:pt>
                <c:pt idx="2455">
                  <c:v>#N/A</c:v>
                </c:pt>
                <c:pt idx="2456">
                  <c:v>#N/A</c:v>
                </c:pt>
                <c:pt idx="2457">
                  <c:v>#N/A</c:v>
                </c:pt>
                <c:pt idx="2458">
                  <c:v>#N/A</c:v>
                </c:pt>
                <c:pt idx="2459">
                  <c:v>#N/A</c:v>
                </c:pt>
                <c:pt idx="2460">
                  <c:v>#N/A</c:v>
                </c:pt>
                <c:pt idx="2461">
                  <c:v>#N/A</c:v>
                </c:pt>
                <c:pt idx="2462">
                  <c:v>#N/A</c:v>
                </c:pt>
                <c:pt idx="2463">
                  <c:v>#N/A</c:v>
                </c:pt>
                <c:pt idx="2464">
                  <c:v>#N/A</c:v>
                </c:pt>
                <c:pt idx="2465">
                  <c:v>#N/A</c:v>
                </c:pt>
                <c:pt idx="2466">
                  <c:v>#N/A</c:v>
                </c:pt>
                <c:pt idx="2467">
                  <c:v>#N/A</c:v>
                </c:pt>
                <c:pt idx="2468">
                  <c:v>#N/A</c:v>
                </c:pt>
                <c:pt idx="2469">
                  <c:v>#N/A</c:v>
                </c:pt>
                <c:pt idx="2470">
                  <c:v>#N/A</c:v>
                </c:pt>
                <c:pt idx="2471">
                  <c:v>#N/A</c:v>
                </c:pt>
                <c:pt idx="2472">
                  <c:v>#N/A</c:v>
                </c:pt>
                <c:pt idx="2473">
                  <c:v>#N/A</c:v>
                </c:pt>
                <c:pt idx="2474">
                  <c:v>#N/A</c:v>
                </c:pt>
                <c:pt idx="2475">
                  <c:v>#N/A</c:v>
                </c:pt>
                <c:pt idx="2476">
                  <c:v>#N/A</c:v>
                </c:pt>
                <c:pt idx="2477">
                  <c:v>#N/A</c:v>
                </c:pt>
                <c:pt idx="2478">
                  <c:v>#N/A</c:v>
                </c:pt>
                <c:pt idx="2479">
                  <c:v>#N/A</c:v>
                </c:pt>
                <c:pt idx="2480">
                  <c:v>#N/A</c:v>
                </c:pt>
                <c:pt idx="2481">
                  <c:v>#N/A</c:v>
                </c:pt>
                <c:pt idx="2482">
                  <c:v>#N/A</c:v>
                </c:pt>
                <c:pt idx="2483">
                  <c:v>#N/A</c:v>
                </c:pt>
                <c:pt idx="2484">
                  <c:v>#N/A</c:v>
                </c:pt>
                <c:pt idx="2485">
                  <c:v>#N/A</c:v>
                </c:pt>
                <c:pt idx="2486">
                  <c:v>#N/A</c:v>
                </c:pt>
                <c:pt idx="2487">
                  <c:v>#N/A</c:v>
                </c:pt>
                <c:pt idx="2488">
                  <c:v>#N/A</c:v>
                </c:pt>
                <c:pt idx="2489">
                  <c:v>#N/A</c:v>
                </c:pt>
                <c:pt idx="2490">
                  <c:v>#N/A</c:v>
                </c:pt>
                <c:pt idx="2491">
                  <c:v>#N/A</c:v>
                </c:pt>
                <c:pt idx="2492">
                  <c:v>#N/A</c:v>
                </c:pt>
                <c:pt idx="2493">
                  <c:v>#N/A</c:v>
                </c:pt>
                <c:pt idx="2494">
                  <c:v>#N/A</c:v>
                </c:pt>
                <c:pt idx="2495">
                  <c:v>#N/A</c:v>
                </c:pt>
                <c:pt idx="2496">
                  <c:v>#N/A</c:v>
                </c:pt>
                <c:pt idx="2497">
                  <c:v>#N/A</c:v>
                </c:pt>
                <c:pt idx="2498">
                  <c:v>#N/A</c:v>
                </c:pt>
                <c:pt idx="2499">
                  <c:v>#N/A</c:v>
                </c:pt>
                <c:pt idx="2500">
                  <c:v>#N/A</c:v>
                </c:pt>
                <c:pt idx="2501">
                  <c:v>#N/A</c:v>
                </c:pt>
                <c:pt idx="2502">
                  <c:v>#N/A</c:v>
                </c:pt>
                <c:pt idx="2503">
                  <c:v>#N/A</c:v>
                </c:pt>
                <c:pt idx="2504">
                  <c:v>#N/A</c:v>
                </c:pt>
                <c:pt idx="2505">
                  <c:v>#N/A</c:v>
                </c:pt>
                <c:pt idx="2506">
                  <c:v>#N/A</c:v>
                </c:pt>
                <c:pt idx="2507">
                  <c:v>#N/A</c:v>
                </c:pt>
                <c:pt idx="2508">
                  <c:v>#N/A</c:v>
                </c:pt>
                <c:pt idx="2509">
                  <c:v>#N/A</c:v>
                </c:pt>
                <c:pt idx="2510">
                  <c:v>#N/A</c:v>
                </c:pt>
                <c:pt idx="2511">
                  <c:v>#N/A</c:v>
                </c:pt>
                <c:pt idx="2512">
                  <c:v>#N/A</c:v>
                </c:pt>
                <c:pt idx="2513">
                  <c:v>#N/A</c:v>
                </c:pt>
                <c:pt idx="2514">
                  <c:v>#N/A</c:v>
                </c:pt>
                <c:pt idx="2515">
                  <c:v>#N/A</c:v>
                </c:pt>
                <c:pt idx="2516">
                  <c:v>#N/A</c:v>
                </c:pt>
                <c:pt idx="2517">
                  <c:v>#N/A</c:v>
                </c:pt>
                <c:pt idx="2518">
                  <c:v>#N/A</c:v>
                </c:pt>
                <c:pt idx="2519">
                  <c:v>#N/A</c:v>
                </c:pt>
                <c:pt idx="2520">
                  <c:v>#N/A</c:v>
                </c:pt>
                <c:pt idx="2521">
                  <c:v>#N/A</c:v>
                </c:pt>
                <c:pt idx="2522">
                  <c:v>#N/A</c:v>
                </c:pt>
                <c:pt idx="2523">
                  <c:v>#N/A</c:v>
                </c:pt>
                <c:pt idx="2524">
                  <c:v>#N/A</c:v>
                </c:pt>
                <c:pt idx="2525">
                  <c:v>#N/A</c:v>
                </c:pt>
                <c:pt idx="2526">
                  <c:v>#N/A</c:v>
                </c:pt>
                <c:pt idx="2527">
                  <c:v>#N/A</c:v>
                </c:pt>
                <c:pt idx="2528">
                  <c:v>#N/A</c:v>
                </c:pt>
                <c:pt idx="2529">
                  <c:v>#N/A</c:v>
                </c:pt>
                <c:pt idx="2530">
                  <c:v>#N/A</c:v>
                </c:pt>
                <c:pt idx="2531">
                  <c:v>#N/A</c:v>
                </c:pt>
                <c:pt idx="2532">
                  <c:v>#N/A</c:v>
                </c:pt>
                <c:pt idx="2533">
                  <c:v>#N/A</c:v>
                </c:pt>
                <c:pt idx="2534">
                  <c:v>#N/A</c:v>
                </c:pt>
                <c:pt idx="2535">
                  <c:v>#N/A</c:v>
                </c:pt>
                <c:pt idx="2536">
                  <c:v>#N/A</c:v>
                </c:pt>
                <c:pt idx="2537">
                  <c:v>#N/A</c:v>
                </c:pt>
                <c:pt idx="2538">
                  <c:v>#N/A</c:v>
                </c:pt>
                <c:pt idx="2539">
                  <c:v>#N/A</c:v>
                </c:pt>
                <c:pt idx="2540">
                  <c:v>#N/A</c:v>
                </c:pt>
                <c:pt idx="2541">
                  <c:v>#N/A</c:v>
                </c:pt>
                <c:pt idx="2542">
                  <c:v>#N/A</c:v>
                </c:pt>
                <c:pt idx="2543">
                  <c:v>#N/A</c:v>
                </c:pt>
                <c:pt idx="2544">
                  <c:v>#N/A</c:v>
                </c:pt>
                <c:pt idx="2545">
                  <c:v>#N/A</c:v>
                </c:pt>
                <c:pt idx="2546">
                  <c:v>#N/A</c:v>
                </c:pt>
                <c:pt idx="2547">
                  <c:v>#N/A</c:v>
                </c:pt>
                <c:pt idx="2548">
                  <c:v>#N/A</c:v>
                </c:pt>
                <c:pt idx="2549">
                  <c:v>#N/A</c:v>
                </c:pt>
                <c:pt idx="2550">
                  <c:v>#N/A</c:v>
                </c:pt>
                <c:pt idx="2551">
                  <c:v>#N/A</c:v>
                </c:pt>
                <c:pt idx="2552">
                  <c:v>#N/A</c:v>
                </c:pt>
                <c:pt idx="2553">
                  <c:v>#N/A</c:v>
                </c:pt>
                <c:pt idx="2554">
                  <c:v>#N/A</c:v>
                </c:pt>
                <c:pt idx="2555">
                  <c:v>#N/A</c:v>
                </c:pt>
                <c:pt idx="2556">
                  <c:v>#N/A</c:v>
                </c:pt>
                <c:pt idx="2557">
                  <c:v>#N/A</c:v>
                </c:pt>
              </c:numCache>
            </c:numRef>
          </c:val>
          <c:smooth val="0"/>
          <c:extLst>
            <c:ext xmlns:c16="http://schemas.microsoft.com/office/drawing/2014/chart" uri="{C3380CC4-5D6E-409C-BE32-E72D297353CC}">
              <c16:uniqueId val="{0000000B-CC99-4D1E-9B89-33613AE1EB93}"/>
            </c:ext>
          </c:extLst>
        </c:ser>
        <c:ser>
          <c:idx val="4"/>
          <c:order val="4"/>
          <c:tx>
            <c:strRef>
              <c:f>Onboarding!$G$2</c:f>
              <c:strCache>
                <c:ptCount val="1"/>
                <c:pt idx="0">
                  <c:v>RSPCA</c:v>
                </c:pt>
              </c:strCache>
            </c:strRef>
          </c:tx>
          <c:spPr>
            <a:ln w="15875" cap="rnd">
              <a:solidFill>
                <a:schemeClr val="accent4"/>
              </a:solidFill>
              <a:round/>
            </a:ln>
            <a:effectLst/>
          </c:spPr>
          <c:marker>
            <c:symbol val="none"/>
          </c:marker>
          <c:dPt>
            <c:idx val="2325"/>
            <c:marker>
              <c:symbol val="diamond"/>
              <c:size val="9"/>
              <c:spPr>
                <a:solidFill>
                  <a:schemeClr val="accent4"/>
                </a:solidFill>
                <a:ln w="9525">
                  <a:noFill/>
                </a:ln>
                <a:effectLst/>
              </c:spPr>
            </c:marker>
            <c:bubble3D val="0"/>
            <c:extLst>
              <c:ext xmlns:c16="http://schemas.microsoft.com/office/drawing/2014/chart" uri="{C3380CC4-5D6E-409C-BE32-E72D297353CC}">
                <c16:uniqueId val="{0000000C-CC99-4D1E-9B89-33613AE1EB93}"/>
              </c:ext>
            </c:extLst>
          </c:dPt>
          <c:dPt>
            <c:idx val="2424"/>
            <c:marker>
              <c:symbol val="diamond"/>
              <c:size val="9"/>
              <c:spPr>
                <a:solidFill>
                  <a:schemeClr val="accent4"/>
                </a:solidFill>
                <a:ln w="9525">
                  <a:noFill/>
                </a:ln>
                <a:effectLst/>
              </c:spPr>
            </c:marker>
            <c:bubble3D val="0"/>
            <c:extLst>
              <c:ext xmlns:c16="http://schemas.microsoft.com/office/drawing/2014/chart" uri="{C3380CC4-5D6E-409C-BE32-E72D297353CC}">
                <c16:uniqueId val="{0000000D-CC99-4D1E-9B89-33613AE1EB93}"/>
              </c:ext>
            </c:extLst>
          </c:dPt>
          <c:cat>
            <c:numRef>
              <c:f>Onboarding!$B$7:$B$2564</c:f>
              <c:numCache>
                <c:formatCode>m/d/yyyy</c:formatCode>
                <c:ptCount val="2558"/>
                <c:pt idx="0">
                  <c:v>43101</c:v>
                </c:pt>
                <c:pt idx="1">
                  <c:v>43102</c:v>
                </c:pt>
                <c:pt idx="2">
                  <c:v>43103</c:v>
                </c:pt>
                <c:pt idx="3">
                  <c:v>43104</c:v>
                </c:pt>
                <c:pt idx="4">
                  <c:v>43105</c:v>
                </c:pt>
                <c:pt idx="5">
                  <c:v>43106</c:v>
                </c:pt>
                <c:pt idx="6">
                  <c:v>43107</c:v>
                </c:pt>
                <c:pt idx="7">
                  <c:v>43108</c:v>
                </c:pt>
                <c:pt idx="8">
                  <c:v>43109</c:v>
                </c:pt>
                <c:pt idx="9">
                  <c:v>43110</c:v>
                </c:pt>
                <c:pt idx="10">
                  <c:v>43111</c:v>
                </c:pt>
                <c:pt idx="11">
                  <c:v>43112</c:v>
                </c:pt>
                <c:pt idx="12">
                  <c:v>43113</c:v>
                </c:pt>
                <c:pt idx="13">
                  <c:v>43114</c:v>
                </c:pt>
                <c:pt idx="14">
                  <c:v>43115</c:v>
                </c:pt>
                <c:pt idx="15">
                  <c:v>43116</c:v>
                </c:pt>
                <c:pt idx="16">
                  <c:v>43117</c:v>
                </c:pt>
                <c:pt idx="17">
                  <c:v>43118</c:v>
                </c:pt>
                <c:pt idx="18">
                  <c:v>43119</c:v>
                </c:pt>
                <c:pt idx="19">
                  <c:v>43120</c:v>
                </c:pt>
                <c:pt idx="20">
                  <c:v>43121</c:v>
                </c:pt>
                <c:pt idx="21">
                  <c:v>43122</c:v>
                </c:pt>
                <c:pt idx="22">
                  <c:v>43123</c:v>
                </c:pt>
                <c:pt idx="23">
                  <c:v>43124</c:v>
                </c:pt>
                <c:pt idx="24">
                  <c:v>43125</c:v>
                </c:pt>
                <c:pt idx="25">
                  <c:v>43126</c:v>
                </c:pt>
                <c:pt idx="26">
                  <c:v>43127</c:v>
                </c:pt>
                <c:pt idx="27">
                  <c:v>43128</c:v>
                </c:pt>
                <c:pt idx="28">
                  <c:v>43129</c:v>
                </c:pt>
                <c:pt idx="29">
                  <c:v>43130</c:v>
                </c:pt>
                <c:pt idx="30">
                  <c:v>43131</c:v>
                </c:pt>
                <c:pt idx="31">
                  <c:v>43132</c:v>
                </c:pt>
                <c:pt idx="32">
                  <c:v>43133</c:v>
                </c:pt>
                <c:pt idx="33">
                  <c:v>43134</c:v>
                </c:pt>
                <c:pt idx="34">
                  <c:v>43135</c:v>
                </c:pt>
                <c:pt idx="35">
                  <c:v>43136</c:v>
                </c:pt>
                <c:pt idx="36">
                  <c:v>43137</c:v>
                </c:pt>
                <c:pt idx="37">
                  <c:v>43138</c:v>
                </c:pt>
                <c:pt idx="38">
                  <c:v>43139</c:v>
                </c:pt>
                <c:pt idx="39">
                  <c:v>43140</c:v>
                </c:pt>
                <c:pt idx="40">
                  <c:v>43141</c:v>
                </c:pt>
                <c:pt idx="41">
                  <c:v>43142</c:v>
                </c:pt>
                <c:pt idx="42">
                  <c:v>43143</c:v>
                </c:pt>
                <c:pt idx="43">
                  <c:v>43144</c:v>
                </c:pt>
                <c:pt idx="44">
                  <c:v>43145</c:v>
                </c:pt>
                <c:pt idx="45">
                  <c:v>43146</c:v>
                </c:pt>
                <c:pt idx="46">
                  <c:v>43147</c:v>
                </c:pt>
                <c:pt idx="47">
                  <c:v>43148</c:v>
                </c:pt>
                <c:pt idx="48">
                  <c:v>43149</c:v>
                </c:pt>
                <c:pt idx="49">
                  <c:v>43150</c:v>
                </c:pt>
                <c:pt idx="50">
                  <c:v>43151</c:v>
                </c:pt>
                <c:pt idx="51">
                  <c:v>43152</c:v>
                </c:pt>
                <c:pt idx="52">
                  <c:v>43153</c:v>
                </c:pt>
                <c:pt idx="53">
                  <c:v>43154</c:v>
                </c:pt>
                <c:pt idx="54">
                  <c:v>43155</c:v>
                </c:pt>
                <c:pt idx="55">
                  <c:v>43156</c:v>
                </c:pt>
                <c:pt idx="56">
                  <c:v>43157</c:v>
                </c:pt>
                <c:pt idx="57">
                  <c:v>43158</c:v>
                </c:pt>
                <c:pt idx="58">
                  <c:v>43159</c:v>
                </c:pt>
                <c:pt idx="59">
                  <c:v>43160</c:v>
                </c:pt>
                <c:pt idx="60">
                  <c:v>43161</c:v>
                </c:pt>
                <c:pt idx="61">
                  <c:v>43162</c:v>
                </c:pt>
                <c:pt idx="62">
                  <c:v>43163</c:v>
                </c:pt>
                <c:pt idx="63">
                  <c:v>43164</c:v>
                </c:pt>
                <c:pt idx="64">
                  <c:v>43165</c:v>
                </c:pt>
                <c:pt idx="65">
                  <c:v>43166</c:v>
                </c:pt>
                <c:pt idx="66">
                  <c:v>43167</c:v>
                </c:pt>
                <c:pt idx="67">
                  <c:v>43168</c:v>
                </c:pt>
                <c:pt idx="68">
                  <c:v>43169</c:v>
                </c:pt>
                <c:pt idx="69">
                  <c:v>43170</c:v>
                </c:pt>
                <c:pt idx="70">
                  <c:v>43171</c:v>
                </c:pt>
                <c:pt idx="71">
                  <c:v>43172</c:v>
                </c:pt>
                <c:pt idx="72">
                  <c:v>43173</c:v>
                </c:pt>
                <c:pt idx="73">
                  <c:v>43174</c:v>
                </c:pt>
                <c:pt idx="74">
                  <c:v>43175</c:v>
                </c:pt>
                <c:pt idx="75">
                  <c:v>43176</c:v>
                </c:pt>
                <c:pt idx="76">
                  <c:v>43177</c:v>
                </c:pt>
                <c:pt idx="77">
                  <c:v>43178</c:v>
                </c:pt>
                <c:pt idx="78">
                  <c:v>43179</c:v>
                </c:pt>
                <c:pt idx="79">
                  <c:v>43180</c:v>
                </c:pt>
                <c:pt idx="80">
                  <c:v>43181</c:v>
                </c:pt>
                <c:pt idx="81">
                  <c:v>43182</c:v>
                </c:pt>
                <c:pt idx="82">
                  <c:v>43183</c:v>
                </c:pt>
                <c:pt idx="83">
                  <c:v>43184</c:v>
                </c:pt>
                <c:pt idx="84">
                  <c:v>43185</c:v>
                </c:pt>
                <c:pt idx="85">
                  <c:v>43186</c:v>
                </c:pt>
                <c:pt idx="86">
                  <c:v>43187</c:v>
                </c:pt>
                <c:pt idx="87">
                  <c:v>43188</c:v>
                </c:pt>
                <c:pt idx="88">
                  <c:v>43189</c:v>
                </c:pt>
                <c:pt idx="89">
                  <c:v>43190</c:v>
                </c:pt>
                <c:pt idx="90">
                  <c:v>43191</c:v>
                </c:pt>
                <c:pt idx="91">
                  <c:v>43192</c:v>
                </c:pt>
                <c:pt idx="92">
                  <c:v>43193</c:v>
                </c:pt>
                <c:pt idx="93">
                  <c:v>43194</c:v>
                </c:pt>
                <c:pt idx="94">
                  <c:v>43195</c:v>
                </c:pt>
                <c:pt idx="95">
                  <c:v>43196</c:v>
                </c:pt>
                <c:pt idx="96">
                  <c:v>43197</c:v>
                </c:pt>
                <c:pt idx="97">
                  <c:v>43198</c:v>
                </c:pt>
                <c:pt idx="98">
                  <c:v>43199</c:v>
                </c:pt>
                <c:pt idx="99">
                  <c:v>43200</c:v>
                </c:pt>
                <c:pt idx="100">
                  <c:v>43201</c:v>
                </c:pt>
                <c:pt idx="101">
                  <c:v>43202</c:v>
                </c:pt>
                <c:pt idx="102">
                  <c:v>43203</c:v>
                </c:pt>
                <c:pt idx="103">
                  <c:v>43204</c:v>
                </c:pt>
                <c:pt idx="104">
                  <c:v>43205</c:v>
                </c:pt>
                <c:pt idx="105">
                  <c:v>43206</c:v>
                </c:pt>
                <c:pt idx="106">
                  <c:v>43207</c:v>
                </c:pt>
                <c:pt idx="107">
                  <c:v>43208</c:v>
                </c:pt>
                <c:pt idx="108">
                  <c:v>43209</c:v>
                </c:pt>
                <c:pt idx="109">
                  <c:v>43210</c:v>
                </c:pt>
                <c:pt idx="110">
                  <c:v>43211</c:v>
                </c:pt>
                <c:pt idx="111">
                  <c:v>43212</c:v>
                </c:pt>
                <c:pt idx="112">
                  <c:v>43213</c:v>
                </c:pt>
                <c:pt idx="113">
                  <c:v>43214</c:v>
                </c:pt>
                <c:pt idx="114">
                  <c:v>43215</c:v>
                </c:pt>
                <c:pt idx="115">
                  <c:v>43216</c:v>
                </c:pt>
                <c:pt idx="116">
                  <c:v>43217</c:v>
                </c:pt>
                <c:pt idx="117">
                  <c:v>43218</c:v>
                </c:pt>
                <c:pt idx="118">
                  <c:v>43219</c:v>
                </c:pt>
                <c:pt idx="119">
                  <c:v>43220</c:v>
                </c:pt>
                <c:pt idx="120">
                  <c:v>43221</c:v>
                </c:pt>
                <c:pt idx="121">
                  <c:v>43222</c:v>
                </c:pt>
                <c:pt idx="122">
                  <c:v>43223</c:v>
                </c:pt>
                <c:pt idx="123">
                  <c:v>43224</c:v>
                </c:pt>
                <c:pt idx="124">
                  <c:v>43225</c:v>
                </c:pt>
                <c:pt idx="125">
                  <c:v>43226</c:v>
                </c:pt>
                <c:pt idx="126">
                  <c:v>43227</c:v>
                </c:pt>
                <c:pt idx="127">
                  <c:v>43228</c:v>
                </c:pt>
                <c:pt idx="128">
                  <c:v>43229</c:v>
                </c:pt>
                <c:pt idx="129">
                  <c:v>43230</c:v>
                </c:pt>
                <c:pt idx="130">
                  <c:v>43231</c:v>
                </c:pt>
                <c:pt idx="131">
                  <c:v>43232</c:v>
                </c:pt>
                <c:pt idx="132">
                  <c:v>43233</c:v>
                </c:pt>
                <c:pt idx="133">
                  <c:v>43234</c:v>
                </c:pt>
                <c:pt idx="134">
                  <c:v>43235</c:v>
                </c:pt>
                <c:pt idx="135">
                  <c:v>43236</c:v>
                </c:pt>
                <c:pt idx="136">
                  <c:v>43237</c:v>
                </c:pt>
                <c:pt idx="137">
                  <c:v>43238</c:v>
                </c:pt>
                <c:pt idx="138">
                  <c:v>43239</c:v>
                </c:pt>
                <c:pt idx="139">
                  <c:v>43240</c:v>
                </c:pt>
                <c:pt idx="140">
                  <c:v>43241</c:v>
                </c:pt>
                <c:pt idx="141">
                  <c:v>43242</c:v>
                </c:pt>
                <c:pt idx="142">
                  <c:v>43243</c:v>
                </c:pt>
                <c:pt idx="143">
                  <c:v>43244</c:v>
                </c:pt>
                <c:pt idx="144">
                  <c:v>43245</c:v>
                </c:pt>
                <c:pt idx="145">
                  <c:v>43246</c:v>
                </c:pt>
                <c:pt idx="146">
                  <c:v>43247</c:v>
                </c:pt>
                <c:pt idx="147">
                  <c:v>43248</c:v>
                </c:pt>
                <c:pt idx="148">
                  <c:v>43249</c:v>
                </c:pt>
                <c:pt idx="149">
                  <c:v>43250</c:v>
                </c:pt>
                <c:pt idx="150">
                  <c:v>43251</c:v>
                </c:pt>
                <c:pt idx="151">
                  <c:v>43252</c:v>
                </c:pt>
                <c:pt idx="152">
                  <c:v>43253</c:v>
                </c:pt>
                <c:pt idx="153">
                  <c:v>43254</c:v>
                </c:pt>
                <c:pt idx="154">
                  <c:v>43255</c:v>
                </c:pt>
                <c:pt idx="155">
                  <c:v>43256</c:v>
                </c:pt>
                <c:pt idx="156">
                  <c:v>43257</c:v>
                </c:pt>
                <c:pt idx="157">
                  <c:v>43258</c:v>
                </c:pt>
                <c:pt idx="158">
                  <c:v>43259</c:v>
                </c:pt>
                <c:pt idx="159">
                  <c:v>43260</c:v>
                </c:pt>
                <c:pt idx="160">
                  <c:v>43261</c:v>
                </c:pt>
                <c:pt idx="161">
                  <c:v>43262</c:v>
                </c:pt>
                <c:pt idx="162">
                  <c:v>43263</c:v>
                </c:pt>
                <c:pt idx="163">
                  <c:v>43264</c:v>
                </c:pt>
                <c:pt idx="164">
                  <c:v>43265</c:v>
                </c:pt>
                <c:pt idx="165">
                  <c:v>43266</c:v>
                </c:pt>
                <c:pt idx="166">
                  <c:v>43267</c:v>
                </c:pt>
                <c:pt idx="167">
                  <c:v>43268</c:v>
                </c:pt>
                <c:pt idx="168">
                  <c:v>43269</c:v>
                </c:pt>
                <c:pt idx="169">
                  <c:v>43270</c:v>
                </c:pt>
                <c:pt idx="170">
                  <c:v>43271</c:v>
                </c:pt>
                <c:pt idx="171">
                  <c:v>43272</c:v>
                </c:pt>
                <c:pt idx="172">
                  <c:v>43273</c:v>
                </c:pt>
                <c:pt idx="173">
                  <c:v>43274</c:v>
                </c:pt>
                <c:pt idx="174">
                  <c:v>43275</c:v>
                </c:pt>
                <c:pt idx="175">
                  <c:v>43276</c:v>
                </c:pt>
                <c:pt idx="176">
                  <c:v>43277</c:v>
                </c:pt>
                <c:pt idx="177">
                  <c:v>43278</c:v>
                </c:pt>
                <c:pt idx="178">
                  <c:v>43279</c:v>
                </c:pt>
                <c:pt idx="179">
                  <c:v>43280</c:v>
                </c:pt>
                <c:pt idx="180">
                  <c:v>43281</c:v>
                </c:pt>
                <c:pt idx="181">
                  <c:v>43282</c:v>
                </c:pt>
                <c:pt idx="182">
                  <c:v>43283</c:v>
                </c:pt>
                <c:pt idx="183">
                  <c:v>43284</c:v>
                </c:pt>
                <c:pt idx="184">
                  <c:v>43285</c:v>
                </c:pt>
                <c:pt idx="185">
                  <c:v>43286</c:v>
                </c:pt>
                <c:pt idx="186">
                  <c:v>43287</c:v>
                </c:pt>
                <c:pt idx="187">
                  <c:v>43288</c:v>
                </c:pt>
                <c:pt idx="188">
                  <c:v>43289</c:v>
                </c:pt>
                <c:pt idx="189">
                  <c:v>43290</c:v>
                </c:pt>
                <c:pt idx="190">
                  <c:v>43291</c:v>
                </c:pt>
                <c:pt idx="191">
                  <c:v>43292</c:v>
                </c:pt>
                <c:pt idx="192">
                  <c:v>43293</c:v>
                </c:pt>
                <c:pt idx="193">
                  <c:v>43294</c:v>
                </c:pt>
                <c:pt idx="194">
                  <c:v>43295</c:v>
                </c:pt>
                <c:pt idx="195">
                  <c:v>43296</c:v>
                </c:pt>
                <c:pt idx="196">
                  <c:v>43297</c:v>
                </c:pt>
                <c:pt idx="197">
                  <c:v>43298</c:v>
                </c:pt>
                <c:pt idx="198">
                  <c:v>43299</c:v>
                </c:pt>
                <c:pt idx="199">
                  <c:v>43300</c:v>
                </c:pt>
                <c:pt idx="200">
                  <c:v>43301</c:v>
                </c:pt>
                <c:pt idx="201">
                  <c:v>43302</c:v>
                </c:pt>
                <c:pt idx="202">
                  <c:v>43303</c:v>
                </c:pt>
                <c:pt idx="203">
                  <c:v>43304</c:v>
                </c:pt>
                <c:pt idx="204">
                  <c:v>43305</c:v>
                </c:pt>
                <c:pt idx="205">
                  <c:v>43306</c:v>
                </c:pt>
                <c:pt idx="206">
                  <c:v>43307</c:v>
                </c:pt>
                <c:pt idx="207">
                  <c:v>43308</c:v>
                </c:pt>
                <c:pt idx="208">
                  <c:v>43309</c:v>
                </c:pt>
                <c:pt idx="209">
                  <c:v>43310</c:v>
                </c:pt>
                <c:pt idx="210">
                  <c:v>43311</c:v>
                </c:pt>
                <c:pt idx="211">
                  <c:v>43312</c:v>
                </c:pt>
                <c:pt idx="212">
                  <c:v>43313</c:v>
                </c:pt>
                <c:pt idx="213">
                  <c:v>43314</c:v>
                </c:pt>
                <c:pt idx="214">
                  <c:v>43315</c:v>
                </c:pt>
                <c:pt idx="215">
                  <c:v>43316</c:v>
                </c:pt>
                <c:pt idx="216">
                  <c:v>43317</c:v>
                </c:pt>
                <c:pt idx="217">
                  <c:v>43318</c:v>
                </c:pt>
                <c:pt idx="218">
                  <c:v>43319</c:v>
                </c:pt>
                <c:pt idx="219">
                  <c:v>43320</c:v>
                </c:pt>
                <c:pt idx="220">
                  <c:v>43321</c:v>
                </c:pt>
                <c:pt idx="221">
                  <c:v>43322</c:v>
                </c:pt>
                <c:pt idx="222">
                  <c:v>43323</c:v>
                </c:pt>
                <c:pt idx="223">
                  <c:v>43324</c:v>
                </c:pt>
                <c:pt idx="224">
                  <c:v>43325</c:v>
                </c:pt>
                <c:pt idx="225">
                  <c:v>43326</c:v>
                </c:pt>
                <c:pt idx="226">
                  <c:v>43327</c:v>
                </c:pt>
                <c:pt idx="227">
                  <c:v>43328</c:v>
                </c:pt>
                <c:pt idx="228">
                  <c:v>43329</c:v>
                </c:pt>
                <c:pt idx="229">
                  <c:v>43330</c:v>
                </c:pt>
                <c:pt idx="230">
                  <c:v>43331</c:v>
                </c:pt>
                <c:pt idx="231">
                  <c:v>43332</c:v>
                </c:pt>
                <c:pt idx="232">
                  <c:v>43333</c:v>
                </c:pt>
                <c:pt idx="233">
                  <c:v>43334</c:v>
                </c:pt>
                <c:pt idx="234">
                  <c:v>43335</c:v>
                </c:pt>
                <c:pt idx="235">
                  <c:v>43336</c:v>
                </c:pt>
                <c:pt idx="236">
                  <c:v>43337</c:v>
                </c:pt>
                <c:pt idx="237">
                  <c:v>43338</c:v>
                </c:pt>
                <c:pt idx="238">
                  <c:v>43339</c:v>
                </c:pt>
                <c:pt idx="239">
                  <c:v>43340</c:v>
                </c:pt>
                <c:pt idx="240">
                  <c:v>43341</c:v>
                </c:pt>
                <c:pt idx="241">
                  <c:v>43342</c:v>
                </c:pt>
                <c:pt idx="242">
                  <c:v>43343</c:v>
                </c:pt>
                <c:pt idx="243">
                  <c:v>43344</c:v>
                </c:pt>
                <c:pt idx="244">
                  <c:v>43345</c:v>
                </c:pt>
                <c:pt idx="245">
                  <c:v>43346</c:v>
                </c:pt>
                <c:pt idx="246">
                  <c:v>43347</c:v>
                </c:pt>
                <c:pt idx="247">
                  <c:v>43348</c:v>
                </c:pt>
                <c:pt idx="248">
                  <c:v>43349</c:v>
                </c:pt>
                <c:pt idx="249">
                  <c:v>43350</c:v>
                </c:pt>
                <c:pt idx="250">
                  <c:v>43351</c:v>
                </c:pt>
                <c:pt idx="251">
                  <c:v>43352</c:v>
                </c:pt>
                <c:pt idx="252">
                  <c:v>43353</c:v>
                </c:pt>
                <c:pt idx="253">
                  <c:v>43354</c:v>
                </c:pt>
                <c:pt idx="254">
                  <c:v>43355</c:v>
                </c:pt>
                <c:pt idx="255">
                  <c:v>43356</c:v>
                </c:pt>
                <c:pt idx="256">
                  <c:v>43357</c:v>
                </c:pt>
                <c:pt idx="257">
                  <c:v>43358</c:v>
                </c:pt>
                <c:pt idx="258">
                  <c:v>43359</c:v>
                </c:pt>
                <c:pt idx="259">
                  <c:v>43360</c:v>
                </c:pt>
                <c:pt idx="260">
                  <c:v>43361</c:v>
                </c:pt>
                <c:pt idx="261">
                  <c:v>43362</c:v>
                </c:pt>
                <c:pt idx="262">
                  <c:v>43363</c:v>
                </c:pt>
                <c:pt idx="263">
                  <c:v>43364</c:v>
                </c:pt>
                <c:pt idx="264">
                  <c:v>43365</c:v>
                </c:pt>
                <c:pt idx="265">
                  <c:v>43366</c:v>
                </c:pt>
                <c:pt idx="266">
                  <c:v>43367</c:v>
                </c:pt>
                <c:pt idx="267">
                  <c:v>43368</c:v>
                </c:pt>
                <c:pt idx="268">
                  <c:v>43369</c:v>
                </c:pt>
                <c:pt idx="269">
                  <c:v>43370</c:v>
                </c:pt>
                <c:pt idx="270">
                  <c:v>43371</c:v>
                </c:pt>
                <c:pt idx="271">
                  <c:v>43372</c:v>
                </c:pt>
                <c:pt idx="272">
                  <c:v>43373</c:v>
                </c:pt>
                <c:pt idx="273">
                  <c:v>43374</c:v>
                </c:pt>
                <c:pt idx="274">
                  <c:v>43375</c:v>
                </c:pt>
                <c:pt idx="275">
                  <c:v>43376</c:v>
                </c:pt>
                <c:pt idx="276">
                  <c:v>43377</c:v>
                </c:pt>
                <c:pt idx="277">
                  <c:v>43378</c:v>
                </c:pt>
                <c:pt idx="278">
                  <c:v>43379</c:v>
                </c:pt>
                <c:pt idx="279">
                  <c:v>43380</c:v>
                </c:pt>
                <c:pt idx="280">
                  <c:v>43381</c:v>
                </c:pt>
                <c:pt idx="281">
                  <c:v>43382</c:v>
                </c:pt>
                <c:pt idx="282">
                  <c:v>43383</c:v>
                </c:pt>
                <c:pt idx="283">
                  <c:v>43384</c:v>
                </c:pt>
                <c:pt idx="284">
                  <c:v>43385</c:v>
                </c:pt>
                <c:pt idx="285">
                  <c:v>43386</c:v>
                </c:pt>
                <c:pt idx="286">
                  <c:v>43387</c:v>
                </c:pt>
                <c:pt idx="287">
                  <c:v>43388</c:v>
                </c:pt>
                <c:pt idx="288">
                  <c:v>43389</c:v>
                </c:pt>
                <c:pt idx="289">
                  <c:v>43390</c:v>
                </c:pt>
                <c:pt idx="290">
                  <c:v>43391</c:v>
                </c:pt>
                <c:pt idx="291">
                  <c:v>43392</c:v>
                </c:pt>
                <c:pt idx="292">
                  <c:v>43393</c:v>
                </c:pt>
                <c:pt idx="293">
                  <c:v>43394</c:v>
                </c:pt>
                <c:pt idx="294">
                  <c:v>43395</c:v>
                </c:pt>
                <c:pt idx="295">
                  <c:v>43396</c:v>
                </c:pt>
                <c:pt idx="296">
                  <c:v>43397</c:v>
                </c:pt>
                <c:pt idx="297">
                  <c:v>43398</c:v>
                </c:pt>
                <c:pt idx="298">
                  <c:v>43399</c:v>
                </c:pt>
                <c:pt idx="299">
                  <c:v>43400</c:v>
                </c:pt>
                <c:pt idx="300">
                  <c:v>43401</c:v>
                </c:pt>
                <c:pt idx="301">
                  <c:v>43402</c:v>
                </c:pt>
                <c:pt idx="302">
                  <c:v>43403</c:v>
                </c:pt>
                <c:pt idx="303">
                  <c:v>43404</c:v>
                </c:pt>
                <c:pt idx="304">
                  <c:v>43405</c:v>
                </c:pt>
                <c:pt idx="305">
                  <c:v>43406</c:v>
                </c:pt>
                <c:pt idx="306">
                  <c:v>43407</c:v>
                </c:pt>
                <c:pt idx="307">
                  <c:v>43408</c:v>
                </c:pt>
                <c:pt idx="308">
                  <c:v>43409</c:v>
                </c:pt>
                <c:pt idx="309">
                  <c:v>43410</c:v>
                </c:pt>
                <c:pt idx="310">
                  <c:v>43411</c:v>
                </c:pt>
                <c:pt idx="311">
                  <c:v>43412</c:v>
                </c:pt>
                <c:pt idx="312">
                  <c:v>43413</c:v>
                </c:pt>
                <c:pt idx="313">
                  <c:v>43414</c:v>
                </c:pt>
                <c:pt idx="314">
                  <c:v>43415</c:v>
                </c:pt>
                <c:pt idx="315">
                  <c:v>43416</c:v>
                </c:pt>
                <c:pt idx="316">
                  <c:v>43417</c:v>
                </c:pt>
                <c:pt idx="317">
                  <c:v>43418</c:v>
                </c:pt>
                <c:pt idx="318">
                  <c:v>43419</c:v>
                </c:pt>
                <c:pt idx="319">
                  <c:v>43420</c:v>
                </c:pt>
                <c:pt idx="320">
                  <c:v>43421</c:v>
                </c:pt>
                <c:pt idx="321">
                  <c:v>43422</c:v>
                </c:pt>
                <c:pt idx="322">
                  <c:v>43423</c:v>
                </c:pt>
                <c:pt idx="323">
                  <c:v>43424</c:v>
                </c:pt>
                <c:pt idx="324">
                  <c:v>43425</c:v>
                </c:pt>
                <c:pt idx="325">
                  <c:v>43426</c:v>
                </c:pt>
                <c:pt idx="326">
                  <c:v>43427</c:v>
                </c:pt>
                <c:pt idx="327">
                  <c:v>43428</c:v>
                </c:pt>
                <c:pt idx="328">
                  <c:v>43429</c:v>
                </c:pt>
                <c:pt idx="329">
                  <c:v>43430</c:v>
                </c:pt>
                <c:pt idx="330">
                  <c:v>43431</c:v>
                </c:pt>
                <c:pt idx="331">
                  <c:v>43432</c:v>
                </c:pt>
                <c:pt idx="332">
                  <c:v>43433</c:v>
                </c:pt>
                <c:pt idx="333">
                  <c:v>43434</c:v>
                </c:pt>
                <c:pt idx="334">
                  <c:v>43435</c:v>
                </c:pt>
                <c:pt idx="335">
                  <c:v>43436</c:v>
                </c:pt>
                <c:pt idx="336">
                  <c:v>43437</c:v>
                </c:pt>
                <c:pt idx="337">
                  <c:v>43438</c:v>
                </c:pt>
                <c:pt idx="338">
                  <c:v>43439</c:v>
                </c:pt>
                <c:pt idx="339">
                  <c:v>43440</c:v>
                </c:pt>
                <c:pt idx="340">
                  <c:v>43441</c:v>
                </c:pt>
                <c:pt idx="341">
                  <c:v>43442</c:v>
                </c:pt>
                <c:pt idx="342">
                  <c:v>43443</c:v>
                </c:pt>
                <c:pt idx="343">
                  <c:v>43444</c:v>
                </c:pt>
                <c:pt idx="344">
                  <c:v>43445</c:v>
                </c:pt>
                <c:pt idx="345">
                  <c:v>43446</c:v>
                </c:pt>
                <c:pt idx="346">
                  <c:v>43447</c:v>
                </c:pt>
                <c:pt idx="347">
                  <c:v>43448</c:v>
                </c:pt>
                <c:pt idx="348">
                  <c:v>43449</c:v>
                </c:pt>
                <c:pt idx="349">
                  <c:v>43450</c:v>
                </c:pt>
                <c:pt idx="350">
                  <c:v>43451</c:v>
                </c:pt>
                <c:pt idx="351">
                  <c:v>43452</c:v>
                </c:pt>
                <c:pt idx="352">
                  <c:v>43453</c:v>
                </c:pt>
                <c:pt idx="353">
                  <c:v>43454</c:v>
                </c:pt>
                <c:pt idx="354">
                  <c:v>43455</c:v>
                </c:pt>
                <c:pt idx="355">
                  <c:v>43456</c:v>
                </c:pt>
                <c:pt idx="356">
                  <c:v>43457</c:v>
                </c:pt>
                <c:pt idx="357">
                  <c:v>43458</c:v>
                </c:pt>
                <c:pt idx="358">
                  <c:v>43459</c:v>
                </c:pt>
                <c:pt idx="359">
                  <c:v>43460</c:v>
                </c:pt>
                <c:pt idx="360">
                  <c:v>43461</c:v>
                </c:pt>
                <c:pt idx="361">
                  <c:v>43462</c:v>
                </c:pt>
                <c:pt idx="362">
                  <c:v>43463</c:v>
                </c:pt>
                <c:pt idx="363">
                  <c:v>43464</c:v>
                </c:pt>
                <c:pt idx="364">
                  <c:v>43465</c:v>
                </c:pt>
                <c:pt idx="365">
                  <c:v>43466</c:v>
                </c:pt>
                <c:pt idx="366">
                  <c:v>43467</c:v>
                </c:pt>
                <c:pt idx="367">
                  <c:v>43468</c:v>
                </c:pt>
                <c:pt idx="368">
                  <c:v>43469</c:v>
                </c:pt>
                <c:pt idx="369">
                  <c:v>43470</c:v>
                </c:pt>
                <c:pt idx="370">
                  <c:v>43471</c:v>
                </c:pt>
                <c:pt idx="371">
                  <c:v>43472</c:v>
                </c:pt>
                <c:pt idx="372">
                  <c:v>43473</c:v>
                </c:pt>
                <c:pt idx="373">
                  <c:v>43474</c:v>
                </c:pt>
                <c:pt idx="374">
                  <c:v>43475</c:v>
                </c:pt>
                <c:pt idx="375">
                  <c:v>43476</c:v>
                </c:pt>
                <c:pt idx="376">
                  <c:v>43477</c:v>
                </c:pt>
                <c:pt idx="377">
                  <c:v>43478</c:v>
                </c:pt>
                <c:pt idx="378">
                  <c:v>43479</c:v>
                </c:pt>
                <c:pt idx="379">
                  <c:v>43480</c:v>
                </c:pt>
                <c:pt idx="380">
                  <c:v>43481</c:v>
                </c:pt>
                <c:pt idx="381">
                  <c:v>43482</c:v>
                </c:pt>
                <c:pt idx="382">
                  <c:v>43483</c:v>
                </c:pt>
                <c:pt idx="383">
                  <c:v>43484</c:v>
                </c:pt>
                <c:pt idx="384">
                  <c:v>43485</c:v>
                </c:pt>
                <c:pt idx="385">
                  <c:v>43486</c:v>
                </c:pt>
                <c:pt idx="386">
                  <c:v>43487</c:v>
                </c:pt>
                <c:pt idx="387">
                  <c:v>43488</c:v>
                </c:pt>
                <c:pt idx="388">
                  <c:v>43489</c:v>
                </c:pt>
                <c:pt idx="389">
                  <c:v>43490</c:v>
                </c:pt>
                <c:pt idx="390">
                  <c:v>43491</c:v>
                </c:pt>
                <c:pt idx="391">
                  <c:v>43492</c:v>
                </c:pt>
                <c:pt idx="392">
                  <c:v>43493</c:v>
                </c:pt>
                <c:pt idx="393">
                  <c:v>43494</c:v>
                </c:pt>
                <c:pt idx="394">
                  <c:v>43495</c:v>
                </c:pt>
                <c:pt idx="395">
                  <c:v>43496</c:v>
                </c:pt>
                <c:pt idx="396">
                  <c:v>43497</c:v>
                </c:pt>
                <c:pt idx="397">
                  <c:v>43498</c:v>
                </c:pt>
                <c:pt idx="398">
                  <c:v>43499</c:v>
                </c:pt>
                <c:pt idx="399">
                  <c:v>43500</c:v>
                </c:pt>
                <c:pt idx="400">
                  <c:v>43501</c:v>
                </c:pt>
                <c:pt idx="401">
                  <c:v>43502</c:v>
                </c:pt>
                <c:pt idx="402">
                  <c:v>43503</c:v>
                </c:pt>
                <c:pt idx="403">
                  <c:v>43504</c:v>
                </c:pt>
                <c:pt idx="404">
                  <c:v>43505</c:v>
                </c:pt>
                <c:pt idx="405">
                  <c:v>43506</c:v>
                </c:pt>
                <c:pt idx="406">
                  <c:v>43507</c:v>
                </c:pt>
                <c:pt idx="407">
                  <c:v>43508</c:v>
                </c:pt>
                <c:pt idx="408">
                  <c:v>43509</c:v>
                </c:pt>
                <c:pt idx="409">
                  <c:v>43510</c:v>
                </c:pt>
                <c:pt idx="410">
                  <c:v>43511</c:v>
                </c:pt>
                <c:pt idx="411">
                  <c:v>43512</c:v>
                </c:pt>
                <c:pt idx="412">
                  <c:v>43513</c:v>
                </c:pt>
                <c:pt idx="413">
                  <c:v>43514</c:v>
                </c:pt>
                <c:pt idx="414">
                  <c:v>43515</c:v>
                </c:pt>
                <c:pt idx="415">
                  <c:v>43516</c:v>
                </c:pt>
                <c:pt idx="416">
                  <c:v>43517</c:v>
                </c:pt>
                <c:pt idx="417">
                  <c:v>43518</c:v>
                </c:pt>
                <c:pt idx="418">
                  <c:v>43519</c:v>
                </c:pt>
                <c:pt idx="419">
                  <c:v>43520</c:v>
                </c:pt>
                <c:pt idx="420">
                  <c:v>43521</c:v>
                </c:pt>
                <c:pt idx="421">
                  <c:v>43522</c:v>
                </c:pt>
                <c:pt idx="422">
                  <c:v>43523</c:v>
                </c:pt>
                <c:pt idx="423">
                  <c:v>43524</c:v>
                </c:pt>
                <c:pt idx="424">
                  <c:v>43525</c:v>
                </c:pt>
                <c:pt idx="425">
                  <c:v>43526</c:v>
                </c:pt>
                <c:pt idx="426">
                  <c:v>43527</c:v>
                </c:pt>
                <c:pt idx="427">
                  <c:v>43528</c:v>
                </c:pt>
                <c:pt idx="428">
                  <c:v>43529</c:v>
                </c:pt>
                <c:pt idx="429">
                  <c:v>43530</c:v>
                </c:pt>
                <c:pt idx="430">
                  <c:v>43531</c:v>
                </c:pt>
                <c:pt idx="431">
                  <c:v>43532</c:v>
                </c:pt>
                <c:pt idx="432">
                  <c:v>43533</c:v>
                </c:pt>
                <c:pt idx="433">
                  <c:v>43534</c:v>
                </c:pt>
                <c:pt idx="434">
                  <c:v>43535</c:v>
                </c:pt>
                <c:pt idx="435">
                  <c:v>43536</c:v>
                </c:pt>
                <c:pt idx="436">
                  <c:v>43537</c:v>
                </c:pt>
                <c:pt idx="437">
                  <c:v>43538</c:v>
                </c:pt>
                <c:pt idx="438">
                  <c:v>43539</c:v>
                </c:pt>
                <c:pt idx="439">
                  <c:v>43540</c:v>
                </c:pt>
                <c:pt idx="440">
                  <c:v>43541</c:v>
                </c:pt>
                <c:pt idx="441">
                  <c:v>43542</c:v>
                </c:pt>
                <c:pt idx="442">
                  <c:v>43543</c:v>
                </c:pt>
                <c:pt idx="443">
                  <c:v>43544</c:v>
                </c:pt>
                <c:pt idx="444">
                  <c:v>43545</c:v>
                </c:pt>
                <c:pt idx="445">
                  <c:v>43546</c:v>
                </c:pt>
                <c:pt idx="446">
                  <c:v>43547</c:v>
                </c:pt>
                <c:pt idx="447">
                  <c:v>43548</c:v>
                </c:pt>
                <c:pt idx="448">
                  <c:v>43549</c:v>
                </c:pt>
                <c:pt idx="449">
                  <c:v>43550</c:v>
                </c:pt>
                <c:pt idx="450">
                  <c:v>43551</c:v>
                </c:pt>
                <c:pt idx="451">
                  <c:v>43552</c:v>
                </c:pt>
                <c:pt idx="452">
                  <c:v>43553</c:v>
                </c:pt>
                <c:pt idx="453">
                  <c:v>43554</c:v>
                </c:pt>
                <c:pt idx="454">
                  <c:v>43555</c:v>
                </c:pt>
                <c:pt idx="455">
                  <c:v>43556</c:v>
                </c:pt>
                <c:pt idx="456">
                  <c:v>43557</c:v>
                </c:pt>
                <c:pt idx="457">
                  <c:v>43558</c:v>
                </c:pt>
                <c:pt idx="458">
                  <c:v>43559</c:v>
                </c:pt>
                <c:pt idx="459">
                  <c:v>43560</c:v>
                </c:pt>
                <c:pt idx="460">
                  <c:v>43561</c:v>
                </c:pt>
                <c:pt idx="461">
                  <c:v>43562</c:v>
                </c:pt>
                <c:pt idx="462">
                  <c:v>43563</c:v>
                </c:pt>
                <c:pt idx="463">
                  <c:v>43564</c:v>
                </c:pt>
                <c:pt idx="464">
                  <c:v>43565</c:v>
                </c:pt>
                <c:pt idx="465">
                  <c:v>43566</c:v>
                </c:pt>
                <c:pt idx="466">
                  <c:v>43567</c:v>
                </c:pt>
                <c:pt idx="467">
                  <c:v>43568</c:v>
                </c:pt>
                <c:pt idx="468">
                  <c:v>43569</c:v>
                </c:pt>
                <c:pt idx="469">
                  <c:v>43570</c:v>
                </c:pt>
                <c:pt idx="470">
                  <c:v>43571</c:v>
                </c:pt>
                <c:pt idx="471">
                  <c:v>43572</c:v>
                </c:pt>
                <c:pt idx="472">
                  <c:v>43573</c:v>
                </c:pt>
                <c:pt idx="473">
                  <c:v>43574</c:v>
                </c:pt>
                <c:pt idx="474">
                  <c:v>43575</c:v>
                </c:pt>
                <c:pt idx="475">
                  <c:v>43576</c:v>
                </c:pt>
                <c:pt idx="476">
                  <c:v>43577</c:v>
                </c:pt>
                <c:pt idx="477">
                  <c:v>43578</c:v>
                </c:pt>
                <c:pt idx="478">
                  <c:v>43579</c:v>
                </c:pt>
                <c:pt idx="479">
                  <c:v>43580</c:v>
                </c:pt>
                <c:pt idx="480">
                  <c:v>43581</c:v>
                </c:pt>
                <c:pt idx="481">
                  <c:v>43582</c:v>
                </c:pt>
                <c:pt idx="482">
                  <c:v>43583</c:v>
                </c:pt>
                <c:pt idx="483">
                  <c:v>43584</c:v>
                </c:pt>
                <c:pt idx="484">
                  <c:v>43585</c:v>
                </c:pt>
                <c:pt idx="485">
                  <c:v>43586</c:v>
                </c:pt>
                <c:pt idx="486">
                  <c:v>43587</c:v>
                </c:pt>
                <c:pt idx="487">
                  <c:v>43588</c:v>
                </c:pt>
                <c:pt idx="488">
                  <c:v>43589</c:v>
                </c:pt>
                <c:pt idx="489">
                  <c:v>43590</c:v>
                </c:pt>
                <c:pt idx="490">
                  <c:v>43591</c:v>
                </c:pt>
                <c:pt idx="491">
                  <c:v>43592</c:v>
                </c:pt>
                <c:pt idx="492">
                  <c:v>43593</c:v>
                </c:pt>
                <c:pt idx="493">
                  <c:v>43594</c:v>
                </c:pt>
                <c:pt idx="494">
                  <c:v>43595</c:v>
                </c:pt>
                <c:pt idx="495">
                  <c:v>43596</c:v>
                </c:pt>
                <c:pt idx="496">
                  <c:v>43597</c:v>
                </c:pt>
                <c:pt idx="497">
                  <c:v>43598</c:v>
                </c:pt>
                <c:pt idx="498">
                  <c:v>43599</c:v>
                </c:pt>
                <c:pt idx="499">
                  <c:v>43600</c:v>
                </c:pt>
                <c:pt idx="500">
                  <c:v>43601</c:v>
                </c:pt>
                <c:pt idx="501">
                  <c:v>43602</c:v>
                </c:pt>
                <c:pt idx="502">
                  <c:v>43603</c:v>
                </c:pt>
                <c:pt idx="503">
                  <c:v>43604</c:v>
                </c:pt>
                <c:pt idx="504">
                  <c:v>43605</c:v>
                </c:pt>
                <c:pt idx="505">
                  <c:v>43606</c:v>
                </c:pt>
                <c:pt idx="506">
                  <c:v>43607</c:v>
                </c:pt>
                <c:pt idx="507">
                  <c:v>43608</c:v>
                </c:pt>
                <c:pt idx="508">
                  <c:v>43609</c:v>
                </c:pt>
                <c:pt idx="509">
                  <c:v>43610</c:v>
                </c:pt>
                <c:pt idx="510">
                  <c:v>43611</c:v>
                </c:pt>
                <c:pt idx="511">
                  <c:v>43612</c:v>
                </c:pt>
                <c:pt idx="512">
                  <c:v>43613</c:v>
                </c:pt>
                <c:pt idx="513">
                  <c:v>43614</c:v>
                </c:pt>
                <c:pt idx="514">
                  <c:v>43615</c:v>
                </c:pt>
                <c:pt idx="515">
                  <c:v>43616</c:v>
                </c:pt>
                <c:pt idx="516">
                  <c:v>43617</c:v>
                </c:pt>
                <c:pt idx="517">
                  <c:v>43618</c:v>
                </c:pt>
                <c:pt idx="518">
                  <c:v>43619</c:v>
                </c:pt>
                <c:pt idx="519">
                  <c:v>43620</c:v>
                </c:pt>
                <c:pt idx="520">
                  <c:v>43621</c:v>
                </c:pt>
                <c:pt idx="521">
                  <c:v>43622</c:v>
                </c:pt>
                <c:pt idx="522">
                  <c:v>43623</c:v>
                </c:pt>
                <c:pt idx="523">
                  <c:v>43624</c:v>
                </c:pt>
                <c:pt idx="524">
                  <c:v>43625</c:v>
                </c:pt>
                <c:pt idx="525">
                  <c:v>43626</c:v>
                </c:pt>
                <c:pt idx="526">
                  <c:v>43627</c:v>
                </c:pt>
                <c:pt idx="527">
                  <c:v>43628</c:v>
                </c:pt>
                <c:pt idx="528">
                  <c:v>43629</c:v>
                </c:pt>
                <c:pt idx="529">
                  <c:v>43630</c:v>
                </c:pt>
                <c:pt idx="530">
                  <c:v>43631</c:v>
                </c:pt>
                <c:pt idx="531">
                  <c:v>43632</c:v>
                </c:pt>
                <c:pt idx="532">
                  <c:v>43633</c:v>
                </c:pt>
                <c:pt idx="533">
                  <c:v>43634</c:v>
                </c:pt>
                <c:pt idx="534">
                  <c:v>43635</c:v>
                </c:pt>
                <c:pt idx="535">
                  <c:v>43636</c:v>
                </c:pt>
                <c:pt idx="536">
                  <c:v>43637</c:v>
                </c:pt>
                <c:pt idx="537">
                  <c:v>43638</c:v>
                </c:pt>
                <c:pt idx="538">
                  <c:v>43639</c:v>
                </c:pt>
                <c:pt idx="539">
                  <c:v>43640</c:v>
                </c:pt>
                <c:pt idx="540">
                  <c:v>43641</c:v>
                </c:pt>
                <c:pt idx="541">
                  <c:v>43642</c:v>
                </c:pt>
                <c:pt idx="542">
                  <c:v>43643</c:v>
                </c:pt>
                <c:pt idx="543">
                  <c:v>43644</c:v>
                </c:pt>
                <c:pt idx="544">
                  <c:v>43645</c:v>
                </c:pt>
                <c:pt idx="545">
                  <c:v>43646</c:v>
                </c:pt>
                <c:pt idx="546">
                  <c:v>43647</c:v>
                </c:pt>
                <c:pt idx="547">
                  <c:v>43648</c:v>
                </c:pt>
                <c:pt idx="548">
                  <c:v>43649</c:v>
                </c:pt>
                <c:pt idx="549">
                  <c:v>43650</c:v>
                </c:pt>
                <c:pt idx="550">
                  <c:v>43651</c:v>
                </c:pt>
                <c:pt idx="551">
                  <c:v>43652</c:v>
                </c:pt>
                <c:pt idx="552">
                  <c:v>43653</c:v>
                </c:pt>
                <c:pt idx="553">
                  <c:v>43654</c:v>
                </c:pt>
                <c:pt idx="554">
                  <c:v>43655</c:v>
                </c:pt>
                <c:pt idx="555">
                  <c:v>43656</c:v>
                </c:pt>
                <c:pt idx="556">
                  <c:v>43657</c:v>
                </c:pt>
                <c:pt idx="557">
                  <c:v>43658</c:v>
                </c:pt>
                <c:pt idx="558">
                  <c:v>43659</c:v>
                </c:pt>
                <c:pt idx="559">
                  <c:v>43660</c:v>
                </c:pt>
                <c:pt idx="560">
                  <c:v>43661</c:v>
                </c:pt>
                <c:pt idx="561">
                  <c:v>43662</c:v>
                </c:pt>
                <c:pt idx="562">
                  <c:v>43663</c:v>
                </c:pt>
                <c:pt idx="563">
                  <c:v>43664</c:v>
                </c:pt>
                <c:pt idx="564">
                  <c:v>43665</c:v>
                </c:pt>
                <c:pt idx="565">
                  <c:v>43666</c:v>
                </c:pt>
                <c:pt idx="566">
                  <c:v>43667</c:v>
                </c:pt>
                <c:pt idx="567">
                  <c:v>43668</c:v>
                </c:pt>
                <c:pt idx="568">
                  <c:v>43669</c:v>
                </c:pt>
                <c:pt idx="569">
                  <c:v>43670</c:v>
                </c:pt>
                <c:pt idx="570">
                  <c:v>43671</c:v>
                </c:pt>
                <c:pt idx="571">
                  <c:v>43672</c:v>
                </c:pt>
                <c:pt idx="572">
                  <c:v>43673</c:v>
                </c:pt>
                <c:pt idx="573">
                  <c:v>43674</c:v>
                </c:pt>
                <c:pt idx="574">
                  <c:v>43675</c:v>
                </c:pt>
                <c:pt idx="575">
                  <c:v>43676</c:v>
                </c:pt>
                <c:pt idx="576">
                  <c:v>43677</c:v>
                </c:pt>
                <c:pt idx="577">
                  <c:v>43678</c:v>
                </c:pt>
                <c:pt idx="578">
                  <c:v>43679</c:v>
                </c:pt>
                <c:pt idx="579">
                  <c:v>43680</c:v>
                </c:pt>
                <c:pt idx="580">
                  <c:v>43681</c:v>
                </c:pt>
                <c:pt idx="581">
                  <c:v>43682</c:v>
                </c:pt>
                <c:pt idx="582">
                  <c:v>43683</c:v>
                </c:pt>
                <c:pt idx="583">
                  <c:v>43684</c:v>
                </c:pt>
                <c:pt idx="584">
                  <c:v>43685</c:v>
                </c:pt>
                <c:pt idx="585">
                  <c:v>43686</c:v>
                </c:pt>
                <c:pt idx="586">
                  <c:v>43687</c:v>
                </c:pt>
                <c:pt idx="587">
                  <c:v>43688</c:v>
                </c:pt>
                <c:pt idx="588">
                  <c:v>43689</c:v>
                </c:pt>
                <c:pt idx="589">
                  <c:v>43690</c:v>
                </c:pt>
                <c:pt idx="590">
                  <c:v>43691</c:v>
                </c:pt>
                <c:pt idx="591">
                  <c:v>43692</c:v>
                </c:pt>
                <c:pt idx="592">
                  <c:v>43693</c:v>
                </c:pt>
                <c:pt idx="593">
                  <c:v>43694</c:v>
                </c:pt>
                <c:pt idx="594">
                  <c:v>43695</c:v>
                </c:pt>
                <c:pt idx="595">
                  <c:v>43696</c:v>
                </c:pt>
                <c:pt idx="596">
                  <c:v>43697</c:v>
                </c:pt>
                <c:pt idx="597">
                  <c:v>43698</c:v>
                </c:pt>
                <c:pt idx="598">
                  <c:v>43699</c:v>
                </c:pt>
                <c:pt idx="599">
                  <c:v>43700</c:v>
                </c:pt>
                <c:pt idx="600">
                  <c:v>43701</c:v>
                </c:pt>
                <c:pt idx="601">
                  <c:v>43702</c:v>
                </c:pt>
                <c:pt idx="602">
                  <c:v>43703</c:v>
                </c:pt>
                <c:pt idx="603">
                  <c:v>43704</c:v>
                </c:pt>
                <c:pt idx="604">
                  <c:v>43705</c:v>
                </c:pt>
                <c:pt idx="605">
                  <c:v>43706</c:v>
                </c:pt>
                <c:pt idx="606">
                  <c:v>43707</c:v>
                </c:pt>
                <c:pt idx="607">
                  <c:v>43708</c:v>
                </c:pt>
                <c:pt idx="608">
                  <c:v>43709</c:v>
                </c:pt>
                <c:pt idx="609">
                  <c:v>43710</c:v>
                </c:pt>
                <c:pt idx="610">
                  <c:v>43711</c:v>
                </c:pt>
                <c:pt idx="611">
                  <c:v>43712</c:v>
                </c:pt>
                <c:pt idx="612">
                  <c:v>43713</c:v>
                </c:pt>
                <c:pt idx="613">
                  <c:v>43714</c:v>
                </c:pt>
                <c:pt idx="614">
                  <c:v>43715</c:v>
                </c:pt>
                <c:pt idx="615">
                  <c:v>43716</c:v>
                </c:pt>
                <c:pt idx="616">
                  <c:v>43717</c:v>
                </c:pt>
                <c:pt idx="617">
                  <c:v>43718</c:v>
                </c:pt>
                <c:pt idx="618">
                  <c:v>43719</c:v>
                </c:pt>
                <c:pt idx="619">
                  <c:v>43720</c:v>
                </c:pt>
                <c:pt idx="620">
                  <c:v>43721</c:v>
                </c:pt>
                <c:pt idx="621">
                  <c:v>43722</c:v>
                </c:pt>
                <c:pt idx="622">
                  <c:v>43723</c:v>
                </c:pt>
                <c:pt idx="623">
                  <c:v>43724</c:v>
                </c:pt>
                <c:pt idx="624">
                  <c:v>43725</c:v>
                </c:pt>
                <c:pt idx="625">
                  <c:v>43726</c:v>
                </c:pt>
                <c:pt idx="626">
                  <c:v>43727</c:v>
                </c:pt>
                <c:pt idx="627">
                  <c:v>43728</c:v>
                </c:pt>
                <c:pt idx="628">
                  <c:v>43729</c:v>
                </c:pt>
                <c:pt idx="629">
                  <c:v>43730</c:v>
                </c:pt>
                <c:pt idx="630">
                  <c:v>43731</c:v>
                </c:pt>
                <c:pt idx="631">
                  <c:v>43732</c:v>
                </c:pt>
                <c:pt idx="632">
                  <c:v>43733</c:v>
                </c:pt>
                <c:pt idx="633">
                  <c:v>43734</c:v>
                </c:pt>
                <c:pt idx="634">
                  <c:v>43735</c:v>
                </c:pt>
                <c:pt idx="635">
                  <c:v>43736</c:v>
                </c:pt>
                <c:pt idx="636">
                  <c:v>43737</c:v>
                </c:pt>
                <c:pt idx="637">
                  <c:v>43738</c:v>
                </c:pt>
                <c:pt idx="638">
                  <c:v>43739</c:v>
                </c:pt>
                <c:pt idx="639">
                  <c:v>43740</c:v>
                </c:pt>
                <c:pt idx="640">
                  <c:v>43741</c:v>
                </c:pt>
                <c:pt idx="641">
                  <c:v>43742</c:v>
                </c:pt>
                <c:pt idx="642">
                  <c:v>43743</c:v>
                </c:pt>
                <c:pt idx="643">
                  <c:v>43744</c:v>
                </c:pt>
                <c:pt idx="644">
                  <c:v>43745</c:v>
                </c:pt>
                <c:pt idx="645">
                  <c:v>43746</c:v>
                </c:pt>
                <c:pt idx="646">
                  <c:v>43747</c:v>
                </c:pt>
                <c:pt idx="647">
                  <c:v>43748</c:v>
                </c:pt>
                <c:pt idx="648">
                  <c:v>43749</c:v>
                </c:pt>
                <c:pt idx="649">
                  <c:v>43750</c:v>
                </c:pt>
                <c:pt idx="650">
                  <c:v>43751</c:v>
                </c:pt>
                <c:pt idx="651">
                  <c:v>43752</c:v>
                </c:pt>
                <c:pt idx="652">
                  <c:v>43753</c:v>
                </c:pt>
                <c:pt idx="653">
                  <c:v>43754</c:v>
                </c:pt>
                <c:pt idx="654">
                  <c:v>43755</c:v>
                </c:pt>
                <c:pt idx="655">
                  <c:v>43756</c:v>
                </c:pt>
                <c:pt idx="656">
                  <c:v>43757</c:v>
                </c:pt>
                <c:pt idx="657">
                  <c:v>43758</c:v>
                </c:pt>
                <c:pt idx="658">
                  <c:v>43759</c:v>
                </c:pt>
                <c:pt idx="659">
                  <c:v>43760</c:v>
                </c:pt>
                <c:pt idx="660">
                  <c:v>43761</c:v>
                </c:pt>
                <c:pt idx="661">
                  <c:v>43762</c:v>
                </c:pt>
                <c:pt idx="662">
                  <c:v>43763</c:v>
                </c:pt>
                <c:pt idx="663">
                  <c:v>43764</c:v>
                </c:pt>
                <c:pt idx="664">
                  <c:v>43765</c:v>
                </c:pt>
                <c:pt idx="665">
                  <c:v>43766</c:v>
                </c:pt>
                <c:pt idx="666">
                  <c:v>43767</c:v>
                </c:pt>
                <c:pt idx="667">
                  <c:v>43768</c:v>
                </c:pt>
                <c:pt idx="668">
                  <c:v>43769</c:v>
                </c:pt>
                <c:pt idx="669">
                  <c:v>43770</c:v>
                </c:pt>
                <c:pt idx="670">
                  <c:v>43771</c:v>
                </c:pt>
                <c:pt idx="671">
                  <c:v>43772</c:v>
                </c:pt>
                <c:pt idx="672">
                  <c:v>43773</c:v>
                </c:pt>
                <c:pt idx="673">
                  <c:v>43774</c:v>
                </c:pt>
                <c:pt idx="674">
                  <c:v>43775</c:v>
                </c:pt>
                <c:pt idx="675">
                  <c:v>43776</c:v>
                </c:pt>
                <c:pt idx="676">
                  <c:v>43777</c:v>
                </c:pt>
                <c:pt idx="677">
                  <c:v>43778</c:v>
                </c:pt>
                <c:pt idx="678">
                  <c:v>43779</c:v>
                </c:pt>
                <c:pt idx="679">
                  <c:v>43780</c:v>
                </c:pt>
                <c:pt idx="680">
                  <c:v>43781</c:v>
                </c:pt>
                <c:pt idx="681">
                  <c:v>43782</c:v>
                </c:pt>
                <c:pt idx="682">
                  <c:v>43783</c:v>
                </c:pt>
                <c:pt idx="683">
                  <c:v>43784</c:v>
                </c:pt>
                <c:pt idx="684">
                  <c:v>43785</c:v>
                </c:pt>
                <c:pt idx="685">
                  <c:v>43786</c:v>
                </c:pt>
                <c:pt idx="686">
                  <c:v>43787</c:v>
                </c:pt>
                <c:pt idx="687">
                  <c:v>43788</c:v>
                </c:pt>
                <c:pt idx="688">
                  <c:v>43789</c:v>
                </c:pt>
                <c:pt idx="689">
                  <c:v>43790</c:v>
                </c:pt>
                <c:pt idx="690">
                  <c:v>43791</c:v>
                </c:pt>
                <c:pt idx="691">
                  <c:v>43792</c:v>
                </c:pt>
                <c:pt idx="692">
                  <c:v>43793</c:v>
                </c:pt>
                <c:pt idx="693">
                  <c:v>43794</c:v>
                </c:pt>
                <c:pt idx="694">
                  <c:v>43795</c:v>
                </c:pt>
                <c:pt idx="695">
                  <c:v>43796</c:v>
                </c:pt>
                <c:pt idx="696">
                  <c:v>43797</c:v>
                </c:pt>
                <c:pt idx="697">
                  <c:v>43798</c:v>
                </c:pt>
                <c:pt idx="698">
                  <c:v>43799</c:v>
                </c:pt>
                <c:pt idx="699">
                  <c:v>43800</c:v>
                </c:pt>
                <c:pt idx="700">
                  <c:v>43801</c:v>
                </c:pt>
                <c:pt idx="701">
                  <c:v>43802</c:v>
                </c:pt>
                <c:pt idx="702">
                  <c:v>43803</c:v>
                </c:pt>
                <c:pt idx="703">
                  <c:v>43804</c:v>
                </c:pt>
                <c:pt idx="704">
                  <c:v>43805</c:v>
                </c:pt>
                <c:pt idx="705">
                  <c:v>43806</c:v>
                </c:pt>
                <c:pt idx="706">
                  <c:v>43807</c:v>
                </c:pt>
                <c:pt idx="707">
                  <c:v>43808</c:v>
                </c:pt>
                <c:pt idx="708">
                  <c:v>43809</c:v>
                </c:pt>
                <c:pt idx="709">
                  <c:v>43810</c:v>
                </c:pt>
                <c:pt idx="710">
                  <c:v>43811</c:v>
                </c:pt>
                <c:pt idx="711">
                  <c:v>43812</c:v>
                </c:pt>
                <c:pt idx="712">
                  <c:v>43813</c:v>
                </c:pt>
                <c:pt idx="713">
                  <c:v>43814</c:v>
                </c:pt>
                <c:pt idx="714">
                  <c:v>43815</c:v>
                </c:pt>
                <c:pt idx="715">
                  <c:v>43816</c:v>
                </c:pt>
                <c:pt idx="716">
                  <c:v>43817</c:v>
                </c:pt>
                <c:pt idx="717">
                  <c:v>43818</c:v>
                </c:pt>
                <c:pt idx="718">
                  <c:v>43819</c:v>
                </c:pt>
                <c:pt idx="719">
                  <c:v>43820</c:v>
                </c:pt>
                <c:pt idx="720">
                  <c:v>43821</c:v>
                </c:pt>
                <c:pt idx="721">
                  <c:v>43822</c:v>
                </c:pt>
                <c:pt idx="722">
                  <c:v>43823</c:v>
                </c:pt>
                <c:pt idx="723">
                  <c:v>43824</c:v>
                </c:pt>
                <c:pt idx="724">
                  <c:v>43825</c:v>
                </c:pt>
                <c:pt idx="725">
                  <c:v>43826</c:v>
                </c:pt>
                <c:pt idx="726">
                  <c:v>43827</c:v>
                </c:pt>
                <c:pt idx="727">
                  <c:v>43828</c:v>
                </c:pt>
                <c:pt idx="728">
                  <c:v>43829</c:v>
                </c:pt>
                <c:pt idx="729">
                  <c:v>43830</c:v>
                </c:pt>
                <c:pt idx="730">
                  <c:v>43831</c:v>
                </c:pt>
                <c:pt idx="731">
                  <c:v>43832</c:v>
                </c:pt>
                <c:pt idx="732">
                  <c:v>43833</c:v>
                </c:pt>
                <c:pt idx="733">
                  <c:v>43834</c:v>
                </c:pt>
                <c:pt idx="734">
                  <c:v>43835</c:v>
                </c:pt>
                <c:pt idx="735">
                  <c:v>43836</c:v>
                </c:pt>
                <c:pt idx="736">
                  <c:v>43837</c:v>
                </c:pt>
                <c:pt idx="737">
                  <c:v>43838</c:v>
                </c:pt>
                <c:pt idx="738">
                  <c:v>43839</c:v>
                </c:pt>
                <c:pt idx="739">
                  <c:v>43840</c:v>
                </c:pt>
                <c:pt idx="740">
                  <c:v>43841</c:v>
                </c:pt>
                <c:pt idx="741">
                  <c:v>43842</c:v>
                </c:pt>
                <c:pt idx="742">
                  <c:v>43843</c:v>
                </c:pt>
                <c:pt idx="743">
                  <c:v>43844</c:v>
                </c:pt>
                <c:pt idx="744">
                  <c:v>43845</c:v>
                </c:pt>
                <c:pt idx="745">
                  <c:v>43846</c:v>
                </c:pt>
                <c:pt idx="746">
                  <c:v>43847</c:v>
                </c:pt>
                <c:pt idx="747">
                  <c:v>43848</c:v>
                </c:pt>
                <c:pt idx="748">
                  <c:v>43849</c:v>
                </c:pt>
                <c:pt idx="749">
                  <c:v>43850</c:v>
                </c:pt>
                <c:pt idx="750">
                  <c:v>43851</c:v>
                </c:pt>
                <c:pt idx="751">
                  <c:v>43852</c:v>
                </c:pt>
                <c:pt idx="752">
                  <c:v>43853</c:v>
                </c:pt>
                <c:pt idx="753">
                  <c:v>43854</c:v>
                </c:pt>
                <c:pt idx="754">
                  <c:v>43855</c:v>
                </c:pt>
                <c:pt idx="755">
                  <c:v>43856</c:v>
                </c:pt>
                <c:pt idx="756">
                  <c:v>43857</c:v>
                </c:pt>
                <c:pt idx="757">
                  <c:v>43858</c:v>
                </c:pt>
                <c:pt idx="758">
                  <c:v>43859</c:v>
                </c:pt>
                <c:pt idx="759">
                  <c:v>43860</c:v>
                </c:pt>
                <c:pt idx="760">
                  <c:v>43861</c:v>
                </c:pt>
                <c:pt idx="761">
                  <c:v>43862</c:v>
                </c:pt>
                <c:pt idx="762">
                  <c:v>43863</c:v>
                </c:pt>
                <c:pt idx="763">
                  <c:v>43864</c:v>
                </c:pt>
                <c:pt idx="764">
                  <c:v>43865</c:v>
                </c:pt>
                <c:pt idx="765">
                  <c:v>43866</c:v>
                </c:pt>
                <c:pt idx="766">
                  <c:v>43867</c:v>
                </c:pt>
                <c:pt idx="767">
                  <c:v>43868</c:v>
                </c:pt>
                <c:pt idx="768">
                  <c:v>43869</c:v>
                </c:pt>
                <c:pt idx="769">
                  <c:v>43870</c:v>
                </c:pt>
                <c:pt idx="770">
                  <c:v>43871</c:v>
                </c:pt>
                <c:pt idx="771">
                  <c:v>43872</c:v>
                </c:pt>
                <c:pt idx="772">
                  <c:v>43873</c:v>
                </c:pt>
                <c:pt idx="773">
                  <c:v>43874</c:v>
                </c:pt>
                <c:pt idx="774">
                  <c:v>43875</c:v>
                </c:pt>
                <c:pt idx="775">
                  <c:v>43876</c:v>
                </c:pt>
                <c:pt idx="776">
                  <c:v>43877</c:v>
                </c:pt>
                <c:pt idx="777">
                  <c:v>43878</c:v>
                </c:pt>
                <c:pt idx="778">
                  <c:v>43879</c:v>
                </c:pt>
                <c:pt idx="779">
                  <c:v>43880</c:v>
                </c:pt>
                <c:pt idx="780">
                  <c:v>43881</c:v>
                </c:pt>
                <c:pt idx="781">
                  <c:v>43882</c:v>
                </c:pt>
                <c:pt idx="782">
                  <c:v>43883</c:v>
                </c:pt>
                <c:pt idx="783">
                  <c:v>43884</c:v>
                </c:pt>
                <c:pt idx="784">
                  <c:v>43885</c:v>
                </c:pt>
                <c:pt idx="785">
                  <c:v>43886</c:v>
                </c:pt>
                <c:pt idx="786">
                  <c:v>43887</c:v>
                </c:pt>
                <c:pt idx="787">
                  <c:v>43888</c:v>
                </c:pt>
                <c:pt idx="788">
                  <c:v>43889</c:v>
                </c:pt>
                <c:pt idx="789">
                  <c:v>43890</c:v>
                </c:pt>
                <c:pt idx="790">
                  <c:v>43891</c:v>
                </c:pt>
                <c:pt idx="791">
                  <c:v>43892</c:v>
                </c:pt>
                <c:pt idx="792">
                  <c:v>43893</c:v>
                </c:pt>
                <c:pt idx="793">
                  <c:v>43894</c:v>
                </c:pt>
                <c:pt idx="794">
                  <c:v>43895</c:v>
                </c:pt>
                <c:pt idx="795">
                  <c:v>43896</c:v>
                </c:pt>
                <c:pt idx="796">
                  <c:v>43897</c:v>
                </c:pt>
                <c:pt idx="797">
                  <c:v>43898</c:v>
                </c:pt>
                <c:pt idx="798">
                  <c:v>43899</c:v>
                </c:pt>
                <c:pt idx="799">
                  <c:v>43900</c:v>
                </c:pt>
                <c:pt idx="800">
                  <c:v>43901</c:v>
                </c:pt>
                <c:pt idx="801">
                  <c:v>43902</c:v>
                </c:pt>
                <c:pt idx="802">
                  <c:v>43903</c:v>
                </c:pt>
                <c:pt idx="803">
                  <c:v>43904</c:v>
                </c:pt>
                <c:pt idx="804">
                  <c:v>43905</c:v>
                </c:pt>
                <c:pt idx="805">
                  <c:v>43906</c:v>
                </c:pt>
                <c:pt idx="806">
                  <c:v>43907</c:v>
                </c:pt>
                <c:pt idx="807">
                  <c:v>43908</c:v>
                </c:pt>
                <c:pt idx="808">
                  <c:v>43909</c:v>
                </c:pt>
                <c:pt idx="809">
                  <c:v>43910</c:v>
                </c:pt>
                <c:pt idx="810">
                  <c:v>43911</c:v>
                </c:pt>
                <c:pt idx="811">
                  <c:v>43912</c:v>
                </c:pt>
                <c:pt idx="812">
                  <c:v>43913</c:v>
                </c:pt>
                <c:pt idx="813">
                  <c:v>43914</c:v>
                </c:pt>
                <c:pt idx="814">
                  <c:v>43915</c:v>
                </c:pt>
                <c:pt idx="815">
                  <c:v>43916</c:v>
                </c:pt>
                <c:pt idx="816">
                  <c:v>43917</c:v>
                </c:pt>
                <c:pt idx="817">
                  <c:v>43918</c:v>
                </c:pt>
                <c:pt idx="818">
                  <c:v>43919</c:v>
                </c:pt>
                <c:pt idx="819">
                  <c:v>43920</c:v>
                </c:pt>
                <c:pt idx="820">
                  <c:v>43921</c:v>
                </c:pt>
                <c:pt idx="821">
                  <c:v>43922</c:v>
                </c:pt>
                <c:pt idx="822">
                  <c:v>43923</c:v>
                </c:pt>
                <c:pt idx="823">
                  <c:v>43924</c:v>
                </c:pt>
                <c:pt idx="824">
                  <c:v>43925</c:v>
                </c:pt>
                <c:pt idx="825">
                  <c:v>43926</c:v>
                </c:pt>
                <c:pt idx="826">
                  <c:v>43927</c:v>
                </c:pt>
                <c:pt idx="827">
                  <c:v>43928</c:v>
                </c:pt>
                <c:pt idx="828">
                  <c:v>43929</c:v>
                </c:pt>
                <c:pt idx="829">
                  <c:v>43930</c:v>
                </c:pt>
                <c:pt idx="830">
                  <c:v>43931</c:v>
                </c:pt>
                <c:pt idx="831">
                  <c:v>43932</c:v>
                </c:pt>
                <c:pt idx="832">
                  <c:v>43933</c:v>
                </c:pt>
                <c:pt idx="833">
                  <c:v>43934</c:v>
                </c:pt>
                <c:pt idx="834">
                  <c:v>43935</c:v>
                </c:pt>
                <c:pt idx="835">
                  <c:v>43936</c:v>
                </c:pt>
                <c:pt idx="836">
                  <c:v>43937</c:v>
                </c:pt>
                <c:pt idx="837">
                  <c:v>43938</c:v>
                </c:pt>
                <c:pt idx="838">
                  <c:v>43939</c:v>
                </c:pt>
                <c:pt idx="839">
                  <c:v>43940</c:v>
                </c:pt>
                <c:pt idx="840">
                  <c:v>43941</c:v>
                </c:pt>
                <c:pt idx="841">
                  <c:v>43942</c:v>
                </c:pt>
                <c:pt idx="842">
                  <c:v>43943</c:v>
                </c:pt>
                <c:pt idx="843">
                  <c:v>43944</c:v>
                </c:pt>
                <c:pt idx="844">
                  <c:v>43945</c:v>
                </c:pt>
                <c:pt idx="845">
                  <c:v>43946</c:v>
                </c:pt>
                <c:pt idx="846">
                  <c:v>43947</c:v>
                </c:pt>
                <c:pt idx="847">
                  <c:v>43948</c:v>
                </c:pt>
                <c:pt idx="848">
                  <c:v>43949</c:v>
                </c:pt>
                <c:pt idx="849">
                  <c:v>43950</c:v>
                </c:pt>
                <c:pt idx="850">
                  <c:v>43951</c:v>
                </c:pt>
                <c:pt idx="851">
                  <c:v>43952</c:v>
                </c:pt>
                <c:pt idx="852">
                  <c:v>43953</c:v>
                </c:pt>
                <c:pt idx="853">
                  <c:v>43954</c:v>
                </c:pt>
                <c:pt idx="854">
                  <c:v>43955</c:v>
                </c:pt>
                <c:pt idx="855">
                  <c:v>43956</c:v>
                </c:pt>
                <c:pt idx="856">
                  <c:v>43957</c:v>
                </c:pt>
                <c:pt idx="857">
                  <c:v>43958</c:v>
                </c:pt>
                <c:pt idx="858">
                  <c:v>43959</c:v>
                </c:pt>
                <c:pt idx="859">
                  <c:v>43960</c:v>
                </c:pt>
                <c:pt idx="860">
                  <c:v>43961</c:v>
                </c:pt>
                <c:pt idx="861">
                  <c:v>43962</c:v>
                </c:pt>
                <c:pt idx="862">
                  <c:v>43963</c:v>
                </c:pt>
                <c:pt idx="863">
                  <c:v>43964</c:v>
                </c:pt>
                <c:pt idx="864">
                  <c:v>43965</c:v>
                </c:pt>
                <c:pt idx="865">
                  <c:v>43966</c:v>
                </c:pt>
                <c:pt idx="866">
                  <c:v>43967</c:v>
                </c:pt>
                <c:pt idx="867">
                  <c:v>43968</c:v>
                </c:pt>
                <c:pt idx="868">
                  <c:v>43969</c:v>
                </c:pt>
                <c:pt idx="869">
                  <c:v>43970</c:v>
                </c:pt>
                <c:pt idx="870">
                  <c:v>43971</c:v>
                </c:pt>
                <c:pt idx="871">
                  <c:v>43972</c:v>
                </c:pt>
                <c:pt idx="872">
                  <c:v>43973</c:v>
                </c:pt>
                <c:pt idx="873">
                  <c:v>43974</c:v>
                </c:pt>
                <c:pt idx="874">
                  <c:v>43975</c:v>
                </c:pt>
                <c:pt idx="875">
                  <c:v>43976</c:v>
                </c:pt>
                <c:pt idx="876">
                  <c:v>43977</c:v>
                </c:pt>
                <c:pt idx="877">
                  <c:v>43978</c:v>
                </c:pt>
                <c:pt idx="878">
                  <c:v>43979</c:v>
                </c:pt>
                <c:pt idx="879">
                  <c:v>43980</c:v>
                </c:pt>
                <c:pt idx="880">
                  <c:v>43981</c:v>
                </c:pt>
                <c:pt idx="881">
                  <c:v>43982</c:v>
                </c:pt>
                <c:pt idx="882">
                  <c:v>43983</c:v>
                </c:pt>
                <c:pt idx="883">
                  <c:v>43984</c:v>
                </c:pt>
                <c:pt idx="884">
                  <c:v>43985</c:v>
                </c:pt>
                <c:pt idx="885">
                  <c:v>43986</c:v>
                </c:pt>
                <c:pt idx="886">
                  <c:v>43987</c:v>
                </c:pt>
                <c:pt idx="887">
                  <c:v>43988</c:v>
                </c:pt>
                <c:pt idx="888">
                  <c:v>43989</c:v>
                </c:pt>
                <c:pt idx="889">
                  <c:v>43990</c:v>
                </c:pt>
                <c:pt idx="890">
                  <c:v>43991</c:v>
                </c:pt>
                <c:pt idx="891">
                  <c:v>43992</c:v>
                </c:pt>
                <c:pt idx="892">
                  <c:v>43993</c:v>
                </c:pt>
                <c:pt idx="893">
                  <c:v>43994</c:v>
                </c:pt>
                <c:pt idx="894">
                  <c:v>43995</c:v>
                </c:pt>
                <c:pt idx="895">
                  <c:v>43996</c:v>
                </c:pt>
                <c:pt idx="896">
                  <c:v>43997</c:v>
                </c:pt>
                <c:pt idx="897">
                  <c:v>43998</c:v>
                </c:pt>
                <c:pt idx="898">
                  <c:v>43999</c:v>
                </c:pt>
                <c:pt idx="899">
                  <c:v>44000</c:v>
                </c:pt>
                <c:pt idx="900">
                  <c:v>44001</c:v>
                </c:pt>
                <c:pt idx="901">
                  <c:v>44002</c:v>
                </c:pt>
                <c:pt idx="902">
                  <c:v>44003</c:v>
                </c:pt>
                <c:pt idx="903">
                  <c:v>44004</c:v>
                </c:pt>
                <c:pt idx="904">
                  <c:v>44005</c:v>
                </c:pt>
                <c:pt idx="905">
                  <c:v>44006</c:v>
                </c:pt>
                <c:pt idx="906">
                  <c:v>44007</c:v>
                </c:pt>
                <c:pt idx="907">
                  <c:v>44008</c:v>
                </c:pt>
                <c:pt idx="908">
                  <c:v>44009</c:v>
                </c:pt>
                <c:pt idx="909">
                  <c:v>44010</c:v>
                </c:pt>
                <c:pt idx="910">
                  <c:v>44011</c:v>
                </c:pt>
                <c:pt idx="911">
                  <c:v>44012</c:v>
                </c:pt>
                <c:pt idx="912">
                  <c:v>44013</c:v>
                </c:pt>
                <c:pt idx="913">
                  <c:v>44014</c:v>
                </c:pt>
                <c:pt idx="914">
                  <c:v>44015</c:v>
                </c:pt>
                <c:pt idx="915">
                  <c:v>44016</c:v>
                </c:pt>
                <c:pt idx="916">
                  <c:v>44017</c:v>
                </c:pt>
                <c:pt idx="917">
                  <c:v>44018</c:v>
                </c:pt>
                <c:pt idx="918">
                  <c:v>44019</c:v>
                </c:pt>
                <c:pt idx="919">
                  <c:v>44020</c:v>
                </c:pt>
                <c:pt idx="920">
                  <c:v>44021</c:v>
                </c:pt>
                <c:pt idx="921">
                  <c:v>44022</c:v>
                </c:pt>
                <c:pt idx="922">
                  <c:v>44023</c:v>
                </c:pt>
                <c:pt idx="923">
                  <c:v>44024</c:v>
                </c:pt>
                <c:pt idx="924">
                  <c:v>44025</c:v>
                </c:pt>
                <c:pt idx="925">
                  <c:v>44026</c:v>
                </c:pt>
                <c:pt idx="926">
                  <c:v>44027</c:v>
                </c:pt>
                <c:pt idx="927">
                  <c:v>44028</c:v>
                </c:pt>
                <c:pt idx="928">
                  <c:v>44029</c:v>
                </c:pt>
                <c:pt idx="929">
                  <c:v>44030</c:v>
                </c:pt>
                <c:pt idx="930">
                  <c:v>44031</c:v>
                </c:pt>
                <c:pt idx="931">
                  <c:v>44032</c:v>
                </c:pt>
                <c:pt idx="932">
                  <c:v>44033</c:v>
                </c:pt>
                <c:pt idx="933">
                  <c:v>44034</c:v>
                </c:pt>
                <c:pt idx="934">
                  <c:v>44035</c:v>
                </c:pt>
                <c:pt idx="935">
                  <c:v>44036</c:v>
                </c:pt>
                <c:pt idx="936">
                  <c:v>44037</c:v>
                </c:pt>
                <c:pt idx="937">
                  <c:v>44038</c:v>
                </c:pt>
                <c:pt idx="938">
                  <c:v>44039</c:v>
                </c:pt>
                <c:pt idx="939">
                  <c:v>44040</c:v>
                </c:pt>
                <c:pt idx="940">
                  <c:v>44041</c:v>
                </c:pt>
                <c:pt idx="941">
                  <c:v>44042</c:v>
                </c:pt>
                <c:pt idx="942">
                  <c:v>44043</c:v>
                </c:pt>
                <c:pt idx="943">
                  <c:v>44044</c:v>
                </c:pt>
                <c:pt idx="944">
                  <c:v>44045</c:v>
                </c:pt>
                <c:pt idx="945">
                  <c:v>44046</c:v>
                </c:pt>
                <c:pt idx="946">
                  <c:v>44047</c:v>
                </c:pt>
                <c:pt idx="947">
                  <c:v>44048</c:v>
                </c:pt>
                <c:pt idx="948">
                  <c:v>44049</c:v>
                </c:pt>
                <c:pt idx="949">
                  <c:v>44050</c:v>
                </c:pt>
                <c:pt idx="950">
                  <c:v>44051</c:v>
                </c:pt>
                <c:pt idx="951">
                  <c:v>44052</c:v>
                </c:pt>
                <c:pt idx="952">
                  <c:v>44053</c:v>
                </c:pt>
                <c:pt idx="953">
                  <c:v>44054</c:v>
                </c:pt>
                <c:pt idx="954">
                  <c:v>44055</c:v>
                </c:pt>
                <c:pt idx="955">
                  <c:v>44056</c:v>
                </c:pt>
                <c:pt idx="956">
                  <c:v>44057</c:v>
                </c:pt>
                <c:pt idx="957">
                  <c:v>44058</c:v>
                </c:pt>
                <c:pt idx="958">
                  <c:v>44059</c:v>
                </c:pt>
                <c:pt idx="959">
                  <c:v>44060</c:v>
                </c:pt>
                <c:pt idx="960">
                  <c:v>44061</c:v>
                </c:pt>
                <c:pt idx="961">
                  <c:v>44062</c:v>
                </c:pt>
                <c:pt idx="962">
                  <c:v>44063</c:v>
                </c:pt>
                <c:pt idx="963">
                  <c:v>44064</c:v>
                </c:pt>
                <c:pt idx="964">
                  <c:v>44065</c:v>
                </c:pt>
                <c:pt idx="965">
                  <c:v>44066</c:v>
                </c:pt>
                <c:pt idx="966">
                  <c:v>44067</c:v>
                </c:pt>
                <c:pt idx="967">
                  <c:v>44068</c:v>
                </c:pt>
                <c:pt idx="968">
                  <c:v>44069</c:v>
                </c:pt>
                <c:pt idx="969">
                  <c:v>44070</c:v>
                </c:pt>
                <c:pt idx="970">
                  <c:v>44071</c:v>
                </c:pt>
                <c:pt idx="971">
                  <c:v>44072</c:v>
                </c:pt>
                <c:pt idx="972">
                  <c:v>44073</c:v>
                </c:pt>
                <c:pt idx="973">
                  <c:v>44074</c:v>
                </c:pt>
                <c:pt idx="974">
                  <c:v>44075</c:v>
                </c:pt>
                <c:pt idx="975">
                  <c:v>44076</c:v>
                </c:pt>
                <c:pt idx="976">
                  <c:v>44077</c:v>
                </c:pt>
                <c:pt idx="977">
                  <c:v>44078</c:v>
                </c:pt>
                <c:pt idx="978">
                  <c:v>44079</c:v>
                </c:pt>
                <c:pt idx="979">
                  <c:v>44080</c:v>
                </c:pt>
                <c:pt idx="980">
                  <c:v>44081</c:v>
                </c:pt>
                <c:pt idx="981">
                  <c:v>44082</c:v>
                </c:pt>
                <c:pt idx="982">
                  <c:v>44083</c:v>
                </c:pt>
                <c:pt idx="983">
                  <c:v>44084</c:v>
                </c:pt>
                <c:pt idx="984">
                  <c:v>44085</c:v>
                </c:pt>
                <c:pt idx="985">
                  <c:v>44086</c:v>
                </c:pt>
                <c:pt idx="986">
                  <c:v>44087</c:v>
                </c:pt>
                <c:pt idx="987">
                  <c:v>44088</c:v>
                </c:pt>
                <c:pt idx="988">
                  <c:v>44089</c:v>
                </c:pt>
                <c:pt idx="989">
                  <c:v>44090</c:v>
                </c:pt>
                <c:pt idx="990">
                  <c:v>44091</c:v>
                </c:pt>
                <c:pt idx="991">
                  <c:v>44092</c:v>
                </c:pt>
                <c:pt idx="992">
                  <c:v>44093</c:v>
                </c:pt>
                <c:pt idx="993">
                  <c:v>44094</c:v>
                </c:pt>
                <c:pt idx="994">
                  <c:v>44095</c:v>
                </c:pt>
                <c:pt idx="995">
                  <c:v>44096</c:v>
                </c:pt>
                <c:pt idx="996">
                  <c:v>44097</c:v>
                </c:pt>
                <c:pt idx="997">
                  <c:v>44098</c:v>
                </c:pt>
                <c:pt idx="998">
                  <c:v>44099</c:v>
                </c:pt>
                <c:pt idx="999">
                  <c:v>44100</c:v>
                </c:pt>
                <c:pt idx="1000">
                  <c:v>44101</c:v>
                </c:pt>
                <c:pt idx="1001">
                  <c:v>44102</c:v>
                </c:pt>
                <c:pt idx="1002">
                  <c:v>44103</c:v>
                </c:pt>
                <c:pt idx="1003">
                  <c:v>44104</c:v>
                </c:pt>
                <c:pt idx="1004">
                  <c:v>44105</c:v>
                </c:pt>
                <c:pt idx="1005">
                  <c:v>44106</c:v>
                </c:pt>
                <c:pt idx="1006">
                  <c:v>44107</c:v>
                </c:pt>
                <c:pt idx="1007">
                  <c:v>44108</c:v>
                </c:pt>
                <c:pt idx="1008">
                  <c:v>44109</c:v>
                </c:pt>
                <c:pt idx="1009">
                  <c:v>44110</c:v>
                </c:pt>
                <c:pt idx="1010">
                  <c:v>44111</c:v>
                </c:pt>
                <c:pt idx="1011">
                  <c:v>44112</c:v>
                </c:pt>
                <c:pt idx="1012">
                  <c:v>44113</c:v>
                </c:pt>
                <c:pt idx="1013">
                  <c:v>44114</c:v>
                </c:pt>
                <c:pt idx="1014">
                  <c:v>44115</c:v>
                </c:pt>
                <c:pt idx="1015">
                  <c:v>44116</c:v>
                </c:pt>
                <c:pt idx="1016">
                  <c:v>44117</c:v>
                </c:pt>
                <c:pt idx="1017">
                  <c:v>44118</c:v>
                </c:pt>
                <c:pt idx="1018">
                  <c:v>44119</c:v>
                </c:pt>
                <c:pt idx="1019">
                  <c:v>44120</c:v>
                </c:pt>
                <c:pt idx="1020">
                  <c:v>44121</c:v>
                </c:pt>
                <c:pt idx="1021">
                  <c:v>44122</c:v>
                </c:pt>
                <c:pt idx="1022">
                  <c:v>44123</c:v>
                </c:pt>
                <c:pt idx="1023">
                  <c:v>44124</c:v>
                </c:pt>
                <c:pt idx="1024">
                  <c:v>44125</c:v>
                </c:pt>
                <c:pt idx="1025">
                  <c:v>44126</c:v>
                </c:pt>
                <c:pt idx="1026">
                  <c:v>44127</c:v>
                </c:pt>
                <c:pt idx="1027">
                  <c:v>44128</c:v>
                </c:pt>
                <c:pt idx="1028">
                  <c:v>44129</c:v>
                </c:pt>
                <c:pt idx="1029">
                  <c:v>44130</c:v>
                </c:pt>
                <c:pt idx="1030">
                  <c:v>44131</c:v>
                </c:pt>
                <c:pt idx="1031">
                  <c:v>44132</c:v>
                </c:pt>
                <c:pt idx="1032">
                  <c:v>44133</c:v>
                </c:pt>
                <c:pt idx="1033">
                  <c:v>44134</c:v>
                </c:pt>
                <c:pt idx="1034">
                  <c:v>44135</c:v>
                </c:pt>
                <c:pt idx="1035">
                  <c:v>44136</c:v>
                </c:pt>
                <c:pt idx="1036">
                  <c:v>44137</c:v>
                </c:pt>
                <c:pt idx="1037">
                  <c:v>44138</c:v>
                </c:pt>
                <c:pt idx="1038">
                  <c:v>44139</c:v>
                </c:pt>
                <c:pt idx="1039">
                  <c:v>44140</c:v>
                </c:pt>
                <c:pt idx="1040">
                  <c:v>44141</c:v>
                </c:pt>
                <c:pt idx="1041">
                  <c:v>44142</c:v>
                </c:pt>
                <c:pt idx="1042">
                  <c:v>44143</c:v>
                </c:pt>
                <c:pt idx="1043">
                  <c:v>44144</c:v>
                </c:pt>
                <c:pt idx="1044">
                  <c:v>44145</c:v>
                </c:pt>
                <c:pt idx="1045">
                  <c:v>44146</c:v>
                </c:pt>
                <c:pt idx="1046">
                  <c:v>44147</c:v>
                </c:pt>
                <c:pt idx="1047">
                  <c:v>44148</c:v>
                </c:pt>
                <c:pt idx="1048">
                  <c:v>44149</c:v>
                </c:pt>
                <c:pt idx="1049">
                  <c:v>44150</c:v>
                </c:pt>
                <c:pt idx="1050">
                  <c:v>44151</c:v>
                </c:pt>
                <c:pt idx="1051">
                  <c:v>44152</c:v>
                </c:pt>
                <c:pt idx="1052">
                  <c:v>44153</c:v>
                </c:pt>
                <c:pt idx="1053">
                  <c:v>44154</c:v>
                </c:pt>
                <c:pt idx="1054">
                  <c:v>44155</c:v>
                </c:pt>
                <c:pt idx="1055">
                  <c:v>44156</c:v>
                </c:pt>
                <c:pt idx="1056">
                  <c:v>44157</c:v>
                </c:pt>
                <c:pt idx="1057">
                  <c:v>44158</c:v>
                </c:pt>
                <c:pt idx="1058">
                  <c:v>44159</c:v>
                </c:pt>
                <c:pt idx="1059">
                  <c:v>44160</c:v>
                </c:pt>
                <c:pt idx="1060">
                  <c:v>44161</c:v>
                </c:pt>
                <c:pt idx="1061">
                  <c:v>44162</c:v>
                </c:pt>
                <c:pt idx="1062">
                  <c:v>44163</c:v>
                </c:pt>
                <c:pt idx="1063">
                  <c:v>44164</c:v>
                </c:pt>
                <c:pt idx="1064">
                  <c:v>44165</c:v>
                </c:pt>
                <c:pt idx="1065">
                  <c:v>44166</c:v>
                </c:pt>
                <c:pt idx="1066">
                  <c:v>44167</c:v>
                </c:pt>
                <c:pt idx="1067">
                  <c:v>44168</c:v>
                </c:pt>
                <c:pt idx="1068">
                  <c:v>44169</c:v>
                </c:pt>
                <c:pt idx="1069">
                  <c:v>44170</c:v>
                </c:pt>
                <c:pt idx="1070">
                  <c:v>44171</c:v>
                </c:pt>
                <c:pt idx="1071">
                  <c:v>44172</c:v>
                </c:pt>
                <c:pt idx="1072">
                  <c:v>44173</c:v>
                </c:pt>
                <c:pt idx="1073">
                  <c:v>44174</c:v>
                </c:pt>
                <c:pt idx="1074">
                  <c:v>44175</c:v>
                </c:pt>
                <c:pt idx="1075">
                  <c:v>44176</c:v>
                </c:pt>
                <c:pt idx="1076">
                  <c:v>44177</c:v>
                </c:pt>
                <c:pt idx="1077">
                  <c:v>44178</c:v>
                </c:pt>
                <c:pt idx="1078">
                  <c:v>44179</c:v>
                </c:pt>
                <c:pt idx="1079">
                  <c:v>44180</c:v>
                </c:pt>
                <c:pt idx="1080">
                  <c:v>44181</c:v>
                </c:pt>
                <c:pt idx="1081">
                  <c:v>44182</c:v>
                </c:pt>
                <c:pt idx="1082">
                  <c:v>44183</c:v>
                </c:pt>
                <c:pt idx="1083">
                  <c:v>44184</c:v>
                </c:pt>
                <c:pt idx="1084">
                  <c:v>44185</c:v>
                </c:pt>
                <c:pt idx="1085">
                  <c:v>44186</c:v>
                </c:pt>
                <c:pt idx="1086">
                  <c:v>44187</c:v>
                </c:pt>
                <c:pt idx="1087">
                  <c:v>44188</c:v>
                </c:pt>
                <c:pt idx="1088">
                  <c:v>44189</c:v>
                </c:pt>
                <c:pt idx="1089">
                  <c:v>44190</c:v>
                </c:pt>
                <c:pt idx="1090">
                  <c:v>44191</c:v>
                </c:pt>
                <c:pt idx="1091">
                  <c:v>44192</c:v>
                </c:pt>
                <c:pt idx="1092">
                  <c:v>44193</c:v>
                </c:pt>
                <c:pt idx="1093">
                  <c:v>44194</c:v>
                </c:pt>
                <c:pt idx="1094">
                  <c:v>44195</c:v>
                </c:pt>
                <c:pt idx="1095">
                  <c:v>44196</c:v>
                </c:pt>
                <c:pt idx="1096">
                  <c:v>44197</c:v>
                </c:pt>
                <c:pt idx="1097">
                  <c:v>44198</c:v>
                </c:pt>
                <c:pt idx="1098">
                  <c:v>44199</c:v>
                </c:pt>
                <c:pt idx="1099">
                  <c:v>44200</c:v>
                </c:pt>
                <c:pt idx="1100">
                  <c:v>44201</c:v>
                </c:pt>
                <c:pt idx="1101">
                  <c:v>44202</c:v>
                </c:pt>
                <c:pt idx="1102">
                  <c:v>44203</c:v>
                </c:pt>
                <c:pt idx="1103">
                  <c:v>44204</c:v>
                </c:pt>
                <c:pt idx="1104">
                  <c:v>44205</c:v>
                </c:pt>
                <c:pt idx="1105">
                  <c:v>44206</c:v>
                </c:pt>
                <c:pt idx="1106">
                  <c:v>44207</c:v>
                </c:pt>
                <c:pt idx="1107">
                  <c:v>44208</c:v>
                </c:pt>
                <c:pt idx="1108">
                  <c:v>44209</c:v>
                </c:pt>
                <c:pt idx="1109">
                  <c:v>44210</c:v>
                </c:pt>
                <c:pt idx="1110">
                  <c:v>44211</c:v>
                </c:pt>
                <c:pt idx="1111">
                  <c:v>44212</c:v>
                </c:pt>
                <c:pt idx="1112">
                  <c:v>44213</c:v>
                </c:pt>
                <c:pt idx="1113">
                  <c:v>44214</c:v>
                </c:pt>
                <c:pt idx="1114">
                  <c:v>44215</c:v>
                </c:pt>
                <c:pt idx="1115">
                  <c:v>44216</c:v>
                </c:pt>
                <c:pt idx="1116">
                  <c:v>44217</c:v>
                </c:pt>
                <c:pt idx="1117">
                  <c:v>44218</c:v>
                </c:pt>
                <c:pt idx="1118">
                  <c:v>44219</c:v>
                </c:pt>
                <c:pt idx="1119">
                  <c:v>44220</c:v>
                </c:pt>
                <c:pt idx="1120">
                  <c:v>44221</c:v>
                </c:pt>
                <c:pt idx="1121">
                  <c:v>44222</c:v>
                </c:pt>
                <c:pt idx="1122">
                  <c:v>44223</c:v>
                </c:pt>
                <c:pt idx="1123">
                  <c:v>44224</c:v>
                </c:pt>
                <c:pt idx="1124">
                  <c:v>44225</c:v>
                </c:pt>
                <c:pt idx="1125">
                  <c:v>44226</c:v>
                </c:pt>
                <c:pt idx="1126">
                  <c:v>44227</c:v>
                </c:pt>
                <c:pt idx="1127">
                  <c:v>44228</c:v>
                </c:pt>
                <c:pt idx="1128">
                  <c:v>44229</c:v>
                </c:pt>
                <c:pt idx="1129">
                  <c:v>44230</c:v>
                </c:pt>
                <c:pt idx="1130">
                  <c:v>44231</c:v>
                </c:pt>
                <c:pt idx="1131">
                  <c:v>44232</c:v>
                </c:pt>
                <c:pt idx="1132">
                  <c:v>44233</c:v>
                </c:pt>
                <c:pt idx="1133">
                  <c:v>44234</c:v>
                </c:pt>
                <c:pt idx="1134">
                  <c:v>44235</c:v>
                </c:pt>
                <c:pt idx="1135">
                  <c:v>44236</c:v>
                </c:pt>
                <c:pt idx="1136">
                  <c:v>44237</c:v>
                </c:pt>
                <c:pt idx="1137">
                  <c:v>44238</c:v>
                </c:pt>
                <c:pt idx="1138">
                  <c:v>44239</c:v>
                </c:pt>
                <c:pt idx="1139">
                  <c:v>44240</c:v>
                </c:pt>
                <c:pt idx="1140">
                  <c:v>44241</c:v>
                </c:pt>
                <c:pt idx="1141">
                  <c:v>44242</c:v>
                </c:pt>
                <c:pt idx="1142">
                  <c:v>44243</c:v>
                </c:pt>
                <c:pt idx="1143">
                  <c:v>44244</c:v>
                </c:pt>
                <c:pt idx="1144">
                  <c:v>44245</c:v>
                </c:pt>
                <c:pt idx="1145">
                  <c:v>44246</c:v>
                </c:pt>
                <c:pt idx="1146">
                  <c:v>44247</c:v>
                </c:pt>
                <c:pt idx="1147">
                  <c:v>44248</c:v>
                </c:pt>
                <c:pt idx="1148">
                  <c:v>44249</c:v>
                </c:pt>
                <c:pt idx="1149">
                  <c:v>44250</c:v>
                </c:pt>
                <c:pt idx="1150">
                  <c:v>44251</c:v>
                </c:pt>
                <c:pt idx="1151">
                  <c:v>44252</c:v>
                </c:pt>
                <c:pt idx="1152">
                  <c:v>44253</c:v>
                </c:pt>
                <c:pt idx="1153">
                  <c:v>44254</c:v>
                </c:pt>
                <c:pt idx="1154">
                  <c:v>44255</c:v>
                </c:pt>
                <c:pt idx="1155">
                  <c:v>44256</c:v>
                </c:pt>
                <c:pt idx="1156">
                  <c:v>44257</c:v>
                </c:pt>
                <c:pt idx="1157">
                  <c:v>44258</c:v>
                </c:pt>
                <c:pt idx="1158">
                  <c:v>44259</c:v>
                </c:pt>
                <c:pt idx="1159">
                  <c:v>44260</c:v>
                </c:pt>
                <c:pt idx="1160">
                  <c:v>44261</c:v>
                </c:pt>
                <c:pt idx="1161">
                  <c:v>44262</c:v>
                </c:pt>
                <c:pt idx="1162">
                  <c:v>44263</c:v>
                </c:pt>
                <c:pt idx="1163">
                  <c:v>44264</c:v>
                </c:pt>
                <c:pt idx="1164">
                  <c:v>44265</c:v>
                </c:pt>
                <c:pt idx="1165">
                  <c:v>44266</c:v>
                </c:pt>
                <c:pt idx="1166">
                  <c:v>44267</c:v>
                </c:pt>
                <c:pt idx="1167">
                  <c:v>44268</c:v>
                </c:pt>
                <c:pt idx="1168">
                  <c:v>44269</c:v>
                </c:pt>
                <c:pt idx="1169">
                  <c:v>44270</c:v>
                </c:pt>
                <c:pt idx="1170">
                  <c:v>44271</c:v>
                </c:pt>
                <c:pt idx="1171">
                  <c:v>44272</c:v>
                </c:pt>
                <c:pt idx="1172">
                  <c:v>44273</c:v>
                </c:pt>
                <c:pt idx="1173">
                  <c:v>44274</c:v>
                </c:pt>
                <c:pt idx="1174">
                  <c:v>44275</c:v>
                </c:pt>
                <c:pt idx="1175">
                  <c:v>44276</c:v>
                </c:pt>
                <c:pt idx="1176">
                  <c:v>44277</c:v>
                </c:pt>
                <c:pt idx="1177">
                  <c:v>44278</c:v>
                </c:pt>
                <c:pt idx="1178">
                  <c:v>44279</c:v>
                </c:pt>
                <c:pt idx="1179">
                  <c:v>44280</c:v>
                </c:pt>
                <c:pt idx="1180">
                  <c:v>44281</c:v>
                </c:pt>
                <c:pt idx="1181">
                  <c:v>44282</c:v>
                </c:pt>
                <c:pt idx="1182">
                  <c:v>44283</c:v>
                </c:pt>
                <c:pt idx="1183">
                  <c:v>44284</c:v>
                </c:pt>
                <c:pt idx="1184">
                  <c:v>44285</c:v>
                </c:pt>
                <c:pt idx="1185">
                  <c:v>44286</c:v>
                </c:pt>
                <c:pt idx="1186">
                  <c:v>44287</c:v>
                </c:pt>
                <c:pt idx="1187">
                  <c:v>44288</c:v>
                </c:pt>
                <c:pt idx="1188">
                  <c:v>44289</c:v>
                </c:pt>
                <c:pt idx="1189">
                  <c:v>44290</c:v>
                </c:pt>
                <c:pt idx="1190">
                  <c:v>44291</c:v>
                </c:pt>
                <c:pt idx="1191">
                  <c:v>44292</c:v>
                </c:pt>
                <c:pt idx="1192">
                  <c:v>44293</c:v>
                </c:pt>
                <c:pt idx="1193">
                  <c:v>44294</c:v>
                </c:pt>
                <c:pt idx="1194">
                  <c:v>44295</c:v>
                </c:pt>
                <c:pt idx="1195">
                  <c:v>44296</c:v>
                </c:pt>
                <c:pt idx="1196">
                  <c:v>44297</c:v>
                </c:pt>
                <c:pt idx="1197">
                  <c:v>44298</c:v>
                </c:pt>
                <c:pt idx="1198">
                  <c:v>44299</c:v>
                </c:pt>
                <c:pt idx="1199">
                  <c:v>44300</c:v>
                </c:pt>
                <c:pt idx="1200">
                  <c:v>44301</c:v>
                </c:pt>
                <c:pt idx="1201">
                  <c:v>44302</c:v>
                </c:pt>
                <c:pt idx="1202">
                  <c:v>44303</c:v>
                </c:pt>
                <c:pt idx="1203">
                  <c:v>44304</c:v>
                </c:pt>
                <c:pt idx="1204">
                  <c:v>44305</c:v>
                </c:pt>
                <c:pt idx="1205">
                  <c:v>44306</c:v>
                </c:pt>
                <c:pt idx="1206">
                  <c:v>44307</c:v>
                </c:pt>
                <c:pt idx="1207">
                  <c:v>44308</c:v>
                </c:pt>
                <c:pt idx="1208">
                  <c:v>44309</c:v>
                </c:pt>
                <c:pt idx="1209">
                  <c:v>44310</c:v>
                </c:pt>
                <c:pt idx="1210">
                  <c:v>44311</c:v>
                </c:pt>
                <c:pt idx="1211">
                  <c:v>44312</c:v>
                </c:pt>
                <c:pt idx="1212">
                  <c:v>44313</c:v>
                </c:pt>
                <c:pt idx="1213">
                  <c:v>44314</c:v>
                </c:pt>
                <c:pt idx="1214">
                  <c:v>44315</c:v>
                </c:pt>
                <c:pt idx="1215">
                  <c:v>44316</c:v>
                </c:pt>
                <c:pt idx="1216">
                  <c:v>44317</c:v>
                </c:pt>
                <c:pt idx="1217">
                  <c:v>44318</c:v>
                </c:pt>
                <c:pt idx="1218">
                  <c:v>44319</c:v>
                </c:pt>
                <c:pt idx="1219">
                  <c:v>44320</c:v>
                </c:pt>
                <c:pt idx="1220">
                  <c:v>44321</c:v>
                </c:pt>
                <c:pt idx="1221">
                  <c:v>44322</c:v>
                </c:pt>
                <c:pt idx="1222">
                  <c:v>44323</c:v>
                </c:pt>
                <c:pt idx="1223">
                  <c:v>44324</c:v>
                </c:pt>
                <c:pt idx="1224">
                  <c:v>44325</c:v>
                </c:pt>
                <c:pt idx="1225">
                  <c:v>44326</c:v>
                </c:pt>
                <c:pt idx="1226">
                  <c:v>44327</c:v>
                </c:pt>
                <c:pt idx="1227">
                  <c:v>44328</c:v>
                </c:pt>
                <c:pt idx="1228">
                  <c:v>44329</c:v>
                </c:pt>
                <c:pt idx="1229">
                  <c:v>44330</c:v>
                </c:pt>
                <c:pt idx="1230">
                  <c:v>44331</c:v>
                </c:pt>
                <c:pt idx="1231">
                  <c:v>44332</c:v>
                </c:pt>
                <c:pt idx="1232">
                  <c:v>44333</c:v>
                </c:pt>
                <c:pt idx="1233">
                  <c:v>44334</c:v>
                </c:pt>
                <c:pt idx="1234">
                  <c:v>44335</c:v>
                </c:pt>
                <c:pt idx="1235">
                  <c:v>44336</c:v>
                </c:pt>
                <c:pt idx="1236">
                  <c:v>44337</c:v>
                </c:pt>
                <c:pt idx="1237">
                  <c:v>44338</c:v>
                </c:pt>
                <c:pt idx="1238">
                  <c:v>44339</c:v>
                </c:pt>
                <c:pt idx="1239">
                  <c:v>44340</c:v>
                </c:pt>
                <c:pt idx="1240">
                  <c:v>44341</c:v>
                </c:pt>
                <c:pt idx="1241">
                  <c:v>44342</c:v>
                </c:pt>
                <c:pt idx="1242">
                  <c:v>44343</c:v>
                </c:pt>
                <c:pt idx="1243">
                  <c:v>44344</c:v>
                </c:pt>
                <c:pt idx="1244">
                  <c:v>44345</c:v>
                </c:pt>
                <c:pt idx="1245">
                  <c:v>44346</c:v>
                </c:pt>
                <c:pt idx="1246">
                  <c:v>44347</c:v>
                </c:pt>
                <c:pt idx="1247">
                  <c:v>44348</c:v>
                </c:pt>
                <c:pt idx="1248">
                  <c:v>44349</c:v>
                </c:pt>
                <c:pt idx="1249">
                  <c:v>44350</c:v>
                </c:pt>
                <c:pt idx="1250">
                  <c:v>44351</c:v>
                </c:pt>
                <c:pt idx="1251">
                  <c:v>44352</c:v>
                </c:pt>
                <c:pt idx="1252">
                  <c:v>44353</c:v>
                </c:pt>
                <c:pt idx="1253">
                  <c:v>44354</c:v>
                </c:pt>
                <c:pt idx="1254">
                  <c:v>44355</c:v>
                </c:pt>
                <c:pt idx="1255">
                  <c:v>44356</c:v>
                </c:pt>
                <c:pt idx="1256">
                  <c:v>44357</c:v>
                </c:pt>
                <c:pt idx="1257">
                  <c:v>44358</c:v>
                </c:pt>
                <c:pt idx="1258">
                  <c:v>44359</c:v>
                </c:pt>
                <c:pt idx="1259">
                  <c:v>44360</c:v>
                </c:pt>
                <c:pt idx="1260">
                  <c:v>44361</c:v>
                </c:pt>
                <c:pt idx="1261">
                  <c:v>44362</c:v>
                </c:pt>
                <c:pt idx="1262">
                  <c:v>44363</c:v>
                </c:pt>
                <c:pt idx="1263">
                  <c:v>44364</c:v>
                </c:pt>
                <c:pt idx="1264">
                  <c:v>44365</c:v>
                </c:pt>
                <c:pt idx="1265">
                  <c:v>44366</c:v>
                </c:pt>
                <c:pt idx="1266">
                  <c:v>44367</c:v>
                </c:pt>
                <c:pt idx="1267">
                  <c:v>44368</c:v>
                </c:pt>
                <c:pt idx="1268">
                  <c:v>44369</c:v>
                </c:pt>
                <c:pt idx="1269">
                  <c:v>44370</c:v>
                </c:pt>
                <c:pt idx="1270">
                  <c:v>44371</c:v>
                </c:pt>
                <c:pt idx="1271">
                  <c:v>44372</c:v>
                </c:pt>
                <c:pt idx="1272">
                  <c:v>44373</c:v>
                </c:pt>
                <c:pt idx="1273">
                  <c:v>44374</c:v>
                </c:pt>
                <c:pt idx="1274">
                  <c:v>44375</c:v>
                </c:pt>
                <c:pt idx="1275">
                  <c:v>44376</c:v>
                </c:pt>
                <c:pt idx="1276">
                  <c:v>44377</c:v>
                </c:pt>
                <c:pt idx="1277">
                  <c:v>44378</c:v>
                </c:pt>
                <c:pt idx="1278">
                  <c:v>44379</c:v>
                </c:pt>
                <c:pt idx="1279">
                  <c:v>44380</c:v>
                </c:pt>
                <c:pt idx="1280">
                  <c:v>44381</c:v>
                </c:pt>
                <c:pt idx="1281">
                  <c:v>44382</c:v>
                </c:pt>
                <c:pt idx="1282">
                  <c:v>44383</c:v>
                </c:pt>
                <c:pt idx="1283">
                  <c:v>44384</c:v>
                </c:pt>
                <c:pt idx="1284">
                  <c:v>44385</c:v>
                </c:pt>
                <c:pt idx="1285">
                  <c:v>44386</c:v>
                </c:pt>
                <c:pt idx="1286">
                  <c:v>44387</c:v>
                </c:pt>
                <c:pt idx="1287">
                  <c:v>44388</c:v>
                </c:pt>
                <c:pt idx="1288">
                  <c:v>44389</c:v>
                </c:pt>
                <c:pt idx="1289">
                  <c:v>44390</c:v>
                </c:pt>
                <c:pt idx="1290">
                  <c:v>44391</c:v>
                </c:pt>
                <c:pt idx="1291">
                  <c:v>44392</c:v>
                </c:pt>
                <c:pt idx="1292">
                  <c:v>44393</c:v>
                </c:pt>
                <c:pt idx="1293">
                  <c:v>44394</c:v>
                </c:pt>
                <c:pt idx="1294">
                  <c:v>44395</c:v>
                </c:pt>
                <c:pt idx="1295">
                  <c:v>44396</c:v>
                </c:pt>
                <c:pt idx="1296">
                  <c:v>44397</c:v>
                </c:pt>
                <c:pt idx="1297">
                  <c:v>44398</c:v>
                </c:pt>
                <c:pt idx="1298">
                  <c:v>44399</c:v>
                </c:pt>
                <c:pt idx="1299">
                  <c:v>44400</c:v>
                </c:pt>
                <c:pt idx="1300">
                  <c:v>44401</c:v>
                </c:pt>
                <c:pt idx="1301">
                  <c:v>44402</c:v>
                </c:pt>
                <c:pt idx="1302">
                  <c:v>44403</c:v>
                </c:pt>
                <c:pt idx="1303">
                  <c:v>44404</c:v>
                </c:pt>
                <c:pt idx="1304">
                  <c:v>44405</c:v>
                </c:pt>
                <c:pt idx="1305">
                  <c:v>44406</c:v>
                </c:pt>
                <c:pt idx="1306">
                  <c:v>44407</c:v>
                </c:pt>
                <c:pt idx="1307">
                  <c:v>44408</c:v>
                </c:pt>
                <c:pt idx="1308">
                  <c:v>44409</c:v>
                </c:pt>
                <c:pt idx="1309">
                  <c:v>44410</c:v>
                </c:pt>
                <c:pt idx="1310">
                  <c:v>44411</c:v>
                </c:pt>
                <c:pt idx="1311">
                  <c:v>44412</c:v>
                </c:pt>
                <c:pt idx="1312">
                  <c:v>44413</c:v>
                </c:pt>
                <c:pt idx="1313">
                  <c:v>44414</c:v>
                </c:pt>
                <c:pt idx="1314">
                  <c:v>44415</c:v>
                </c:pt>
                <c:pt idx="1315">
                  <c:v>44416</c:v>
                </c:pt>
                <c:pt idx="1316">
                  <c:v>44417</c:v>
                </c:pt>
                <c:pt idx="1317">
                  <c:v>44418</c:v>
                </c:pt>
                <c:pt idx="1318">
                  <c:v>44419</c:v>
                </c:pt>
                <c:pt idx="1319">
                  <c:v>44420</c:v>
                </c:pt>
                <c:pt idx="1320">
                  <c:v>44421</c:v>
                </c:pt>
                <c:pt idx="1321">
                  <c:v>44422</c:v>
                </c:pt>
                <c:pt idx="1322">
                  <c:v>44423</c:v>
                </c:pt>
                <c:pt idx="1323">
                  <c:v>44424</c:v>
                </c:pt>
                <c:pt idx="1324">
                  <c:v>44425</c:v>
                </c:pt>
                <c:pt idx="1325">
                  <c:v>44426</c:v>
                </c:pt>
                <c:pt idx="1326">
                  <c:v>44427</c:v>
                </c:pt>
                <c:pt idx="1327">
                  <c:v>44428</c:v>
                </c:pt>
                <c:pt idx="1328">
                  <c:v>44429</c:v>
                </c:pt>
                <c:pt idx="1329">
                  <c:v>44430</c:v>
                </c:pt>
                <c:pt idx="1330">
                  <c:v>44431</c:v>
                </c:pt>
                <c:pt idx="1331">
                  <c:v>44432</c:v>
                </c:pt>
                <c:pt idx="1332">
                  <c:v>44433</c:v>
                </c:pt>
                <c:pt idx="1333">
                  <c:v>44434</c:v>
                </c:pt>
                <c:pt idx="1334">
                  <c:v>44435</c:v>
                </c:pt>
                <c:pt idx="1335">
                  <c:v>44436</c:v>
                </c:pt>
                <c:pt idx="1336">
                  <c:v>44437</c:v>
                </c:pt>
                <c:pt idx="1337">
                  <c:v>44438</c:v>
                </c:pt>
                <c:pt idx="1338">
                  <c:v>44439</c:v>
                </c:pt>
                <c:pt idx="1339">
                  <c:v>44440</c:v>
                </c:pt>
                <c:pt idx="1340">
                  <c:v>44441</c:v>
                </c:pt>
                <c:pt idx="1341">
                  <c:v>44442</c:v>
                </c:pt>
                <c:pt idx="1342">
                  <c:v>44443</c:v>
                </c:pt>
                <c:pt idx="1343">
                  <c:v>44444</c:v>
                </c:pt>
                <c:pt idx="1344">
                  <c:v>44445</c:v>
                </c:pt>
                <c:pt idx="1345">
                  <c:v>44446</c:v>
                </c:pt>
                <c:pt idx="1346">
                  <c:v>44447</c:v>
                </c:pt>
                <c:pt idx="1347">
                  <c:v>44448</c:v>
                </c:pt>
                <c:pt idx="1348">
                  <c:v>44449</c:v>
                </c:pt>
                <c:pt idx="1349">
                  <c:v>44450</c:v>
                </c:pt>
                <c:pt idx="1350">
                  <c:v>44451</c:v>
                </c:pt>
                <c:pt idx="1351">
                  <c:v>44452</c:v>
                </c:pt>
                <c:pt idx="1352">
                  <c:v>44453</c:v>
                </c:pt>
                <c:pt idx="1353">
                  <c:v>44454</c:v>
                </c:pt>
                <c:pt idx="1354">
                  <c:v>44455</c:v>
                </c:pt>
                <c:pt idx="1355">
                  <c:v>44456</c:v>
                </c:pt>
                <c:pt idx="1356">
                  <c:v>44457</c:v>
                </c:pt>
                <c:pt idx="1357">
                  <c:v>44458</c:v>
                </c:pt>
                <c:pt idx="1358">
                  <c:v>44459</c:v>
                </c:pt>
                <c:pt idx="1359">
                  <c:v>44460</c:v>
                </c:pt>
                <c:pt idx="1360">
                  <c:v>44461</c:v>
                </c:pt>
                <c:pt idx="1361">
                  <c:v>44462</c:v>
                </c:pt>
                <c:pt idx="1362">
                  <c:v>44463</c:v>
                </c:pt>
                <c:pt idx="1363">
                  <c:v>44464</c:v>
                </c:pt>
                <c:pt idx="1364">
                  <c:v>44465</c:v>
                </c:pt>
                <c:pt idx="1365">
                  <c:v>44466</c:v>
                </c:pt>
                <c:pt idx="1366">
                  <c:v>44467</c:v>
                </c:pt>
                <c:pt idx="1367">
                  <c:v>44468</c:v>
                </c:pt>
                <c:pt idx="1368">
                  <c:v>44469</c:v>
                </c:pt>
                <c:pt idx="1369">
                  <c:v>44470</c:v>
                </c:pt>
                <c:pt idx="1370">
                  <c:v>44471</c:v>
                </c:pt>
                <c:pt idx="1371">
                  <c:v>44472</c:v>
                </c:pt>
                <c:pt idx="1372">
                  <c:v>44473</c:v>
                </c:pt>
                <c:pt idx="1373">
                  <c:v>44474</c:v>
                </c:pt>
                <c:pt idx="1374">
                  <c:v>44475</c:v>
                </c:pt>
                <c:pt idx="1375">
                  <c:v>44476</c:v>
                </c:pt>
                <c:pt idx="1376">
                  <c:v>44477</c:v>
                </c:pt>
                <c:pt idx="1377">
                  <c:v>44478</c:v>
                </c:pt>
                <c:pt idx="1378">
                  <c:v>44479</c:v>
                </c:pt>
                <c:pt idx="1379">
                  <c:v>44480</c:v>
                </c:pt>
                <c:pt idx="1380">
                  <c:v>44481</c:v>
                </c:pt>
                <c:pt idx="1381">
                  <c:v>44482</c:v>
                </c:pt>
                <c:pt idx="1382">
                  <c:v>44483</c:v>
                </c:pt>
                <c:pt idx="1383">
                  <c:v>44484</c:v>
                </c:pt>
                <c:pt idx="1384">
                  <c:v>44485</c:v>
                </c:pt>
                <c:pt idx="1385">
                  <c:v>44486</c:v>
                </c:pt>
                <c:pt idx="1386">
                  <c:v>44487</c:v>
                </c:pt>
                <c:pt idx="1387">
                  <c:v>44488</c:v>
                </c:pt>
                <c:pt idx="1388">
                  <c:v>44489</c:v>
                </c:pt>
                <c:pt idx="1389">
                  <c:v>44490</c:v>
                </c:pt>
                <c:pt idx="1390">
                  <c:v>44491</c:v>
                </c:pt>
                <c:pt idx="1391">
                  <c:v>44492</c:v>
                </c:pt>
                <c:pt idx="1392">
                  <c:v>44493</c:v>
                </c:pt>
                <c:pt idx="1393">
                  <c:v>44494</c:v>
                </c:pt>
                <c:pt idx="1394">
                  <c:v>44495</c:v>
                </c:pt>
                <c:pt idx="1395">
                  <c:v>44496</c:v>
                </c:pt>
                <c:pt idx="1396">
                  <c:v>44497</c:v>
                </c:pt>
                <c:pt idx="1397">
                  <c:v>44498</c:v>
                </c:pt>
                <c:pt idx="1398">
                  <c:v>44499</c:v>
                </c:pt>
                <c:pt idx="1399">
                  <c:v>44500</c:v>
                </c:pt>
                <c:pt idx="1400">
                  <c:v>44501</c:v>
                </c:pt>
                <c:pt idx="1401">
                  <c:v>44502</c:v>
                </c:pt>
                <c:pt idx="1402">
                  <c:v>44503</c:v>
                </c:pt>
                <c:pt idx="1403">
                  <c:v>44504</c:v>
                </c:pt>
                <c:pt idx="1404">
                  <c:v>44505</c:v>
                </c:pt>
                <c:pt idx="1405">
                  <c:v>44506</c:v>
                </c:pt>
                <c:pt idx="1406">
                  <c:v>44507</c:v>
                </c:pt>
                <c:pt idx="1407">
                  <c:v>44508</c:v>
                </c:pt>
                <c:pt idx="1408">
                  <c:v>44509</c:v>
                </c:pt>
                <c:pt idx="1409">
                  <c:v>44510</c:v>
                </c:pt>
                <c:pt idx="1410">
                  <c:v>44511</c:v>
                </c:pt>
                <c:pt idx="1411">
                  <c:v>44512</c:v>
                </c:pt>
                <c:pt idx="1412">
                  <c:v>44513</c:v>
                </c:pt>
                <c:pt idx="1413">
                  <c:v>44514</c:v>
                </c:pt>
                <c:pt idx="1414">
                  <c:v>44515</c:v>
                </c:pt>
                <c:pt idx="1415">
                  <c:v>44516</c:v>
                </c:pt>
                <c:pt idx="1416">
                  <c:v>44517</c:v>
                </c:pt>
                <c:pt idx="1417">
                  <c:v>44518</c:v>
                </c:pt>
                <c:pt idx="1418">
                  <c:v>44519</c:v>
                </c:pt>
                <c:pt idx="1419">
                  <c:v>44520</c:v>
                </c:pt>
                <c:pt idx="1420">
                  <c:v>44521</c:v>
                </c:pt>
                <c:pt idx="1421">
                  <c:v>44522</c:v>
                </c:pt>
                <c:pt idx="1422">
                  <c:v>44523</c:v>
                </c:pt>
                <c:pt idx="1423">
                  <c:v>44524</c:v>
                </c:pt>
                <c:pt idx="1424">
                  <c:v>44525</c:v>
                </c:pt>
                <c:pt idx="1425">
                  <c:v>44526</c:v>
                </c:pt>
                <c:pt idx="1426">
                  <c:v>44527</c:v>
                </c:pt>
                <c:pt idx="1427">
                  <c:v>44528</c:v>
                </c:pt>
                <c:pt idx="1428">
                  <c:v>44529</c:v>
                </c:pt>
                <c:pt idx="1429">
                  <c:v>44530</c:v>
                </c:pt>
                <c:pt idx="1430">
                  <c:v>44531</c:v>
                </c:pt>
                <c:pt idx="1431">
                  <c:v>44532</c:v>
                </c:pt>
                <c:pt idx="1432">
                  <c:v>44533</c:v>
                </c:pt>
                <c:pt idx="1433">
                  <c:v>44534</c:v>
                </c:pt>
                <c:pt idx="1434">
                  <c:v>44535</c:v>
                </c:pt>
                <c:pt idx="1435">
                  <c:v>44536</c:v>
                </c:pt>
                <c:pt idx="1436">
                  <c:v>44537</c:v>
                </c:pt>
                <c:pt idx="1437">
                  <c:v>44538</c:v>
                </c:pt>
                <c:pt idx="1438">
                  <c:v>44539</c:v>
                </c:pt>
                <c:pt idx="1439">
                  <c:v>44540</c:v>
                </c:pt>
                <c:pt idx="1440">
                  <c:v>44541</c:v>
                </c:pt>
                <c:pt idx="1441">
                  <c:v>44542</c:v>
                </c:pt>
                <c:pt idx="1442">
                  <c:v>44543</c:v>
                </c:pt>
                <c:pt idx="1443">
                  <c:v>44544</c:v>
                </c:pt>
                <c:pt idx="1444">
                  <c:v>44545</c:v>
                </c:pt>
                <c:pt idx="1445">
                  <c:v>44546</c:v>
                </c:pt>
                <c:pt idx="1446">
                  <c:v>44547</c:v>
                </c:pt>
                <c:pt idx="1447">
                  <c:v>44548</c:v>
                </c:pt>
                <c:pt idx="1448">
                  <c:v>44549</c:v>
                </c:pt>
                <c:pt idx="1449">
                  <c:v>44550</c:v>
                </c:pt>
                <c:pt idx="1450">
                  <c:v>44551</c:v>
                </c:pt>
                <c:pt idx="1451">
                  <c:v>44552</c:v>
                </c:pt>
                <c:pt idx="1452">
                  <c:v>44553</c:v>
                </c:pt>
                <c:pt idx="1453">
                  <c:v>44554</c:v>
                </c:pt>
                <c:pt idx="1454">
                  <c:v>44555</c:v>
                </c:pt>
                <c:pt idx="1455">
                  <c:v>44556</c:v>
                </c:pt>
                <c:pt idx="1456">
                  <c:v>44557</c:v>
                </c:pt>
                <c:pt idx="1457">
                  <c:v>44558</c:v>
                </c:pt>
                <c:pt idx="1458">
                  <c:v>44559</c:v>
                </c:pt>
                <c:pt idx="1459">
                  <c:v>44560</c:v>
                </c:pt>
                <c:pt idx="1460">
                  <c:v>44561</c:v>
                </c:pt>
                <c:pt idx="1461">
                  <c:v>44562</c:v>
                </c:pt>
                <c:pt idx="1462">
                  <c:v>44563</c:v>
                </c:pt>
                <c:pt idx="1463">
                  <c:v>44564</c:v>
                </c:pt>
                <c:pt idx="1464">
                  <c:v>44565</c:v>
                </c:pt>
                <c:pt idx="1465">
                  <c:v>44566</c:v>
                </c:pt>
                <c:pt idx="1466">
                  <c:v>44567</c:v>
                </c:pt>
                <c:pt idx="1467">
                  <c:v>44568</c:v>
                </c:pt>
                <c:pt idx="1468">
                  <c:v>44569</c:v>
                </c:pt>
                <c:pt idx="1469">
                  <c:v>44570</c:v>
                </c:pt>
                <c:pt idx="1470">
                  <c:v>44571</c:v>
                </c:pt>
                <c:pt idx="1471">
                  <c:v>44572</c:v>
                </c:pt>
                <c:pt idx="1472">
                  <c:v>44573</c:v>
                </c:pt>
                <c:pt idx="1473">
                  <c:v>44574</c:v>
                </c:pt>
                <c:pt idx="1474">
                  <c:v>44575</c:v>
                </c:pt>
                <c:pt idx="1475">
                  <c:v>44576</c:v>
                </c:pt>
                <c:pt idx="1476">
                  <c:v>44577</c:v>
                </c:pt>
                <c:pt idx="1477">
                  <c:v>44578</c:v>
                </c:pt>
                <c:pt idx="1478">
                  <c:v>44579</c:v>
                </c:pt>
                <c:pt idx="1479">
                  <c:v>44580</c:v>
                </c:pt>
                <c:pt idx="1480">
                  <c:v>44581</c:v>
                </c:pt>
                <c:pt idx="1481">
                  <c:v>44582</c:v>
                </c:pt>
                <c:pt idx="1482">
                  <c:v>44583</c:v>
                </c:pt>
                <c:pt idx="1483">
                  <c:v>44584</c:v>
                </c:pt>
                <c:pt idx="1484">
                  <c:v>44585</c:v>
                </c:pt>
                <c:pt idx="1485">
                  <c:v>44586</c:v>
                </c:pt>
                <c:pt idx="1486">
                  <c:v>44587</c:v>
                </c:pt>
                <c:pt idx="1487">
                  <c:v>44588</c:v>
                </c:pt>
                <c:pt idx="1488">
                  <c:v>44589</c:v>
                </c:pt>
                <c:pt idx="1489">
                  <c:v>44590</c:v>
                </c:pt>
                <c:pt idx="1490">
                  <c:v>44591</c:v>
                </c:pt>
                <c:pt idx="1491">
                  <c:v>44592</c:v>
                </c:pt>
                <c:pt idx="1492">
                  <c:v>44593</c:v>
                </c:pt>
                <c:pt idx="1493">
                  <c:v>44594</c:v>
                </c:pt>
                <c:pt idx="1494">
                  <c:v>44595</c:v>
                </c:pt>
                <c:pt idx="1495">
                  <c:v>44596</c:v>
                </c:pt>
                <c:pt idx="1496">
                  <c:v>44597</c:v>
                </c:pt>
                <c:pt idx="1497">
                  <c:v>44598</c:v>
                </c:pt>
                <c:pt idx="1498">
                  <c:v>44599</c:v>
                </c:pt>
                <c:pt idx="1499">
                  <c:v>44600</c:v>
                </c:pt>
                <c:pt idx="1500">
                  <c:v>44601</c:v>
                </c:pt>
                <c:pt idx="1501">
                  <c:v>44602</c:v>
                </c:pt>
                <c:pt idx="1502">
                  <c:v>44603</c:v>
                </c:pt>
                <c:pt idx="1503">
                  <c:v>44604</c:v>
                </c:pt>
                <c:pt idx="1504">
                  <c:v>44605</c:v>
                </c:pt>
                <c:pt idx="1505">
                  <c:v>44606</c:v>
                </c:pt>
                <c:pt idx="1506">
                  <c:v>44607</c:v>
                </c:pt>
                <c:pt idx="1507">
                  <c:v>44608</c:v>
                </c:pt>
                <c:pt idx="1508">
                  <c:v>44609</c:v>
                </c:pt>
                <c:pt idx="1509">
                  <c:v>44610</c:v>
                </c:pt>
                <c:pt idx="1510">
                  <c:v>44611</c:v>
                </c:pt>
                <c:pt idx="1511">
                  <c:v>44612</c:v>
                </c:pt>
                <c:pt idx="1512">
                  <c:v>44613</c:v>
                </c:pt>
                <c:pt idx="1513">
                  <c:v>44614</c:v>
                </c:pt>
                <c:pt idx="1514">
                  <c:v>44615</c:v>
                </c:pt>
                <c:pt idx="1515">
                  <c:v>44616</c:v>
                </c:pt>
                <c:pt idx="1516">
                  <c:v>44617</c:v>
                </c:pt>
                <c:pt idx="1517">
                  <c:v>44618</c:v>
                </c:pt>
                <c:pt idx="1518">
                  <c:v>44619</c:v>
                </c:pt>
                <c:pt idx="1519">
                  <c:v>44620</c:v>
                </c:pt>
                <c:pt idx="1520">
                  <c:v>44621</c:v>
                </c:pt>
                <c:pt idx="1521">
                  <c:v>44622</c:v>
                </c:pt>
                <c:pt idx="1522">
                  <c:v>44623</c:v>
                </c:pt>
                <c:pt idx="1523">
                  <c:v>44624</c:v>
                </c:pt>
                <c:pt idx="1524">
                  <c:v>44625</c:v>
                </c:pt>
                <c:pt idx="1525">
                  <c:v>44626</c:v>
                </c:pt>
                <c:pt idx="1526">
                  <c:v>44627</c:v>
                </c:pt>
                <c:pt idx="1527">
                  <c:v>44628</c:v>
                </c:pt>
                <c:pt idx="1528">
                  <c:v>44629</c:v>
                </c:pt>
                <c:pt idx="1529">
                  <c:v>44630</c:v>
                </c:pt>
                <c:pt idx="1530">
                  <c:v>44631</c:v>
                </c:pt>
                <c:pt idx="1531">
                  <c:v>44632</c:v>
                </c:pt>
                <c:pt idx="1532">
                  <c:v>44633</c:v>
                </c:pt>
                <c:pt idx="1533">
                  <c:v>44634</c:v>
                </c:pt>
                <c:pt idx="1534">
                  <c:v>44635</c:v>
                </c:pt>
                <c:pt idx="1535">
                  <c:v>44636</c:v>
                </c:pt>
                <c:pt idx="1536">
                  <c:v>44637</c:v>
                </c:pt>
                <c:pt idx="1537">
                  <c:v>44638</c:v>
                </c:pt>
                <c:pt idx="1538">
                  <c:v>44639</c:v>
                </c:pt>
                <c:pt idx="1539">
                  <c:v>44640</c:v>
                </c:pt>
                <c:pt idx="1540">
                  <c:v>44641</c:v>
                </c:pt>
                <c:pt idx="1541">
                  <c:v>44642</c:v>
                </c:pt>
                <c:pt idx="1542">
                  <c:v>44643</c:v>
                </c:pt>
                <c:pt idx="1543">
                  <c:v>44644</c:v>
                </c:pt>
                <c:pt idx="1544">
                  <c:v>44645</c:v>
                </c:pt>
                <c:pt idx="1545">
                  <c:v>44646</c:v>
                </c:pt>
                <c:pt idx="1546">
                  <c:v>44647</c:v>
                </c:pt>
                <c:pt idx="1547">
                  <c:v>44648</c:v>
                </c:pt>
                <c:pt idx="1548">
                  <c:v>44649</c:v>
                </c:pt>
                <c:pt idx="1549">
                  <c:v>44650</c:v>
                </c:pt>
                <c:pt idx="1550">
                  <c:v>44651</c:v>
                </c:pt>
                <c:pt idx="1551">
                  <c:v>44652</c:v>
                </c:pt>
                <c:pt idx="1552">
                  <c:v>44653</c:v>
                </c:pt>
                <c:pt idx="1553">
                  <c:v>44654</c:v>
                </c:pt>
                <c:pt idx="1554">
                  <c:v>44655</c:v>
                </c:pt>
                <c:pt idx="1555">
                  <c:v>44656</c:v>
                </c:pt>
                <c:pt idx="1556">
                  <c:v>44657</c:v>
                </c:pt>
                <c:pt idx="1557">
                  <c:v>44658</c:v>
                </c:pt>
                <c:pt idx="1558">
                  <c:v>44659</c:v>
                </c:pt>
                <c:pt idx="1559">
                  <c:v>44660</c:v>
                </c:pt>
                <c:pt idx="1560">
                  <c:v>44661</c:v>
                </c:pt>
                <c:pt idx="1561">
                  <c:v>44662</c:v>
                </c:pt>
                <c:pt idx="1562">
                  <c:v>44663</c:v>
                </c:pt>
                <c:pt idx="1563">
                  <c:v>44664</c:v>
                </c:pt>
                <c:pt idx="1564">
                  <c:v>44665</c:v>
                </c:pt>
                <c:pt idx="1565">
                  <c:v>44666</c:v>
                </c:pt>
                <c:pt idx="1566">
                  <c:v>44667</c:v>
                </c:pt>
                <c:pt idx="1567">
                  <c:v>44668</c:v>
                </c:pt>
                <c:pt idx="1568">
                  <c:v>44669</c:v>
                </c:pt>
                <c:pt idx="1569">
                  <c:v>44670</c:v>
                </c:pt>
                <c:pt idx="1570">
                  <c:v>44671</c:v>
                </c:pt>
                <c:pt idx="1571">
                  <c:v>44672</c:v>
                </c:pt>
                <c:pt idx="1572">
                  <c:v>44673</c:v>
                </c:pt>
                <c:pt idx="1573">
                  <c:v>44674</c:v>
                </c:pt>
                <c:pt idx="1574">
                  <c:v>44675</c:v>
                </c:pt>
                <c:pt idx="1575">
                  <c:v>44676</c:v>
                </c:pt>
                <c:pt idx="1576">
                  <c:v>44677</c:v>
                </c:pt>
                <c:pt idx="1577">
                  <c:v>44678</c:v>
                </c:pt>
                <c:pt idx="1578">
                  <c:v>44679</c:v>
                </c:pt>
                <c:pt idx="1579">
                  <c:v>44680</c:v>
                </c:pt>
                <c:pt idx="1580">
                  <c:v>44681</c:v>
                </c:pt>
                <c:pt idx="1581">
                  <c:v>44682</c:v>
                </c:pt>
                <c:pt idx="1582">
                  <c:v>44683</c:v>
                </c:pt>
                <c:pt idx="1583">
                  <c:v>44684</c:v>
                </c:pt>
                <c:pt idx="1584">
                  <c:v>44685</c:v>
                </c:pt>
                <c:pt idx="1585">
                  <c:v>44686</c:v>
                </c:pt>
                <c:pt idx="1586">
                  <c:v>44687</c:v>
                </c:pt>
                <c:pt idx="1587">
                  <c:v>44688</c:v>
                </c:pt>
                <c:pt idx="1588">
                  <c:v>44689</c:v>
                </c:pt>
                <c:pt idx="1589">
                  <c:v>44690</c:v>
                </c:pt>
                <c:pt idx="1590">
                  <c:v>44691</c:v>
                </c:pt>
                <c:pt idx="1591">
                  <c:v>44692</c:v>
                </c:pt>
                <c:pt idx="1592">
                  <c:v>44693</c:v>
                </c:pt>
                <c:pt idx="1593">
                  <c:v>44694</c:v>
                </c:pt>
                <c:pt idx="1594">
                  <c:v>44695</c:v>
                </c:pt>
                <c:pt idx="1595">
                  <c:v>44696</c:v>
                </c:pt>
                <c:pt idx="1596">
                  <c:v>44697</c:v>
                </c:pt>
                <c:pt idx="1597">
                  <c:v>44698</c:v>
                </c:pt>
                <c:pt idx="1598">
                  <c:v>44699</c:v>
                </c:pt>
                <c:pt idx="1599">
                  <c:v>44700</c:v>
                </c:pt>
                <c:pt idx="1600">
                  <c:v>44701</c:v>
                </c:pt>
                <c:pt idx="1601">
                  <c:v>44702</c:v>
                </c:pt>
                <c:pt idx="1602">
                  <c:v>44703</c:v>
                </c:pt>
                <c:pt idx="1603">
                  <c:v>44704</c:v>
                </c:pt>
                <c:pt idx="1604">
                  <c:v>44705</c:v>
                </c:pt>
                <c:pt idx="1605">
                  <c:v>44706</c:v>
                </c:pt>
                <c:pt idx="1606">
                  <c:v>44707</c:v>
                </c:pt>
                <c:pt idx="1607">
                  <c:v>44708</c:v>
                </c:pt>
                <c:pt idx="1608">
                  <c:v>44709</c:v>
                </c:pt>
                <c:pt idx="1609">
                  <c:v>44710</c:v>
                </c:pt>
                <c:pt idx="1610">
                  <c:v>44711</c:v>
                </c:pt>
                <c:pt idx="1611">
                  <c:v>44712</c:v>
                </c:pt>
                <c:pt idx="1612">
                  <c:v>44713</c:v>
                </c:pt>
                <c:pt idx="1613">
                  <c:v>44714</c:v>
                </c:pt>
                <c:pt idx="1614">
                  <c:v>44715</c:v>
                </c:pt>
                <c:pt idx="1615">
                  <c:v>44716</c:v>
                </c:pt>
                <c:pt idx="1616">
                  <c:v>44717</c:v>
                </c:pt>
                <c:pt idx="1617">
                  <c:v>44718</c:v>
                </c:pt>
                <c:pt idx="1618">
                  <c:v>44719</c:v>
                </c:pt>
                <c:pt idx="1619">
                  <c:v>44720</c:v>
                </c:pt>
                <c:pt idx="1620">
                  <c:v>44721</c:v>
                </c:pt>
                <c:pt idx="1621">
                  <c:v>44722</c:v>
                </c:pt>
                <c:pt idx="1622">
                  <c:v>44723</c:v>
                </c:pt>
                <c:pt idx="1623">
                  <c:v>44724</c:v>
                </c:pt>
                <c:pt idx="1624">
                  <c:v>44725</c:v>
                </c:pt>
                <c:pt idx="1625">
                  <c:v>44726</c:v>
                </c:pt>
                <c:pt idx="1626">
                  <c:v>44727</c:v>
                </c:pt>
                <c:pt idx="1627">
                  <c:v>44728</c:v>
                </c:pt>
                <c:pt idx="1628">
                  <c:v>44729</c:v>
                </c:pt>
                <c:pt idx="1629">
                  <c:v>44730</c:v>
                </c:pt>
                <c:pt idx="1630">
                  <c:v>44731</c:v>
                </c:pt>
                <c:pt idx="1631">
                  <c:v>44732</c:v>
                </c:pt>
                <c:pt idx="1632">
                  <c:v>44733</c:v>
                </c:pt>
                <c:pt idx="1633">
                  <c:v>44734</c:v>
                </c:pt>
                <c:pt idx="1634">
                  <c:v>44735</c:v>
                </c:pt>
                <c:pt idx="1635">
                  <c:v>44736</c:v>
                </c:pt>
                <c:pt idx="1636">
                  <c:v>44737</c:v>
                </c:pt>
                <c:pt idx="1637">
                  <c:v>44738</c:v>
                </c:pt>
                <c:pt idx="1638">
                  <c:v>44739</c:v>
                </c:pt>
                <c:pt idx="1639">
                  <c:v>44740</c:v>
                </c:pt>
                <c:pt idx="1640">
                  <c:v>44741</c:v>
                </c:pt>
                <c:pt idx="1641">
                  <c:v>44742</c:v>
                </c:pt>
                <c:pt idx="1642">
                  <c:v>44743</c:v>
                </c:pt>
                <c:pt idx="1643">
                  <c:v>44744</c:v>
                </c:pt>
                <c:pt idx="1644">
                  <c:v>44745</c:v>
                </c:pt>
                <c:pt idx="1645">
                  <c:v>44746</c:v>
                </c:pt>
                <c:pt idx="1646">
                  <c:v>44747</c:v>
                </c:pt>
                <c:pt idx="1647">
                  <c:v>44748</c:v>
                </c:pt>
                <c:pt idx="1648">
                  <c:v>44749</c:v>
                </c:pt>
                <c:pt idx="1649">
                  <c:v>44750</c:v>
                </c:pt>
                <c:pt idx="1650">
                  <c:v>44751</c:v>
                </c:pt>
                <c:pt idx="1651">
                  <c:v>44752</c:v>
                </c:pt>
                <c:pt idx="1652">
                  <c:v>44753</c:v>
                </c:pt>
                <c:pt idx="1653">
                  <c:v>44754</c:v>
                </c:pt>
                <c:pt idx="1654">
                  <c:v>44755</c:v>
                </c:pt>
                <c:pt idx="1655">
                  <c:v>44756</c:v>
                </c:pt>
                <c:pt idx="1656">
                  <c:v>44757</c:v>
                </c:pt>
                <c:pt idx="1657">
                  <c:v>44758</c:v>
                </c:pt>
                <c:pt idx="1658">
                  <c:v>44759</c:v>
                </c:pt>
                <c:pt idx="1659">
                  <c:v>44760</c:v>
                </c:pt>
                <c:pt idx="1660">
                  <c:v>44761</c:v>
                </c:pt>
                <c:pt idx="1661">
                  <c:v>44762</c:v>
                </c:pt>
                <c:pt idx="1662">
                  <c:v>44763</c:v>
                </c:pt>
                <c:pt idx="1663">
                  <c:v>44764</c:v>
                </c:pt>
                <c:pt idx="1664">
                  <c:v>44765</c:v>
                </c:pt>
                <c:pt idx="1665">
                  <c:v>44766</c:v>
                </c:pt>
                <c:pt idx="1666">
                  <c:v>44767</c:v>
                </c:pt>
                <c:pt idx="1667">
                  <c:v>44768</c:v>
                </c:pt>
                <c:pt idx="1668">
                  <c:v>44769</c:v>
                </c:pt>
                <c:pt idx="1669">
                  <c:v>44770</c:v>
                </c:pt>
                <c:pt idx="1670">
                  <c:v>44771</c:v>
                </c:pt>
                <c:pt idx="1671">
                  <c:v>44772</c:v>
                </c:pt>
                <c:pt idx="1672">
                  <c:v>44773</c:v>
                </c:pt>
                <c:pt idx="1673">
                  <c:v>44774</c:v>
                </c:pt>
                <c:pt idx="1674">
                  <c:v>44775</c:v>
                </c:pt>
                <c:pt idx="1675">
                  <c:v>44776</c:v>
                </c:pt>
                <c:pt idx="1676">
                  <c:v>44777</c:v>
                </c:pt>
                <c:pt idx="1677">
                  <c:v>44778</c:v>
                </c:pt>
                <c:pt idx="1678">
                  <c:v>44779</c:v>
                </c:pt>
                <c:pt idx="1679">
                  <c:v>44780</c:v>
                </c:pt>
                <c:pt idx="1680">
                  <c:v>44781</c:v>
                </c:pt>
                <c:pt idx="1681">
                  <c:v>44782</c:v>
                </c:pt>
                <c:pt idx="1682">
                  <c:v>44783</c:v>
                </c:pt>
                <c:pt idx="1683">
                  <c:v>44784</c:v>
                </c:pt>
                <c:pt idx="1684">
                  <c:v>44785</c:v>
                </c:pt>
                <c:pt idx="1685">
                  <c:v>44786</c:v>
                </c:pt>
                <c:pt idx="1686">
                  <c:v>44787</c:v>
                </c:pt>
                <c:pt idx="1687">
                  <c:v>44788</c:v>
                </c:pt>
                <c:pt idx="1688">
                  <c:v>44789</c:v>
                </c:pt>
                <c:pt idx="1689">
                  <c:v>44790</c:v>
                </c:pt>
                <c:pt idx="1690">
                  <c:v>44791</c:v>
                </c:pt>
                <c:pt idx="1691">
                  <c:v>44792</c:v>
                </c:pt>
                <c:pt idx="1692">
                  <c:v>44793</c:v>
                </c:pt>
                <c:pt idx="1693">
                  <c:v>44794</c:v>
                </c:pt>
                <c:pt idx="1694">
                  <c:v>44795</c:v>
                </c:pt>
                <c:pt idx="1695">
                  <c:v>44796</c:v>
                </c:pt>
                <c:pt idx="1696">
                  <c:v>44797</c:v>
                </c:pt>
                <c:pt idx="1697">
                  <c:v>44798</c:v>
                </c:pt>
                <c:pt idx="1698">
                  <c:v>44799</c:v>
                </c:pt>
                <c:pt idx="1699">
                  <c:v>44800</c:v>
                </c:pt>
                <c:pt idx="1700">
                  <c:v>44801</c:v>
                </c:pt>
                <c:pt idx="1701">
                  <c:v>44802</c:v>
                </c:pt>
                <c:pt idx="1702">
                  <c:v>44803</c:v>
                </c:pt>
                <c:pt idx="1703">
                  <c:v>44804</c:v>
                </c:pt>
                <c:pt idx="1704">
                  <c:v>44805</c:v>
                </c:pt>
                <c:pt idx="1705">
                  <c:v>44806</c:v>
                </c:pt>
                <c:pt idx="1706">
                  <c:v>44807</c:v>
                </c:pt>
                <c:pt idx="1707">
                  <c:v>44808</c:v>
                </c:pt>
                <c:pt idx="1708">
                  <c:v>44809</c:v>
                </c:pt>
                <c:pt idx="1709">
                  <c:v>44810</c:v>
                </c:pt>
                <c:pt idx="1710">
                  <c:v>44811</c:v>
                </c:pt>
                <c:pt idx="1711">
                  <c:v>44812</c:v>
                </c:pt>
                <c:pt idx="1712">
                  <c:v>44813</c:v>
                </c:pt>
                <c:pt idx="1713">
                  <c:v>44814</c:v>
                </c:pt>
                <c:pt idx="1714">
                  <c:v>44815</c:v>
                </c:pt>
                <c:pt idx="1715">
                  <c:v>44816</c:v>
                </c:pt>
                <c:pt idx="1716">
                  <c:v>44817</c:v>
                </c:pt>
                <c:pt idx="1717">
                  <c:v>44818</c:v>
                </c:pt>
                <c:pt idx="1718">
                  <c:v>44819</c:v>
                </c:pt>
                <c:pt idx="1719">
                  <c:v>44820</c:v>
                </c:pt>
                <c:pt idx="1720">
                  <c:v>44821</c:v>
                </c:pt>
                <c:pt idx="1721">
                  <c:v>44822</c:v>
                </c:pt>
                <c:pt idx="1722">
                  <c:v>44823</c:v>
                </c:pt>
                <c:pt idx="1723">
                  <c:v>44824</c:v>
                </c:pt>
                <c:pt idx="1724">
                  <c:v>44825</c:v>
                </c:pt>
                <c:pt idx="1725">
                  <c:v>44826</c:v>
                </c:pt>
                <c:pt idx="1726">
                  <c:v>44827</c:v>
                </c:pt>
                <c:pt idx="1727">
                  <c:v>44828</c:v>
                </c:pt>
                <c:pt idx="1728">
                  <c:v>44829</c:v>
                </c:pt>
                <c:pt idx="1729">
                  <c:v>44830</c:v>
                </c:pt>
                <c:pt idx="1730">
                  <c:v>44831</c:v>
                </c:pt>
                <c:pt idx="1731">
                  <c:v>44832</c:v>
                </c:pt>
                <c:pt idx="1732">
                  <c:v>44833</c:v>
                </c:pt>
                <c:pt idx="1733">
                  <c:v>44834</c:v>
                </c:pt>
                <c:pt idx="1734">
                  <c:v>44835</c:v>
                </c:pt>
                <c:pt idx="1735">
                  <c:v>44836</c:v>
                </c:pt>
                <c:pt idx="1736">
                  <c:v>44837</c:v>
                </c:pt>
                <c:pt idx="1737">
                  <c:v>44838</c:v>
                </c:pt>
                <c:pt idx="1738">
                  <c:v>44839</c:v>
                </c:pt>
                <c:pt idx="1739">
                  <c:v>44840</c:v>
                </c:pt>
                <c:pt idx="1740">
                  <c:v>44841</c:v>
                </c:pt>
                <c:pt idx="1741">
                  <c:v>44842</c:v>
                </c:pt>
                <c:pt idx="1742">
                  <c:v>44843</c:v>
                </c:pt>
                <c:pt idx="1743">
                  <c:v>44844</c:v>
                </c:pt>
                <c:pt idx="1744">
                  <c:v>44845</c:v>
                </c:pt>
                <c:pt idx="1745">
                  <c:v>44846</c:v>
                </c:pt>
                <c:pt idx="1746">
                  <c:v>44847</c:v>
                </c:pt>
                <c:pt idx="1747">
                  <c:v>44848</c:v>
                </c:pt>
                <c:pt idx="1748">
                  <c:v>44849</c:v>
                </c:pt>
                <c:pt idx="1749">
                  <c:v>44850</c:v>
                </c:pt>
                <c:pt idx="1750">
                  <c:v>44851</c:v>
                </c:pt>
                <c:pt idx="1751">
                  <c:v>44852</c:v>
                </c:pt>
                <c:pt idx="1752">
                  <c:v>44853</c:v>
                </c:pt>
                <c:pt idx="1753">
                  <c:v>44854</c:v>
                </c:pt>
                <c:pt idx="1754">
                  <c:v>44855</c:v>
                </c:pt>
                <c:pt idx="1755">
                  <c:v>44856</c:v>
                </c:pt>
                <c:pt idx="1756">
                  <c:v>44857</c:v>
                </c:pt>
                <c:pt idx="1757">
                  <c:v>44858</c:v>
                </c:pt>
                <c:pt idx="1758">
                  <c:v>44859</c:v>
                </c:pt>
                <c:pt idx="1759">
                  <c:v>44860</c:v>
                </c:pt>
                <c:pt idx="1760">
                  <c:v>44861</c:v>
                </c:pt>
                <c:pt idx="1761">
                  <c:v>44862</c:v>
                </c:pt>
                <c:pt idx="1762">
                  <c:v>44863</c:v>
                </c:pt>
                <c:pt idx="1763">
                  <c:v>44864</c:v>
                </c:pt>
                <c:pt idx="1764">
                  <c:v>44865</c:v>
                </c:pt>
                <c:pt idx="1765">
                  <c:v>44866</c:v>
                </c:pt>
                <c:pt idx="1766">
                  <c:v>44867</c:v>
                </c:pt>
                <c:pt idx="1767">
                  <c:v>44868</c:v>
                </c:pt>
                <c:pt idx="1768">
                  <c:v>44869</c:v>
                </c:pt>
                <c:pt idx="1769">
                  <c:v>44870</c:v>
                </c:pt>
                <c:pt idx="1770">
                  <c:v>44871</c:v>
                </c:pt>
                <c:pt idx="1771">
                  <c:v>44872</c:v>
                </c:pt>
                <c:pt idx="1772">
                  <c:v>44873</c:v>
                </c:pt>
                <c:pt idx="1773">
                  <c:v>44874</c:v>
                </c:pt>
                <c:pt idx="1774">
                  <c:v>44875</c:v>
                </c:pt>
                <c:pt idx="1775">
                  <c:v>44876</c:v>
                </c:pt>
                <c:pt idx="1776">
                  <c:v>44877</c:v>
                </c:pt>
                <c:pt idx="1777">
                  <c:v>44878</c:v>
                </c:pt>
                <c:pt idx="1778">
                  <c:v>44879</c:v>
                </c:pt>
                <c:pt idx="1779">
                  <c:v>44880</c:v>
                </c:pt>
                <c:pt idx="1780">
                  <c:v>44881</c:v>
                </c:pt>
                <c:pt idx="1781">
                  <c:v>44882</c:v>
                </c:pt>
                <c:pt idx="1782">
                  <c:v>44883</c:v>
                </c:pt>
                <c:pt idx="1783">
                  <c:v>44884</c:v>
                </c:pt>
                <c:pt idx="1784">
                  <c:v>44885</c:v>
                </c:pt>
                <c:pt idx="1785">
                  <c:v>44886</c:v>
                </c:pt>
                <c:pt idx="1786">
                  <c:v>44887</c:v>
                </c:pt>
                <c:pt idx="1787">
                  <c:v>44888</c:v>
                </c:pt>
                <c:pt idx="1788">
                  <c:v>44889</c:v>
                </c:pt>
                <c:pt idx="1789">
                  <c:v>44890</c:v>
                </c:pt>
                <c:pt idx="1790">
                  <c:v>44891</c:v>
                </c:pt>
                <c:pt idx="1791">
                  <c:v>44892</c:v>
                </c:pt>
                <c:pt idx="1792">
                  <c:v>44893</c:v>
                </c:pt>
                <c:pt idx="1793">
                  <c:v>44894</c:v>
                </c:pt>
                <c:pt idx="1794">
                  <c:v>44895</c:v>
                </c:pt>
                <c:pt idx="1795">
                  <c:v>44896</c:v>
                </c:pt>
                <c:pt idx="1796">
                  <c:v>44897</c:v>
                </c:pt>
                <c:pt idx="1797">
                  <c:v>44898</c:v>
                </c:pt>
                <c:pt idx="1798">
                  <c:v>44899</c:v>
                </c:pt>
                <c:pt idx="1799">
                  <c:v>44900</c:v>
                </c:pt>
                <c:pt idx="1800">
                  <c:v>44901</c:v>
                </c:pt>
                <c:pt idx="1801">
                  <c:v>44902</c:v>
                </c:pt>
                <c:pt idx="1802">
                  <c:v>44903</c:v>
                </c:pt>
                <c:pt idx="1803">
                  <c:v>44904</c:v>
                </c:pt>
                <c:pt idx="1804">
                  <c:v>44905</c:v>
                </c:pt>
                <c:pt idx="1805">
                  <c:v>44906</c:v>
                </c:pt>
                <c:pt idx="1806">
                  <c:v>44907</c:v>
                </c:pt>
                <c:pt idx="1807">
                  <c:v>44908</c:v>
                </c:pt>
                <c:pt idx="1808">
                  <c:v>44909</c:v>
                </c:pt>
                <c:pt idx="1809">
                  <c:v>44910</c:v>
                </c:pt>
                <c:pt idx="1810">
                  <c:v>44911</c:v>
                </c:pt>
                <c:pt idx="1811">
                  <c:v>44912</c:v>
                </c:pt>
                <c:pt idx="1812">
                  <c:v>44913</c:v>
                </c:pt>
                <c:pt idx="1813">
                  <c:v>44914</c:v>
                </c:pt>
                <c:pt idx="1814">
                  <c:v>44915</c:v>
                </c:pt>
                <c:pt idx="1815">
                  <c:v>44916</c:v>
                </c:pt>
                <c:pt idx="1816">
                  <c:v>44917</c:v>
                </c:pt>
                <c:pt idx="1817">
                  <c:v>44918</c:v>
                </c:pt>
                <c:pt idx="1818">
                  <c:v>44919</c:v>
                </c:pt>
                <c:pt idx="1819">
                  <c:v>44920</c:v>
                </c:pt>
                <c:pt idx="1820">
                  <c:v>44921</c:v>
                </c:pt>
                <c:pt idx="1821">
                  <c:v>44922</c:v>
                </c:pt>
                <c:pt idx="1822">
                  <c:v>44923</c:v>
                </c:pt>
                <c:pt idx="1823">
                  <c:v>44924</c:v>
                </c:pt>
                <c:pt idx="1824">
                  <c:v>44925</c:v>
                </c:pt>
                <c:pt idx="1825">
                  <c:v>44926</c:v>
                </c:pt>
                <c:pt idx="1826">
                  <c:v>44927</c:v>
                </c:pt>
                <c:pt idx="1827">
                  <c:v>44928</c:v>
                </c:pt>
                <c:pt idx="1828">
                  <c:v>44929</c:v>
                </c:pt>
                <c:pt idx="1829">
                  <c:v>44930</c:v>
                </c:pt>
                <c:pt idx="1830">
                  <c:v>44931</c:v>
                </c:pt>
                <c:pt idx="1831">
                  <c:v>44932</c:v>
                </c:pt>
                <c:pt idx="1832">
                  <c:v>44933</c:v>
                </c:pt>
                <c:pt idx="1833">
                  <c:v>44934</c:v>
                </c:pt>
                <c:pt idx="1834">
                  <c:v>44935</c:v>
                </c:pt>
                <c:pt idx="1835">
                  <c:v>44936</c:v>
                </c:pt>
                <c:pt idx="1836">
                  <c:v>44937</c:v>
                </c:pt>
                <c:pt idx="1837">
                  <c:v>44938</c:v>
                </c:pt>
                <c:pt idx="1838">
                  <c:v>44939</c:v>
                </c:pt>
                <c:pt idx="1839">
                  <c:v>44940</c:v>
                </c:pt>
                <c:pt idx="1840">
                  <c:v>44941</c:v>
                </c:pt>
                <c:pt idx="1841">
                  <c:v>44942</c:v>
                </c:pt>
                <c:pt idx="1842">
                  <c:v>44943</c:v>
                </c:pt>
                <c:pt idx="1843">
                  <c:v>44944</c:v>
                </c:pt>
                <c:pt idx="1844">
                  <c:v>44945</c:v>
                </c:pt>
                <c:pt idx="1845">
                  <c:v>44946</c:v>
                </c:pt>
                <c:pt idx="1846">
                  <c:v>44947</c:v>
                </c:pt>
                <c:pt idx="1847">
                  <c:v>44948</c:v>
                </c:pt>
                <c:pt idx="1848">
                  <c:v>44949</c:v>
                </c:pt>
                <c:pt idx="1849">
                  <c:v>44950</c:v>
                </c:pt>
                <c:pt idx="1850">
                  <c:v>44951</c:v>
                </c:pt>
                <c:pt idx="1851">
                  <c:v>44952</c:v>
                </c:pt>
                <c:pt idx="1852">
                  <c:v>44953</c:v>
                </c:pt>
                <c:pt idx="1853">
                  <c:v>44954</c:v>
                </c:pt>
                <c:pt idx="1854">
                  <c:v>44955</c:v>
                </c:pt>
                <c:pt idx="1855">
                  <c:v>44956</c:v>
                </c:pt>
                <c:pt idx="1856">
                  <c:v>44957</c:v>
                </c:pt>
                <c:pt idx="1857">
                  <c:v>44958</c:v>
                </c:pt>
                <c:pt idx="1858">
                  <c:v>44959</c:v>
                </c:pt>
                <c:pt idx="1859">
                  <c:v>44960</c:v>
                </c:pt>
                <c:pt idx="1860">
                  <c:v>44961</c:v>
                </c:pt>
                <c:pt idx="1861">
                  <c:v>44962</c:v>
                </c:pt>
                <c:pt idx="1862">
                  <c:v>44963</c:v>
                </c:pt>
                <c:pt idx="1863">
                  <c:v>44964</c:v>
                </c:pt>
                <c:pt idx="1864">
                  <c:v>44965</c:v>
                </c:pt>
                <c:pt idx="1865">
                  <c:v>44966</c:v>
                </c:pt>
                <c:pt idx="1866">
                  <c:v>44967</c:v>
                </c:pt>
                <c:pt idx="1867">
                  <c:v>44968</c:v>
                </c:pt>
                <c:pt idx="1868">
                  <c:v>44969</c:v>
                </c:pt>
                <c:pt idx="1869">
                  <c:v>44970</c:v>
                </c:pt>
                <c:pt idx="1870">
                  <c:v>44971</c:v>
                </c:pt>
                <c:pt idx="1871">
                  <c:v>44972</c:v>
                </c:pt>
                <c:pt idx="1872">
                  <c:v>44973</c:v>
                </c:pt>
                <c:pt idx="1873">
                  <c:v>44974</c:v>
                </c:pt>
                <c:pt idx="1874">
                  <c:v>44975</c:v>
                </c:pt>
                <c:pt idx="1875">
                  <c:v>44976</c:v>
                </c:pt>
                <c:pt idx="1876">
                  <c:v>44977</c:v>
                </c:pt>
                <c:pt idx="1877">
                  <c:v>44978</c:v>
                </c:pt>
                <c:pt idx="1878">
                  <c:v>44979</c:v>
                </c:pt>
                <c:pt idx="1879">
                  <c:v>44980</c:v>
                </c:pt>
                <c:pt idx="1880">
                  <c:v>44981</c:v>
                </c:pt>
                <c:pt idx="1881">
                  <c:v>44982</c:v>
                </c:pt>
                <c:pt idx="1882">
                  <c:v>44983</c:v>
                </c:pt>
                <c:pt idx="1883">
                  <c:v>44984</c:v>
                </c:pt>
                <c:pt idx="1884">
                  <c:v>44985</c:v>
                </c:pt>
                <c:pt idx="1885">
                  <c:v>44986</c:v>
                </c:pt>
                <c:pt idx="1886">
                  <c:v>44987</c:v>
                </c:pt>
                <c:pt idx="1887">
                  <c:v>44988</c:v>
                </c:pt>
                <c:pt idx="1888">
                  <c:v>44989</c:v>
                </c:pt>
                <c:pt idx="1889">
                  <c:v>44990</c:v>
                </c:pt>
                <c:pt idx="1890">
                  <c:v>44991</c:v>
                </c:pt>
                <c:pt idx="1891">
                  <c:v>44992</c:v>
                </c:pt>
                <c:pt idx="1892">
                  <c:v>44993</c:v>
                </c:pt>
                <c:pt idx="1893">
                  <c:v>44994</c:v>
                </c:pt>
                <c:pt idx="1894">
                  <c:v>44995</c:v>
                </c:pt>
                <c:pt idx="1895">
                  <c:v>44996</c:v>
                </c:pt>
                <c:pt idx="1896">
                  <c:v>44997</c:v>
                </c:pt>
                <c:pt idx="1897">
                  <c:v>44998</c:v>
                </c:pt>
                <c:pt idx="1898">
                  <c:v>44999</c:v>
                </c:pt>
                <c:pt idx="1899">
                  <c:v>45000</c:v>
                </c:pt>
                <c:pt idx="1900">
                  <c:v>45001</c:v>
                </c:pt>
                <c:pt idx="1901">
                  <c:v>45002</c:v>
                </c:pt>
                <c:pt idx="1902">
                  <c:v>45003</c:v>
                </c:pt>
                <c:pt idx="1903">
                  <c:v>45004</c:v>
                </c:pt>
                <c:pt idx="1904">
                  <c:v>45005</c:v>
                </c:pt>
                <c:pt idx="1905">
                  <c:v>45006</c:v>
                </c:pt>
                <c:pt idx="1906">
                  <c:v>45007</c:v>
                </c:pt>
                <c:pt idx="1907">
                  <c:v>45008</c:v>
                </c:pt>
                <c:pt idx="1908">
                  <c:v>45009</c:v>
                </c:pt>
                <c:pt idx="1909">
                  <c:v>45010</c:v>
                </c:pt>
                <c:pt idx="1910">
                  <c:v>45011</c:v>
                </c:pt>
                <c:pt idx="1911">
                  <c:v>45012</c:v>
                </c:pt>
                <c:pt idx="1912">
                  <c:v>45013</c:v>
                </c:pt>
                <c:pt idx="1913">
                  <c:v>45014</c:v>
                </c:pt>
                <c:pt idx="1914">
                  <c:v>45015</c:v>
                </c:pt>
                <c:pt idx="1915">
                  <c:v>45016</c:v>
                </c:pt>
                <c:pt idx="1916">
                  <c:v>45017</c:v>
                </c:pt>
                <c:pt idx="1917">
                  <c:v>45018</c:v>
                </c:pt>
                <c:pt idx="1918">
                  <c:v>45019</c:v>
                </c:pt>
                <c:pt idx="1919">
                  <c:v>45020</c:v>
                </c:pt>
                <c:pt idx="1920">
                  <c:v>45021</c:v>
                </c:pt>
                <c:pt idx="1921">
                  <c:v>45022</c:v>
                </c:pt>
                <c:pt idx="1922">
                  <c:v>45023</c:v>
                </c:pt>
                <c:pt idx="1923">
                  <c:v>45024</c:v>
                </c:pt>
                <c:pt idx="1924">
                  <c:v>45025</c:v>
                </c:pt>
                <c:pt idx="1925">
                  <c:v>45026</c:v>
                </c:pt>
                <c:pt idx="1926">
                  <c:v>45027</c:v>
                </c:pt>
                <c:pt idx="1927">
                  <c:v>45028</c:v>
                </c:pt>
                <c:pt idx="1928">
                  <c:v>45029</c:v>
                </c:pt>
                <c:pt idx="1929">
                  <c:v>45030</c:v>
                </c:pt>
                <c:pt idx="1930">
                  <c:v>45031</c:v>
                </c:pt>
                <c:pt idx="1931">
                  <c:v>45032</c:v>
                </c:pt>
                <c:pt idx="1932">
                  <c:v>45033</c:v>
                </c:pt>
                <c:pt idx="1933">
                  <c:v>45034</c:v>
                </c:pt>
                <c:pt idx="1934">
                  <c:v>45035</c:v>
                </c:pt>
                <c:pt idx="1935">
                  <c:v>45036</c:v>
                </c:pt>
                <c:pt idx="1936">
                  <c:v>45037</c:v>
                </c:pt>
                <c:pt idx="1937">
                  <c:v>45038</c:v>
                </c:pt>
                <c:pt idx="1938">
                  <c:v>45039</c:v>
                </c:pt>
                <c:pt idx="1939">
                  <c:v>45040</c:v>
                </c:pt>
                <c:pt idx="1940">
                  <c:v>45041</c:v>
                </c:pt>
                <c:pt idx="1941">
                  <c:v>45042</c:v>
                </c:pt>
                <c:pt idx="1942">
                  <c:v>45043</c:v>
                </c:pt>
                <c:pt idx="1943">
                  <c:v>45044</c:v>
                </c:pt>
                <c:pt idx="1944">
                  <c:v>45045</c:v>
                </c:pt>
                <c:pt idx="1945">
                  <c:v>45046</c:v>
                </c:pt>
                <c:pt idx="1946">
                  <c:v>45047</c:v>
                </c:pt>
                <c:pt idx="1947">
                  <c:v>45048</c:v>
                </c:pt>
                <c:pt idx="1948">
                  <c:v>45049</c:v>
                </c:pt>
                <c:pt idx="1949">
                  <c:v>45050</c:v>
                </c:pt>
                <c:pt idx="1950">
                  <c:v>45051</c:v>
                </c:pt>
                <c:pt idx="1951">
                  <c:v>45052</c:v>
                </c:pt>
                <c:pt idx="1952">
                  <c:v>45053</c:v>
                </c:pt>
                <c:pt idx="1953">
                  <c:v>45054</c:v>
                </c:pt>
                <c:pt idx="1954">
                  <c:v>45055</c:v>
                </c:pt>
                <c:pt idx="1955">
                  <c:v>45056</c:v>
                </c:pt>
                <c:pt idx="1956">
                  <c:v>45057</c:v>
                </c:pt>
                <c:pt idx="1957">
                  <c:v>45058</c:v>
                </c:pt>
                <c:pt idx="1958">
                  <c:v>45059</c:v>
                </c:pt>
                <c:pt idx="1959">
                  <c:v>45060</c:v>
                </c:pt>
                <c:pt idx="1960">
                  <c:v>45061</c:v>
                </c:pt>
                <c:pt idx="1961">
                  <c:v>45062</c:v>
                </c:pt>
                <c:pt idx="1962">
                  <c:v>45063</c:v>
                </c:pt>
                <c:pt idx="1963">
                  <c:v>45064</c:v>
                </c:pt>
                <c:pt idx="1964">
                  <c:v>45065</c:v>
                </c:pt>
                <c:pt idx="1965">
                  <c:v>45066</c:v>
                </c:pt>
                <c:pt idx="1966">
                  <c:v>45067</c:v>
                </c:pt>
                <c:pt idx="1967">
                  <c:v>45068</c:v>
                </c:pt>
                <c:pt idx="1968">
                  <c:v>45069</c:v>
                </c:pt>
                <c:pt idx="1969">
                  <c:v>45070</c:v>
                </c:pt>
                <c:pt idx="1970">
                  <c:v>45071</c:v>
                </c:pt>
                <c:pt idx="1971">
                  <c:v>45072</c:v>
                </c:pt>
                <c:pt idx="1972">
                  <c:v>45073</c:v>
                </c:pt>
                <c:pt idx="1973">
                  <c:v>45074</c:v>
                </c:pt>
                <c:pt idx="1974">
                  <c:v>45075</c:v>
                </c:pt>
                <c:pt idx="1975">
                  <c:v>45076</c:v>
                </c:pt>
                <c:pt idx="1976">
                  <c:v>45077</c:v>
                </c:pt>
                <c:pt idx="1977">
                  <c:v>45078</c:v>
                </c:pt>
                <c:pt idx="1978">
                  <c:v>45079</c:v>
                </c:pt>
                <c:pt idx="1979">
                  <c:v>45080</c:v>
                </c:pt>
                <c:pt idx="1980">
                  <c:v>45081</c:v>
                </c:pt>
                <c:pt idx="1981">
                  <c:v>45082</c:v>
                </c:pt>
                <c:pt idx="1982">
                  <c:v>45083</c:v>
                </c:pt>
                <c:pt idx="1983">
                  <c:v>45084</c:v>
                </c:pt>
                <c:pt idx="1984">
                  <c:v>45085</c:v>
                </c:pt>
                <c:pt idx="1985">
                  <c:v>45086</c:v>
                </c:pt>
                <c:pt idx="1986">
                  <c:v>45087</c:v>
                </c:pt>
                <c:pt idx="1987">
                  <c:v>45088</c:v>
                </c:pt>
                <c:pt idx="1988">
                  <c:v>45089</c:v>
                </c:pt>
                <c:pt idx="1989">
                  <c:v>45090</c:v>
                </c:pt>
                <c:pt idx="1990">
                  <c:v>45091</c:v>
                </c:pt>
                <c:pt idx="1991">
                  <c:v>45092</c:v>
                </c:pt>
                <c:pt idx="1992">
                  <c:v>45093</c:v>
                </c:pt>
                <c:pt idx="1993">
                  <c:v>45094</c:v>
                </c:pt>
                <c:pt idx="1994">
                  <c:v>45095</c:v>
                </c:pt>
                <c:pt idx="1995">
                  <c:v>45096</c:v>
                </c:pt>
                <c:pt idx="1996">
                  <c:v>45097</c:v>
                </c:pt>
                <c:pt idx="1997">
                  <c:v>45098</c:v>
                </c:pt>
                <c:pt idx="1998">
                  <c:v>45099</c:v>
                </c:pt>
                <c:pt idx="1999">
                  <c:v>45100</c:v>
                </c:pt>
                <c:pt idx="2000">
                  <c:v>45101</c:v>
                </c:pt>
                <c:pt idx="2001">
                  <c:v>45102</c:v>
                </c:pt>
                <c:pt idx="2002">
                  <c:v>45103</c:v>
                </c:pt>
                <c:pt idx="2003">
                  <c:v>45104</c:v>
                </c:pt>
                <c:pt idx="2004">
                  <c:v>45105</c:v>
                </c:pt>
                <c:pt idx="2005">
                  <c:v>45106</c:v>
                </c:pt>
                <c:pt idx="2006">
                  <c:v>45107</c:v>
                </c:pt>
                <c:pt idx="2007">
                  <c:v>45108</c:v>
                </c:pt>
                <c:pt idx="2008">
                  <c:v>45109</c:v>
                </c:pt>
                <c:pt idx="2009">
                  <c:v>45110</c:v>
                </c:pt>
                <c:pt idx="2010">
                  <c:v>45111</c:v>
                </c:pt>
                <c:pt idx="2011">
                  <c:v>45112</c:v>
                </c:pt>
                <c:pt idx="2012">
                  <c:v>45113</c:v>
                </c:pt>
                <c:pt idx="2013">
                  <c:v>45114</c:v>
                </c:pt>
                <c:pt idx="2014">
                  <c:v>45115</c:v>
                </c:pt>
                <c:pt idx="2015">
                  <c:v>45116</c:v>
                </c:pt>
                <c:pt idx="2016">
                  <c:v>45117</c:v>
                </c:pt>
                <c:pt idx="2017">
                  <c:v>45118</c:v>
                </c:pt>
                <c:pt idx="2018">
                  <c:v>45119</c:v>
                </c:pt>
                <c:pt idx="2019">
                  <c:v>45120</c:v>
                </c:pt>
                <c:pt idx="2020">
                  <c:v>45121</c:v>
                </c:pt>
                <c:pt idx="2021">
                  <c:v>45122</c:v>
                </c:pt>
                <c:pt idx="2022">
                  <c:v>45123</c:v>
                </c:pt>
                <c:pt idx="2023">
                  <c:v>45124</c:v>
                </c:pt>
                <c:pt idx="2024">
                  <c:v>45125</c:v>
                </c:pt>
                <c:pt idx="2025">
                  <c:v>45126</c:v>
                </c:pt>
                <c:pt idx="2026">
                  <c:v>45127</c:v>
                </c:pt>
                <c:pt idx="2027">
                  <c:v>45128</c:v>
                </c:pt>
                <c:pt idx="2028">
                  <c:v>45129</c:v>
                </c:pt>
                <c:pt idx="2029">
                  <c:v>45130</c:v>
                </c:pt>
                <c:pt idx="2030">
                  <c:v>45131</c:v>
                </c:pt>
                <c:pt idx="2031">
                  <c:v>45132</c:v>
                </c:pt>
                <c:pt idx="2032">
                  <c:v>45133</c:v>
                </c:pt>
                <c:pt idx="2033">
                  <c:v>45134</c:v>
                </c:pt>
                <c:pt idx="2034">
                  <c:v>45135</c:v>
                </c:pt>
                <c:pt idx="2035">
                  <c:v>45136</c:v>
                </c:pt>
                <c:pt idx="2036">
                  <c:v>45137</c:v>
                </c:pt>
                <c:pt idx="2037">
                  <c:v>45138</c:v>
                </c:pt>
                <c:pt idx="2038">
                  <c:v>45139</c:v>
                </c:pt>
                <c:pt idx="2039">
                  <c:v>45140</c:v>
                </c:pt>
                <c:pt idx="2040">
                  <c:v>45141</c:v>
                </c:pt>
                <c:pt idx="2041">
                  <c:v>45142</c:v>
                </c:pt>
                <c:pt idx="2042">
                  <c:v>45143</c:v>
                </c:pt>
                <c:pt idx="2043">
                  <c:v>45144</c:v>
                </c:pt>
                <c:pt idx="2044">
                  <c:v>45145</c:v>
                </c:pt>
                <c:pt idx="2045">
                  <c:v>45146</c:v>
                </c:pt>
                <c:pt idx="2046">
                  <c:v>45147</c:v>
                </c:pt>
                <c:pt idx="2047">
                  <c:v>45148</c:v>
                </c:pt>
                <c:pt idx="2048">
                  <c:v>45149</c:v>
                </c:pt>
                <c:pt idx="2049">
                  <c:v>45150</c:v>
                </c:pt>
                <c:pt idx="2050">
                  <c:v>45151</c:v>
                </c:pt>
                <c:pt idx="2051">
                  <c:v>45152</c:v>
                </c:pt>
                <c:pt idx="2052">
                  <c:v>45153</c:v>
                </c:pt>
                <c:pt idx="2053">
                  <c:v>45154</c:v>
                </c:pt>
                <c:pt idx="2054">
                  <c:v>45155</c:v>
                </c:pt>
                <c:pt idx="2055">
                  <c:v>45156</c:v>
                </c:pt>
                <c:pt idx="2056">
                  <c:v>45157</c:v>
                </c:pt>
                <c:pt idx="2057">
                  <c:v>45158</c:v>
                </c:pt>
                <c:pt idx="2058">
                  <c:v>45159</c:v>
                </c:pt>
                <c:pt idx="2059">
                  <c:v>45160</c:v>
                </c:pt>
                <c:pt idx="2060">
                  <c:v>45161</c:v>
                </c:pt>
                <c:pt idx="2061">
                  <c:v>45162</c:v>
                </c:pt>
                <c:pt idx="2062">
                  <c:v>45163</c:v>
                </c:pt>
                <c:pt idx="2063">
                  <c:v>45164</c:v>
                </c:pt>
                <c:pt idx="2064">
                  <c:v>45165</c:v>
                </c:pt>
                <c:pt idx="2065">
                  <c:v>45166</c:v>
                </c:pt>
                <c:pt idx="2066">
                  <c:v>45167</c:v>
                </c:pt>
                <c:pt idx="2067">
                  <c:v>45168</c:v>
                </c:pt>
                <c:pt idx="2068">
                  <c:v>45169</c:v>
                </c:pt>
                <c:pt idx="2069">
                  <c:v>45170</c:v>
                </c:pt>
                <c:pt idx="2070">
                  <c:v>45171</c:v>
                </c:pt>
                <c:pt idx="2071">
                  <c:v>45172</c:v>
                </c:pt>
                <c:pt idx="2072">
                  <c:v>45173</c:v>
                </c:pt>
                <c:pt idx="2073">
                  <c:v>45174</c:v>
                </c:pt>
                <c:pt idx="2074">
                  <c:v>45175</c:v>
                </c:pt>
                <c:pt idx="2075">
                  <c:v>45176</c:v>
                </c:pt>
                <c:pt idx="2076">
                  <c:v>45177</c:v>
                </c:pt>
                <c:pt idx="2077">
                  <c:v>45178</c:v>
                </c:pt>
                <c:pt idx="2078">
                  <c:v>45179</c:v>
                </c:pt>
                <c:pt idx="2079">
                  <c:v>45180</c:v>
                </c:pt>
                <c:pt idx="2080">
                  <c:v>45181</c:v>
                </c:pt>
                <c:pt idx="2081">
                  <c:v>45182</c:v>
                </c:pt>
                <c:pt idx="2082">
                  <c:v>45183</c:v>
                </c:pt>
                <c:pt idx="2083">
                  <c:v>45184</c:v>
                </c:pt>
                <c:pt idx="2084">
                  <c:v>45185</c:v>
                </c:pt>
                <c:pt idx="2085">
                  <c:v>45186</c:v>
                </c:pt>
                <c:pt idx="2086">
                  <c:v>45187</c:v>
                </c:pt>
                <c:pt idx="2087">
                  <c:v>45188</c:v>
                </c:pt>
                <c:pt idx="2088">
                  <c:v>45189</c:v>
                </c:pt>
                <c:pt idx="2089">
                  <c:v>45190</c:v>
                </c:pt>
                <c:pt idx="2090">
                  <c:v>45191</c:v>
                </c:pt>
                <c:pt idx="2091">
                  <c:v>45192</c:v>
                </c:pt>
                <c:pt idx="2092">
                  <c:v>45193</c:v>
                </c:pt>
                <c:pt idx="2093">
                  <c:v>45194</c:v>
                </c:pt>
                <c:pt idx="2094">
                  <c:v>45195</c:v>
                </c:pt>
                <c:pt idx="2095">
                  <c:v>45196</c:v>
                </c:pt>
                <c:pt idx="2096">
                  <c:v>45197</c:v>
                </c:pt>
                <c:pt idx="2097">
                  <c:v>45198</c:v>
                </c:pt>
                <c:pt idx="2098">
                  <c:v>45199</c:v>
                </c:pt>
                <c:pt idx="2099">
                  <c:v>45200</c:v>
                </c:pt>
                <c:pt idx="2100">
                  <c:v>45201</c:v>
                </c:pt>
                <c:pt idx="2101">
                  <c:v>45202</c:v>
                </c:pt>
                <c:pt idx="2102">
                  <c:v>45203</c:v>
                </c:pt>
                <c:pt idx="2103">
                  <c:v>45204</c:v>
                </c:pt>
                <c:pt idx="2104">
                  <c:v>45205</c:v>
                </c:pt>
                <c:pt idx="2105">
                  <c:v>45206</c:v>
                </c:pt>
                <c:pt idx="2106">
                  <c:v>45207</c:v>
                </c:pt>
                <c:pt idx="2107">
                  <c:v>45208</c:v>
                </c:pt>
                <c:pt idx="2108">
                  <c:v>45209</c:v>
                </c:pt>
                <c:pt idx="2109">
                  <c:v>45210</c:v>
                </c:pt>
                <c:pt idx="2110">
                  <c:v>45211</c:v>
                </c:pt>
                <c:pt idx="2111">
                  <c:v>45212</c:v>
                </c:pt>
                <c:pt idx="2112">
                  <c:v>45213</c:v>
                </c:pt>
                <c:pt idx="2113">
                  <c:v>45214</c:v>
                </c:pt>
                <c:pt idx="2114">
                  <c:v>45215</c:v>
                </c:pt>
                <c:pt idx="2115">
                  <c:v>45216</c:v>
                </c:pt>
                <c:pt idx="2116">
                  <c:v>45217</c:v>
                </c:pt>
                <c:pt idx="2117">
                  <c:v>45218</c:v>
                </c:pt>
                <c:pt idx="2118">
                  <c:v>45219</c:v>
                </c:pt>
                <c:pt idx="2119">
                  <c:v>45220</c:v>
                </c:pt>
                <c:pt idx="2120">
                  <c:v>45221</c:v>
                </c:pt>
                <c:pt idx="2121">
                  <c:v>45222</c:v>
                </c:pt>
                <c:pt idx="2122">
                  <c:v>45223</c:v>
                </c:pt>
                <c:pt idx="2123">
                  <c:v>45224</c:v>
                </c:pt>
                <c:pt idx="2124">
                  <c:v>45225</c:v>
                </c:pt>
                <c:pt idx="2125">
                  <c:v>45226</c:v>
                </c:pt>
                <c:pt idx="2126">
                  <c:v>45227</c:v>
                </c:pt>
                <c:pt idx="2127">
                  <c:v>45228</c:v>
                </c:pt>
                <c:pt idx="2128">
                  <c:v>45229</c:v>
                </c:pt>
                <c:pt idx="2129">
                  <c:v>45230</c:v>
                </c:pt>
                <c:pt idx="2130">
                  <c:v>45231</c:v>
                </c:pt>
                <c:pt idx="2131">
                  <c:v>45232</c:v>
                </c:pt>
                <c:pt idx="2132">
                  <c:v>45233</c:v>
                </c:pt>
                <c:pt idx="2133">
                  <c:v>45234</c:v>
                </c:pt>
                <c:pt idx="2134">
                  <c:v>45235</c:v>
                </c:pt>
                <c:pt idx="2135">
                  <c:v>45236</c:v>
                </c:pt>
                <c:pt idx="2136">
                  <c:v>45237</c:v>
                </c:pt>
                <c:pt idx="2137">
                  <c:v>45238</c:v>
                </c:pt>
                <c:pt idx="2138">
                  <c:v>45239</c:v>
                </c:pt>
                <c:pt idx="2139">
                  <c:v>45240</c:v>
                </c:pt>
                <c:pt idx="2140">
                  <c:v>45241</c:v>
                </c:pt>
                <c:pt idx="2141">
                  <c:v>45242</c:v>
                </c:pt>
                <c:pt idx="2142">
                  <c:v>45243</c:v>
                </c:pt>
                <c:pt idx="2143">
                  <c:v>45244</c:v>
                </c:pt>
                <c:pt idx="2144">
                  <c:v>45245</c:v>
                </c:pt>
                <c:pt idx="2145">
                  <c:v>45246</c:v>
                </c:pt>
                <c:pt idx="2146">
                  <c:v>45247</c:v>
                </c:pt>
                <c:pt idx="2147">
                  <c:v>45248</c:v>
                </c:pt>
                <c:pt idx="2148">
                  <c:v>45249</c:v>
                </c:pt>
                <c:pt idx="2149">
                  <c:v>45250</c:v>
                </c:pt>
                <c:pt idx="2150">
                  <c:v>45251</c:v>
                </c:pt>
                <c:pt idx="2151">
                  <c:v>45252</c:v>
                </c:pt>
                <c:pt idx="2152">
                  <c:v>45253</c:v>
                </c:pt>
                <c:pt idx="2153">
                  <c:v>45254</c:v>
                </c:pt>
                <c:pt idx="2154">
                  <c:v>45255</c:v>
                </c:pt>
                <c:pt idx="2155">
                  <c:v>45256</c:v>
                </c:pt>
                <c:pt idx="2156">
                  <c:v>45257</c:v>
                </c:pt>
                <c:pt idx="2157">
                  <c:v>45258</c:v>
                </c:pt>
                <c:pt idx="2158">
                  <c:v>45259</c:v>
                </c:pt>
                <c:pt idx="2159">
                  <c:v>45260</c:v>
                </c:pt>
                <c:pt idx="2160">
                  <c:v>45261</c:v>
                </c:pt>
                <c:pt idx="2161">
                  <c:v>45262</c:v>
                </c:pt>
                <c:pt idx="2162">
                  <c:v>45263</c:v>
                </c:pt>
                <c:pt idx="2163">
                  <c:v>45264</c:v>
                </c:pt>
                <c:pt idx="2164">
                  <c:v>45265</c:v>
                </c:pt>
                <c:pt idx="2165">
                  <c:v>45266</c:v>
                </c:pt>
                <c:pt idx="2166">
                  <c:v>45267</c:v>
                </c:pt>
                <c:pt idx="2167">
                  <c:v>45268</c:v>
                </c:pt>
                <c:pt idx="2168">
                  <c:v>45269</c:v>
                </c:pt>
                <c:pt idx="2169">
                  <c:v>45270</c:v>
                </c:pt>
                <c:pt idx="2170">
                  <c:v>45271</c:v>
                </c:pt>
                <c:pt idx="2171">
                  <c:v>45272</c:v>
                </c:pt>
                <c:pt idx="2172">
                  <c:v>45273</c:v>
                </c:pt>
                <c:pt idx="2173">
                  <c:v>45274</c:v>
                </c:pt>
                <c:pt idx="2174">
                  <c:v>45275</c:v>
                </c:pt>
                <c:pt idx="2175">
                  <c:v>45276</c:v>
                </c:pt>
                <c:pt idx="2176">
                  <c:v>45277</c:v>
                </c:pt>
                <c:pt idx="2177">
                  <c:v>45278</c:v>
                </c:pt>
                <c:pt idx="2178">
                  <c:v>45279</c:v>
                </c:pt>
                <c:pt idx="2179">
                  <c:v>45280</c:v>
                </c:pt>
                <c:pt idx="2180">
                  <c:v>45281</c:v>
                </c:pt>
                <c:pt idx="2181">
                  <c:v>45282</c:v>
                </c:pt>
                <c:pt idx="2182">
                  <c:v>45283</c:v>
                </c:pt>
                <c:pt idx="2183">
                  <c:v>45284</c:v>
                </c:pt>
                <c:pt idx="2184">
                  <c:v>45285</c:v>
                </c:pt>
                <c:pt idx="2185">
                  <c:v>45286</c:v>
                </c:pt>
                <c:pt idx="2186">
                  <c:v>45287</c:v>
                </c:pt>
                <c:pt idx="2187">
                  <c:v>45288</c:v>
                </c:pt>
                <c:pt idx="2188">
                  <c:v>45289</c:v>
                </c:pt>
                <c:pt idx="2189">
                  <c:v>45290</c:v>
                </c:pt>
                <c:pt idx="2190">
                  <c:v>45291</c:v>
                </c:pt>
                <c:pt idx="2191">
                  <c:v>45292</c:v>
                </c:pt>
                <c:pt idx="2192">
                  <c:v>45293</c:v>
                </c:pt>
                <c:pt idx="2193">
                  <c:v>45294</c:v>
                </c:pt>
                <c:pt idx="2194">
                  <c:v>45295</c:v>
                </c:pt>
                <c:pt idx="2195">
                  <c:v>45296</c:v>
                </c:pt>
                <c:pt idx="2196">
                  <c:v>45297</c:v>
                </c:pt>
                <c:pt idx="2197">
                  <c:v>45298</c:v>
                </c:pt>
                <c:pt idx="2198">
                  <c:v>45299</c:v>
                </c:pt>
                <c:pt idx="2199">
                  <c:v>45300</c:v>
                </c:pt>
                <c:pt idx="2200">
                  <c:v>45301</c:v>
                </c:pt>
                <c:pt idx="2201">
                  <c:v>45302</c:v>
                </c:pt>
                <c:pt idx="2202">
                  <c:v>45303</c:v>
                </c:pt>
                <c:pt idx="2203">
                  <c:v>45304</c:v>
                </c:pt>
                <c:pt idx="2204">
                  <c:v>45305</c:v>
                </c:pt>
                <c:pt idx="2205">
                  <c:v>45306</c:v>
                </c:pt>
                <c:pt idx="2206">
                  <c:v>45307</c:v>
                </c:pt>
                <c:pt idx="2207">
                  <c:v>45308</c:v>
                </c:pt>
                <c:pt idx="2208">
                  <c:v>45309</c:v>
                </c:pt>
                <c:pt idx="2209">
                  <c:v>45310</c:v>
                </c:pt>
                <c:pt idx="2210">
                  <c:v>45311</c:v>
                </c:pt>
                <c:pt idx="2211">
                  <c:v>45312</c:v>
                </c:pt>
                <c:pt idx="2212">
                  <c:v>45313</c:v>
                </c:pt>
                <c:pt idx="2213">
                  <c:v>45314</c:v>
                </c:pt>
                <c:pt idx="2214">
                  <c:v>45315</c:v>
                </c:pt>
                <c:pt idx="2215">
                  <c:v>45316</c:v>
                </c:pt>
                <c:pt idx="2216">
                  <c:v>45317</c:v>
                </c:pt>
                <c:pt idx="2217">
                  <c:v>45318</c:v>
                </c:pt>
                <c:pt idx="2218">
                  <c:v>45319</c:v>
                </c:pt>
                <c:pt idx="2219">
                  <c:v>45320</c:v>
                </c:pt>
                <c:pt idx="2220">
                  <c:v>45321</c:v>
                </c:pt>
                <c:pt idx="2221">
                  <c:v>45322</c:v>
                </c:pt>
                <c:pt idx="2222">
                  <c:v>45323</c:v>
                </c:pt>
                <c:pt idx="2223">
                  <c:v>45324</c:v>
                </c:pt>
                <c:pt idx="2224">
                  <c:v>45325</c:v>
                </c:pt>
                <c:pt idx="2225">
                  <c:v>45326</c:v>
                </c:pt>
                <c:pt idx="2226">
                  <c:v>45327</c:v>
                </c:pt>
                <c:pt idx="2227">
                  <c:v>45328</c:v>
                </c:pt>
                <c:pt idx="2228">
                  <c:v>45329</c:v>
                </c:pt>
                <c:pt idx="2229">
                  <c:v>45330</c:v>
                </c:pt>
                <c:pt idx="2230">
                  <c:v>45331</c:v>
                </c:pt>
                <c:pt idx="2231">
                  <c:v>45332</c:v>
                </c:pt>
                <c:pt idx="2232">
                  <c:v>45333</c:v>
                </c:pt>
                <c:pt idx="2233">
                  <c:v>45334</c:v>
                </c:pt>
                <c:pt idx="2234">
                  <c:v>45335</c:v>
                </c:pt>
                <c:pt idx="2235">
                  <c:v>45336</c:v>
                </c:pt>
                <c:pt idx="2236">
                  <c:v>45337</c:v>
                </c:pt>
                <c:pt idx="2237">
                  <c:v>45338</c:v>
                </c:pt>
                <c:pt idx="2238">
                  <c:v>45339</c:v>
                </c:pt>
                <c:pt idx="2239">
                  <c:v>45340</c:v>
                </c:pt>
                <c:pt idx="2240">
                  <c:v>45341</c:v>
                </c:pt>
                <c:pt idx="2241">
                  <c:v>45342</c:v>
                </c:pt>
                <c:pt idx="2242">
                  <c:v>45343</c:v>
                </c:pt>
                <c:pt idx="2243">
                  <c:v>45344</c:v>
                </c:pt>
                <c:pt idx="2244">
                  <c:v>45345</c:v>
                </c:pt>
                <c:pt idx="2245">
                  <c:v>45346</c:v>
                </c:pt>
                <c:pt idx="2246">
                  <c:v>45347</c:v>
                </c:pt>
                <c:pt idx="2247">
                  <c:v>45348</c:v>
                </c:pt>
                <c:pt idx="2248">
                  <c:v>45349</c:v>
                </c:pt>
                <c:pt idx="2249">
                  <c:v>45350</c:v>
                </c:pt>
                <c:pt idx="2250">
                  <c:v>45351</c:v>
                </c:pt>
                <c:pt idx="2251">
                  <c:v>45352</c:v>
                </c:pt>
                <c:pt idx="2252">
                  <c:v>45353</c:v>
                </c:pt>
                <c:pt idx="2253">
                  <c:v>45354</c:v>
                </c:pt>
                <c:pt idx="2254">
                  <c:v>45355</c:v>
                </c:pt>
                <c:pt idx="2255">
                  <c:v>45356</c:v>
                </c:pt>
                <c:pt idx="2256">
                  <c:v>45357</c:v>
                </c:pt>
                <c:pt idx="2257">
                  <c:v>45358</c:v>
                </c:pt>
                <c:pt idx="2258">
                  <c:v>45359</c:v>
                </c:pt>
                <c:pt idx="2259">
                  <c:v>45360</c:v>
                </c:pt>
                <c:pt idx="2260">
                  <c:v>45361</c:v>
                </c:pt>
                <c:pt idx="2261">
                  <c:v>45362</c:v>
                </c:pt>
                <c:pt idx="2262">
                  <c:v>45363</c:v>
                </c:pt>
                <c:pt idx="2263">
                  <c:v>45364</c:v>
                </c:pt>
                <c:pt idx="2264">
                  <c:v>45365</c:v>
                </c:pt>
                <c:pt idx="2265">
                  <c:v>45366</c:v>
                </c:pt>
                <c:pt idx="2266">
                  <c:v>45367</c:v>
                </c:pt>
                <c:pt idx="2267">
                  <c:v>45368</c:v>
                </c:pt>
                <c:pt idx="2268">
                  <c:v>45369</c:v>
                </c:pt>
                <c:pt idx="2269">
                  <c:v>45370</c:v>
                </c:pt>
                <c:pt idx="2270">
                  <c:v>45371</c:v>
                </c:pt>
                <c:pt idx="2271">
                  <c:v>45372</c:v>
                </c:pt>
                <c:pt idx="2272">
                  <c:v>45373</c:v>
                </c:pt>
                <c:pt idx="2273">
                  <c:v>45374</c:v>
                </c:pt>
                <c:pt idx="2274">
                  <c:v>45375</c:v>
                </c:pt>
                <c:pt idx="2275">
                  <c:v>45376</c:v>
                </c:pt>
                <c:pt idx="2276">
                  <c:v>45377</c:v>
                </c:pt>
                <c:pt idx="2277">
                  <c:v>45378</c:v>
                </c:pt>
                <c:pt idx="2278">
                  <c:v>45379</c:v>
                </c:pt>
                <c:pt idx="2279">
                  <c:v>45380</c:v>
                </c:pt>
                <c:pt idx="2280">
                  <c:v>45381</c:v>
                </c:pt>
                <c:pt idx="2281">
                  <c:v>45382</c:v>
                </c:pt>
                <c:pt idx="2282">
                  <c:v>45383</c:v>
                </c:pt>
                <c:pt idx="2283">
                  <c:v>45384</c:v>
                </c:pt>
                <c:pt idx="2284">
                  <c:v>45385</c:v>
                </c:pt>
                <c:pt idx="2285">
                  <c:v>45386</c:v>
                </c:pt>
                <c:pt idx="2286">
                  <c:v>45387</c:v>
                </c:pt>
                <c:pt idx="2287">
                  <c:v>45388</c:v>
                </c:pt>
                <c:pt idx="2288">
                  <c:v>45389</c:v>
                </c:pt>
                <c:pt idx="2289">
                  <c:v>45390</c:v>
                </c:pt>
                <c:pt idx="2290">
                  <c:v>45391</c:v>
                </c:pt>
                <c:pt idx="2291">
                  <c:v>45392</c:v>
                </c:pt>
                <c:pt idx="2292">
                  <c:v>45393</c:v>
                </c:pt>
                <c:pt idx="2293">
                  <c:v>45394</c:v>
                </c:pt>
                <c:pt idx="2294">
                  <c:v>45395</c:v>
                </c:pt>
                <c:pt idx="2295">
                  <c:v>45396</c:v>
                </c:pt>
                <c:pt idx="2296">
                  <c:v>45397</c:v>
                </c:pt>
                <c:pt idx="2297">
                  <c:v>45398</c:v>
                </c:pt>
                <c:pt idx="2298">
                  <c:v>45399</c:v>
                </c:pt>
                <c:pt idx="2299">
                  <c:v>45400</c:v>
                </c:pt>
                <c:pt idx="2300">
                  <c:v>45401</c:v>
                </c:pt>
                <c:pt idx="2301">
                  <c:v>45402</c:v>
                </c:pt>
                <c:pt idx="2302">
                  <c:v>45403</c:v>
                </c:pt>
                <c:pt idx="2303">
                  <c:v>45404</c:v>
                </c:pt>
                <c:pt idx="2304">
                  <c:v>45405</c:v>
                </c:pt>
                <c:pt idx="2305">
                  <c:v>45406</c:v>
                </c:pt>
                <c:pt idx="2306">
                  <c:v>45407</c:v>
                </c:pt>
                <c:pt idx="2307">
                  <c:v>45408</c:v>
                </c:pt>
                <c:pt idx="2308">
                  <c:v>45409</c:v>
                </c:pt>
                <c:pt idx="2309">
                  <c:v>45410</c:v>
                </c:pt>
                <c:pt idx="2310">
                  <c:v>45411</c:v>
                </c:pt>
                <c:pt idx="2311">
                  <c:v>45412</c:v>
                </c:pt>
                <c:pt idx="2312">
                  <c:v>45413</c:v>
                </c:pt>
                <c:pt idx="2313">
                  <c:v>45414</c:v>
                </c:pt>
                <c:pt idx="2314">
                  <c:v>45415</c:v>
                </c:pt>
                <c:pt idx="2315">
                  <c:v>45416</c:v>
                </c:pt>
                <c:pt idx="2316">
                  <c:v>45417</c:v>
                </c:pt>
                <c:pt idx="2317">
                  <c:v>45418</c:v>
                </c:pt>
                <c:pt idx="2318">
                  <c:v>45419</c:v>
                </c:pt>
                <c:pt idx="2319">
                  <c:v>45420</c:v>
                </c:pt>
                <c:pt idx="2320">
                  <c:v>45421</c:v>
                </c:pt>
                <c:pt idx="2321">
                  <c:v>45422</c:v>
                </c:pt>
                <c:pt idx="2322">
                  <c:v>45423</c:v>
                </c:pt>
                <c:pt idx="2323">
                  <c:v>45424</c:v>
                </c:pt>
                <c:pt idx="2324">
                  <c:v>45425</c:v>
                </c:pt>
                <c:pt idx="2325">
                  <c:v>45426</c:v>
                </c:pt>
                <c:pt idx="2326">
                  <c:v>45427</c:v>
                </c:pt>
                <c:pt idx="2327">
                  <c:v>45428</c:v>
                </c:pt>
                <c:pt idx="2328">
                  <c:v>45429</c:v>
                </c:pt>
                <c:pt idx="2329">
                  <c:v>45430</c:v>
                </c:pt>
                <c:pt idx="2330">
                  <c:v>45431</c:v>
                </c:pt>
                <c:pt idx="2331">
                  <c:v>45432</c:v>
                </c:pt>
                <c:pt idx="2332">
                  <c:v>45433</c:v>
                </c:pt>
                <c:pt idx="2333">
                  <c:v>45434</c:v>
                </c:pt>
                <c:pt idx="2334">
                  <c:v>45435</c:v>
                </c:pt>
                <c:pt idx="2335">
                  <c:v>45436</c:v>
                </c:pt>
                <c:pt idx="2336">
                  <c:v>45437</c:v>
                </c:pt>
                <c:pt idx="2337">
                  <c:v>45438</c:v>
                </c:pt>
                <c:pt idx="2338">
                  <c:v>45439</c:v>
                </c:pt>
                <c:pt idx="2339">
                  <c:v>45440</c:v>
                </c:pt>
                <c:pt idx="2340">
                  <c:v>45441</c:v>
                </c:pt>
                <c:pt idx="2341">
                  <c:v>45442</c:v>
                </c:pt>
                <c:pt idx="2342">
                  <c:v>45443</c:v>
                </c:pt>
                <c:pt idx="2343">
                  <c:v>45444</c:v>
                </c:pt>
                <c:pt idx="2344">
                  <c:v>45445</c:v>
                </c:pt>
                <c:pt idx="2345">
                  <c:v>45446</c:v>
                </c:pt>
                <c:pt idx="2346">
                  <c:v>45447</c:v>
                </c:pt>
                <c:pt idx="2347">
                  <c:v>45448</c:v>
                </c:pt>
                <c:pt idx="2348">
                  <c:v>45449</c:v>
                </c:pt>
                <c:pt idx="2349">
                  <c:v>45450</c:v>
                </c:pt>
                <c:pt idx="2350">
                  <c:v>45451</c:v>
                </c:pt>
                <c:pt idx="2351">
                  <c:v>45452</c:v>
                </c:pt>
                <c:pt idx="2352">
                  <c:v>45453</c:v>
                </c:pt>
                <c:pt idx="2353">
                  <c:v>45454</c:v>
                </c:pt>
                <c:pt idx="2354">
                  <c:v>45455</c:v>
                </c:pt>
                <c:pt idx="2355">
                  <c:v>45456</c:v>
                </c:pt>
                <c:pt idx="2356">
                  <c:v>45457</c:v>
                </c:pt>
                <c:pt idx="2357">
                  <c:v>45458</c:v>
                </c:pt>
                <c:pt idx="2358">
                  <c:v>45459</c:v>
                </c:pt>
                <c:pt idx="2359">
                  <c:v>45460</c:v>
                </c:pt>
                <c:pt idx="2360">
                  <c:v>45461</c:v>
                </c:pt>
                <c:pt idx="2361">
                  <c:v>45462</c:v>
                </c:pt>
                <c:pt idx="2362">
                  <c:v>45463</c:v>
                </c:pt>
                <c:pt idx="2363">
                  <c:v>45464</c:v>
                </c:pt>
                <c:pt idx="2364">
                  <c:v>45465</c:v>
                </c:pt>
                <c:pt idx="2365">
                  <c:v>45466</c:v>
                </c:pt>
                <c:pt idx="2366">
                  <c:v>45467</c:v>
                </c:pt>
                <c:pt idx="2367">
                  <c:v>45468</c:v>
                </c:pt>
                <c:pt idx="2368">
                  <c:v>45469</c:v>
                </c:pt>
                <c:pt idx="2369">
                  <c:v>45470</c:v>
                </c:pt>
                <c:pt idx="2370">
                  <c:v>45471</c:v>
                </c:pt>
                <c:pt idx="2371">
                  <c:v>45472</c:v>
                </c:pt>
                <c:pt idx="2372">
                  <c:v>45473</c:v>
                </c:pt>
                <c:pt idx="2373">
                  <c:v>45474</c:v>
                </c:pt>
                <c:pt idx="2374">
                  <c:v>45475</c:v>
                </c:pt>
                <c:pt idx="2375">
                  <c:v>45476</c:v>
                </c:pt>
                <c:pt idx="2376">
                  <c:v>45477</c:v>
                </c:pt>
                <c:pt idx="2377">
                  <c:v>45478</c:v>
                </c:pt>
                <c:pt idx="2378">
                  <c:v>45479</c:v>
                </c:pt>
                <c:pt idx="2379">
                  <c:v>45480</c:v>
                </c:pt>
                <c:pt idx="2380">
                  <c:v>45481</c:v>
                </c:pt>
                <c:pt idx="2381">
                  <c:v>45482</c:v>
                </c:pt>
                <c:pt idx="2382">
                  <c:v>45483</c:v>
                </c:pt>
                <c:pt idx="2383">
                  <c:v>45484</c:v>
                </c:pt>
                <c:pt idx="2384">
                  <c:v>45485</c:v>
                </c:pt>
                <c:pt idx="2385">
                  <c:v>45486</c:v>
                </c:pt>
                <c:pt idx="2386">
                  <c:v>45487</c:v>
                </c:pt>
                <c:pt idx="2387">
                  <c:v>45488</c:v>
                </c:pt>
                <c:pt idx="2388">
                  <c:v>45489</c:v>
                </c:pt>
                <c:pt idx="2389">
                  <c:v>45490</c:v>
                </c:pt>
                <c:pt idx="2390">
                  <c:v>45491</c:v>
                </c:pt>
                <c:pt idx="2391">
                  <c:v>45492</c:v>
                </c:pt>
                <c:pt idx="2392">
                  <c:v>45493</c:v>
                </c:pt>
                <c:pt idx="2393">
                  <c:v>45494</c:v>
                </c:pt>
                <c:pt idx="2394">
                  <c:v>45495</c:v>
                </c:pt>
                <c:pt idx="2395">
                  <c:v>45496</c:v>
                </c:pt>
                <c:pt idx="2396">
                  <c:v>45497</c:v>
                </c:pt>
                <c:pt idx="2397">
                  <c:v>45498</c:v>
                </c:pt>
                <c:pt idx="2398">
                  <c:v>45499</c:v>
                </c:pt>
                <c:pt idx="2399">
                  <c:v>45500</c:v>
                </c:pt>
                <c:pt idx="2400">
                  <c:v>45501</c:v>
                </c:pt>
                <c:pt idx="2401">
                  <c:v>45502</c:v>
                </c:pt>
                <c:pt idx="2402">
                  <c:v>45503</c:v>
                </c:pt>
                <c:pt idx="2403">
                  <c:v>45504</c:v>
                </c:pt>
                <c:pt idx="2404">
                  <c:v>45505</c:v>
                </c:pt>
                <c:pt idx="2405">
                  <c:v>45506</c:v>
                </c:pt>
                <c:pt idx="2406">
                  <c:v>45507</c:v>
                </c:pt>
                <c:pt idx="2407">
                  <c:v>45508</c:v>
                </c:pt>
                <c:pt idx="2408">
                  <c:v>45509</c:v>
                </c:pt>
                <c:pt idx="2409">
                  <c:v>45510</c:v>
                </c:pt>
                <c:pt idx="2410">
                  <c:v>45511</c:v>
                </c:pt>
                <c:pt idx="2411">
                  <c:v>45512</c:v>
                </c:pt>
                <c:pt idx="2412">
                  <c:v>45513</c:v>
                </c:pt>
                <c:pt idx="2413">
                  <c:v>45514</c:v>
                </c:pt>
                <c:pt idx="2414">
                  <c:v>45515</c:v>
                </c:pt>
                <c:pt idx="2415">
                  <c:v>45516</c:v>
                </c:pt>
                <c:pt idx="2416">
                  <c:v>45517</c:v>
                </c:pt>
                <c:pt idx="2417">
                  <c:v>45518</c:v>
                </c:pt>
                <c:pt idx="2418">
                  <c:v>45519</c:v>
                </c:pt>
                <c:pt idx="2419">
                  <c:v>45520</c:v>
                </c:pt>
                <c:pt idx="2420">
                  <c:v>45521</c:v>
                </c:pt>
                <c:pt idx="2421">
                  <c:v>45522</c:v>
                </c:pt>
                <c:pt idx="2422">
                  <c:v>45523</c:v>
                </c:pt>
                <c:pt idx="2423">
                  <c:v>45524</c:v>
                </c:pt>
                <c:pt idx="2424">
                  <c:v>45525</c:v>
                </c:pt>
                <c:pt idx="2425">
                  <c:v>45526</c:v>
                </c:pt>
                <c:pt idx="2426">
                  <c:v>45527</c:v>
                </c:pt>
                <c:pt idx="2427">
                  <c:v>45528</c:v>
                </c:pt>
                <c:pt idx="2428">
                  <c:v>45529</c:v>
                </c:pt>
                <c:pt idx="2429">
                  <c:v>45530</c:v>
                </c:pt>
                <c:pt idx="2430">
                  <c:v>45531</c:v>
                </c:pt>
                <c:pt idx="2431">
                  <c:v>45532</c:v>
                </c:pt>
                <c:pt idx="2432">
                  <c:v>45533</c:v>
                </c:pt>
                <c:pt idx="2433">
                  <c:v>45534</c:v>
                </c:pt>
                <c:pt idx="2434">
                  <c:v>45535</c:v>
                </c:pt>
                <c:pt idx="2435">
                  <c:v>45536</c:v>
                </c:pt>
                <c:pt idx="2436">
                  <c:v>45537</c:v>
                </c:pt>
                <c:pt idx="2437">
                  <c:v>45538</c:v>
                </c:pt>
                <c:pt idx="2438">
                  <c:v>45539</c:v>
                </c:pt>
                <c:pt idx="2439">
                  <c:v>45540</c:v>
                </c:pt>
                <c:pt idx="2440">
                  <c:v>45541</c:v>
                </c:pt>
                <c:pt idx="2441">
                  <c:v>45542</c:v>
                </c:pt>
                <c:pt idx="2442">
                  <c:v>45543</c:v>
                </c:pt>
                <c:pt idx="2443">
                  <c:v>45544</c:v>
                </c:pt>
                <c:pt idx="2444">
                  <c:v>45545</c:v>
                </c:pt>
                <c:pt idx="2445">
                  <c:v>45546</c:v>
                </c:pt>
                <c:pt idx="2446">
                  <c:v>45547</c:v>
                </c:pt>
                <c:pt idx="2447">
                  <c:v>45548</c:v>
                </c:pt>
                <c:pt idx="2448">
                  <c:v>45549</c:v>
                </c:pt>
                <c:pt idx="2449">
                  <c:v>45550</c:v>
                </c:pt>
                <c:pt idx="2450">
                  <c:v>45551</c:v>
                </c:pt>
                <c:pt idx="2451">
                  <c:v>45552</c:v>
                </c:pt>
                <c:pt idx="2452">
                  <c:v>45553</c:v>
                </c:pt>
                <c:pt idx="2453">
                  <c:v>45554</c:v>
                </c:pt>
                <c:pt idx="2454">
                  <c:v>45555</c:v>
                </c:pt>
                <c:pt idx="2455">
                  <c:v>45556</c:v>
                </c:pt>
                <c:pt idx="2456">
                  <c:v>45557</c:v>
                </c:pt>
                <c:pt idx="2457">
                  <c:v>45558</c:v>
                </c:pt>
                <c:pt idx="2458">
                  <c:v>45559</c:v>
                </c:pt>
                <c:pt idx="2459">
                  <c:v>45560</c:v>
                </c:pt>
                <c:pt idx="2460">
                  <c:v>45561</c:v>
                </c:pt>
                <c:pt idx="2461">
                  <c:v>45562</c:v>
                </c:pt>
                <c:pt idx="2462">
                  <c:v>45563</c:v>
                </c:pt>
                <c:pt idx="2463">
                  <c:v>45564</c:v>
                </c:pt>
                <c:pt idx="2464">
                  <c:v>45565</c:v>
                </c:pt>
                <c:pt idx="2465">
                  <c:v>45566</c:v>
                </c:pt>
                <c:pt idx="2466">
                  <c:v>45567</c:v>
                </c:pt>
                <c:pt idx="2467">
                  <c:v>45568</c:v>
                </c:pt>
                <c:pt idx="2468">
                  <c:v>45569</c:v>
                </c:pt>
                <c:pt idx="2469">
                  <c:v>45570</c:v>
                </c:pt>
                <c:pt idx="2470">
                  <c:v>45571</c:v>
                </c:pt>
                <c:pt idx="2471">
                  <c:v>45572</c:v>
                </c:pt>
                <c:pt idx="2472">
                  <c:v>45573</c:v>
                </c:pt>
                <c:pt idx="2473">
                  <c:v>45574</c:v>
                </c:pt>
                <c:pt idx="2474">
                  <c:v>45575</c:v>
                </c:pt>
                <c:pt idx="2475">
                  <c:v>45576</c:v>
                </c:pt>
                <c:pt idx="2476">
                  <c:v>45577</c:v>
                </c:pt>
                <c:pt idx="2477">
                  <c:v>45578</c:v>
                </c:pt>
                <c:pt idx="2478">
                  <c:v>45579</c:v>
                </c:pt>
                <c:pt idx="2479">
                  <c:v>45580</c:v>
                </c:pt>
                <c:pt idx="2480">
                  <c:v>45581</c:v>
                </c:pt>
                <c:pt idx="2481">
                  <c:v>45582</c:v>
                </c:pt>
                <c:pt idx="2482">
                  <c:v>45583</c:v>
                </c:pt>
                <c:pt idx="2483">
                  <c:v>45584</c:v>
                </c:pt>
                <c:pt idx="2484">
                  <c:v>45585</c:v>
                </c:pt>
                <c:pt idx="2485">
                  <c:v>45586</c:v>
                </c:pt>
                <c:pt idx="2486">
                  <c:v>45587</c:v>
                </c:pt>
                <c:pt idx="2487">
                  <c:v>45588</c:v>
                </c:pt>
                <c:pt idx="2488">
                  <c:v>45589</c:v>
                </c:pt>
                <c:pt idx="2489">
                  <c:v>45590</c:v>
                </c:pt>
                <c:pt idx="2490">
                  <c:v>45591</c:v>
                </c:pt>
                <c:pt idx="2491">
                  <c:v>45592</c:v>
                </c:pt>
                <c:pt idx="2492">
                  <c:v>45593</c:v>
                </c:pt>
                <c:pt idx="2493">
                  <c:v>45594</c:v>
                </c:pt>
                <c:pt idx="2494">
                  <c:v>45595</c:v>
                </c:pt>
                <c:pt idx="2495">
                  <c:v>45596</c:v>
                </c:pt>
                <c:pt idx="2496">
                  <c:v>45597</c:v>
                </c:pt>
                <c:pt idx="2497">
                  <c:v>45598</c:v>
                </c:pt>
                <c:pt idx="2498">
                  <c:v>45599</c:v>
                </c:pt>
                <c:pt idx="2499">
                  <c:v>45600</c:v>
                </c:pt>
                <c:pt idx="2500">
                  <c:v>45601</c:v>
                </c:pt>
                <c:pt idx="2501">
                  <c:v>45602</c:v>
                </c:pt>
                <c:pt idx="2502">
                  <c:v>45603</c:v>
                </c:pt>
                <c:pt idx="2503">
                  <c:v>45604</c:v>
                </c:pt>
                <c:pt idx="2504">
                  <c:v>45605</c:v>
                </c:pt>
                <c:pt idx="2505">
                  <c:v>45606</c:v>
                </c:pt>
                <c:pt idx="2506">
                  <c:v>45607</c:v>
                </c:pt>
                <c:pt idx="2507">
                  <c:v>45608</c:v>
                </c:pt>
                <c:pt idx="2508">
                  <c:v>45609</c:v>
                </c:pt>
                <c:pt idx="2509">
                  <c:v>45610</c:v>
                </c:pt>
                <c:pt idx="2510">
                  <c:v>45611</c:v>
                </c:pt>
                <c:pt idx="2511">
                  <c:v>45612</c:v>
                </c:pt>
                <c:pt idx="2512">
                  <c:v>45613</c:v>
                </c:pt>
                <c:pt idx="2513">
                  <c:v>45614</c:v>
                </c:pt>
                <c:pt idx="2514">
                  <c:v>45615</c:v>
                </c:pt>
                <c:pt idx="2515">
                  <c:v>45616</c:v>
                </c:pt>
                <c:pt idx="2516">
                  <c:v>45617</c:v>
                </c:pt>
                <c:pt idx="2517">
                  <c:v>45618</c:v>
                </c:pt>
                <c:pt idx="2518">
                  <c:v>45619</c:v>
                </c:pt>
                <c:pt idx="2519">
                  <c:v>45620</c:v>
                </c:pt>
                <c:pt idx="2520">
                  <c:v>45621</c:v>
                </c:pt>
                <c:pt idx="2521">
                  <c:v>45622</c:v>
                </c:pt>
                <c:pt idx="2522">
                  <c:v>45623</c:v>
                </c:pt>
                <c:pt idx="2523">
                  <c:v>45624</c:v>
                </c:pt>
                <c:pt idx="2524">
                  <c:v>45625</c:v>
                </c:pt>
                <c:pt idx="2525">
                  <c:v>45626</c:v>
                </c:pt>
                <c:pt idx="2526">
                  <c:v>45627</c:v>
                </c:pt>
                <c:pt idx="2527">
                  <c:v>45628</c:v>
                </c:pt>
                <c:pt idx="2528">
                  <c:v>45629</c:v>
                </c:pt>
                <c:pt idx="2529">
                  <c:v>45630</c:v>
                </c:pt>
                <c:pt idx="2530">
                  <c:v>45631</c:v>
                </c:pt>
                <c:pt idx="2531">
                  <c:v>45632</c:v>
                </c:pt>
                <c:pt idx="2532">
                  <c:v>45633</c:v>
                </c:pt>
                <c:pt idx="2533">
                  <c:v>45634</c:v>
                </c:pt>
                <c:pt idx="2534">
                  <c:v>45635</c:v>
                </c:pt>
                <c:pt idx="2535">
                  <c:v>45636</c:v>
                </c:pt>
                <c:pt idx="2536">
                  <c:v>45637</c:v>
                </c:pt>
                <c:pt idx="2537">
                  <c:v>45638</c:v>
                </c:pt>
                <c:pt idx="2538">
                  <c:v>45639</c:v>
                </c:pt>
                <c:pt idx="2539">
                  <c:v>45640</c:v>
                </c:pt>
                <c:pt idx="2540">
                  <c:v>45641</c:v>
                </c:pt>
                <c:pt idx="2541">
                  <c:v>45642</c:v>
                </c:pt>
                <c:pt idx="2542">
                  <c:v>45643</c:v>
                </c:pt>
                <c:pt idx="2543">
                  <c:v>45644</c:v>
                </c:pt>
                <c:pt idx="2544">
                  <c:v>45645</c:v>
                </c:pt>
                <c:pt idx="2545">
                  <c:v>45646</c:v>
                </c:pt>
                <c:pt idx="2546">
                  <c:v>45647</c:v>
                </c:pt>
                <c:pt idx="2547">
                  <c:v>45648</c:v>
                </c:pt>
                <c:pt idx="2548">
                  <c:v>45649</c:v>
                </c:pt>
                <c:pt idx="2549">
                  <c:v>45650</c:v>
                </c:pt>
                <c:pt idx="2550">
                  <c:v>45651</c:v>
                </c:pt>
                <c:pt idx="2551">
                  <c:v>45652</c:v>
                </c:pt>
                <c:pt idx="2552">
                  <c:v>45653</c:v>
                </c:pt>
                <c:pt idx="2553">
                  <c:v>45654</c:v>
                </c:pt>
                <c:pt idx="2554">
                  <c:v>45655</c:v>
                </c:pt>
                <c:pt idx="2555">
                  <c:v>45656</c:v>
                </c:pt>
                <c:pt idx="2556">
                  <c:v>45657</c:v>
                </c:pt>
                <c:pt idx="2557">
                  <c:v>45658</c:v>
                </c:pt>
              </c:numCache>
            </c:numRef>
          </c:cat>
          <c:val>
            <c:numRef>
              <c:f>Onboarding!$G$7:$G$2564</c:f>
              <c:numCache>
                <c:formatCode>General</c:formatCode>
                <c:ptCount val="2558"/>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pt idx="1996">
                  <c:v>#N/A</c:v>
                </c:pt>
                <c:pt idx="1997">
                  <c:v>#N/A</c:v>
                </c:pt>
                <c:pt idx="1998">
                  <c:v>#N/A</c:v>
                </c:pt>
                <c:pt idx="1999">
                  <c:v>#N/A</c:v>
                </c:pt>
                <c:pt idx="2000">
                  <c:v>#N/A</c:v>
                </c:pt>
                <c:pt idx="2001">
                  <c:v>#N/A</c:v>
                </c:pt>
                <c:pt idx="2002">
                  <c:v>#N/A</c:v>
                </c:pt>
                <c:pt idx="2003">
                  <c:v>#N/A</c:v>
                </c:pt>
                <c:pt idx="2004">
                  <c:v>#N/A</c:v>
                </c:pt>
                <c:pt idx="2005">
                  <c:v>#N/A</c:v>
                </c:pt>
                <c:pt idx="2006">
                  <c:v>#N/A</c:v>
                </c:pt>
                <c:pt idx="2007">
                  <c:v>#N/A</c:v>
                </c:pt>
                <c:pt idx="2008">
                  <c:v>#N/A</c:v>
                </c:pt>
                <c:pt idx="2009">
                  <c:v>#N/A</c:v>
                </c:pt>
                <c:pt idx="2010">
                  <c:v>#N/A</c:v>
                </c:pt>
                <c:pt idx="2011">
                  <c:v>#N/A</c:v>
                </c:pt>
                <c:pt idx="2012">
                  <c:v>#N/A</c:v>
                </c:pt>
                <c:pt idx="2013">
                  <c:v>#N/A</c:v>
                </c:pt>
                <c:pt idx="2014">
                  <c:v>#N/A</c:v>
                </c:pt>
                <c:pt idx="2015">
                  <c:v>#N/A</c:v>
                </c:pt>
                <c:pt idx="2016">
                  <c:v>#N/A</c:v>
                </c:pt>
                <c:pt idx="2017">
                  <c:v>#N/A</c:v>
                </c:pt>
                <c:pt idx="2018">
                  <c:v>#N/A</c:v>
                </c:pt>
                <c:pt idx="2019">
                  <c:v>#N/A</c:v>
                </c:pt>
                <c:pt idx="2020">
                  <c:v>#N/A</c:v>
                </c:pt>
                <c:pt idx="2021">
                  <c:v>#N/A</c:v>
                </c:pt>
                <c:pt idx="2022">
                  <c:v>#N/A</c:v>
                </c:pt>
                <c:pt idx="2023">
                  <c:v>#N/A</c:v>
                </c:pt>
                <c:pt idx="2024">
                  <c:v>#N/A</c:v>
                </c:pt>
                <c:pt idx="2025">
                  <c:v>#N/A</c:v>
                </c:pt>
                <c:pt idx="2026">
                  <c:v>#N/A</c:v>
                </c:pt>
                <c:pt idx="2027">
                  <c:v>#N/A</c:v>
                </c:pt>
                <c:pt idx="2028">
                  <c:v>#N/A</c:v>
                </c:pt>
                <c:pt idx="2029">
                  <c:v>#N/A</c:v>
                </c:pt>
                <c:pt idx="2030">
                  <c:v>#N/A</c:v>
                </c:pt>
                <c:pt idx="2031">
                  <c:v>#N/A</c:v>
                </c:pt>
                <c:pt idx="2032">
                  <c:v>#N/A</c:v>
                </c:pt>
                <c:pt idx="2033">
                  <c:v>#N/A</c:v>
                </c:pt>
                <c:pt idx="2034">
                  <c:v>#N/A</c:v>
                </c:pt>
                <c:pt idx="2035">
                  <c:v>#N/A</c:v>
                </c:pt>
                <c:pt idx="2036">
                  <c:v>#N/A</c:v>
                </c:pt>
                <c:pt idx="2037">
                  <c:v>#N/A</c:v>
                </c:pt>
                <c:pt idx="2038">
                  <c:v>#N/A</c:v>
                </c:pt>
                <c:pt idx="2039">
                  <c:v>#N/A</c:v>
                </c:pt>
                <c:pt idx="2040">
                  <c:v>#N/A</c:v>
                </c:pt>
                <c:pt idx="2041">
                  <c:v>#N/A</c:v>
                </c:pt>
                <c:pt idx="2042">
                  <c:v>#N/A</c:v>
                </c:pt>
                <c:pt idx="2043">
                  <c:v>#N/A</c:v>
                </c:pt>
                <c:pt idx="2044">
                  <c:v>#N/A</c:v>
                </c:pt>
                <c:pt idx="2045">
                  <c:v>#N/A</c:v>
                </c:pt>
                <c:pt idx="2046">
                  <c:v>#N/A</c:v>
                </c:pt>
                <c:pt idx="2047">
                  <c:v>#N/A</c:v>
                </c:pt>
                <c:pt idx="2048">
                  <c:v>#N/A</c:v>
                </c:pt>
                <c:pt idx="2049">
                  <c:v>#N/A</c:v>
                </c:pt>
                <c:pt idx="2050">
                  <c:v>#N/A</c:v>
                </c:pt>
                <c:pt idx="2051">
                  <c:v>#N/A</c:v>
                </c:pt>
                <c:pt idx="2052">
                  <c:v>#N/A</c:v>
                </c:pt>
                <c:pt idx="2053">
                  <c:v>#N/A</c:v>
                </c:pt>
                <c:pt idx="2054">
                  <c:v>#N/A</c:v>
                </c:pt>
                <c:pt idx="2055">
                  <c:v>#N/A</c:v>
                </c:pt>
                <c:pt idx="2056">
                  <c:v>#N/A</c:v>
                </c:pt>
                <c:pt idx="2057">
                  <c:v>#N/A</c:v>
                </c:pt>
                <c:pt idx="2058">
                  <c:v>#N/A</c:v>
                </c:pt>
                <c:pt idx="2059">
                  <c:v>#N/A</c:v>
                </c:pt>
                <c:pt idx="2060">
                  <c:v>#N/A</c:v>
                </c:pt>
                <c:pt idx="2061">
                  <c:v>#N/A</c:v>
                </c:pt>
                <c:pt idx="2062">
                  <c:v>#N/A</c:v>
                </c:pt>
                <c:pt idx="2063">
                  <c:v>#N/A</c:v>
                </c:pt>
                <c:pt idx="2064">
                  <c:v>#N/A</c:v>
                </c:pt>
                <c:pt idx="2065">
                  <c:v>#N/A</c:v>
                </c:pt>
                <c:pt idx="2066">
                  <c:v>#N/A</c:v>
                </c:pt>
                <c:pt idx="2067">
                  <c:v>#N/A</c:v>
                </c:pt>
                <c:pt idx="2068">
                  <c:v>#N/A</c:v>
                </c:pt>
                <c:pt idx="2069">
                  <c:v>#N/A</c:v>
                </c:pt>
                <c:pt idx="2070">
                  <c:v>#N/A</c:v>
                </c:pt>
                <c:pt idx="2071">
                  <c:v>#N/A</c:v>
                </c:pt>
                <c:pt idx="2072">
                  <c:v>#N/A</c:v>
                </c:pt>
                <c:pt idx="2073">
                  <c:v>#N/A</c:v>
                </c:pt>
                <c:pt idx="2074">
                  <c:v>#N/A</c:v>
                </c:pt>
                <c:pt idx="2075">
                  <c:v>#N/A</c:v>
                </c:pt>
                <c:pt idx="2076">
                  <c:v>#N/A</c:v>
                </c:pt>
                <c:pt idx="2077">
                  <c:v>#N/A</c:v>
                </c:pt>
                <c:pt idx="2078">
                  <c:v>#N/A</c:v>
                </c:pt>
                <c:pt idx="2079">
                  <c:v>#N/A</c:v>
                </c:pt>
                <c:pt idx="2080">
                  <c:v>#N/A</c:v>
                </c:pt>
                <c:pt idx="2081">
                  <c:v>#N/A</c:v>
                </c:pt>
                <c:pt idx="2082">
                  <c:v>#N/A</c:v>
                </c:pt>
                <c:pt idx="2083">
                  <c:v>#N/A</c:v>
                </c:pt>
                <c:pt idx="2084">
                  <c:v>#N/A</c:v>
                </c:pt>
                <c:pt idx="2085">
                  <c:v>#N/A</c:v>
                </c:pt>
                <c:pt idx="2086">
                  <c:v>#N/A</c:v>
                </c:pt>
                <c:pt idx="2087">
                  <c:v>#N/A</c:v>
                </c:pt>
                <c:pt idx="2088">
                  <c:v>#N/A</c:v>
                </c:pt>
                <c:pt idx="2089">
                  <c:v>#N/A</c:v>
                </c:pt>
                <c:pt idx="2090">
                  <c:v>#N/A</c:v>
                </c:pt>
                <c:pt idx="2091">
                  <c:v>#N/A</c:v>
                </c:pt>
                <c:pt idx="2092">
                  <c:v>#N/A</c:v>
                </c:pt>
                <c:pt idx="2093">
                  <c:v>#N/A</c:v>
                </c:pt>
                <c:pt idx="2094">
                  <c:v>#N/A</c:v>
                </c:pt>
                <c:pt idx="2095">
                  <c:v>#N/A</c:v>
                </c:pt>
                <c:pt idx="2096">
                  <c:v>#N/A</c:v>
                </c:pt>
                <c:pt idx="2097">
                  <c:v>#N/A</c:v>
                </c:pt>
                <c:pt idx="2098">
                  <c:v>#N/A</c:v>
                </c:pt>
                <c:pt idx="2099">
                  <c:v>#N/A</c:v>
                </c:pt>
                <c:pt idx="2100">
                  <c:v>#N/A</c:v>
                </c:pt>
                <c:pt idx="2101">
                  <c:v>#N/A</c:v>
                </c:pt>
                <c:pt idx="2102">
                  <c:v>#N/A</c:v>
                </c:pt>
                <c:pt idx="2103">
                  <c:v>#N/A</c:v>
                </c:pt>
                <c:pt idx="2104">
                  <c:v>#N/A</c:v>
                </c:pt>
                <c:pt idx="2105">
                  <c:v>#N/A</c:v>
                </c:pt>
                <c:pt idx="2106">
                  <c:v>#N/A</c:v>
                </c:pt>
                <c:pt idx="2107">
                  <c:v>#N/A</c:v>
                </c:pt>
                <c:pt idx="2108">
                  <c:v>#N/A</c:v>
                </c:pt>
                <c:pt idx="2109">
                  <c:v>#N/A</c:v>
                </c:pt>
                <c:pt idx="2110">
                  <c:v>#N/A</c:v>
                </c:pt>
                <c:pt idx="2111">
                  <c:v>#N/A</c:v>
                </c:pt>
                <c:pt idx="2112">
                  <c:v>#N/A</c:v>
                </c:pt>
                <c:pt idx="2113">
                  <c:v>#N/A</c:v>
                </c:pt>
                <c:pt idx="2114">
                  <c:v>#N/A</c:v>
                </c:pt>
                <c:pt idx="2115">
                  <c:v>#N/A</c:v>
                </c:pt>
                <c:pt idx="2116">
                  <c:v>#N/A</c:v>
                </c:pt>
                <c:pt idx="2117">
                  <c:v>#N/A</c:v>
                </c:pt>
                <c:pt idx="2118">
                  <c:v>#N/A</c:v>
                </c:pt>
                <c:pt idx="2119">
                  <c:v>#N/A</c:v>
                </c:pt>
                <c:pt idx="2120">
                  <c:v>#N/A</c:v>
                </c:pt>
                <c:pt idx="2121">
                  <c:v>#N/A</c:v>
                </c:pt>
                <c:pt idx="2122">
                  <c:v>#N/A</c:v>
                </c:pt>
                <c:pt idx="2123">
                  <c:v>#N/A</c:v>
                </c:pt>
                <c:pt idx="2124">
                  <c:v>#N/A</c:v>
                </c:pt>
                <c:pt idx="2125">
                  <c:v>#N/A</c:v>
                </c:pt>
                <c:pt idx="2126">
                  <c:v>#N/A</c:v>
                </c:pt>
                <c:pt idx="2127">
                  <c:v>#N/A</c:v>
                </c:pt>
                <c:pt idx="2128">
                  <c:v>#N/A</c:v>
                </c:pt>
                <c:pt idx="2129">
                  <c:v>#N/A</c:v>
                </c:pt>
                <c:pt idx="2130">
                  <c:v>#N/A</c:v>
                </c:pt>
                <c:pt idx="2131">
                  <c:v>#N/A</c:v>
                </c:pt>
                <c:pt idx="2132">
                  <c:v>#N/A</c:v>
                </c:pt>
                <c:pt idx="2133">
                  <c:v>#N/A</c:v>
                </c:pt>
                <c:pt idx="2134">
                  <c:v>#N/A</c:v>
                </c:pt>
                <c:pt idx="2135">
                  <c:v>#N/A</c:v>
                </c:pt>
                <c:pt idx="2136">
                  <c:v>#N/A</c:v>
                </c:pt>
                <c:pt idx="2137">
                  <c:v>#N/A</c:v>
                </c:pt>
                <c:pt idx="2138">
                  <c:v>#N/A</c:v>
                </c:pt>
                <c:pt idx="2139">
                  <c:v>#N/A</c:v>
                </c:pt>
                <c:pt idx="2140">
                  <c:v>#N/A</c:v>
                </c:pt>
                <c:pt idx="2141">
                  <c:v>#N/A</c:v>
                </c:pt>
                <c:pt idx="2142">
                  <c:v>#N/A</c:v>
                </c:pt>
                <c:pt idx="2143">
                  <c:v>#N/A</c:v>
                </c:pt>
                <c:pt idx="2144">
                  <c:v>#N/A</c:v>
                </c:pt>
                <c:pt idx="2145">
                  <c:v>#N/A</c:v>
                </c:pt>
                <c:pt idx="2146">
                  <c:v>#N/A</c:v>
                </c:pt>
                <c:pt idx="2147">
                  <c:v>#N/A</c:v>
                </c:pt>
                <c:pt idx="2148">
                  <c:v>#N/A</c:v>
                </c:pt>
                <c:pt idx="2149">
                  <c:v>#N/A</c:v>
                </c:pt>
                <c:pt idx="2150">
                  <c:v>#N/A</c:v>
                </c:pt>
                <c:pt idx="2151">
                  <c:v>#N/A</c:v>
                </c:pt>
                <c:pt idx="2152">
                  <c:v>#N/A</c:v>
                </c:pt>
                <c:pt idx="2153">
                  <c:v>#N/A</c:v>
                </c:pt>
                <c:pt idx="2154">
                  <c:v>#N/A</c:v>
                </c:pt>
                <c:pt idx="2155">
                  <c:v>#N/A</c:v>
                </c:pt>
                <c:pt idx="2156">
                  <c:v>#N/A</c:v>
                </c:pt>
                <c:pt idx="2157">
                  <c:v>#N/A</c:v>
                </c:pt>
                <c:pt idx="2158">
                  <c:v>#N/A</c:v>
                </c:pt>
                <c:pt idx="2159">
                  <c:v>#N/A</c:v>
                </c:pt>
                <c:pt idx="2160">
                  <c:v>#N/A</c:v>
                </c:pt>
                <c:pt idx="2161">
                  <c:v>#N/A</c:v>
                </c:pt>
                <c:pt idx="2162">
                  <c:v>#N/A</c:v>
                </c:pt>
                <c:pt idx="2163">
                  <c:v>#N/A</c:v>
                </c:pt>
                <c:pt idx="2164">
                  <c:v>#N/A</c:v>
                </c:pt>
                <c:pt idx="2165">
                  <c:v>#N/A</c:v>
                </c:pt>
                <c:pt idx="2166">
                  <c:v>#N/A</c:v>
                </c:pt>
                <c:pt idx="2167">
                  <c:v>#N/A</c:v>
                </c:pt>
                <c:pt idx="2168">
                  <c:v>#N/A</c:v>
                </c:pt>
                <c:pt idx="2169">
                  <c:v>#N/A</c:v>
                </c:pt>
                <c:pt idx="2170">
                  <c:v>#N/A</c:v>
                </c:pt>
                <c:pt idx="2171">
                  <c:v>#N/A</c:v>
                </c:pt>
                <c:pt idx="2172">
                  <c:v>#N/A</c:v>
                </c:pt>
                <c:pt idx="2173">
                  <c:v>#N/A</c:v>
                </c:pt>
                <c:pt idx="2174">
                  <c:v>#N/A</c:v>
                </c:pt>
                <c:pt idx="2175">
                  <c:v>#N/A</c:v>
                </c:pt>
                <c:pt idx="2176">
                  <c:v>#N/A</c:v>
                </c:pt>
                <c:pt idx="2177">
                  <c:v>#N/A</c:v>
                </c:pt>
                <c:pt idx="2178">
                  <c:v>#N/A</c:v>
                </c:pt>
                <c:pt idx="2179">
                  <c:v>#N/A</c:v>
                </c:pt>
                <c:pt idx="2180">
                  <c:v>#N/A</c:v>
                </c:pt>
                <c:pt idx="2181">
                  <c:v>#N/A</c:v>
                </c:pt>
                <c:pt idx="2182">
                  <c:v>#N/A</c:v>
                </c:pt>
                <c:pt idx="2183">
                  <c:v>#N/A</c:v>
                </c:pt>
                <c:pt idx="2184">
                  <c:v>#N/A</c:v>
                </c:pt>
                <c:pt idx="2185">
                  <c:v>#N/A</c:v>
                </c:pt>
                <c:pt idx="2186">
                  <c:v>#N/A</c:v>
                </c:pt>
                <c:pt idx="2187">
                  <c:v>#N/A</c:v>
                </c:pt>
                <c:pt idx="2188">
                  <c:v>#N/A</c:v>
                </c:pt>
                <c:pt idx="2189">
                  <c:v>#N/A</c:v>
                </c:pt>
                <c:pt idx="2190">
                  <c:v>#N/A</c:v>
                </c:pt>
                <c:pt idx="2191">
                  <c:v>#N/A</c:v>
                </c:pt>
                <c:pt idx="2192">
                  <c:v>#N/A</c:v>
                </c:pt>
                <c:pt idx="2193">
                  <c:v>#N/A</c:v>
                </c:pt>
                <c:pt idx="2194">
                  <c:v>#N/A</c:v>
                </c:pt>
                <c:pt idx="2195">
                  <c:v>#N/A</c:v>
                </c:pt>
                <c:pt idx="2196">
                  <c:v>#N/A</c:v>
                </c:pt>
                <c:pt idx="2197">
                  <c:v>#N/A</c:v>
                </c:pt>
                <c:pt idx="2198">
                  <c:v>#N/A</c:v>
                </c:pt>
                <c:pt idx="2199">
                  <c:v>#N/A</c:v>
                </c:pt>
                <c:pt idx="2200">
                  <c:v>#N/A</c:v>
                </c:pt>
                <c:pt idx="2201">
                  <c:v>#N/A</c:v>
                </c:pt>
                <c:pt idx="2202">
                  <c:v>#N/A</c:v>
                </c:pt>
                <c:pt idx="2203">
                  <c:v>#N/A</c:v>
                </c:pt>
                <c:pt idx="2204">
                  <c:v>#N/A</c:v>
                </c:pt>
                <c:pt idx="2205">
                  <c:v>#N/A</c:v>
                </c:pt>
                <c:pt idx="2206">
                  <c:v>#N/A</c:v>
                </c:pt>
                <c:pt idx="2207">
                  <c:v>#N/A</c:v>
                </c:pt>
                <c:pt idx="2208">
                  <c:v>#N/A</c:v>
                </c:pt>
                <c:pt idx="2209">
                  <c:v>#N/A</c:v>
                </c:pt>
                <c:pt idx="2210">
                  <c:v>#N/A</c:v>
                </c:pt>
                <c:pt idx="2211">
                  <c:v>#N/A</c:v>
                </c:pt>
                <c:pt idx="2212">
                  <c:v>#N/A</c:v>
                </c:pt>
                <c:pt idx="2213">
                  <c:v>#N/A</c:v>
                </c:pt>
                <c:pt idx="2214">
                  <c:v>#N/A</c:v>
                </c:pt>
                <c:pt idx="2215">
                  <c:v>#N/A</c:v>
                </c:pt>
                <c:pt idx="2216">
                  <c:v>#N/A</c:v>
                </c:pt>
                <c:pt idx="2217">
                  <c:v>#N/A</c:v>
                </c:pt>
                <c:pt idx="2218">
                  <c:v>#N/A</c:v>
                </c:pt>
                <c:pt idx="2219">
                  <c:v>#N/A</c:v>
                </c:pt>
                <c:pt idx="2220">
                  <c:v>#N/A</c:v>
                </c:pt>
                <c:pt idx="2221">
                  <c:v>#N/A</c:v>
                </c:pt>
                <c:pt idx="2222">
                  <c:v>#N/A</c:v>
                </c:pt>
                <c:pt idx="2223">
                  <c:v>#N/A</c:v>
                </c:pt>
                <c:pt idx="2224">
                  <c:v>#N/A</c:v>
                </c:pt>
                <c:pt idx="2225">
                  <c:v>#N/A</c:v>
                </c:pt>
                <c:pt idx="2226">
                  <c:v>#N/A</c:v>
                </c:pt>
                <c:pt idx="2227">
                  <c:v>#N/A</c:v>
                </c:pt>
                <c:pt idx="2228">
                  <c:v>#N/A</c:v>
                </c:pt>
                <c:pt idx="2229">
                  <c:v>#N/A</c:v>
                </c:pt>
                <c:pt idx="2230">
                  <c:v>#N/A</c:v>
                </c:pt>
                <c:pt idx="2231">
                  <c:v>#N/A</c:v>
                </c:pt>
                <c:pt idx="2232">
                  <c:v>#N/A</c:v>
                </c:pt>
                <c:pt idx="2233">
                  <c:v>#N/A</c:v>
                </c:pt>
                <c:pt idx="2234">
                  <c:v>#N/A</c:v>
                </c:pt>
                <c:pt idx="2235">
                  <c:v>#N/A</c:v>
                </c:pt>
                <c:pt idx="2236">
                  <c:v>#N/A</c:v>
                </c:pt>
                <c:pt idx="2237">
                  <c:v>#N/A</c:v>
                </c:pt>
                <c:pt idx="2238">
                  <c:v>#N/A</c:v>
                </c:pt>
                <c:pt idx="2239">
                  <c:v>#N/A</c:v>
                </c:pt>
                <c:pt idx="2240">
                  <c:v>#N/A</c:v>
                </c:pt>
                <c:pt idx="2241">
                  <c:v>#N/A</c:v>
                </c:pt>
                <c:pt idx="2242">
                  <c:v>#N/A</c:v>
                </c:pt>
                <c:pt idx="2243">
                  <c:v>#N/A</c:v>
                </c:pt>
                <c:pt idx="2244">
                  <c:v>#N/A</c:v>
                </c:pt>
                <c:pt idx="2245">
                  <c:v>#N/A</c:v>
                </c:pt>
                <c:pt idx="2246">
                  <c:v>#N/A</c:v>
                </c:pt>
                <c:pt idx="2247">
                  <c:v>#N/A</c:v>
                </c:pt>
                <c:pt idx="2248">
                  <c:v>#N/A</c:v>
                </c:pt>
                <c:pt idx="2249">
                  <c:v>#N/A</c:v>
                </c:pt>
                <c:pt idx="2250">
                  <c:v>#N/A</c:v>
                </c:pt>
                <c:pt idx="2251">
                  <c:v>#N/A</c:v>
                </c:pt>
                <c:pt idx="2252">
                  <c:v>#N/A</c:v>
                </c:pt>
                <c:pt idx="2253">
                  <c:v>#N/A</c:v>
                </c:pt>
                <c:pt idx="2254">
                  <c:v>#N/A</c:v>
                </c:pt>
                <c:pt idx="2255">
                  <c:v>#N/A</c:v>
                </c:pt>
                <c:pt idx="2256">
                  <c:v>#N/A</c:v>
                </c:pt>
                <c:pt idx="2257">
                  <c:v>#N/A</c:v>
                </c:pt>
                <c:pt idx="2258">
                  <c:v>#N/A</c:v>
                </c:pt>
                <c:pt idx="2259">
                  <c:v>#N/A</c:v>
                </c:pt>
                <c:pt idx="2260">
                  <c:v>#N/A</c:v>
                </c:pt>
                <c:pt idx="2261">
                  <c:v>#N/A</c:v>
                </c:pt>
                <c:pt idx="2262">
                  <c:v>#N/A</c:v>
                </c:pt>
                <c:pt idx="2263">
                  <c:v>#N/A</c:v>
                </c:pt>
                <c:pt idx="2264">
                  <c:v>#N/A</c:v>
                </c:pt>
                <c:pt idx="2265">
                  <c:v>#N/A</c:v>
                </c:pt>
                <c:pt idx="2266">
                  <c:v>#N/A</c:v>
                </c:pt>
                <c:pt idx="2267">
                  <c:v>#N/A</c:v>
                </c:pt>
                <c:pt idx="2268">
                  <c:v>#N/A</c:v>
                </c:pt>
                <c:pt idx="2269">
                  <c:v>#N/A</c:v>
                </c:pt>
                <c:pt idx="2270">
                  <c:v>#N/A</c:v>
                </c:pt>
                <c:pt idx="2271">
                  <c:v>#N/A</c:v>
                </c:pt>
                <c:pt idx="2272">
                  <c:v>#N/A</c:v>
                </c:pt>
                <c:pt idx="2273">
                  <c:v>#N/A</c:v>
                </c:pt>
                <c:pt idx="2274">
                  <c:v>#N/A</c:v>
                </c:pt>
                <c:pt idx="2275">
                  <c:v>#N/A</c:v>
                </c:pt>
                <c:pt idx="2276">
                  <c:v>#N/A</c:v>
                </c:pt>
                <c:pt idx="2277">
                  <c:v>#N/A</c:v>
                </c:pt>
                <c:pt idx="2278">
                  <c:v>#N/A</c:v>
                </c:pt>
                <c:pt idx="2279">
                  <c:v>#N/A</c:v>
                </c:pt>
                <c:pt idx="2280">
                  <c:v>#N/A</c:v>
                </c:pt>
                <c:pt idx="2281">
                  <c:v>#N/A</c:v>
                </c:pt>
                <c:pt idx="2282">
                  <c:v>#N/A</c:v>
                </c:pt>
                <c:pt idx="2283">
                  <c:v>#N/A</c:v>
                </c:pt>
                <c:pt idx="2284">
                  <c:v>#N/A</c:v>
                </c:pt>
                <c:pt idx="2285">
                  <c:v>#N/A</c:v>
                </c:pt>
                <c:pt idx="2286">
                  <c:v>#N/A</c:v>
                </c:pt>
                <c:pt idx="2287">
                  <c:v>#N/A</c:v>
                </c:pt>
                <c:pt idx="2288">
                  <c:v>#N/A</c:v>
                </c:pt>
                <c:pt idx="2289">
                  <c:v>#N/A</c:v>
                </c:pt>
                <c:pt idx="2290">
                  <c:v>#N/A</c:v>
                </c:pt>
                <c:pt idx="2291">
                  <c:v>#N/A</c:v>
                </c:pt>
                <c:pt idx="2292">
                  <c:v>#N/A</c:v>
                </c:pt>
                <c:pt idx="2293">
                  <c:v>#N/A</c:v>
                </c:pt>
                <c:pt idx="2294">
                  <c:v>#N/A</c:v>
                </c:pt>
                <c:pt idx="2295">
                  <c:v>#N/A</c:v>
                </c:pt>
                <c:pt idx="2296">
                  <c:v>#N/A</c:v>
                </c:pt>
                <c:pt idx="2297">
                  <c:v>#N/A</c:v>
                </c:pt>
                <c:pt idx="2298">
                  <c:v>#N/A</c:v>
                </c:pt>
                <c:pt idx="2299">
                  <c:v>#N/A</c:v>
                </c:pt>
                <c:pt idx="2300">
                  <c:v>#N/A</c:v>
                </c:pt>
                <c:pt idx="2301">
                  <c:v>#N/A</c:v>
                </c:pt>
                <c:pt idx="2302">
                  <c:v>#N/A</c:v>
                </c:pt>
                <c:pt idx="2303">
                  <c:v>#N/A</c:v>
                </c:pt>
                <c:pt idx="2304">
                  <c:v>#N/A</c:v>
                </c:pt>
                <c:pt idx="2305">
                  <c:v>#N/A</c:v>
                </c:pt>
                <c:pt idx="2306">
                  <c:v>#N/A</c:v>
                </c:pt>
                <c:pt idx="2307">
                  <c:v>#N/A</c:v>
                </c:pt>
                <c:pt idx="2308">
                  <c:v>#N/A</c:v>
                </c:pt>
                <c:pt idx="2309">
                  <c:v>#N/A</c:v>
                </c:pt>
                <c:pt idx="2310">
                  <c:v>#N/A</c:v>
                </c:pt>
                <c:pt idx="2311">
                  <c:v>#N/A</c:v>
                </c:pt>
                <c:pt idx="2312">
                  <c:v>#N/A</c:v>
                </c:pt>
                <c:pt idx="2313">
                  <c:v>#N/A</c:v>
                </c:pt>
                <c:pt idx="2314">
                  <c:v>#N/A</c:v>
                </c:pt>
                <c:pt idx="2315">
                  <c:v>#N/A</c:v>
                </c:pt>
                <c:pt idx="2316">
                  <c:v>#N/A</c:v>
                </c:pt>
                <c:pt idx="2317">
                  <c:v>#N/A</c:v>
                </c:pt>
                <c:pt idx="2318">
                  <c:v>#N/A</c:v>
                </c:pt>
                <c:pt idx="2319">
                  <c:v>#N/A</c:v>
                </c:pt>
                <c:pt idx="2320">
                  <c:v>#N/A</c:v>
                </c:pt>
                <c:pt idx="2321">
                  <c:v>#N/A</c:v>
                </c:pt>
                <c:pt idx="2322">
                  <c:v>#N/A</c:v>
                </c:pt>
                <c:pt idx="2323">
                  <c:v>#N/A</c:v>
                </c:pt>
                <c:pt idx="2324">
                  <c:v>#N/A</c:v>
                </c:pt>
                <c:pt idx="2325">
                  <c:v>1</c:v>
                </c:pt>
                <c:pt idx="2326">
                  <c:v>1</c:v>
                </c:pt>
                <c:pt idx="2327">
                  <c:v>1</c:v>
                </c:pt>
                <c:pt idx="2328">
                  <c:v>1</c:v>
                </c:pt>
                <c:pt idx="2329">
                  <c:v>1</c:v>
                </c:pt>
                <c:pt idx="2330">
                  <c:v>1</c:v>
                </c:pt>
                <c:pt idx="2331">
                  <c:v>1</c:v>
                </c:pt>
                <c:pt idx="2332">
                  <c:v>1</c:v>
                </c:pt>
                <c:pt idx="2333">
                  <c:v>1</c:v>
                </c:pt>
                <c:pt idx="2334">
                  <c:v>1</c:v>
                </c:pt>
                <c:pt idx="2335">
                  <c:v>1</c:v>
                </c:pt>
                <c:pt idx="2336">
                  <c:v>1</c:v>
                </c:pt>
                <c:pt idx="2337">
                  <c:v>1</c:v>
                </c:pt>
                <c:pt idx="2338">
                  <c:v>1</c:v>
                </c:pt>
                <c:pt idx="2339">
                  <c:v>1</c:v>
                </c:pt>
                <c:pt idx="2340">
                  <c:v>1</c:v>
                </c:pt>
                <c:pt idx="2341">
                  <c:v>1</c:v>
                </c:pt>
                <c:pt idx="2342">
                  <c:v>1</c:v>
                </c:pt>
                <c:pt idx="2343">
                  <c:v>1</c:v>
                </c:pt>
                <c:pt idx="2344">
                  <c:v>1</c:v>
                </c:pt>
                <c:pt idx="2345">
                  <c:v>1</c:v>
                </c:pt>
                <c:pt idx="2346">
                  <c:v>1</c:v>
                </c:pt>
                <c:pt idx="2347">
                  <c:v>1</c:v>
                </c:pt>
                <c:pt idx="2348">
                  <c:v>1</c:v>
                </c:pt>
                <c:pt idx="2349">
                  <c:v>1</c:v>
                </c:pt>
                <c:pt idx="2350">
                  <c:v>1</c:v>
                </c:pt>
                <c:pt idx="2351">
                  <c:v>1</c:v>
                </c:pt>
                <c:pt idx="2352">
                  <c:v>1</c:v>
                </c:pt>
                <c:pt idx="2353">
                  <c:v>1</c:v>
                </c:pt>
                <c:pt idx="2354">
                  <c:v>1</c:v>
                </c:pt>
                <c:pt idx="2355">
                  <c:v>1</c:v>
                </c:pt>
                <c:pt idx="2356">
                  <c:v>1</c:v>
                </c:pt>
                <c:pt idx="2357">
                  <c:v>1</c:v>
                </c:pt>
                <c:pt idx="2358">
                  <c:v>1</c:v>
                </c:pt>
                <c:pt idx="2359">
                  <c:v>1</c:v>
                </c:pt>
                <c:pt idx="2360">
                  <c:v>1</c:v>
                </c:pt>
                <c:pt idx="2361">
                  <c:v>1</c:v>
                </c:pt>
                <c:pt idx="2362">
                  <c:v>1</c:v>
                </c:pt>
                <c:pt idx="2363">
                  <c:v>1</c:v>
                </c:pt>
                <c:pt idx="2364">
                  <c:v>1</c:v>
                </c:pt>
                <c:pt idx="2365">
                  <c:v>1</c:v>
                </c:pt>
                <c:pt idx="2366">
                  <c:v>1</c:v>
                </c:pt>
                <c:pt idx="2367">
                  <c:v>1</c:v>
                </c:pt>
                <c:pt idx="2368">
                  <c:v>1</c:v>
                </c:pt>
                <c:pt idx="2369">
                  <c:v>1</c:v>
                </c:pt>
                <c:pt idx="2370">
                  <c:v>1</c:v>
                </c:pt>
                <c:pt idx="2371">
                  <c:v>1</c:v>
                </c:pt>
                <c:pt idx="2372">
                  <c:v>1</c:v>
                </c:pt>
                <c:pt idx="2373">
                  <c:v>1</c:v>
                </c:pt>
                <c:pt idx="2374">
                  <c:v>1</c:v>
                </c:pt>
                <c:pt idx="2375">
                  <c:v>1</c:v>
                </c:pt>
                <c:pt idx="2376">
                  <c:v>1</c:v>
                </c:pt>
                <c:pt idx="2377">
                  <c:v>1</c:v>
                </c:pt>
                <c:pt idx="2378">
                  <c:v>1</c:v>
                </c:pt>
                <c:pt idx="2379">
                  <c:v>1</c:v>
                </c:pt>
                <c:pt idx="2380">
                  <c:v>1</c:v>
                </c:pt>
                <c:pt idx="2381">
                  <c:v>1</c:v>
                </c:pt>
                <c:pt idx="2382">
                  <c:v>1</c:v>
                </c:pt>
                <c:pt idx="2383">
                  <c:v>1</c:v>
                </c:pt>
                <c:pt idx="2384">
                  <c:v>1</c:v>
                </c:pt>
                <c:pt idx="2385">
                  <c:v>1</c:v>
                </c:pt>
                <c:pt idx="2386">
                  <c:v>1</c:v>
                </c:pt>
                <c:pt idx="2387">
                  <c:v>1</c:v>
                </c:pt>
                <c:pt idx="2388">
                  <c:v>1</c:v>
                </c:pt>
                <c:pt idx="2389">
                  <c:v>1</c:v>
                </c:pt>
                <c:pt idx="2390">
                  <c:v>1</c:v>
                </c:pt>
                <c:pt idx="2391">
                  <c:v>1</c:v>
                </c:pt>
                <c:pt idx="2392">
                  <c:v>1</c:v>
                </c:pt>
                <c:pt idx="2393">
                  <c:v>1</c:v>
                </c:pt>
                <c:pt idx="2394">
                  <c:v>1</c:v>
                </c:pt>
                <c:pt idx="2395">
                  <c:v>1</c:v>
                </c:pt>
                <c:pt idx="2396">
                  <c:v>1</c:v>
                </c:pt>
                <c:pt idx="2397">
                  <c:v>1</c:v>
                </c:pt>
                <c:pt idx="2398">
                  <c:v>1</c:v>
                </c:pt>
                <c:pt idx="2399">
                  <c:v>1</c:v>
                </c:pt>
                <c:pt idx="2400">
                  <c:v>1</c:v>
                </c:pt>
                <c:pt idx="2401">
                  <c:v>1</c:v>
                </c:pt>
                <c:pt idx="2402">
                  <c:v>1</c:v>
                </c:pt>
                <c:pt idx="2403">
                  <c:v>1</c:v>
                </c:pt>
                <c:pt idx="2404">
                  <c:v>1</c:v>
                </c:pt>
                <c:pt idx="2405">
                  <c:v>1</c:v>
                </c:pt>
                <c:pt idx="2406">
                  <c:v>1</c:v>
                </c:pt>
                <c:pt idx="2407">
                  <c:v>1</c:v>
                </c:pt>
                <c:pt idx="2408">
                  <c:v>1</c:v>
                </c:pt>
                <c:pt idx="2409">
                  <c:v>1</c:v>
                </c:pt>
                <c:pt idx="2410">
                  <c:v>1</c:v>
                </c:pt>
                <c:pt idx="2411">
                  <c:v>1</c:v>
                </c:pt>
                <c:pt idx="2412">
                  <c:v>1</c:v>
                </c:pt>
                <c:pt idx="2413">
                  <c:v>1</c:v>
                </c:pt>
                <c:pt idx="2414">
                  <c:v>1</c:v>
                </c:pt>
                <c:pt idx="2415">
                  <c:v>1</c:v>
                </c:pt>
                <c:pt idx="2416">
                  <c:v>1</c:v>
                </c:pt>
                <c:pt idx="2417">
                  <c:v>1</c:v>
                </c:pt>
                <c:pt idx="2418">
                  <c:v>1</c:v>
                </c:pt>
                <c:pt idx="2419">
                  <c:v>1</c:v>
                </c:pt>
                <c:pt idx="2420">
                  <c:v>1</c:v>
                </c:pt>
                <c:pt idx="2421">
                  <c:v>1</c:v>
                </c:pt>
                <c:pt idx="2422">
                  <c:v>1</c:v>
                </c:pt>
                <c:pt idx="2423">
                  <c:v>1</c:v>
                </c:pt>
                <c:pt idx="2424">
                  <c:v>1</c:v>
                </c:pt>
                <c:pt idx="2425">
                  <c:v>1</c:v>
                </c:pt>
                <c:pt idx="2426">
                  <c:v>1</c:v>
                </c:pt>
                <c:pt idx="2427">
                  <c:v>#N/A</c:v>
                </c:pt>
                <c:pt idx="2428">
                  <c:v>#N/A</c:v>
                </c:pt>
                <c:pt idx="2429">
                  <c:v>#N/A</c:v>
                </c:pt>
                <c:pt idx="2430">
                  <c:v>#N/A</c:v>
                </c:pt>
                <c:pt idx="2431">
                  <c:v>#N/A</c:v>
                </c:pt>
                <c:pt idx="2432">
                  <c:v>#N/A</c:v>
                </c:pt>
                <c:pt idx="2433">
                  <c:v>#N/A</c:v>
                </c:pt>
                <c:pt idx="2434">
                  <c:v>#N/A</c:v>
                </c:pt>
                <c:pt idx="2435">
                  <c:v>#N/A</c:v>
                </c:pt>
                <c:pt idx="2436">
                  <c:v>#N/A</c:v>
                </c:pt>
                <c:pt idx="2437">
                  <c:v>#N/A</c:v>
                </c:pt>
                <c:pt idx="2438">
                  <c:v>#N/A</c:v>
                </c:pt>
                <c:pt idx="2439">
                  <c:v>#N/A</c:v>
                </c:pt>
                <c:pt idx="2440">
                  <c:v>#N/A</c:v>
                </c:pt>
                <c:pt idx="2441">
                  <c:v>#N/A</c:v>
                </c:pt>
                <c:pt idx="2442">
                  <c:v>#N/A</c:v>
                </c:pt>
                <c:pt idx="2443">
                  <c:v>#N/A</c:v>
                </c:pt>
                <c:pt idx="2444">
                  <c:v>#N/A</c:v>
                </c:pt>
                <c:pt idx="2445">
                  <c:v>#N/A</c:v>
                </c:pt>
                <c:pt idx="2446">
                  <c:v>#N/A</c:v>
                </c:pt>
                <c:pt idx="2447">
                  <c:v>#N/A</c:v>
                </c:pt>
                <c:pt idx="2448">
                  <c:v>#N/A</c:v>
                </c:pt>
                <c:pt idx="2449">
                  <c:v>#N/A</c:v>
                </c:pt>
                <c:pt idx="2450">
                  <c:v>#N/A</c:v>
                </c:pt>
                <c:pt idx="2451">
                  <c:v>#N/A</c:v>
                </c:pt>
                <c:pt idx="2452">
                  <c:v>#N/A</c:v>
                </c:pt>
                <c:pt idx="2453">
                  <c:v>#N/A</c:v>
                </c:pt>
                <c:pt idx="2454">
                  <c:v>#N/A</c:v>
                </c:pt>
                <c:pt idx="2455">
                  <c:v>#N/A</c:v>
                </c:pt>
                <c:pt idx="2456">
                  <c:v>#N/A</c:v>
                </c:pt>
                <c:pt idx="2457">
                  <c:v>#N/A</c:v>
                </c:pt>
                <c:pt idx="2458">
                  <c:v>#N/A</c:v>
                </c:pt>
                <c:pt idx="2459">
                  <c:v>#N/A</c:v>
                </c:pt>
                <c:pt idx="2460">
                  <c:v>#N/A</c:v>
                </c:pt>
                <c:pt idx="2461">
                  <c:v>#N/A</c:v>
                </c:pt>
                <c:pt idx="2462">
                  <c:v>#N/A</c:v>
                </c:pt>
                <c:pt idx="2463">
                  <c:v>#N/A</c:v>
                </c:pt>
                <c:pt idx="2464">
                  <c:v>#N/A</c:v>
                </c:pt>
                <c:pt idx="2465">
                  <c:v>#N/A</c:v>
                </c:pt>
                <c:pt idx="2466">
                  <c:v>#N/A</c:v>
                </c:pt>
                <c:pt idx="2467">
                  <c:v>#N/A</c:v>
                </c:pt>
                <c:pt idx="2468">
                  <c:v>#N/A</c:v>
                </c:pt>
                <c:pt idx="2469">
                  <c:v>#N/A</c:v>
                </c:pt>
                <c:pt idx="2470">
                  <c:v>#N/A</c:v>
                </c:pt>
                <c:pt idx="2471">
                  <c:v>#N/A</c:v>
                </c:pt>
                <c:pt idx="2472">
                  <c:v>#N/A</c:v>
                </c:pt>
                <c:pt idx="2473">
                  <c:v>#N/A</c:v>
                </c:pt>
                <c:pt idx="2474">
                  <c:v>#N/A</c:v>
                </c:pt>
                <c:pt idx="2475">
                  <c:v>#N/A</c:v>
                </c:pt>
                <c:pt idx="2476">
                  <c:v>#N/A</c:v>
                </c:pt>
                <c:pt idx="2477">
                  <c:v>#N/A</c:v>
                </c:pt>
                <c:pt idx="2478">
                  <c:v>#N/A</c:v>
                </c:pt>
                <c:pt idx="2479">
                  <c:v>#N/A</c:v>
                </c:pt>
                <c:pt idx="2480">
                  <c:v>#N/A</c:v>
                </c:pt>
                <c:pt idx="2481">
                  <c:v>#N/A</c:v>
                </c:pt>
                <c:pt idx="2482">
                  <c:v>#N/A</c:v>
                </c:pt>
                <c:pt idx="2483">
                  <c:v>#N/A</c:v>
                </c:pt>
                <c:pt idx="2484">
                  <c:v>#N/A</c:v>
                </c:pt>
                <c:pt idx="2485">
                  <c:v>#N/A</c:v>
                </c:pt>
                <c:pt idx="2486">
                  <c:v>#N/A</c:v>
                </c:pt>
                <c:pt idx="2487">
                  <c:v>#N/A</c:v>
                </c:pt>
                <c:pt idx="2488">
                  <c:v>#N/A</c:v>
                </c:pt>
                <c:pt idx="2489">
                  <c:v>#N/A</c:v>
                </c:pt>
                <c:pt idx="2490">
                  <c:v>#N/A</c:v>
                </c:pt>
                <c:pt idx="2491">
                  <c:v>#N/A</c:v>
                </c:pt>
                <c:pt idx="2492">
                  <c:v>#N/A</c:v>
                </c:pt>
                <c:pt idx="2493">
                  <c:v>#N/A</c:v>
                </c:pt>
                <c:pt idx="2494">
                  <c:v>#N/A</c:v>
                </c:pt>
                <c:pt idx="2495">
                  <c:v>#N/A</c:v>
                </c:pt>
                <c:pt idx="2496">
                  <c:v>#N/A</c:v>
                </c:pt>
                <c:pt idx="2497">
                  <c:v>#N/A</c:v>
                </c:pt>
                <c:pt idx="2498">
                  <c:v>#N/A</c:v>
                </c:pt>
                <c:pt idx="2499">
                  <c:v>#N/A</c:v>
                </c:pt>
                <c:pt idx="2500">
                  <c:v>#N/A</c:v>
                </c:pt>
                <c:pt idx="2501">
                  <c:v>#N/A</c:v>
                </c:pt>
                <c:pt idx="2502">
                  <c:v>#N/A</c:v>
                </c:pt>
                <c:pt idx="2503">
                  <c:v>#N/A</c:v>
                </c:pt>
                <c:pt idx="2504">
                  <c:v>#N/A</c:v>
                </c:pt>
                <c:pt idx="2505">
                  <c:v>#N/A</c:v>
                </c:pt>
                <c:pt idx="2506">
                  <c:v>#N/A</c:v>
                </c:pt>
                <c:pt idx="2507">
                  <c:v>#N/A</c:v>
                </c:pt>
                <c:pt idx="2508">
                  <c:v>#N/A</c:v>
                </c:pt>
                <c:pt idx="2509">
                  <c:v>#N/A</c:v>
                </c:pt>
                <c:pt idx="2510">
                  <c:v>#N/A</c:v>
                </c:pt>
                <c:pt idx="2511">
                  <c:v>#N/A</c:v>
                </c:pt>
                <c:pt idx="2512">
                  <c:v>#N/A</c:v>
                </c:pt>
                <c:pt idx="2513">
                  <c:v>#N/A</c:v>
                </c:pt>
                <c:pt idx="2514">
                  <c:v>#N/A</c:v>
                </c:pt>
                <c:pt idx="2515">
                  <c:v>#N/A</c:v>
                </c:pt>
                <c:pt idx="2516">
                  <c:v>#N/A</c:v>
                </c:pt>
                <c:pt idx="2517">
                  <c:v>#N/A</c:v>
                </c:pt>
                <c:pt idx="2518">
                  <c:v>#N/A</c:v>
                </c:pt>
                <c:pt idx="2519">
                  <c:v>#N/A</c:v>
                </c:pt>
                <c:pt idx="2520">
                  <c:v>#N/A</c:v>
                </c:pt>
                <c:pt idx="2521">
                  <c:v>#N/A</c:v>
                </c:pt>
                <c:pt idx="2522">
                  <c:v>#N/A</c:v>
                </c:pt>
                <c:pt idx="2523">
                  <c:v>#N/A</c:v>
                </c:pt>
                <c:pt idx="2524">
                  <c:v>#N/A</c:v>
                </c:pt>
                <c:pt idx="2525">
                  <c:v>#N/A</c:v>
                </c:pt>
                <c:pt idx="2526">
                  <c:v>#N/A</c:v>
                </c:pt>
                <c:pt idx="2527">
                  <c:v>#N/A</c:v>
                </c:pt>
                <c:pt idx="2528">
                  <c:v>#N/A</c:v>
                </c:pt>
                <c:pt idx="2529">
                  <c:v>#N/A</c:v>
                </c:pt>
                <c:pt idx="2530">
                  <c:v>#N/A</c:v>
                </c:pt>
                <c:pt idx="2531">
                  <c:v>#N/A</c:v>
                </c:pt>
                <c:pt idx="2532">
                  <c:v>#N/A</c:v>
                </c:pt>
                <c:pt idx="2533">
                  <c:v>#N/A</c:v>
                </c:pt>
                <c:pt idx="2534">
                  <c:v>#N/A</c:v>
                </c:pt>
                <c:pt idx="2535">
                  <c:v>#N/A</c:v>
                </c:pt>
                <c:pt idx="2536">
                  <c:v>#N/A</c:v>
                </c:pt>
                <c:pt idx="2537">
                  <c:v>#N/A</c:v>
                </c:pt>
                <c:pt idx="2538">
                  <c:v>#N/A</c:v>
                </c:pt>
                <c:pt idx="2539">
                  <c:v>#N/A</c:v>
                </c:pt>
                <c:pt idx="2540">
                  <c:v>#N/A</c:v>
                </c:pt>
                <c:pt idx="2541">
                  <c:v>#N/A</c:v>
                </c:pt>
                <c:pt idx="2542">
                  <c:v>#N/A</c:v>
                </c:pt>
                <c:pt idx="2543">
                  <c:v>#N/A</c:v>
                </c:pt>
                <c:pt idx="2544">
                  <c:v>#N/A</c:v>
                </c:pt>
                <c:pt idx="2545">
                  <c:v>#N/A</c:v>
                </c:pt>
                <c:pt idx="2546">
                  <c:v>#N/A</c:v>
                </c:pt>
                <c:pt idx="2547">
                  <c:v>#N/A</c:v>
                </c:pt>
                <c:pt idx="2548">
                  <c:v>#N/A</c:v>
                </c:pt>
                <c:pt idx="2549">
                  <c:v>#N/A</c:v>
                </c:pt>
                <c:pt idx="2550">
                  <c:v>#N/A</c:v>
                </c:pt>
                <c:pt idx="2551">
                  <c:v>#N/A</c:v>
                </c:pt>
                <c:pt idx="2552">
                  <c:v>#N/A</c:v>
                </c:pt>
                <c:pt idx="2553">
                  <c:v>#N/A</c:v>
                </c:pt>
                <c:pt idx="2554">
                  <c:v>#N/A</c:v>
                </c:pt>
                <c:pt idx="2555">
                  <c:v>#N/A</c:v>
                </c:pt>
                <c:pt idx="2556">
                  <c:v>#N/A</c:v>
                </c:pt>
                <c:pt idx="2557">
                  <c:v>#N/A</c:v>
                </c:pt>
              </c:numCache>
            </c:numRef>
          </c:val>
          <c:smooth val="0"/>
          <c:extLst>
            <c:ext xmlns:c16="http://schemas.microsoft.com/office/drawing/2014/chart" uri="{C3380CC4-5D6E-409C-BE32-E72D297353CC}">
              <c16:uniqueId val="{0000000E-CC99-4D1E-9B89-33613AE1EB93}"/>
            </c:ext>
          </c:extLst>
        </c:ser>
        <c:dLbls>
          <c:showLegendKey val="0"/>
          <c:showVal val="0"/>
          <c:showCatName val="0"/>
          <c:showSerName val="0"/>
          <c:showPercent val="0"/>
          <c:showBubbleSize val="0"/>
        </c:dLbls>
        <c:smooth val="0"/>
        <c:axId val="1515786304"/>
        <c:axId val="1515795904"/>
      </c:lineChart>
      <c:dateAx>
        <c:axId val="1515786304"/>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515795904"/>
        <c:crosses val="autoZero"/>
        <c:auto val="1"/>
        <c:lblOffset val="100"/>
        <c:baseTimeUnit val="days"/>
      </c:dateAx>
      <c:valAx>
        <c:axId val="1515795904"/>
        <c:scaling>
          <c:orientation val="minMax"/>
        </c:scaling>
        <c:delete val="0"/>
        <c:axPos val="l"/>
        <c:majorGridlines>
          <c:spPr>
            <a:ln w="9525" cap="flat" cmpd="sng" algn="ctr">
              <a:no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515786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paperSize="9"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19</xdr:col>
      <xdr:colOff>177642</xdr:colOff>
      <xdr:row>79</xdr:row>
      <xdr:rowOff>24848</xdr:rowOff>
    </xdr:from>
    <xdr:ext cx="5595879" cy="3258407"/>
    <xdr:pic>
      <xdr:nvPicPr>
        <xdr:cNvPr id="3" name="Picture 2">
          <a:extLst>
            <a:ext uri="{FF2B5EF4-FFF2-40B4-BE49-F238E27FC236}">
              <a16:creationId xmlns:a16="http://schemas.microsoft.com/office/drawing/2014/main" id="{3506A29D-2A1B-4828-9741-E3F3AE089ECF}"/>
            </a:ext>
          </a:extLst>
        </xdr:cNvPr>
        <xdr:cNvPicPr>
          <a:picLocks noChangeAspect="1"/>
        </xdr:cNvPicPr>
      </xdr:nvPicPr>
      <xdr:blipFill>
        <a:blip xmlns:r="http://schemas.openxmlformats.org/officeDocument/2006/relationships" r:embed="rId1"/>
        <a:stretch>
          <a:fillRect/>
        </a:stretch>
      </xdr:blipFill>
      <xdr:spPr>
        <a:xfrm>
          <a:off x="11217117" y="15264848"/>
          <a:ext cx="5595879" cy="3258407"/>
        </a:xfrm>
        <a:prstGeom prst="rect">
          <a:avLst/>
        </a:prstGeom>
      </xdr:spPr>
    </xdr:pic>
    <xdr:clientData/>
  </xdr:oneCellAnchor>
  <xdr:twoCellAnchor>
    <xdr:from>
      <xdr:col>19</xdr:col>
      <xdr:colOff>0</xdr:colOff>
      <xdr:row>18</xdr:row>
      <xdr:rowOff>0</xdr:rowOff>
    </xdr:from>
    <xdr:to>
      <xdr:col>26</xdr:col>
      <xdr:colOff>74543</xdr:colOff>
      <xdr:row>37</xdr:row>
      <xdr:rowOff>67918</xdr:rowOff>
    </xdr:to>
    <xdr:graphicFrame macro="">
      <xdr:nvGraphicFramePr>
        <xdr:cNvPr id="8" name="Chart 7">
          <a:extLst>
            <a:ext uri="{FF2B5EF4-FFF2-40B4-BE49-F238E27FC236}">
              <a16:creationId xmlns:a16="http://schemas.microsoft.com/office/drawing/2014/main" id="{D729AD06-6EDB-4CFE-A2F7-08449F2398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472110</xdr:colOff>
      <xdr:row>38</xdr:row>
      <xdr:rowOff>107674</xdr:rowOff>
    </xdr:from>
    <xdr:to>
      <xdr:col>26</xdr:col>
      <xdr:colOff>74870</xdr:colOff>
      <xdr:row>59</xdr:row>
      <xdr:rowOff>30780</xdr:rowOff>
    </xdr:to>
    <xdr:graphicFrame macro="">
      <xdr:nvGraphicFramePr>
        <xdr:cNvPr id="9" name="Chart 8">
          <a:extLst>
            <a:ext uri="{FF2B5EF4-FFF2-40B4-BE49-F238E27FC236}">
              <a16:creationId xmlns:a16="http://schemas.microsoft.com/office/drawing/2014/main" id="{D8830ECB-1DD7-48FE-84E6-A3E61B443F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125</xdr:row>
      <xdr:rowOff>140804</xdr:rowOff>
    </xdr:from>
    <xdr:to>
      <xdr:col>12</xdr:col>
      <xdr:colOff>165653</xdr:colOff>
      <xdr:row>145</xdr:row>
      <xdr:rowOff>67917</xdr:rowOff>
    </xdr:to>
    <xdr:graphicFrame macro="">
      <xdr:nvGraphicFramePr>
        <xdr:cNvPr id="11" name="Chart 10">
          <a:extLst>
            <a:ext uri="{FF2B5EF4-FFF2-40B4-BE49-F238E27FC236}">
              <a16:creationId xmlns:a16="http://schemas.microsoft.com/office/drawing/2014/main" id="{D4C5308E-5B21-4833-BB5C-99FD0287C2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339587</xdr:colOff>
      <xdr:row>106</xdr:row>
      <xdr:rowOff>99392</xdr:rowOff>
    </xdr:from>
    <xdr:to>
      <xdr:col>25</xdr:col>
      <xdr:colOff>522130</xdr:colOff>
      <xdr:row>126</xdr:row>
      <xdr:rowOff>113610</xdr:rowOff>
    </xdr:to>
    <xdr:graphicFrame macro="">
      <xdr:nvGraphicFramePr>
        <xdr:cNvPr id="13" name="Chart 12">
          <a:extLst>
            <a:ext uri="{FF2B5EF4-FFF2-40B4-BE49-F238E27FC236}">
              <a16:creationId xmlns:a16="http://schemas.microsoft.com/office/drawing/2014/main" id="{765BE586-4310-4111-BB4A-D2BF8E80F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562802</xdr:colOff>
      <xdr:row>34</xdr:row>
      <xdr:rowOff>109123</xdr:rowOff>
    </xdr:from>
    <xdr:to>
      <xdr:col>8</xdr:col>
      <xdr:colOff>14820</xdr:colOff>
      <xdr:row>54</xdr:row>
      <xdr:rowOff>131622</xdr:rowOff>
    </xdr:to>
    <xdr:graphicFrame macro="">
      <xdr:nvGraphicFramePr>
        <xdr:cNvPr id="2" name="Chart 1">
          <a:extLst>
            <a:ext uri="{FF2B5EF4-FFF2-40B4-BE49-F238E27FC236}">
              <a16:creationId xmlns:a16="http://schemas.microsoft.com/office/drawing/2014/main" id="{80A2B9C7-CA0E-40F4-B19B-7F0C69A4E0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aumason\AppData\Local\Microsoft\Windows\Temporary%20Internet%20Files\Content.IE5\LJ67GIF2\PRIC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paulmason\Downloads\Chinastee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rf50022\shared\EXCISE\BOARDNEW.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EQU\RESEARCH\Industrials\Tourism%20&amp;%20Leisure\horizon\FGL%20Work%2010%20February%202003%20-%20Revised%20Forma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CONSOL\INDONESI\INDOSAT.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Startup" Target="GAMING/Industry%20-%20Gaming/gaming%20macau_wip.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CONSOL\PHILIPPI\ICT089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EXCEL\M032\CPM\BASEMETS\METALPR\Metalpr.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EXCEL\M031\BRL\WES\WE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OFFICE\Manop\oil&amp;gas\oil_price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Irf50020\KAI-Indirect%20Taxes\Revenue%20monitoring%20general\Bulletins_PG\drafts\AGL_Draft_Templat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EXCEL\M031\MNC\COMPANY\CHEM\WES\PROFIT.WES\PROF_W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David\CEY\CEY_R.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Paul%20Young\MCC\MCC.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MEDIA\Companies\Data\Pric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X:\GEM%20Telecom\Emerging%20Europe\korea\KT07My0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Users\rajl\Desktop\Copy%20of%20Adelaide%20Brighton%20Model%20(Chan)%20(3).xlsm"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H:\CONSOL\PHILIPPI\PLTL.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Users\vidan\Downloads\ALL%20AU-Broker%20Estim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ng Term Prices"/>
      <sheetName val="Slides"/>
      <sheetName val="IP and Price Charts"/>
      <sheetName val="Very Long Term"/>
      <sheetName val="Charts"/>
      <sheetName val="Equitchart"/>
      <sheetName val="Sheet2"/>
      <sheetName val="Daily"/>
      <sheetName val="Derivative"/>
    </sheetNames>
    <sheetDataSet>
      <sheetData sheetId="0" refreshError="1">
        <row r="270">
          <cell r="U270">
            <v>131.5</v>
          </cell>
          <cell r="BI270">
            <v>49.237711165048545</v>
          </cell>
        </row>
        <row r="271">
          <cell r="U271">
            <v>131.5</v>
          </cell>
          <cell r="BI271">
            <v>57.276065217391313</v>
          </cell>
        </row>
        <row r="272">
          <cell r="U272">
            <v>132</v>
          </cell>
          <cell r="BI272">
            <v>62.346644927536239</v>
          </cell>
        </row>
        <row r="273">
          <cell r="U273">
            <v>134.5</v>
          </cell>
          <cell r="BI273">
            <v>61.364783132530114</v>
          </cell>
        </row>
        <row r="274">
          <cell r="U274">
            <v>133</v>
          </cell>
          <cell r="BI274">
            <v>61.597875000000002</v>
          </cell>
        </row>
        <row r="275">
          <cell r="U275">
            <v>132</v>
          </cell>
          <cell r="BI275">
            <v>60.140438848920859</v>
          </cell>
        </row>
        <row r="276">
          <cell r="U276">
            <v>130.5</v>
          </cell>
          <cell r="BI276">
            <v>58.63464832535886</v>
          </cell>
        </row>
        <row r="277">
          <cell r="U277">
            <v>132.5</v>
          </cell>
          <cell r="BI277">
            <v>57.310124105011937</v>
          </cell>
        </row>
        <row r="278">
          <cell r="U278">
            <v>139</v>
          </cell>
          <cell r="BI278">
            <v>57.916802850356291</v>
          </cell>
        </row>
        <row r="279">
          <cell r="U279">
            <v>139.5</v>
          </cell>
          <cell r="BI279">
            <v>56.738296208530805</v>
          </cell>
        </row>
        <row r="280">
          <cell r="U280">
            <v>139</v>
          </cell>
          <cell r="BI280">
            <v>56.533599056603776</v>
          </cell>
        </row>
        <row r="281">
          <cell r="U281">
            <v>143</v>
          </cell>
          <cell r="BI281">
            <v>58.493519999999997</v>
          </cell>
        </row>
        <row r="282">
          <cell r="U282">
            <v>143.5</v>
          </cell>
          <cell r="BI282">
            <v>60.061039812646364</v>
          </cell>
        </row>
        <row r="283">
          <cell r="U283">
            <v>148.5</v>
          </cell>
          <cell r="BI283">
            <v>63.721297674418601</v>
          </cell>
        </row>
        <row r="284">
          <cell r="U284">
            <v>151</v>
          </cell>
          <cell r="BI284">
            <v>69.159649769585258</v>
          </cell>
        </row>
        <row r="285">
          <cell r="U285">
            <v>147.5</v>
          </cell>
          <cell r="BI285">
            <v>71.400185354691089</v>
          </cell>
        </row>
        <row r="286">
          <cell r="U286">
            <v>147.5</v>
          </cell>
          <cell r="BI286">
            <v>72.793113895216408</v>
          </cell>
        </row>
        <row r="287">
          <cell r="U287">
            <v>149</v>
          </cell>
          <cell r="BI287">
            <v>77.571644796380085</v>
          </cell>
        </row>
        <row r="288">
          <cell r="U288">
            <v>150.5</v>
          </cell>
          <cell r="BI288">
            <v>85.577144796380097</v>
          </cell>
        </row>
        <row r="289">
          <cell r="U289">
            <v>153</v>
          </cell>
          <cell r="BI289">
            <v>78.434133333333335</v>
          </cell>
        </row>
        <row r="290">
          <cell r="U290">
            <v>151.5</v>
          </cell>
          <cell r="BI290">
            <v>79.224537610619478</v>
          </cell>
        </row>
        <row r="291">
          <cell r="U291">
            <v>149.5</v>
          </cell>
          <cell r="BI291">
            <v>83.332105263157885</v>
          </cell>
        </row>
        <row r="292">
          <cell r="U292">
            <v>147</v>
          </cell>
          <cell r="BI292">
            <v>85.698189542483661</v>
          </cell>
        </row>
        <row r="293">
          <cell r="U293">
            <v>147</v>
          </cell>
          <cell r="BI293">
            <v>103.1051533477322</v>
          </cell>
        </row>
        <row r="294">
          <cell r="U294">
            <v>149.5</v>
          </cell>
          <cell r="BI294">
            <v>97.400250000000014</v>
          </cell>
        </row>
        <row r="295">
          <cell r="U295">
            <v>150.5</v>
          </cell>
          <cell r="BI295">
            <v>110.62897674418606</v>
          </cell>
        </row>
        <row r="296">
          <cell r="U296">
            <v>161.5</v>
          </cell>
          <cell r="BI296">
            <v>119.55773221757325</v>
          </cell>
        </row>
        <row r="297">
          <cell r="U297">
            <v>203.5</v>
          </cell>
          <cell r="BI297">
            <v>117.61002286902286</v>
          </cell>
        </row>
        <row r="298">
          <cell r="U298">
            <v>219.5</v>
          </cell>
          <cell r="BI298">
            <v>110.86171604938272</v>
          </cell>
        </row>
        <row r="299">
          <cell r="U299">
            <v>224.5</v>
          </cell>
          <cell r="BI299">
            <v>93.775083673469382</v>
          </cell>
        </row>
        <row r="300">
          <cell r="U300">
            <v>231</v>
          </cell>
          <cell r="BI300">
            <v>89.585099391480739</v>
          </cell>
        </row>
        <row r="301">
          <cell r="U301">
            <v>239.5</v>
          </cell>
          <cell r="BI301">
            <v>88.728961923847706</v>
          </cell>
        </row>
        <row r="302">
          <cell r="U302">
            <v>230</v>
          </cell>
          <cell r="BI302">
            <v>85.827960474308298</v>
          </cell>
        </row>
        <row r="303">
          <cell r="U303">
            <v>201</v>
          </cell>
          <cell r="BI303">
            <v>84.875741176470598</v>
          </cell>
        </row>
        <row r="304">
          <cell r="U304">
            <v>197.5</v>
          </cell>
          <cell r="BI304">
            <v>83.495551456310679</v>
          </cell>
        </row>
        <row r="305">
          <cell r="U305">
            <v>189.5</v>
          </cell>
          <cell r="BI305">
            <v>82.982294797687871</v>
          </cell>
        </row>
        <row r="306">
          <cell r="U306">
            <v>192</v>
          </cell>
          <cell r="BI306">
            <v>82.939497131931176</v>
          </cell>
        </row>
        <row r="307">
          <cell r="U307">
            <v>190</v>
          </cell>
          <cell r="BI307">
            <v>83.061712927756659</v>
          </cell>
        </row>
        <row r="308">
          <cell r="U308">
            <v>185</v>
          </cell>
          <cell r="BI308">
            <v>82.90881250000001</v>
          </cell>
        </row>
        <row r="309">
          <cell r="U309">
            <v>185</v>
          </cell>
          <cell r="BI309">
            <v>72.92893018867926</v>
          </cell>
        </row>
        <row r="310">
          <cell r="U310">
            <v>180</v>
          </cell>
          <cell r="BI310">
            <v>64.017197740112991</v>
          </cell>
        </row>
        <row r="311">
          <cell r="U311">
            <v>189.5</v>
          </cell>
          <cell r="BI311">
            <v>53.157185046728976</v>
          </cell>
        </row>
        <row r="312">
          <cell r="U312">
            <v>186</v>
          </cell>
          <cell r="BI312">
            <v>53.587433333333323</v>
          </cell>
        </row>
        <row r="313">
          <cell r="U313">
            <v>178</v>
          </cell>
          <cell r="BI313">
            <v>57.046162361623615</v>
          </cell>
        </row>
        <row r="314">
          <cell r="U314">
            <v>190</v>
          </cell>
          <cell r="BI314">
            <v>53.184280219780227</v>
          </cell>
        </row>
        <row r="315">
          <cell r="U315">
            <v>186</v>
          </cell>
          <cell r="BI315">
            <v>50.615628415300549</v>
          </cell>
        </row>
        <row r="316">
          <cell r="U316">
            <v>183</v>
          </cell>
          <cell r="BI316">
            <v>49.136430379746841</v>
          </cell>
        </row>
        <row r="317">
          <cell r="U317">
            <v>192</v>
          </cell>
          <cell r="BI317">
            <v>48.308169064748199</v>
          </cell>
        </row>
        <row r="318">
          <cell r="U318">
            <v>197.5</v>
          </cell>
          <cell r="BI318">
            <v>48.584553763440873</v>
          </cell>
        </row>
        <row r="319">
          <cell r="U319">
            <v>201</v>
          </cell>
          <cell r="BI319">
            <v>50.276640429338102</v>
          </cell>
        </row>
        <row r="320">
          <cell r="U320">
            <v>209.5</v>
          </cell>
          <cell r="BI320">
            <v>55.152176785714296</v>
          </cell>
        </row>
        <row r="321">
          <cell r="U321">
            <v>199.5</v>
          </cell>
          <cell r="BI321">
            <v>70.123042780748662</v>
          </cell>
        </row>
        <row r="322">
          <cell r="U322">
            <v>199</v>
          </cell>
          <cell r="BI322">
            <v>68.914170212765953</v>
          </cell>
        </row>
        <row r="323">
          <cell r="U323">
            <v>194.5</v>
          </cell>
          <cell r="BI323">
            <v>67.758878306878302</v>
          </cell>
        </row>
        <row r="324">
          <cell r="U324">
            <v>210</v>
          </cell>
          <cell r="BI324">
            <v>72.143131578947376</v>
          </cell>
        </row>
        <row r="325">
          <cell r="U325">
            <v>212</v>
          </cell>
          <cell r="BI325">
            <v>67.772759162303672</v>
          </cell>
        </row>
        <row r="326">
          <cell r="U326">
            <v>212.5</v>
          </cell>
          <cell r="BI326">
            <v>67.185046874999998</v>
          </cell>
        </row>
        <row r="327">
          <cell r="U327">
            <v>210</v>
          </cell>
          <cell r="BI327">
            <v>64.680015544041453</v>
          </cell>
        </row>
        <row r="328">
          <cell r="U328">
            <v>206</v>
          </cell>
          <cell r="BI328">
            <v>63.704122203098102</v>
          </cell>
        </row>
        <row r="329">
          <cell r="U329">
            <v>202</v>
          </cell>
          <cell r="BI329">
            <v>65.975311643835624</v>
          </cell>
        </row>
        <row r="330">
          <cell r="U330">
            <v>204</v>
          </cell>
          <cell r="BI330">
            <v>76.715207836456557</v>
          </cell>
        </row>
        <row r="331">
          <cell r="U331">
            <v>208.5</v>
          </cell>
          <cell r="BI331">
            <v>87.969000000000008</v>
          </cell>
        </row>
        <row r="332">
          <cell r="U332">
            <v>216.5</v>
          </cell>
          <cell r="BI332">
            <v>95.122771812080529</v>
          </cell>
        </row>
        <row r="333">
          <cell r="U333">
            <v>217.5</v>
          </cell>
          <cell r="BI333">
            <v>87.16507</v>
          </cell>
        </row>
        <row r="334">
          <cell r="U334">
            <v>208</v>
          </cell>
          <cell r="BI334">
            <v>88.459445182724252</v>
          </cell>
        </row>
        <row r="335">
          <cell r="U335">
            <v>210</v>
          </cell>
          <cell r="BI335">
            <v>75.582505785123971</v>
          </cell>
        </row>
        <row r="336">
          <cell r="U336">
            <v>206</v>
          </cell>
          <cell r="BI336">
            <v>74.399067434210522</v>
          </cell>
        </row>
        <row r="337">
          <cell r="U337">
            <v>200</v>
          </cell>
          <cell r="BI337">
            <v>72.644926350245498</v>
          </cell>
        </row>
        <row r="338">
          <cell r="U338">
            <v>196.5</v>
          </cell>
          <cell r="BI338">
            <v>76.584063621533446</v>
          </cell>
        </row>
        <row r="339">
          <cell r="U339">
            <v>187.5</v>
          </cell>
          <cell r="BI339">
            <v>80.511301948051951</v>
          </cell>
        </row>
        <row r="340">
          <cell r="U340">
            <v>188</v>
          </cell>
          <cell r="BI340">
            <v>82.370569354838722</v>
          </cell>
        </row>
        <row r="341">
          <cell r="U341">
            <v>185</v>
          </cell>
          <cell r="BI341">
            <v>88.690146067415739</v>
          </cell>
        </row>
        <row r="342">
          <cell r="U342">
            <v>190</v>
          </cell>
          <cell r="BI342">
            <v>85.213248803827753</v>
          </cell>
        </row>
        <row r="343">
          <cell r="U343">
            <v>192</v>
          </cell>
          <cell r="BI343">
            <v>74.61351904761905</v>
          </cell>
        </row>
        <row r="344">
          <cell r="U344">
            <v>193.5</v>
          </cell>
          <cell r="BI344">
            <v>73.92390378548896</v>
          </cell>
        </row>
        <row r="345">
          <cell r="U345">
            <v>198</v>
          </cell>
          <cell r="BI345">
            <v>72.265262910798128</v>
          </cell>
        </row>
        <row r="346">
          <cell r="U346">
            <v>199</v>
          </cell>
          <cell r="BI346">
            <v>67.993655813953495</v>
          </cell>
        </row>
        <row r="347">
          <cell r="U347">
            <v>194.5</v>
          </cell>
          <cell r="BI347">
            <v>70.719355384615383</v>
          </cell>
        </row>
        <row r="348">
          <cell r="U348">
            <v>187</v>
          </cell>
          <cell r="BI348">
            <v>71.676045801526712</v>
          </cell>
        </row>
        <row r="349">
          <cell r="U349">
            <v>183.5</v>
          </cell>
          <cell r="BI349">
            <v>78.189614567526547</v>
          </cell>
        </row>
        <row r="350">
          <cell r="U350">
            <v>186</v>
          </cell>
          <cell r="BI350">
            <v>84.027654135338352</v>
          </cell>
        </row>
        <row r="351">
          <cell r="U351">
            <v>183</v>
          </cell>
          <cell r="BI351">
            <v>99.772470938897314</v>
          </cell>
        </row>
        <row r="352">
          <cell r="U352">
            <v>176.5</v>
          </cell>
          <cell r="BI352">
            <v>96.129253333333324</v>
          </cell>
        </row>
        <row r="353">
          <cell r="U353">
            <v>173</v>
          </cell>
          <cell r="BI353">
            <v>101.99512665684831</v>
          </cell>
        </row>
        <row r="354">
          <cell r="U354">
            <v>167.5</v>
          </cell>
          <cell r="BI354">
            <v>116.78290948905111</v>
          </cell>
        </row>
        <row r="355">
          <cell r="U355">
            <v>184</v>
          </cell>
          <cell r="BI355">
            <v>122.86154479768786</v>
          </cell>
        </row>
        <row r="356">
          <cell r="U356">
            <v>218</v>
          </cell>
          <cell r="BI356">
            <v>135.69774248927035</v>
          </cell>
        </row>
        <row r="357">
          <cell r="U357">
            <v>253.5</v>
          </cell>
          <cell r="BI357">
            <v>132.54557932011352</v>
          </cell>
        </row>
        <row r="358">
          <cell r="U358">
            <v>309.5</v>
          </cell>
          <cell r="BI358">
            <v>139.92308403361343</v>
          </cell>
        </row>
        <row r="359">
          <cell r="U359">
            <v>306</v>
          </cell>
          <cell r="BI359">
            <v>154.31223407202216</v>
          </cell>
        </row>
        <row r="360">
          <cell r="U360">
            <v>265</v>
          </cell>
          <cell r="BI360">
            <v>140.47763835616439</v>
          </cell>
        </row>
        <row r="361">
          <cell r="U361">
            <v>258</v>
          </cell>
          <cell r="BI361">
            <v>132.6694681139756</v>
          </cell>
        </row>
        <row r="362">
          <cell r="U362">
            <v>268</v>
          </cell>
          <cell r="BI362">
            <v>133.3556572580645</v>
          </cell>
        </row>
        <row r="363">
          <cell r="U363">
            <v>269</v>
          </cell>
          <cell r="BI363">
            <v>141.39264893617022</v>
          </cell>
        </row>
        <row r="364">
          <cell r="U364">
            <v>268</v>
          </cell>
          <cell r="BI364">
            <v>129.89508947368421</v>
          </cell>
        </row>
        <row r="365">
          <cell r="U365">
            <v>283</v>
          </cell>
          <cell r="BI365">
            <v>123.38255656697009</v>
          </cell>
        </row>
        <row r="366">
          <cell r="U366">
            <v>299</v>
          </cell>
          <cell r="BI366">
            <v>115.55061153846154</v>
          </cell>
        </row>
        <row r="367">
          <cell r="U367">
            <v>317</v>
          </cell>
          <cell r="BI367">
            <v>119.18399240506331</v>
          </cell>
        </row>
        <row r="368">
          <cell r="U368">
            <v>306</v>
          </cell>
          <cell r="BI368">
            <v>112.6433483146069</v>
          </cell>
        </row>
        <row r="369">
          <cell r="U369">
            <v>283</v>
          </cell>
          <cell r="BI369">
            <v>96.501404202719414</v>
          </cell>
        </row>
        <row r="370">
          <cell r="U370">
            <v>273</v>
          </cell>
          <cell r="BI370">
            <v>77.285247246022038</v>
          </cell>
        </row>
        <row r="371">
          <cell r="U371">
            <v>286</v>
          </cell>
          <cell r="BI371">
            <v>72.113112727272721</v>
          </cell>
        </row>
        <row r="372">
          <cell r="U372">
            <v>301</v>
          </cell>
          <cell r="BI372">
            <v>79.120271186440775</v>
          </cell>
        </row>
        <row r="373">
          <cell r="U373">
            <v>299</v>
          </cell>
          <cell r="BI373">
            <v>82.646524038461536</v>
          </cell>
        </row>
        <row r="374">
          <cell r="U374">
            <v>302</v>
          </cell>
          <cell r="BI374">
            <v>84.830098927294387</v>
          </cell>
        </row>
        <row r="375">
          <cell r="U375">
            <v>304</v>
          </cell>
          <cell r="BI375">
            <v>82.968191263282179</v>
          </cell>
        </row>
        <row r="376">
          <cell r="U376">
            <v>293</v>
          </cell>
          <cell r="BI376">
            <v>76.673653037383275</v>
          </cell>
        </row>
        <row r="377">
          <cell r="U377">
            <v>291</v>
          </cell>
          <cell r="BI377">
            <v>69.356291666666664</v>
          </cell>
        </row>
        <row r="378">
          <cell r="U378">
            <v>291</v>
          </cell>
          <cell r="BI378">
            <v>65.178316513761473</v>
          </cell>
        </row>
        <row r="379">
          <cell r="U379">
            <v>289</v>
          </cell>
          <cell r="BI379">
            <v>63.14641363636364</v>
          </cell>
        </row>
        <row r="380">
          <cell r="U380">
            <v>286</v>
          </cell>
          <cell r="BI380">
            <v>66.387220090293539</v>
          </cell>
        </row>
        <row r="381">
          <cell r="U381">
            <v>286</v>
          </cell>
          <cell r="BI381">
            <v>68.648235690235765</v>
          </cell>
        </row>
        <row r="382">
          <cell r="U382">
            <v>288</v>
          </cell>
          <cell r="BI382">
            <v>62.639839464882947</v>
          </cell>
        </row>
        <row r="383">
          <cell r="U383">
            <v>279</v>
          </cell>
          <cell r="BI383">
            <v>63.4975226519337</v>
          </cell>
        </row>
        <row r="384">
          <cell r="U384">
            <v>292</v>
          </cell>
          <cell r="BI384">
            <v>69.114636065573777</v>
          </cell>
        </row>
        <row r="385">
          <cell r="U385">
            <v>273</v>
          </cell>
          <cell r="BI385">
            <v>72.053359002169202</v>
          </cell>
        </row>
        <row r="386">
          <cell r="U386">
            <v>254</v>
          </cell>
          <cell r="BI386">
            <v>66.132557465091381</v>
          </cell>
        </row>
        <row r="387">
          <cell r="U387">
            <v>237</v>
          </cell>
          <cell r="BI387">
            <v>61.840249464668091</v>
          </cell>
        </row>
        <row r="388">
          <cell r="U388">
            <v>232</v>
          </cell>
          <cell r="BI388">
            <v>57.244730277185504</v>
          </cell>
        </row>
        <row r="389">
          <cell r="U389">
            <v>249</v>
          </cell>
          <cell r="BI389">
            <v>57.765510095642995</v>
          </cell>
        </row>
        <row r="390">
          <cell r="U390">
            <v>255</v>
          </cell>
          <cell r="BI390">
            <v>55.356298728813549</v>
          </cell>
        </row>
        <row r="391">
          <cell r="U391">
            <v>260</v>
          </cell>
          <cell r="BI391">
            <v>52.618574445617746</v>
          </cell>
        </row>
        <row r="392">
          <cell r="U392">
            <v>258</v>
          </cell>
          <cell r="BI392">
            <v>52.133904963041182</v>
          </cell>
        </row>
        <row r="393">
          <cell r="U393">
            <v>246</v>
          </cell>
          <cell r="BI393">
            <v>48.776434736842113</v>
          </cell>
        </row>
        <row r="394">
          <cell r="U394">
            <v>236</v>
          </cell>
          <cell r="BI394">
            <v>48.322388946819601</v>
          </cell>
        </row>
        <row r="395">
          <cell r="U395">
            <v>236</v>
          </cell>
          <cell r="BI395">
            <v>43.255376288659797</v>
          </cell>
        </row>
        <row r="396">
          <cell r="U396">
            <v>230</v>
          </cell>
          <cell r="BI396">
            <v>45.67377230769231</v>
          </cell>
        </row>
        <row r="397">
          <cell r="U397">
            <v>225</v>
          </cell>
          <cell r="BI397">
            <v>43.145757420675537</v>
          </cell>
        </row>
        <row r="398">
          <cell r="U398">
            <v>200</v>
          </cell>
          <cell r="BI398">
            <v>42.517553735926306</v>
          </cell>
        </row>
        <row r="399">
          <cell r="U399">
            <v>179</v>
          </cell>
          <cell r="BI399">
            <v>40.878917431192711</v>
          </cell>
        </row>
        <row r="400">
          <cell r="U400">
            <v>157</v>
          </cell>
          <cell r="BI400">
            <v>38.048816326530613</v>
          </cell>
        </row>
        <row r="401">
          <cell r="U401">
            <v>162</v>
          </cell>
          <cell r="BI401">
            <v>36.962048106448307</v>
          </cell>
        </row>
        <row r="402">
          <cell r="U402">
            <v>172</v>
          </cell>
          <cell r="BI402">
            <v>39.148902962206336</v>
          </cell>
        </row>
        <row r="403">
          <cell r="U403">
            <v>191</v>
          </cell>
          <cell r="BI403">
            <v>37.409828571428577</v>
          </cell>
        </row>
        <row r="404">
          <cell r="U404">
            <v>217</v>
          </cell>
          <cell r="BI404">
            <v>36.428697247706459</v>
          </cell>
        </row>
        <row r="405">
          <cell r="U405">
            <v>221</v>
          </cell>
          <cell r="BI405">
            <v>37.33919331983806</v>
          </cell>
        </row>
        <row r="406">
          <cell r="U406">
            <v>228</v>
          </cell>
          <cell r="BI406">
            <v>35.203397177419355</v>
          </cell>
        </row>
        <row r="407">
          <cell r="U407">
            <v>223</v>
          </cell>
          <cell r="BI407">
            <v>33.09763279678068</v>
          </cell>
        </row>
        <row r="408">
          <cell r="U408">
            <v>218</v>
          </cell>
          <cell r="BI408">
            <v>32.574595190380762</v>
          </cell>
        </row>
        <row r="409">
          <cell r="U409">
            <v>220</v>
          </cell>
          <cell r="BI409">
            <v>32.057544455544459</v>
          </cell>
        </row>
        <row r="410">
          <cell r="U410">
            <v>223</v>
          </cell>
          <cell r="BI410">
            <v>32.503960159362549</v>
          </cell>
        </row>
        <row r="411">
          <cell r="U411">
            <v>212</v>
          </cell>
          <cell r="BI411">
            <v>33.534502976190481</v>
          </cell>
        </row>
        <row r="412">
          <cell r="U412">
            <v>208</v>
          </cell>
          <cell r="BI412">
            <v>32.27890801186944</v>
          </cell>
        </row>
        <row r="413">
          <cell r="U413">
            <v>211</v>
          </cell>
          <cell r="BI413">
            <v>31.974630177514793</v>
          </cell>
        </row>
        <row r="414">
          <cell r="U414">
            <v>212</v>
          </cell>
          <cell r="BI414">
            <v>31.386020568070528</v>
          </cell>
        </row>
        <row r="415">
          <cell r="U415">
            <v>211</v>
          </cell>
          <cell r="BI415">
            <v>31.784453216374271</v>
          </cell>
        </row>
        <row r="416">
          <cell r="U416">
            <v>216</v>
          </cell>
          <cell r="BI416">
            <v>36.000113702623906</v>
          </cell>
        </row>
        <row r="417">
          <cell r="U417">
            <v>223</v>
          </cell>
          <cell r="BI417">
            <v>37.596659244917717</v>
          </cell>
        </row>
        <row r="418">
          <cell r="U418">
            <v>218</v>
          </cell>
          <cell r="BI418">
            <v>35.296391304347829</v>
          </cell>
        </row>
        <row r="419">
          <cell r="U419">
            <v>217</v>
          </cell>
          <cell r="BI419">
            <v>37.650639344262295</v>
          </cell>
        </row>
        <row r="420">
          <cell r="U420">
            <v>211</v>
          </cell>
          <cell r="BI420">
            <v>38.225429394812679</v>
          </cell>
        </row>
        <row r="421">
          <cell r="U421">
            <v>215</v>
          </cell>
          <cell r="BI421">
            <v>36.094614942528736</v>
          </cell>
        </row>
        <row r="422">
          <cell r="U422">
            <v>214</v>
          </cell>
          <cell r="BI422">
            <v>30.922656160458455</v>
          </cell>
        </row>
        <row r="423">
          <cell r="U423">
            <v>216</v>
          </cell>
          <cell r="BI423">
            <v>31.607294957183633</v>
          </cell>
        </row>
        <row r="424">
          <cell r="U424">
            <v>216</v>
          </cell>
          <cell r="BI424">
            <v>33.728353276353275</v>
          </cell>
        </row>
        <row r="425">
          <cell r="U425">
            <v>220</v>
          </cell>
          <cell r="BI425">
            <v>31.748826540284359</v>
          </cell>
        </row>
        <row r="426">
          <cell r="U426">
            <v>222</v>
          </cell>
          <cell r="BI426">
            <v>32.027049195837279</v>
          </cell>
        </row>
        <row r="427">
          <cell r="U427">
            <v>231</v>
          </cell>
          <cell r="BI427">
            <v>27.930132643461903</v>
          </cell>
        </row>
        <row r="428">
          <cell r="U428">
            <v>236</v>
          </cell>
          <cell r="BI428">
            <v>26.570064606741578</v>
          </cell>
        </row>
        <row r="429">
          <cell r="U429">
            <v>249</v>
          </cell>
          <cell r="BI429">
            <v>29.345186915887847</v>
          </cell>
        </row>
        <row r="430">
          <cell r="U430">
            <v>255</v>
          </cell>
          <cell r="BI430">
            <v>28.273155783582087</v>
          </cell>
        </row>
        <row r="431">
          <cell r="U431">
            <v>252</v>
          </cell>
          <cell r="BI431">
            <v>29.188839069767447</v>
          </cell>
        </row>
        <row r="432">
          <cell r="U432">
            <v>231</v>
          </cell>
          <cell r="BI432">
            <v>30.173623955431754</v>
          </cell>
        </row>
        <row r="433">
          <cell r="U433">
            <v>223</v>
          </cell>
          <cell r="BI433">
            <v>30.902499536607969</v>
          </cell>
        </row>
        <row r="434">
          <cell r="U434">
            <v>208</v>
          </cell>
          <cell r="BI434">
            <v>29.864489361702127</v>
          </cell>
        </row>
        <row r="435">
          <cell r="U435">
            <v>194</v>
          </cell>
          <cell r="BI435">
            <v>29.231347465437789</v>
          </cell>
        </row>
        <row r="436">
          <cell r="U436">
            <v>183</v>
          </cell>
          <cell r="BI436">
            <v>29.142957798165142</v>
          </cell>
        </row>
        <row r="437">
          <cell r="U437">
            <v>186</v>
          </cell>
          <cell r="BI437">
            <v>28.706073972602741</v>
          </cell>
        </row>
        <row r="438">
          <cell r="S438">
            <v>29.177</v>
          </cell>
          <cell r="U438">
            <v>183</v>
          </cell>
          <cell r="BI438">
            <v>27.023317561419468</v>
          </cell>
        </row>
        <row r="439">
          <cell r="S439">
            <v>27.58</v>
          </cell>
          <cell r="U439">
            <v>181</v>
          </cell>
          <cell r="BI439">
            <v>26.980148587055609</v>
          </cell>
        </row>
        <row r="440">
          <cell r="S440">
            <v>28.353000000000002</v>
          </cell>
          <cell r="U440">
            <v>187</v>
          </cell>
          <cell r="BI440">
            <v>27.126896425297893</v>
          </cell>
        </row>
        <row r="441">
          <cell r="S441">
            <v>29.908999999999999</v>
          </cell>
          <cell r="U441">
            <v>181</v>
          </cell>
          <cell r="BI441">
            <v>27.395290708371665</v>
          </cell>
        </row>
        <row r="442">
          <cell r="S442">
            <v>32.063000000000002</v>
          </cell>
          <cell r="U442">
            <v>183</v>
          </cell>
          <cell r="BI442">
            <v>27.837269724770643</v>
          </cell>
        </row>
        <row r="443">
          <cell r="S443">
            <v>36.454000000000001</v>
          </cell>
          <cell r="U443">
            <v>185</v>
          </cell>
          <cell r="BI443">
            <v>30.825159049360142</v>
          </cell>
        </row>
        <row r="444">
          <cell r="S444">
            <v>36.576000000000001</v>
          </cell>
          <cell r="U444">
            <v>177</v>
          </cell>
          <cell r="BI444">
            <v>27.961980821917805</v>
          </cell>
        </row>
        <row r="445">
          <cell r="S445">
            <v>37.011000000000003</v>
          </cell>
          <cell r="U445">
            <v>173</v>
          </cell>
          <cell r="BI445">
            <v>28.845446167883217</v>
          </cell>
        </row>
        <row r="446">
          <cell r="S446">
            <v>39.478000000000002</v>
          </cell>
          <cell r="U446">
            <v>169</v>
          </cell>
          <cell r="BI446">
            <v>29.840299090909092</v>
          </cell>
        </row>
        <row r="447">
          <cell r="S447">
            <v>40.167000000000002</v>
          </cell>
          <cell r="U447">
            <v>165</v>
          </cell>
          <cell r="BI447">
            <v>31.789535390199639</v>
          </cell>
        </row>
        <row r="448">
          <cell r="S448">
            <v>37.170999999999999</v>
          </cell>
          <cell r="U448">
            <v>165</v>
          </cell>
          <cell r="BI448">
            <v>34.566421195652175</v>
          </cell>
        </row>
        <row r="449">
          <cell r="S449">
            <v>36.18</v>
          </cell>
          <cell r="U449">
            <v>162</v>
          </cell>
          <cell r="BI449">
            <v>37.704203068592065</v>
          </cell>
        </row>
        <row r="450">
          <cell r="P450">
            <v>80.40929049728588</v>
          </cell>
          <cell r="Q450">
            <v>61.055</v>
          </cell>
          <cell r="R450">
            <v>53.134465876802999</v>
          </cell>
          <cell r="S450">
            <v>34.427</v>
          </cell>
          <cell r="U450">
            <v>160</v>
          </cell>
          <cell r="BI450">
            <v>33.544121973094178</v>
          </cell>
        </row>
        <row r="451">
          <cell r="P451">
            <v>86.271198886516572</v>
          </cell>
          <cell r="Q451">
            <v>62.588000000000001</v>
          </cell>
          <cell r="R451">
            <v>58.215788079470201</v>
          </cell>
          <cell r="S451">
            <v>33.555999999999997</v>
          </cell>
          <cell r="U451">
            <v>168</v>
          </cell>
          <cell r="BI451">
            <v>33.169844504021448</v>
          </cell>
        </row>
        <row r="452">
          <cell r="P452">
            <v>87.931783524515765</v>
          </cell>
          <cell r="Q452">
            <v>66.483999999999995</v>
          </cell>
          <cell r="R452">
            <v>62.0183036151683</v>
          </cell>
          <cell r="S452">
            <v>33.158000000000001</v>
          </cell>
          <cell r="U452">
            <v>171</v>
          </cell>
          <cell r="BI452">
            <v>34.960597506678539</v>
          </cell>
        </row>
        <row r="453">
          <cell r="P453">
            <v>90.162949620255617</v>
          </cell>
          <cell r="Q453">
            <v>67.323999999999998</v>
          </cell>
          <cell r="R453">
            <v>63.546856958178303</v>
          </cell>
          <cell r="S453">
            <v>34.531999999999996</v>
          </cell>
          <cell r="U453">
            <v>177</v>
          </cell>
          <cell r="BI453">
            <v>39.697880319148936</v>
          </cell>
        </row>
        <row r="454">
          <cell r="P454">
            <v>89.714331388039341</v>
          </cell>
          <cell r="Q454">
            <v>68.965999999999994</v>
          </cell>
          <cell r="R454">
            <v>64.0291156672412</v>
          </cell>
          <cell r="S454">
            <v>38.008000000000003</v>
          </cell>
          <cell r="U454">
            <v>202</v>
          </cell>
          <cell r="BI454">
            <v>49.393596816976135</v>
          </cell>
        </row>
        <row r="455">
          <cell r="P455">
            <v>92.716895039999997</v>
          </cell>
          <cell r="Q455">
            <v>71.299000000000007</v>
          </cell>
          <cell r="R455">
            <v>66.784000000000006</v>
          </cell>
          <cell r="S455">
            <v>39.798999999999999</v>
          </cell>
          <cell r="U455">
            <v>202</v>
          </cell>
          <cell r="BI455">
            <v>44.645696302816908</v>
          </cell>
        </row>
        <row r="456">
          <cell r="P456">
            <v>110.92000500000002</v>
          </cell>
          <cell r="Q456">
            <v>76.867000000000004</v>
          </cell>
          <cell r="R456">
            <v>77.400000000000006</v>
          </cell>
          <cell r="S456">
            <v>37.594000000000001</v>
          </cell>
          <cell r="U456">
            <v>216</v>
          </cell>
          <cell r="BI456">
            <v>46.958415276558391</v>
          </cell>
        </row>
        <row r="457">
          <cell r="P457">
            <v>115.268125602</v>
          </cell>
          <cell r="Q457">
            <v>79.665000000000006</v>
          </cell>
          <cell r="R457">
            <v>82.117000000000004</v>
          </cell>
          <cell r="S457">
            <v>36.44</v>
          </cell>
          <cell r="U457">
            <v>240</v>
          </cell>
          <cell r="BI457">
            <v>46.45771416083916</v>
          </cell>
        </row>
        <row r="458">
          <cell r="P458">
            <v>110.10562286999999</v>
          </cell>
          <cell r="Q458">
            <v>82.146000000000001</v>
          </cell>
          <cell r="R458">
            <v>79.209999999999994</v>
          </cell>
          <cell r="S458">
            <v>34.283999999999999</v>
          </cell>
          <cell r="U458">
            <v>242</v>
          </cell>
          <cell r="BI458">
            <v>45.418737804878049</v>
          </cell>
        </row>
        <row r="459">
          <cell r="P459">
            <v>131.75228167500001</v>
          </cell>
          <cell r="Q459">
            <v>89.161000000000001</v>
          </cell>
          <cell r="R459">
            <v>89.025000000000006</v>
          </cell>
          <cell r="S459">
            <v>34.889000000000003</v>
          </cell>
          <cell r="U459">
            <v>258</v>
          </cell>
          <cell r="BI459">
            <v>42.116395308427457</v>
          </cell>
        </row>
        <row r="460">
          <cell r="P460">
            <v>108.12390321300001</v>
          </cell>
          <cell r="Q460">
            <v>114.483</v>
          </cell>
          <cell r="R460">
            <v>76.248999999999995</v>
          </cell>
          <cell r="S460">
            <v>38.421999999999997</v>
          </cell>
          <cell r="U460">
            <v>269</v>
          </cell>
          <cell r="BI460">
            <v>44.820018181818185</v>
          </cell>
        </row>
        <row r="461">
          <cell r="P461">
            <v>114.507954756</v>
          </cell>
          <cell r="Q461">
            <v>130.13</v>
          </cell>
          <cell r="R461">
            <v>82.731999999999999</v>
          </cell>
          <cell r="S461">
            <v>39.253999999999998</v>
          </cell>
          <cell r="U461">
            <v>348</v>
          </cell>
          <cell r="BI461">
            <v>45.912653414001724</v>
          </cell>
        </row>
        <row r="462">
          <cell r="P462">
            <v>127.24856098999997</v>
          </cell>
          <cell r="Q462">
            <v>120.79900000000001</v>
          </cell>
          <cell r="R462">
            <v>90.83</v>
          </cell>
          <cell r="S462">
            <v>39.81</v>
          </cell>
          <cell r="U462">
            <v>367</v>
          </cell>
          <cell r="BI462">
            <v>46.284645994832047</v>
          </cell>
        </row>
        <row r="463">
          <cell r="P463">
            <v>134.75967499999999</v>
          </cell>
          <cell r="Q463">
            <v>105.69799999999999</v>
          </cell>
          <cell r="R463">
            <v>97</v>
          </cell>
          <cell r="S463">
            <v>39.722000000000001</v>
          </cell>
          <cell r="U463">
            <v>394</v>
          </cell>
          <cell r="BI463">
            <v>45.479323580034425</v>
          </cell>
        </row>
        <row r="464">
          <cell r="P464">
            <v>155.11637159999998</v>
          </cell>
          <cell r="Q464">
            <v>107.018</v>
          </cell>
          <cell r="R464">
            <v>114.6</v>
          </cell>
          <cell r="S464">
            <v>44.500999999999998</v>
          </cell>
          <cell r="U464">
            <v>709</v>
          </cell>
          <cell r="BI464">
            <v>44.841174957118362</v>
          </cell>
        </row>
        <row r="465">
          <cell r="P465">
            <v>150.16484880000002</v>
          </cell>
          <cell r="Q465">
            <v>103.706</v>
          </cell>
          <cell r="R465">
            <v>113.9</v>
          </cell>
          <cell r="S465">
            <v>48.462000000000003</v>
          </cell>
          <cell r="U465">
            <v>821</v>
          </cell>
          <cell r="BI465">
            <v>44.648042662116048</v>
          </cell>
        </row>
        <row r="466">
          <cell r="P466">
            <v>170.165234</v>
          </cell>
          <cell r="Q466">
            <v>111.039</v>
          </cell>
          <cell r="R466">
            <v>137</v>
          </cell>
          <cell r="S466">
            <v>53.332000000000001</v>
          </cell>
          <cell r="U466">
            <v>775</v>
          </cell>
          <cell r="BI466">
            <v>45.786558673469386</v>
          </cell>
        </row>
        <row r="467">
          <cell r="P467">
            <v>207.68264540000004</v>
          </cell>
          <cell r="Q467">
            <v>115.22499999999999</v>
          </cell>
          <cell r="R467">
            <v>164.9</v>
          </cell>
          <cell r="S467">
            <v>61.866999999999997</v>
          </cell>
          <cell r="U467">
            <v>710</v>
          </cell>
          <cell r="BI467">
            <v>46.211822184589337</v>
          </cell>
        </row>
        <row r="468">
          <cell r="P468">
            <v>152.39278079999997</v>
          </cell>
          <cell r="Q468">
            <v>100.40300000000001</v>
          </cell>
          <cell r="R468">
            <v>122.6</v>
          </cell>
          <cell r="S468">
            <v>56.081000000000003</v>
          </cell>
          <cell r="U468">
            <v>663</v>
          </cell>
          <cell r="BI468">
            <v>42.085500000000003</v>
          </cell>
        </row>
        <row r="469">
          <cell r="P469">
            <v>155.1617372</v>
          </cell>
          <cell r="Q469">
            <v>99.820999999999998</v>
          </cell>
          <cell r="R469">
            <v>125.2</v>
          </cell>
          <cell r="S469">
            <v>59.344999999999999</v>
          </cell>
          <cell r="U469">
            <v>645</v>
          </cell>
          <cell r="BI469">
            <v>40.74358487394958</v>
          </cell>
        </row>
        <row r="470">
          <cell r="P470">
            <v>140.3754898</v>
          </cell>
          <cell r="Q470">
            <v>110.474</v>
          </cell>
          <cell r="R470">
            <v>109.9</v>
          </cell>
          <cell r="S470">
            <v>60.298000000000002</v>
          </cell>
          <cell r="U470">
            <v>540</v>
          </cell>
          <cell r="BI470">
            <v>41.096982441471575</v>
          </cell>
        </row>
        <row r="471">
          <cell r="P471">
            <v>128.99706</v>
          </cell>
          <cell r="Q471">
            <v>133.334</v>
          </cell>
          <cell r="R471">
            <v>106.5</v>
          </cell>
          <cell r="S471">
            <v>68.850999999999999</v>
          </cell>
          <cell r="U471">
            <v>526</v>
          </cell>
          <cell r="BI471">
            <v>44.005047499999996</v>
          </cell>
        </row>
        <row r="472">
          <cell r="P472">
            <v>125.72594880000001</v>
          </cell>
          <cell r="Q472">
            <v>149.89699999999999</v>
          </cell>
          <cell r="R472">
            <v>110.4</v>
          </cell>
          <cell r="S472">
            <v>70.634</v>
          </cell>
          <cell r="U472">
            <v>607</v>
          </cell>
          <cell r="BI472">
            <v>46.287984219269106</v>
          </cell>
        </row>
        <row r="473">
          <cell r="P473">
            <v>132.67094449999999</v>
          </cell>
          <cell r="Q473">
            <v>158.708</v>
          </cell>
          <cell r="R473">
            <v>113.5</v>
          </cell>
          <cell r="S473">
            <v>72.236000000000004</v>
          </cell>
          <cell r="U473">
            <v>769</v>
          </cell>
          <cell r="BI473">
            <v>48.770813741721852</v>
          </cell>
        </row>
        <row r="474">
          <cell r="P474">
            <v>122.3846592</v>
          </cell>
          <cell r="Q474">
            <v>154</v>
          </cell>
          <cell r="R474">
            <v>108.8</v>
          </cell>
          <cell r="S474">
            <v>80.400000000000006</v>
          </cell>
          <cell r="U474">
            <v>806</v>
          </cell>
          <cell r="BI474">
            <v>44.878318219291017</v>
          </cell>
        </row>
        <row r="475">
          <cell r="P475">
            <v>123.83938875000001</v>
          </cell>
          <cell r="Q475">
            <v>140.6</v>
          </cell>
          <cell r="R475">
            <v>99.022000000000006</v>
          </cell>
          <cell r="S475">
            <v>90.9</v>
          </cell>
          <cell r="U475">
            <v>842</v>
          </cell>
          <cell r="BI475">
            <v>41.222514379622027</v>
          </cell>
        </row>
        <row r="476">
          <cell r="P476">
            <v>114.79501651864285</v>
          </cell>
          <cell r="Q476">
            <v>148.1</v>
          </cell>
          <cell r="R476">
            <v>94.063049986392102</v>
          </cell>
          <cell r="S476">
            <v>89.4</v>
          </cell>
          <cell r="U476">
            <v>780</v>
          </cell>
          <cell r="BI476">
            <v>38.838348323793952</v>
          </cell>
        </row>
        <row r="477">
          <cell r="P477">
            <v>121.62383262269795</v>
          </cell>
          <cell r="Q477">
            <v>141.4</v>
          </cell>
          <cell r="R477">
            <v>96.423387462578205</v>
          </cell>
          <cell r="S477">
            <v>76.099999999999994</v>
          </cell>
          <cell r="U477">
            <v>694</v>
          </cell>
          <cell r="BI477">
            <v>39.709821428571423</v>
          </cell>
        </row>
        <row r="478">
          <cell r="P478">
            <v>136.93431339199901</v>
          </cell>
          <cell r="Q478">
            <v>124.1</v>
          </cell>
          <cell r="R478">
            <v>102.481629320512</v>
          </cell>
          <cell r="S478">
            <v>78.2</v>
          </cell>
          <cell r="U478">
            <v>612</v>
          </cell>
          <cell r="BI478">
            <v>41.816558966074318</v>
          </cell>
        </row>
        <row r="479">
          <cell r="P479">
            <v>114.9212036</v>
          </cell>
          <cell r="Q479">
            <v>115.6</v>
          </cell>
          <cell r="R479">
            <v>86.8</v>
          </cell>
          <cell r="S479">
            <v>75.599999999999994</v>
          </cell>
          <cell r="U479">
            <v>552</v>
          </cell>
          <cell r="BI479">
            <v>43.292344883158748</v>
          </cell>
        </row>
        <row r="480">
          <cell r="P480">
            <v>105.79476799999999</v>
          </cell>
          <cell r="Q480">
            <v>113.5</v>
          </cell>
          <cell r="R480">
            <v>79.599999999999994</v>
          </cell>
          <cell r="S480">
            <v>75.599999999999994</v>
          </cell>
          <cell r="U480">
            <v>558</v>
          </cell>
          <cell r="BI480">
            <v>44.546388443017662</v>
          </cell>
        </row>
        <row r="481">
          <cell r="P481">
            <v>106.58306399999999</v>
          </cell>
          <cell r="Q481">
            <v>131.30000000000001</v>
          </cell>
          <cell r="R481">
            <v>81.599999999999994</v>
          </cell>
          <cell r="S481">
            <v>82</v>
          </cell>
          <cell r="U481">
            <v>587</v>
          </cell>
          <cell r="BI481">
            <v>45.403049759229546</v>
          </cell>
        </row>
        <row r="482">
          <cell r="P482">
            <v>100.3348884</v>
          </cell>
          <cell r="Q482">
            <v>130.80000000000001</v>
          </cell>
          <cell r="R482">
            <v>77.900000000000006</v>
          </cell>
          <cell r="S482">
            <v>75.599999999999994</v>
          </cell>
          <cell r="U482">
            <v>512</v>
          </cell>
          <cell r="BI482">
            <v>47.145636509207371</v>
          </cell>
        </row>
        <row r="483">
          <cell r="P483">
            <v>105.47821760000001</v>
          </cell>
          <cell r="Q483">
            <v>129.80000000000001</v>
          </cell>
          <cell r="R483">
            <v>82.6</v>
          </cell>
          <cell r="S483">
            <v>73.900000000000006</v>
          </cell>
          <cell r="U483">
            <v>474</v>
          </cell>
          <cell r="BI483">
            <v>48.337768924302793</v>
          </cell>
        </row>
        <row r="484">
          <cell r="P484">
            <v>100.8317708</v>
          </cell>
          <cell r="Q484">
            <v>117.4</v>
          </cell>
          <cell r="R484">
            <v>78.8</v>
          </cell>
          <cell r="S484">
            <v>65.7</v>
          </cell>
          <cell r="U484">
            <v>445</v>
          </cell>
          <cell r="BI484">
            <v>44.369023034154083</v>
          </cell>
        </row>
        <row r="485">
          <cell r="P485">
            <v>93.443139934682037</v>
          </cell>
          <cell r="Q485">
            <v>110.2</v>
          </cell>
          <cell r="R485">
            <v>74.0723940850948</v>
          </cell>
          <cell r="S485">
            <v>68.3</v>
          </cell>
          <cell r="U485">
            <v>400</v>
          </cell>
          <cell r="BI485">
            <v>45.319462025316462</v>
          </cell>
        </row>
        <row r="486">
          <cell r="O486">
            <v>69.309625328857805</v>
          </cell>
          <cell r="P486">
            <v>89.919050349269668</v>
          </cell>
          <cell r="Q486">
            <v>107.3</v>
          </cell>
          <cell r="R486">
            <v>69.309625328857805</v>
          </cell>
          <cell r="S486">
            <v>58.7</v>
          </cell>
          <cell r="U486">
            <v>320.62833339243787</v>
          </cell>
          <cell r="BI486">
            <v>44.753840125391854</v>
          </cell>
          <cell r="BZ486">
            <v>500</v>
          </cell>
        </row>
        <row r="487">
          <cell r="O487">
            <v>65.953007348271797</v>
          </cell>
          <cell r="P487">
            <v>86.848832713417409</v>
          </cell>
          <cell r="Q487">
            <v>107.1</v>
          </cell>
          <cell r="R487">
            <v>65.953007348271797</v>
          </cell>
          <cell r="S487">
            <v>63.3</v>
          </cell>
          <cell r="U487">
            <v>316.98206493636093</v>
          </cell>
          <cell r="BI487">
            <v>49.162060889929741</v>
          </cell>
          <cell r="BZ487">
            <v>490</v>
          </cell>
        </row>
        <row r="488">
          <cell r="O488">
            <v>71.078653724031597</v>
          </cell>
          <cell r="P488">
            <v>94.243755601923283</v>
          </cell>
          <cell r="Q488">
            <v>119.1</v>
          </cell>
          <cell r="R488">
            <v>71.078653724031597</v>
          </cell>
          <cell r="S488">
            <v>75.599999999999994</v>
          </cell>
          <cell r="U488">
            <v>421.02700032411281</v>
          </cell>
          <cell r="BI488">
            <v>66.401244167962673</v>
          </cell>
          <cell r="BZ488">
            <v>490</v>
          </cell>
        </row>
        <row r="489">
          <cell r="O489">
            <v>69.218905923977104</v>
          </cell>
          <cell r="P489">
            <v>92.181239680667645</v>
          </cell>
          <cell r="Q489">
            <v>121.9</v>
          </cell>
          <cell r="R489">
            <v>69.218905923977104</v>
          </cell>
          <cell r="S489">
            <v>76.5</v>
          </cell>
          <cell r="U489">
            <v>406.07308384450073</v>
          </cell>
          <cell r="BI489">
            <v>52.266744186046509</v>
          </cell>
          <cell r="BZ489">
            <v>480</v>
          </cell>
        </row>
        <row r="490">
          <cell r="O490">
            <v>69.264265626417497</v>
          </cell>
          <cell r="P490">
            <v>90.058852717046193</v>
          </cell>
          <cell r="Q490">
            <v>124.3</v>
          </cell>
          <cell r="R490">
            <v>69.264265626417497</v>
          </cell>
          <cell r="S490">
            <v>80.5</v>
          </cell>
          <cell r="U490">
            <v>395.09022394961926</v>
          </cell>
          <cell r="BI490">
            <v>51.497368421052634</v>
          </cell>
          <cell r="BZ490">
            <v>440</v>
          </cell>
        </row>
        <row r="491">
          <cell r="O491">
            <v>71.033294021591203</v>
          </cell>
          <cell r="P491">
            <v>90.02951474190327</v>
          </cell>
          <cell r="Q491">
            <v>117.3</v>
          </cell>
          <cell r="R491">
            <v>71.033294021591203</v>
          </cell>
          <cell r="S491">
            <v>77.8</v>
          </cell>
          <cell r="U491">
            <v>382.32482349835908</v>
          </cell>
          <cell r="BI491">
            <v>52.001538461538466</v>
          </cell>
          <cell r="BZ491">
            <v>420</v>
          </cell>
        </row>
        <row r="492">
          <cell r="O492">
            <v>71.260092533792999</v>
          </cell>
          <cell r="P492">
            <v>90.191262496598057</v>
          </cell>
          <cell r="Q492">
            <v>131.4</v>
          </cell>
          <cell r="R492">
            <v>71.260092533792999</v>
          </cell>
          <cell r="S492">
            <v>74.3</v>
          </cell>
          <cell r="U492">
            <v>423.16094878441231</v>
          </cell>
          <cell r="BI492">
            <v>53.942113323124047</v>
          </cell>
          <cell r="BZ492">
            <v>420</v>
          </cell>
        </row>
        <row r="493">
          <cell r="O493">
            <v>80.830989748707296</v>
          </cell>
          <cell r="P493">
            <v>99.033320330218686</v>
          </cell>
          <cell r="Q493">
            <v>134.19999999999999</v>
          </cell>
          <cell r="R493">
            <v>80.830989748707296</v>
          </cell>
          <cell r="S493">
            <v>73.3</v>
          </cell>
          <cell r="U493">
            <v>498.12748599841166</v>
          </cell>
          <cell r="BI493">
            <v>53.491571753986342</v>
          </cell>
          <cell r="BZ493">
            <v>420</v>
          </cell>
        </row>
        <row r="494">
          <cell r="O494">
            <v>93.7</v>
          </cell>
          <cell r="P494">
            <v>113.3695977</v>
          </cell>
          <cell r="Q494">
            <v>137.5</v>
          </cell>
          <cell r="R494">
            <v>93.7</v>
          </cell>
          <cell r="S494">
            <v>69.7</v>
          </cell>
          <cell r="U494">
            <v>492.68127840625596</v>
          </cell>
          <cell r="BI494">
            <v>51.116063348416297</v>
          </cell>
          <cell r="BZ494">
            <v>420</v>
          </cell>
        </row>
        <row r="495">
          <cell r="O495">
            <v>88.269980948924996</v>
          </cell>
          <cell r="P495">
            <v>112.48879216184345</v>
          </cell>
          <cell r="Q495">
            <v>124.6</v>
          </cell>
          <cell r="R495">
            <v>88.269980948924996</v>
          </cell>
          <cell r="S495">
            <v>61.4</v>
          </cell>
          <cell r="U495">
            <v>415.57985148184866</v>
          </cell>
          <cell r="BI495">
            <v>45.974157303370795</v>
          </cell>
          <cell r="BZ495">
            <v>420</v>
          </cell>
        </row>
        <row r="496">
          <cell r="O496">
            <v>73.391998548489497</v>
          </cell>
          <cell r="P496">
            <v>94.760519277873499</v>
          </cell>
          <cell r="Q496">
            <v>117.3</v>
          </cell>
          <cell r="R496">
            <v>73.391998548489497</v>
          </cell>
          <cell r="S496">
            <v>58</v>
          </cell>
          <cell r="U496">
            <v>390.10021104441006</v>
          </cell>
          <cell r="BI496">
            <v>42.148206278026905</v>
          </cell>
          <cell r="BZ496">
            <v>420</v>
          </cell>
        </row>
        <row r="497">
          <cell r="O497">
            <v>69.099999999999994</v>
          </cell>
          <cell r="P497">
            <v>89.357286899999991</v>
          </cell>
          <cell r="Q497">
            <v>112.9</v>
          </cell>
          <cell r="R497">
            <v>69.099999999999994</v>
          </cell>
          <cell r="S497">
            <v>57.4</v>
          </cell>
          <cell r="U497">
            <v>370.4253153938227</v>
          </cell>
          <cell r="BI497">
            <v>37.619955323901713</v>
          </cell>
          <cell r="BZ497">
            <v>420</v>
          </cell>
        </row>
        <row r="498">
          <cell r="O498">
            <v>68.7</v>
          </cell>
          <cell r="P498">
            <v>87.527097600000019</v>
          </cell>
          <cell r="Q498">
            <v>111.1</v>
          </cell>
          <cell r="R498">
            <v>68.7</v>
          </cell>
          <cell r="S498">
            <v>54.7</v>
          </cell>
          <cell r="U498">
            <v>389.04457663699623</v>
          </cell>
          <cell r="BI498">
            <v>36.028709198813054</v>
          </cell>
          <cell r="BZ498">
            <v>420</v>
          </cell>
        </row>
        <row r="499">
          <cell r="O499">
            <v>68.220992470289403</v>
          </cell>
          <cell r="P499">
            <v>86.894647192234416</v>
          </cell>
          <cell r="Q499">
            <v>111.1</v>
          </cell>
          <cell r="R499">
            <v>68.220992470289403</v>
          </cell>
          <cell r="S499">
            <v>53.9</v>
          </cell>
          <cell r="U499">
            <v>393.65514238281429</v>
          </cell>
          <cell r="BI499">
            <v>35.606375092661231</v>
          </cell>
          <cell r="BZ499">
            <v>430</v>
          </cell>
        </row>
        <row r="500">
          <cell r="O500">
            <v>67.858114850766597</v>
          </cell>
          <cell r="P500">
            <v>87.536289576340394</v>
          </cell>
          <cell r="Q500">
            <v>109.6</v>
          </cell>
          <cell r="R500">
            <v>67.858114850766597</v>
          </cell>
          <cell r="S500">
            <v>54.4</v>
          </cell>
          <cell r="U500">
            <v>394.83901987644134</v>
          </cell>
          <cell r="BI500">
            <v>36.133876945885838</v>
          </cell>
          <cell r="BZ500">
            <v>445</v>
          </cell>
        </row>
        <row r="501">
          <cell r="O501">
            <v>63.140705796970003</v>
          </cell>
          <cell r="P501">
            <v>80.773568719949239</v>
          </cell>
          <cell r="Q501">
            <v>112.2</v>
          </cell>
          <cell r="R501">
            <v>63.140705796970003</v>
          </cell>
          <cell r="S501">
            <v>56.89</v>
          </cell>
          <cell r="U501">
            <v>409.62895668014914</v>
          </cell>
          <cell r="BI501">
            <v>35.922115384615388</v>
          </cell>
          <cell r="BZ501">
            <v>450</v>
          </cell>
        </row>
        <row r="502">
          <cell r="O502">
            <v>58.786174362696201</v>
          </cell>
          <cell r="P502">
            <v>77.258730291209318</v>
          </cell>
          <cell r="Q502">
            <v>104.7</v>
          </cell>
          <cell r="R502">
            <v>58.786174362696201</v>
          </cell>
          <cell r="S502">
            <v>49.82</v>
          </cell>
          <cell r="U502">
            <v>383.6121633746622</v>
          </cell>
          <cell r="BI502">
            <v>33.03669859985262</v>
          </cell>
          <cell r="BZ502">
            <v>440</v>
          </cell>
        </row>
        <row r="503">
          <cell r="O503">
            <v>57.833620611448801</v>
          </cell>
          <cell r="P503">
            <v>75.294400344733759</v>
          </cell>
          <cell r="Q503">
            <v>100.7</v>
          </cell>
          <cell r="R503">
            <v>57.833620611448801</v>
          </cell>
          <cell r="S503">
            <v>48.15</v>
          </cell>
          <cell r="U503">
            <v>375.72688263737064</v>
          </cell>
          <cell r="BI503">
            <v>32.67817781043351</v>
          </cell>
          <cell r="BZ503">
            <v>440</v>
          </cell>
        </row>
        <row r="504">
          <cell r="O504">
            <v>58.831534065136502</v>
          </cell>
          <cell r="P504">
            <v>75.667589494692862</v>
          </cell>
          <cell r="Q504">
            <v>101.1</v>
          </cell>
          <cell r="R504">
            <v>58.831534065136502</v>
          </cell>
          <cell r="S504">
            <v>48.22</v>
          </cell>
          <cell r="U504">
            <v>387.72333041324686</v>
          </cell>
          <cell r="BI504">
            <v>32.499706529713862</v>
          </cell>
          <cell r="BZ504">
            <v>428</v>
          </cell>
        </row>
        <row r="505">
          <cell r="O505">
            <v>56.971786265082102</v>
          </cell>
          <cell r="P505">
            <v>72.594019776830265</v>
          </cell>
          <cell r="Q505">
            <v>101.4</v>
          </cell>
          <cell r="R505">
            <v>56.971786265082102</v>
          </cell>
          <cell r="S505">
            <v>47.46</v>
          </cell>
          <cell r="U505">
            <v>369.59830243933629</v>
          </cell>
          <cell r="BI505">
            <v>32.014191660570596</v>
          </cell>
          <cell r="BZ505">
            <v>428</v>
          </cell>
        </row>
        <row r="506">
          <cell r="O506">
            <v>54.9759593577066</v>
          </cell>
          <cell r="P506">
            <v>68.762940397350988</v>
          </cell>
          <cell r="Q506">
            <v>105.4</v>
          </cell>
          <cell r="R506">
            <v>54.9759593577066</v>
          </cell>
          <cell r="U506">
            <v>348.55807134022882</v>
          </cell>
          <cell r="BI506">
            <v>31.791028446389497</v>
          </cell>
          <cell r="BZ506">
            <v>405</v>
          </cell>
        </row>
        <row r="507">
          <cell r="O507">
            <v>52.1636578064048</v>
          </cell>
          <cell r="P507">
            <v>66.560723033656913</v>
          </cell>
          <cell r="Q507">
            <v>107.3</v>
          </cell>
          <cell r="R507">
            <v>52.1636578064048</v>
          </cell>
          <cell r="U507">
            <v>337.76500179662236</v>
          </cell>
          <cell r="BI507">
            <v>30.708157319737801</v>
          </cell>
          <cell r="BZ507">
            <v>400</v>
          </cell>
        </row>
        <row r="508">
          <cell r="O508">
            <v>51.483262269799503</v>
          </cell>
          <cell r="P508">
            <v>65.600487616801232</v>
          </cell>
          <cell r="Q508">
            <v>107.8</v>
          </cell>
          <cell r="R508">
            <v>51.483262269799503</v>
          </cell>
          <cell r="U508">
            <v>328.72958129918516</v>
          </cell>
          <cell r="BI508">
            <v>29.67150108774474</v>
          </cell>
          <cell r="BZ508">
            <v>393</v>
          </cell>
        </row>
        <row r="509">
          <cell r="O509">
            <v>49.759593577066099</v>
          </cell>
          <cell r="P509">
            <v>65.490392452145471</v>
          </cell>
          <cell r="Q509">
            <v>100.3</v>
          </cell>
          <cell r="R509">
            <v>49.759593577066099</v>
          </cell>
          <cell r="U509">
            <v>322.9891868225053</v>
          </cell>
          <cell r="BI509">
            <v>31.129284164859001</v>
          </cell>
          <cell r="BZ509">
            <v>393</v>
          </cell>
        </row>
        <row r="510">
          <cell r="O510">
            <v>53.388369772294297</v>
          </cell>
          <cell r="P510">
            <v>71.203481493241398</v>
          </cell>
          <cell r="Q510">
            <v>97</v>
          </cell>
          <cell r="R510">
            <v>53.388369772294297</v>
          </cell>
          <cell r="U510">
            <v>341.10599146750502</v>
          </cell>
          <cell r="BI510">
            <v>29.949927745664741</v>
          </cell>
          <cell r="BZ510">
            <v>410</v>
          </cell>
        </row>
        <row r="511">
          <cell r="O511">
            <v>57.470742991926002</v>
          </cell>
          <cell r="P511">
            <v>76.160515966615293</v>
          </cell>
          <cell r="Q511">
            <v>100.2</v>
          </cell>
          <cell r="R511">
            <v>57.470742991926002</v>
          </cell>
          <cell r="U511">
            <v>356.73267955475325</v>
          </cell>
          <cell r="BI511">
            <v>29.372098053352559</v>
          </cell>
          <cell r="BZ511">
            <v>410</v>
          </cell>
        </row>
        <row r="512">
          <cell r="O512">
            <v>58.060419123650497</v>
          </cell>
          <cell r="P512">
            <v>75.560177810033508</v>
          </cell>
          <cell r="Q512">
            <v>101</v>
          </cell>
          <cell r="R512">
            <v>58.060419123650497</v>
          </cell>
          <cell r="U512">
            <v>336.56800058719665</v>
          </cell>
          <cell r="BI512">
            <v>30.161206896551729</v>
          </cell>
          <cell r="BZ512">
            <v>410</v>
          </cell>
        </row>
        <row r="513">
          <cell r="O513">
            <v>59.738728113943601</v>
          </cell>
          <cell r="P513">
            <v>78.676084142248058</v>
          </cell>
          <cell r="Q513">
            <v>100</v>
          </cell>
          <cell r="R513">
            <v>59.738728113943601</v>
          </cell>
          <cell r="U513">
            <v>336.69521278043385</v>
          </cell>
          <cell r="BI513">
            <v>30.861505376344088</v>
          </cell>
          <cell r="BZ513">
            <v>390</v>
          </cell>
        </row>
        <row r="514">
          <cell r="O514">
            <v>59.285131089540101</v>
          </cell>
          <cell r="P514">
            <v>78.119839381293716</v>
          </cell>
          <cell r="Q514">
            <v>101</v>
          </cell>
          <cell r="R514">
            <v>59.285131089540101</v>
          </cell>
          <cell r="U514">
            <v>332.40482068994822</v>
          </cell>
          <cell r="BI514">
            <v>30.031759656652362</v>
          </cell>
          <cell r="BZ514">
            <v>385</v>
          </cell>
        </row>
        <row r="515">
          <cell r="O515">
            <v>57.833620611448801</v>
          </cell>
          <cell r="P515">
            <v>77.235065317971532</v>
          </cell>
          <cell r="Q515">
            <v>104.3</v>
          </cell>
          <cell r="R515">
            <v>57.833620611448801</v>
          </cell>
          <cell r="U515">
            <v>326.33123333561502</v>
          </cell>
          <cell r="BI515">
            <v>31.595649072753215</v>
          </cell>
          <cell r="BZ515">
            <v>385</v>
          </cell>
        </row>
        <row r="516">
          <cell r="O516">
            <v>59.557289304182198</v>
          </cell>
          <cell r="P516">
            <v>80.028618570262225</v>
          </cell>
          <cell r="Q516">
            <v>114.3</v>
          </cell>
          <cell r="R516">
            <v>59.557289304182198</v>
          </cell>
          <cell r="U516">
            <v>340.1946820767298</v>
          </cell>
          <cell r="BI516">
            <v>35.934281650071128</v>
          </cell>
          <cell r="BZ516">
            <v>385</v>
          </cell>
        </row>
        <row r="517">
          <cell r="O517">
            <v>59.1944116846594</v>
          </cell>
          <cell r="P517">
            <v>82.975056246031087</v>
          </cell>
          <cell r="Q517">
            <v>114.5</v>
          </cell>
          <cell r="R517">
            <v>59.1944116846594</v>
          </cell>
          <cell r="U517">
            <v>329.79152869882336</v>
          </cell>
          <cell r="BI517">
            <v>37.372888573456358</v>
          </cell>
          <cell r="BZ517">
            <v>385</v>
          </cell>
        </row>
        <row r="518">
          <cell r="O518">
            <v>57.606822099246997</v>
          </cell>
          <cell r="P518">
            <v>80.681810759321365</v>
          </cell>
          <cell r="Q518">
            <v>109.9</v>
          </cell>
          <cell r="R518">
            <v>57.606822099246997</v>
          </cell>
          <cell r="U518">
            <v>313.8718608277988</v>
          </cell>
          <cell r="BI518">
            <v>35.529603399433427</v>
          </cell>
          <cell r="BZ518">
            <v>385</v>
          </cell>
        </row>
        <row r="519">
          <cell r="O519">
            <v>53.252290664973202</v>
          </cell>
          <cell r="P519">
            <v>76.577912274335418</v>
          </cell>
          <cell r="Q519">
            <v>102.2</v>
          </cell>
          <cell r="R519">
            <v>53.252290664973202</v>
          </cell>
          <cell r="U519">
            <v>286.08104798105796</v>
          </cell>
          <cell r="BI519">
            <v>30.611847672778559</v>
          </cell>
          <cell r="BZ519">
            <v>385</v>
          </cell>
        </row>
        <row r="520">
          <cell r="O520">
            <v>52.571895128367998</v>
          </cell>
          <cell r="P520">
            <v>77.050999228885118</v>
          </cell>
          <cell r="Q520">
            <v>97.9</v>
          </cell>
          <cell r="R520">
            <v>52.571895128367998</v>
          </cell>
          <cell r="U520">
            <v>252.4914130542312</v>
          </cell>
          <cell r="BI520">
            <v>26.14704641350211</v>
          </cell>
          <cell r="BZ520">
            <v>380</v>
          </cell>
        </row>
        <row r="521">
          <cell r="O521">
            <v>54.749160845504903</v>
          </cell>
          <cell r="P521">
            <v>79.507935861380815</v>
          </cell>
          <cell r="Q521">
            <v>100.3</v>
          </cell>
          <cell r="R521">
            <v>54.749160845504903</v>
          </cell>
          <cell r="U521">
            <v>259.74241970649513</v>
          </cell>
          <cell r="BI521">
            <v>25.735533707865169</v>
          </cell>
          <cell r="BZ521">
            <v>370</v>
          </cell>
        </row>
        <row r="522">
          <cell r="O522">
            <v>54.749160845504854</v>
          </cell>
          <cell r="P522">
            <v>80.679567903474549</v>
          </cell>
          <cell r="Q522">
            <v>102.4</v>
          </cell>
          <cell r="R522">
            <v>54.749160845504854</v>
          </cell>
          <cell r="U522">
            <v>269.10760130997636</v>
          </cell>
          <cell r="BI522">
            <v>24.666806722689078</v>
          </cell>
          <cell r="BZ522">
            <v>350</v>
          </cell>
        </row>
        <row r="523">
          <cell r="O523">
            <v>54.522362333303093</v>
          </cell>
          <cell r="P523">
            <v>78.370498140252195</v>
          </cell>
          <cell r="Q523">
            <v>100.3</v>
          </cell>
          <cell r="R523">
            <v>54.522362333303093</v>
          </cell>
          <cell r="U523">
            <v>273.97238526367357</v>
          </cell>
          <cell r="BI523">
            <v>23.355586592178778</v>
          </cell>
          <cell r="BZ523">
            <v>350</v>
          </cell>
        </row>
        <row r="524">
          <cell r="O524">
            <v>52.299736913725845</v>
          </cell>
          <cell r="P524">
            <v>74.09994085094803</v>
          </cell>
          <cell r="Q524">
            <v>97.7</v>
          </cell>
          <cell r="R524">
            <v>52.299736913725845</v>
          </cell>
          <cell r="U524">
            <v>270.97640409685118</v>
          </cell>
          <cell r="BI524">
            <v>22.826778242677822</v>
          </cell>
          <cell r="BZ524">
            <v>365</v>
          </cell>
        </row>
        <row r="525">
          <cell r="O525">
            <v>50.303910006350357</v>
          </cell>
          <cell r="P525">
            <v>70.691279869364053</v>
          </cell>
          <cell r="Q525">
            <v>88.6</v>
          </cell>
          <cell r="R525">
            <v>50.303910006350357</v>
          </cell>
          <cell r="U525">
            <v>271.00361967141731</v>
          </cell>
          <cell r="BI525">
            <v>23.612856150104243</v>
          </cell>
          <cell r="BZ525">
            <v>365</v>
          </cell>
        </row>
        <row r="526">
          <cell r="O526">
            <v>50.984305542955639</v>
          </cell>
          <cell r="P526">
            <v>75.320287217635851</v>
          </cell>
          <cell r="Q526">
            <v>81.420665880431827</v>
          </cell>
          <cell r="R526">
            <v>50.984305542955639</v>
          </cell>
          <cell r="U526">
            <v>261.51302360736236</v>
          </cell>
          <cell r="BI526">
            <v>22.760103001416617</v>
          </cell>
          <cell r="BZ526">
            <v>375</v>
          </cell>
        </row>
        <row r="527">
          <cell r="O527">
            <v>52.844053343010074</v>
          </cell>
          <cell r="P527">
            <v>78.61356164383561</v>
          </cell>
          <cell r="Q527">
            <v>84.096888324412589</v>
          </cell>
          <cell r="R527">
            <v>52.844053343010074</v>
          </cell>
          <cell r="U527">
            <v>251.03687215525085</v>
          </cell>
          <cell r="BI527">
            <v>22.052700831024929</v>
          </cell>
          <cell r="BZ527">
            <v>375</v>
          </cell>
        </row>
        <row r="528">
          <cell r="O528">
            <v>54.522362333303093</v>
          </cell>
          <cell r="P528">
            <v>79.781046176177085</v>
          </cell>
          <cell r="Q528">
            <v>87.40814660255829</v>
          </cell>
          <cell r="R528">
            <v>54.522362333303093</v>
          </cell>
          <cell r="U528">
            <v>228.54278741914712</v>
          </cell>
          <cell r="BI528">
            <v>21.653112033195022</v>
          </cell>
          <cell r="BZ528">
            <v>383</v>
          </cell>
        </row>
        <row r="529">
          <cell r="O529">
            <v>53.161571260092536</v>
          </cell>
          <cell r="P529">
            <v>79.250984486981778</v>
          </cell>
          <cell r="Q529">
            <v>88.360700353805683</v>
          </cell>
          <cell r="R529">
            <v>53.161571260092536</v>
          </cell>
          <cell r="U529">
            <v>214.25137082257132</v>
          </cell>
          <cell r="BI529">
            <v>21.608281573498967</v>
          </cell>
          <cell r="BZ529">
            <v>365</v>
          </cell>
        </row>
        <row r="530">
          <cell r="O530">
            <v>50.576068220992475</v>
          </cell>
          <cell r="P530">
            <v>78.376063911820737</v>
          </cell>
          <cell r="Q530">
            <v>84.459765943935409</v>
          </cell>
          <cell r="R530">
            <v>50.576068220992475</v>
          </cell>
          <cell r="U530">
            <v>197.52115598565328</v>
          </cell>
          <cell r="BI530">
            <v>20.842866988283944</v>
          </cell>
          <cell r="BZ530">
            <v>365</v>
          </cell>
        </row>
        <row r="531">
          <cell r="O531">
            <v>49.305996552662613</v>
          </cell>
          <cell r="P531">
            <v>74.021909280595111</v>
          </cell>
          <cell r="Q531">
            <v>74.662070216819373</v>
          </cell>
          <cell r="R531">
            <v>49.305996552662613</v>
          </cell>
          <cell r="U531">
            <v>201.89420398980326</v>
          </cell>
          <cell r="BI531">
            <v>21.245435827041867</v>
          </cell>
          <cell r="BZ531">
            <v>365</v>
          </cell>
        </row>
        <row r="532">
          <cell r="O532">
            <v>47.038011430645014</v>
          </cell>
          <cell r="P532">
            <v>71.497777374580423</v>
          </cell>
          <cell r="Q532">
            <v>73.936314977773748</v>
          </cell>
          <cell r="R532">
            <v>47.038011430645014</v>
          </cell>
          <cell r="U532">
            <v>210.29185817221853</v>
          </cell>
          <cell r="BI532">
            <v>22.329276643232895</v>
          </cell>
          <cell r="BZ532">
            <v>365</v>
          </cell>
        </row>
        <row r="533">
          <cell r="O533">
            <v>49.651594285541499</v>
          </cell>
          <cell r="P533">
            <v>73.329794129590525</v>
          </cell>
          <cell r="Q533">
            <v>78.209999999999994</v>
          </cell>
          <cell r="R533">
            <v>49.651594285541499</v>
          </cell>
          <cell r="U533">
            <v>232.28708888822652</v>
          </cell>
          <cell r="BI533">
            <v>25.396954051719124</v>
          </cell>
          <cell r="BZ533">
            <v>350</v>
          </cell>
        </row>
        <row r="534">
          <cell r="U534">
            <v>253.08896771325669</v>
          </cell>
          <cell r="BI534">
            <v>26.99751860119601</v>
          </cell>
          <cell r="BZ534">
            <v>345</v>
          </cell>
        </row>
        <row r="535">
          <cell r="U535">
            <v>264.31539222178878</v>
          </cell>
          <cell r="BI535">
            <v>26.624373275991417</v>
          </cell>
          <cell r="BZ535">
            <v>345</v>
          </cell>
        </row>
        <row r="536">
          <cell r="U536">
            <v>253.54463137293109</v>
          </cell>
          <cell r="BI536">
            <v>24.719013417468581</v>
          </cell>
          <cell r="BZ536">
            <v>358</v>
          </cell>
        </row>
        <row r="537">
          <cell r="U537">
            <v>245.37466535586273</v>
          </cell>
          <cell r="BI537">
            <v>24.072669773285213</v>
          </cell>
          <cell r="BZ537">
            <v>358</v>
          </cell>
        </row>
        <row r="538">
          <cell r="U538">
            <v>276.17911476807797</v>
          </cell>
          <cell r="BI538">
            <v>25.886883596677752</v>
          </cell>
          <cell r="BZ538">
            <v>405</v>
          </cell>
        </row>
        <row r="539">
          <cell r="U539">
            <v>285.03778428935601</v>
          </cell>
          <cell r="BI539">
            <v>28.627362187305039</v>
          </cell>
          <cell r="BZ539">
            <v>425</v>
          </cell>
        </row>
        <row r="540">
          <cell r="U540">
            <v>282.54950318616619</v>
          </cell>
          <cell r="BI540">
            <v>31.524967014398204</v>
          </cell>
          <cell r="BZ540">
            <v>435</v>
          </cell>
        </row>
        <row r="541">
          <cell r="U541">
            <v>273.85995902112057</v>
          </cell>
          <cell r="BI541">
            <v>31.14360684482039</v>
          </cell>
          <cell r="BZ541">
            <v>435</v>
          </cell>
        </row>
        <row r="542">
          <cell r="U542">
            <v>288.78817293600792</v>
          </cell>
          <cell r="BI542">
            <v>33.138935742971881</v>
          </cell>
          <cell r="BZ542">
            <v>435</v>
          </cell>
        </row>
        <row r="543">
          <cell r="U543">
            <v>306.19249359894008</v>
          </cell>
          <cell r="BI543">
            <v>34.639926421404681</v>
          </cell>
          <cell r="BZ543">
            <v>435</v>
          </cell>
        </row>
        <row r="544">
          <cell r="U544">
            <v>342.85438595478422</v>
          </cell>
          <cell r="BI544">
            <v>35.912301534356239</v>
          </cell>
          <cell r="BZ544">
            <v>490</v>
          </cell>
        </row>
        <row r="545">
          <cell r="U545">
            <v>388.27099454781325</v>
          </cell>
          <cell r="BI545">
            <v>34.075785619174439</v>
          </cell>
          <cell r="BZ545">
            <v>515</v>
          </cell>
        </row>
        <row r="546">
          <cell r="U546">
            <v>435.2655959282045</v>
          </cell>
          <cell r="BI546">
            <v>35.719918837384114</v>
          </cell>
          <cell r="BZ546">
            <v>510</v>
          </cell>
        </row>
        <row r="547">
          <cell r="U547">
            <v>385.95086681604994</v>
          </cell>
          <cell r="BI547">
            <v>31.013818903241191</v>
          </cell>
          <cell r="BZ547">
            <v>530</v>
          </cell>
        </row>
        <row r="548">
          <cell r="U548">
            <v>341.81381154910656</v>
          </cell>
          <cell r="BI548">
            <v>31.230472060440498</v>
          </cell>
          <cell r="BZ548">
            <v>580</v>
          </cell>
        </row>
        <row r="549">
          <cell r="U549">
            <v>335.66631286419732</v>
          </cell>
        </row>
        <row r="835">
          <cell r="DI835">
            <v>17.599564546856573</v>
          </cell>
        </row>
        <row r="836">
          <cell r="DI836">
            <v>18.325319785902206</v>
          </cell>
        </row>
        <row r="837">
          <cell r="DI837">
            <v>19.459312346911005</v>
          </cell>
        </row>
        <row r="838">
          <cell r="DI838">
            <v>21.818016873809309</v>
          </cell>
        </row>
        <row r="839">
          <cell r="DI839">
            <v>25.582872176358524</v>
          </cell>
        </row>
        <row r="840">
          <cell r="DI840">
            <v>32.477546947292026</v>
          </cell>
        </row>
        <row r="841">
          <cell r="DI841">
            <v>35.743445522997369</v>
          </cell>
        </row>
        <row r="842">
          <cell r="DI842">
            <v>39.735099337748345</v>
          </cell>
        </row>
        <row r="843">
          <cell r="DI843">
            <v>44.134990474462491</v>
          </cell>
        </row>
        <row r="844">
          <cell r="DI844">
            <v>48.670960718497689</v>
          </cell>
        </row>
        <row r="845">
          <cell r="DI845">
            <v>55.837793704073306</v>
          </cell>
        </row>
        <row r="846">
          <cell r="DI846">
            <v>58.060419123650547</v>
          </cell>
        </row>
        <row r="847">
          <cell r="DI847">
            <v>54.749160845504854</v>
          </cell>
        </row>
        <row r="848">
          <cell r="DI848">
            <v>52.889413045450425</v>
          </cell>
        </row>
        <row r="849">
          <cell r="DI849">
            <v>50.984305542955639</v>
          </cell>
        </row>
        <row r="850">
          <cell r="DI850">
            <v>49.12455774290121</v>
          </cell>
        </row>
        <row r="851">
          <cell r="DI851">
            <v>45.450421845232697</v>
          </cell>
        </row>
        <row r="852">
          <cell r="DI852">
            <v>45.677220357434457</v>
          </cell>
        </row>
        <row r="853">
          <cell r="DI853">
            <v>51.301823460038101</v>
          </cell>
        </row>
        <row r="854">
          <cell r="DI854">
            <v>60.6</v>
          </cell>
        </row>
        <row r="855">
          <cell r="DI855">
            <v>63.70000000000001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ualData"/>
      <sheetName val="Methodology"/>
      <sheetName val="ForecasterTable"/>
      <sheetName val="ChinaTable"/>
      <sheetName val="Charts"/>
      <sheetName val="Annual (summary)"/>
      <sheetName val="Summary"/>
      <sheetName val="IronOreSum"/>
      <sheetName val="ChinaFE"/>
      <sheetName val="MonthlyData"/>
      <sheetName val="LRDATA"/>
      <sheetName val="Taiwan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llion_Hectolitres_Pure_Alcoho"/>
      <sheetName val="FST_graphs"/>
      <sheetName val="BOARDNEW"/>
      <sheetName val="D1+2"/>
      <sheetName val="D3"/>
      <sheetName val="E2"/>
      <sheetName val="F1"/>
      <sheetName val="G2&amp;g3_FY_"/>
      <sheetName val="G2&amp;g3__(calendar)"/>
      <sheetName val="F1_calendar"/>
      <sheetName val="tax_ben"/>
      <sheetName val="Dept"/>
      <sheetName val=""/>
      <sheetName val="%govtax"/>
      <sheetName val="J1"/>
      <sheetName val="M1"/>
      <sheetName val="G2&amp;g3_"/>
      <sheetName val="Sheet1"/>
      <sheetName val="Million Hectolitres Pure Alcoho"/>
      <sheetName val="FST graphs"/>
      <sheetName val="G2&amp;g3 FY "/>
      <sheetName val="G2&amp;g3  (calendar)"/>
      <sheetName val="F1 calendar"/>
      <sheetName val="tax ben"/>
      <sheetName val="G2&amp;g3 "/>
    </sheetNames>
    <sheetDataSet>
      <sheetData sheetId="0"/>
      <sheetData sheetId="1"/>
      <sheetData sheetId="2" refreshError="1"/>
      <sheetData sheetId="3" refreshError="1"/>
      <sheetData sheetId="4" refreshError="1"/>
      <sheetData sheetId="5" refreshError="1"/>
      <sheetData sheetId="6" refreshError="1"/>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wth (LS)"/>
      <sheetName val="Growth"/>
      <sheetName val="Summary"/>
      <sheetName val="Tables 2003"/>
      <sheetName val="TABLES"/>
      <sheetName val="Ratios"/>
      <sheetName val="valuation"/>
      <sheetName val="Fin"/>
      <sheetName val="Depreciation"/>
      <sheetName val="Division"/>
      <sheetName val="Equity"/>
      <sheetName val="Tax"/>
      <sheetName val="Econ"/>
      <sheetName val="Strat"/>
      <sheetName val="Bal"/>
      <sheetName val="CUB"/>
      <sheetName val="ALH"/>
      <sheetName val="Mol"/>
      <sheetName val="Asia"/>
      <sheetName val="Intern"/>
      <sheetName val="Beringer BLass"/>
      <sheetName val="Beringer P&amp;L"/>
      <sheetName val="Ber COGS"/>
      <sheetName val="Berringer"/>
      <sheetName val="Beringer ws"/>
      <sheetName val="ROIC"/>
      <sheetName val="Beringer ROICl"/>
      <sheetName val="Res Fin"/>
      <sheetName val="Molson USA"/>
      <sheetName val="Foster's USA LLC"/>
      <sheetName val="Assoc "/>
      <sheetName val="DCF"/>
      <sheetName val="GRAPH1"/>
      <sheetName val="assumpt"/>
      <sheetName val="Cou"/>
      <sheetName val="Revenue"/>
      <sheetName val="EBIT"/>
      <sheetName val="Sheet2"/>
      <sheetName val="Sheet1"/>
      <sheetName val="BU_B3"/>
      <sheetName val="BU_B4 (old)"/>
      <sheetName val="BU_B4"/>
      <sheetName val="Check"/>
      <sheetName val="SHEET"/>
      <sheetName val="Chart1"/>
      <sheetName val="BU_FXya"/>
      <sheetName val="BU_B2wrong"/>
      <sheetName val="BU_B2"/>
      <sheetName val="leecheck"/>
      <sheetName val="three-years"/>
      <sheetName val="TEST2"/>
      <sheetName val="Magazines"/>
      <sheetName val="YQAD"/>
      <sheetName val="Quarter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7">
          <cell r="A7" t="str">
            <v>Year 30 June</v>
          </cell>
        </row>
        <row r="14">
          <cell r="C14">
            <v>7.8331312494902701</v>
          </cell>
          <cell r="D14">
            <v>7.1468655227907751</v>
          </cell>
          <cell r="E14">
            <v>10.455338944107316</v>
          </cell>
          <cell r="F14">
            <v>7.8083681778056659</v>
          </cell>
        </row>
        <row r="16">
          <cell r="C16">
            <v>13.963256094854962</v>
          </cell>
          <cell r="D16">
            <v>8.3548605417224238</v>
          </cell>
          <cell r="E16">
            <v>14.081387758652729</v>
          </cell>
          <cell r="F16">
            <v>9.1053609983836505</v>
          </cell>
        </row>
        <row r="17">
          <cell r="C17">
            <v>4.5833333333333339</v>
          </cell>
          <cell r="D17">
            <v>5.416666666666667</v>
          </cell>
          <cell r="E17">
            <v>4.5833333333333339</v>
          </cell>
          <cell r="F17">
            <v>5.8333333333333339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LL"/>
      <sheetName val="Interface"/>
      <sheetName val="Page Details"/>
      <sheetName val="Page Sizes"/>
      <sheetName val="Sample Layout"/>
      <sheetName val="INDOSAT"/>
      <sheetName val="old"/>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Gaming"/>
      <sheetName val="Monthly Data"/>
      <sheetName val="Quarterly"/>
      <sheetName val="Rooms Project"/>
      <sheetName val="Mainland China Visitors"/>
      <sheetName val="Sensitivity"/>
      <sheetName val="Win per Visitor"/>
      <sheetName val="Macau Market Share"/>
      <sheetName val="Exhibits"/>
      <sheetName val="Exhibits2"/>
      <sheetName val="Charts"/>
      <sheetName val="Charts2"/>
      <sheetName val="Timeline"/>
      <sheetName val="Conferences"/>
      <sheetName val="Condos"/>
      <sheetName val="List"/>
      <sheetName val="Gaming Detail"/>
      <sheetName val="Projects"/>
      <sheetName val="IVS"/>
      <sheetName val="China GDP"/>
      <sheetName val="Macau Airlines"/>
      <sheetName val="DSF Taxes"/>
      <sheetName val="HK Visitation"/>
      <sheetName val="Macau Stats"/>
      <sheetName val="Notes"/>
      <sheetName val="Links"/>
    </sheetNames>
    <sheetDataSet>
      <sheetData sheetId="0" refreshError="1"/>
      <sheetData sheetId="1" refreshError="1">
        <row r="1">
          <cell r="A1" t="str">
            <v>Macau Gaming Market</v>
          </cell>
          <cell r="BN1" t="str">
            <v>GamingTag</v>
          </cell>
        </row>
        <row r="2">
          <cell r="A2" t="str">
            <v>Days in Quarter</v>
          </cell>
          <cell r="B2">
            <v>365</v>
          </cell>
          <cell r="C2">
            <v>365</v>
          </cell>
          <cell r="D2">
            <v>365</v>
          </cell>
          <cell r="E2">
            <v>366</v>
          </cell>
          <cell r="F2">
            <v>365</v>
          </cell>
          <cell r="G2">
            <v>365</v>
          </cell>
          <cell r="H2">
            <v>365</v>
          </cell>
          <cell r="I2">
            <v>91</v>
          </cell>
          <cell r="J2">
            <v>91</v>
          </cell>
          <cell r="K2">
            <v>92</v>
          </cell>
          <cell r="L2">
            <v>92</v>
          </cell>
          <cell r="M2">
            <v>366</v>
          </cell>
          <cell r="N2">
            <v>90</v>
          </cell>
          <cell r="O2">
            <v>91</v>
          </cell>
          <cell r="P2">
            <v>92</v>
          </cell>
          <cell r="Q2">
            <v>92</v>
          </cell>
          <cell r="R2">
            <v>365</v>
          </cell>
          <cell r="S2">
            <v>90</v>
          </cell>
          <cell r="T2">
            <v>91</v>
          </cell>
          <cell r="U2">
            <v>92</v>
          </cell>
          <cell r="V2">
            <v>92</v>
          </cell>
          <cell r="W2">
            <v>365</v>
          </cell>
          <cell r="X2">
            <v>90</v>
          </cell>
          <cell r="Y2">
            <v>91</v>
          </cell>
          <cell r="Z2">
            <v>92</v>
          </cell>
          <cell r="AA2">
            <v>92</v>
          </cell>
          <cell r="AB2">
            <v>365</v>
          </cell>
          <cell r="AC2">
            <v>91</v>
          </cell>
          <cell r="AD2">
            <v>91</v>
          </cell>
          <cell r="AE2">
            <v>92</v>
          </cell>
          <cell r="AF2">
            <v>92</v>
          </cell>
          <cell r="AG2">
            <v>366</v>
          </cell>
          <cell r="AH2">
            <v>90</v>
          </cell>
          <cell r="AI2">
            <v>91</v>
          </cell>
          <cell r="AJ2">
            <v>92</v>
          </cell>
          <cell r="AK2">
            <v>92</v>
          </cell>
          <cell r="AL2">
            <v>365</v>
          </cell>
          <cell r="AM2">
            <v>90</v>
          </cell>
          <cell r="AN2">
            <v>91</v>
          </cell>
          <cell r="AO2">
            <v>92</v>
          </cell>
          <cell r="AP2">
            <v>92</v>
          </cell>
          <cell r="AQ2">
            <v>365</v>
          </cell>
          <cell r="AR2">
            <v>90</v>
          </cell>
          <cell r="AS2">
            <v>91</v>
          </cell>
          <cell r="AT2">
            <v>92</v>
          </cell>
          <cell r="AU2">
            <v>92</v>
          </cell>
          <cell r="AV2">
            <v>365</v>
          </cell>
          <cell r="AW2">
            <v>365</v>
          </cell>
          <cell r="AX2">
            <v>365</v>
          </cell>
          <cell r="AY2">
            <v>365</v>
          </cell>
          <cell r="AZ2">
            <v>365</v>
          </cell>
          <cell r="BA2">
            <v>366</v>
          </cell>
          <cell r="BB2">
            <v>365</v>
          </cell>
          <cell r="BC2">
            <v>365</v>
          </cell>
          <cell r="BD2">
            <v>365</v>
          </cell>
          <cell r="BE2">
            <v>366</v>
          </cell>
          <cell r="BF2">
            <v>365</v>
          </cell>
          <cell r="BG2">
            <v>365</v>
          </cell>
          <cell r="BH2">
            <v>365</v>
          </cell>
          <cell r="BI2">
            <v>366</v>
          </cell>
          <cell r="BK2">
            <v>365</v>
          </cell>
          <cell r="BN2" t="str">
            <v>gt:daysRow</v>
          </cell>
        </row>
        <row r="3">
          <cell r="B3">
            <v>34334</v>
          </cell>
          <cell r="C3">
            <v>34699</v>
          </cell>
          <cell r="D3">
            <v>35064</v>
          </cell>
          <cell r="E3">
            <v>35430</v>
          </cell>
          <cell r="F3">
            <v>35795</v>
          </cell>
          <cell r="G3">
            <v>36160</v>
          </cell>
          <cell r="H3">
            <v>36525</v>
          </cell>
          <cell r="I3">
            <v>36616</v>
          </cell>
          <cell r="J3">
            <v>36707</v>
          </cell>
          <cell r="K3">
            <v>36799</v>
          </cell>
          <cell r="L3">
            <v>36891</v>
          </cell>
          <cell r="M3">
            <v>36891</v>
          </cell>
          <cell r="N3">
            <v>36981</v>
          </cell>
          <cell r="O3">
            <v>37072</v>
          </cell>
          <cell r="P3">
            <v>37164</v>
          </cell>
          <cell r="Q3">
            <v>37256</v>
          </cell>
          <cell r="R3">
            <v>37256</v>
          </cell>
          <cell r="S3">
            <v>37346</v>
          </cell>
          <cell r="T3">
            <v>37437</v>
          </cell>
          <cell r="U3">
            <v>37529</v>
          </cell>
          <cell r="V3">
            <v>37621</v>
          </cell>
          <cell r="W3">
            <v>37621</v>
          </cell>
          <cell r="X3">
            <v>37711</v>
          </cell>
          <cell r="Y3">
            <v>37802</v>
          </cell>
          <cell r="Z3">
            <v>37894</v>
          </cell>
          <cell r="AA3">
            <v>37986</v>
          </cell>
          <cell r="AB3">
            <v>37986</v>
          </cell>
          <cell r="AC3">
            <v>38077</v>
          </cell>
          <cell r="AD3">
            <v>38168</v>
          </cell>
          <cell r="AE3">
            <v>38260</v>
          </cell>
          <cell r="AF3">
            <v>38352</v>
          </cell>
          <cell r="AG3">
            <v>38352</v>
          </cell>
          <cell r="AH3">
            <v>38442</v>
          </cell>
          <cell r="AI3">
            <v>38533</v>
          </cell>
          <cell r="AJ3">
            <v>38625</v>
          </cell>
          <cell r="AK3">
            <v>38717</v>
          </cell>
          <cell r="AL3">
            <v>38717</v>
          </cell>
          <cell r="AM3">
            <v>38807</v>
          </cell>
          <cell r="AN3">
            <v>38898</v>
          </cell>
          <cell r="AO3">
            <v>38990</v>
          </cell>
          <cell r="AP3">
            <v>39082</v>
          </cell>
          <cell r="AQ3">
            <v>39082</v>
          </cell>
          <cell r="AR3">
            <v>39172</v>
          </cell>
          <cell r="AS3">
            <v>39263</v>
          </cell>
          <cell r="AT3">
            <v>39355</v>
          </cell>
          <cell r="AU3">
            <v>39447</v>
          </cell>
          <cell r="AV3">
            <v>39447</v>
          </cell>
          <cell r="AW3">
            <v>39813</v>
          </cell>
          <cell r="AX3">
            <v>40178</v>
          </cell>
          <cell r="AY3">
            <v>40543</v>
          </cell>
          <cell r="AZ3">
            <v>40908</v>
          </cell>
          <cell r="BA3">
            <v>41274</v>
          </cell>
          <cell r="BB3">
            <v>41639</v>
          </cell>
          <cell r="BC3">
            <v>42004</v>
          </cell>
          <cell r="BD3">
            <v>42369</v>
          </cell>
          <cell r="BE3">
            <v>42735</v>
          </cell>
          <cell r="BF3">
            <v>43100</v>
          </cell>
          <cell r="BG3">
            <v>43465</v>
          </cell>
          <cell r="BH3">
            <v>43830</v>
          </cell>
          <cell r="BI3">
            <v>44196</v>
          </cell>
          <cell r="BK3">
            <v>39447</v>
          </cell>
        </row>
        <row r="5">
          <cell r="B5">
            <v>1993</v>
          </cell>
          <cell r="C5">
            <v>1994</v>
          </cell>
          <cell r="D5">
            <v>1995</v>
          </cell>
          <cell r="E5">
            <v>1996</v>
          </cell>
          <cell r="F5">
            <v>1997</v>
          </cell>
          <cell r="G5">
            <v>1998</v>
          </cell>
          <cell r="H5">
            <v>1999</v>
          </cell>
          <cell r="I5" t="str">
            <v>1Q00</v>
          </cell>
          <cell r="J5" t="str">
            <v>2Q00</v>
          </cell>
          <cell r="K5" t="str">
            <v>3Q00</v>
          </cell>
          <cell r="L5" t="str">
            <v>4Q00</v>
          </cell>
          <cell r="M5">
            <v>2000</v>
          </cell>
          <cell r="N5" t="str">
            <v>1Q01</v>
          </cell>
          <cell r="O5" t="str">
            <v>2Q01</v>
          </cell>
          <cell r="P5" t="str">
            <v>3Q01</v>
          </cell>
          <cell r="Q5" t="str">
            <v>4Q01</v>
          </cell>
          <cell r="R5">
            <v>2001</v>
          </cell>
          <cell r="S5" t="str">
            <v>1Q02</v>
          </cell>
          <cell r="T5" t="str">
            <v>2Q02</v>
          </cell>
          <cell r="U5" t="str">
            <v>3Q02</v>
          </cell>
          <cell r="V5" t="str">
            <v>4Q02</v>
          </cell>
          <cell r="W5">
            <v>2002</v>
          </cell>
          <cell r="X5" t="str">
            <v>1Q03</v>
          </cell>
          <cell r="Y5" t="str">
            <v>2Q03</v>
          </cell>
          <cell r="Z5" t="str">
            <v>3Q03</v>
          </cell>
          <cell r="AA5" t="str">
            <v>4Q03</v>
          </cell>
          <cell r="AB5">
            <v>2003</v>
          </cell>
          <cell r="AC5" t="str">
            <v>1Q04</v>
          </cell>
          <cell r="AD5" t="str">
            <v>2Q04</v>
          </cell>
          <cell r="AE5" t="str">
            <v>3Q04</v>
          </cell>
          <cell r="AF5" t="str">
            <v>4Q04</v>
          </cell>
          <cell r="AG5">
            <v>2004</v>
          </cell>
          <cell r="AH5" t="str">
            <v>1Q05</v>
          </cell>
          <cell r="AI5" t="str">
            <v>2Q05</v>
          </cell>
          <cell r="AJ5" t="str">
            <v>3Q05</v>
          </cell>
          <cell r="AK5" t="str">
            <v>4Q05</v>
          </cell>
          <cell r="AL5">
            <v>2005</v>
          </cell>
          <cell r="AM5" t="str">
            <v>1Q06</v>
          </cell>
          <cell r="AN5" t="str">
            <v>2Q06</v>
          </cell>
          <cell r="AO5" t="str">
            <v>3Q06</v>
          </cell>
          <cell r="AP5" t="str">
            <v>4Q06</v>
          </cell>
          <cell r="AQ5">
            <v>2006</v>
          </cell>
          <cell r="AR5" t="str">
            <v>1Q07E</v>
          </cell>
          <cell r="AS5" t="str">
            <v>2Q07E</v>
          </cell>
          <cell r="AT5" t="str">
            <v>3Q07E</v>
          </cell>
          <cell r="AU5" t="str">
            <v>4Q07E</v>
          </cell>
          <cell r="AV5" t="str">
            <v>2007E</v>
          </cell>
          <cell r="AW5" t="str">
            <v>2008E</v>
          </cell>
          <cell r="AX5" t="str">
            <v>2009E</v>
          </cell>
          <cell r="AY5" t="str">
            <v>2010E</v>
          </cell>
          <cell r="AZ5" t="str">
            <v>2011E</v>
          </cell>
          <cell r="BA5" t="str">
            <v>2012E</v>
          </cell>
          <cell r="BB5" t="str">
            <v>2013E</v>
          </cell>
          <cell r="BC5" t="str">
            <v>2014E</v>
          </cell>
          <cell r="BD5" t="str">
            <v>2015E</v>
          </cell>
          <cell r="BE5" t="str">
            <v>2016E</v>
          </cell>
          <cell r="BF5" t="str">
            <v>2017E</v>
          </cell>
          <cell r="BG5" t="str">
            <v>2018E</v>
          </cell>
          <cell r="BH5" t="str">
            <v>2019E</v>
          </cell>
          <cell r="BI5" t="str">
            <v>2020E</v>
          </cell>
          <cell r="BK5" t="str">
            <v>2007E</v>
          </cell>
          <cell r="BN5" t="str">
            <v>gt:dateRow</v>
          </cell>
        </row>
        <row r="7">
          <cell r="A7" t="str">
            <v>Market Stats</v>
          </cell>
        </row>
        <row r="8">
          <cell r="A8" t="str">
            <v>Total Casino Revenue (US$ mm)</v>
          </cell>
          <cell r="C8">
            <v>1932.6084017502599</v>
          </cell>
          <cell r="D8">
            <v>2185.8227182330293</v>
          </cell>
          <cell r="E8">
            <v>2055.1445888483158</v>
          </cell>
          <cell r="F8">
            <v>2224.660161928372</v>
          </cell>
          <cell r="G8">
            <v>1814.9949815199464</v>
          </cell>
          <cell r="H8">
            <v>1621.756107296324</v>
          </cell>
          <cell r="I8">
            <v>525.02414254733333</v>
          </cell>
          <cell r="J8">
            <v>475.49036163673679</v>
          </cell>
          <cell r="K8">
            <v>511.76567318805417</v>
          </cell>
          <cell r="L8">
            <v>474.46814492903269</v>
          </cell>
          <cell r="M8">
            <v>1986.748322301157</v>
          </cell>
          <cell r="N8">
            <v>548.46985485693131</v>
          </cell>
          <cell r="O8">
            <v>560.85132357778127</v>
          </cell>
          <cell r="P8">
            <v>565.63051125219295</v>
          </cell>
          <cell r="Q8">
            <v>580.99063184734734</v>
          </cell>
          <cell r="R8">
            <v>2255.9423215342531</v>
          </cell>
          <cell r="S8">
            <v>609.58509393554687</v>
          </cell>
          <cell r="T8">
            <v>669.27221552802428</v>
          </cell>
          <cell r="U8">
            <v>667.43454308014293</v>
          </cell>
          <cell r="V8">
            <v>748.1803776184322</v>
          </cell>
          <cell r="W8">
            <v>2694.4722301621464</v>
          </cell>
          <cell r="X8">
            <v>835.80358172344654</v>
          </cell>
          <cell r="Y8">
            <v>648.36718437499371</v>
          </cell>
          <cell r="Z8">
            <v>949.70951060080347</v>
          </cell>
          <cell r="AA8">
            <v>1044.1917159822819</v>
          </cell>
          <cell r="AB8">
            <v>3478.0719926815259</v>
          </cell>
          <cell r="AC8">
            <v>1132.7191437639356</v>
          </cell>
          <cell r="AD8">
            <v>1165.1180179880098</v>
          </cell>
          <cell r="AE8">
            <v>1357.7733684226248</v>
          </cell>
          <cell r="AF8">
            <v>1356.9500868402138</v>
          </cell>
          <cell r="AG8">
            <v>5012.5606170147839</v>
          </cell>
          <cell r="AH8">
            <v>1319.8510694529909</v>
          </cell>
          <cell r="AI8">
            <v>1413.5250785261996</v>
          </cell>
          <cell r="AJ8">
            <v>1423.9329589758054</v>
          </cell>
          <cell r="AK8">
            <v>1425.7426089644091</v>
          </cell>
          <cell r="AL8">
            <v>5583.0517159194042</v>
          </cell>
          <cell r="AM8">
            <v>1545.7648858328209</v>
          </cell>
          <cell r="AN8">
            <v>1584.3034551048329</v>
          </cell>
          <cell r="AO8">
            <v>1691.4330745215916</v>
          </cell>
          <cell r="AP8">
            <v>2050.9176096994534</v>
          </cell>
          <cell r="AQ8">
            <v>6872.4190251586988</v>
          </cell>
          <cell r="AR8">
            <v>2223.1274359793588</v>
          </cell>
          <cell r="AS8">
            <v>1984.7636679356945</v>
          </cell>
          <cell r="AT8">
            <v>2098.9240474876715</v>
          </cell>
          <cell r="AU8">
            <v>2404.494797420567</v>
          </cell>
          <cell r="AV8">
            <v>8711.3099488232911</v>
          </cell>
          <cell r="AW8">
            <v>9975.4970811944731</v>
          </cell>
          <cell r="AX8">
            <v>11495.287373279902</v>
          </cell>
          <cell r="AY8">
            <v>12937.576081668471</v>
          </cell>
          <cell r="AZ8">
            <v>14045.846276805547</v>
          </cell>
          <cell r="BA8">
            <v>15168.088569510193</v>
          </cell>
          <cell r="BB8">
            <v>16316.725313575316</v>
          </cell>
          <cell r="BC8">
            <v>17500.770938002101</v>
          </cell>
          <cell r="BD8">
            <v>18742.048273832959</v>
          </cell>
          <cell r="BE8">
            <v>20042.936251620598</v>
          </cell>
          <cell r="BF8">
            <v>21405.905174473188</v>
          </cell>
          <cell r="BG8">
            <v>22833.520061594307</v>
          </cell>
          <cell r="BH8">
            <v>24328.444110237579</v>
          </cell>
          <cell r="BI8">
            <v>25893.442280172581</v>
          </cell>
          <cell r="BK8">
            <v>7942.8300614254713</v>
          </cell>
          <cell r="BL8">
            <v>768.47988739781977</v>
          </cell>
        </row>
        <row r="9">
          <cell r="A9" t="str">
            <v xml:space="preserve">  Year-over-Year growth</v>
          </cell>
          <cell r="D9">
            <v>0.1310220509511637</v>
          </cell>
          <cell r="E9">
            <v>-5.978441357327946E-2</v>
          </cell>
          <cell r="F9">
            <v>8.2483526463240864E-2</v>
          </cell>
          <cell r="G9">
            <v>-0.18414730816832769</v>
          </cell>
          <cell r="H9">
            <v>-0.10646799368106064</v>
          </cell>
          <cell r="I9" t="str">
            <v>N.M.</v>
          </cell>
          <cell r="J9" t="str">
            <v>N.M.</v>
          </cell>
          <cell r="K9" t="str">
            <v>N.M.</v>
          </cell>
          <cell r="L9" t="str">
            <v>N.M.</v>
          </cell>
          <cell r="M9">
            <v>0.22505986773394793</v>
          </cell>
          <cell r="N9">
            <v>4.465644607473318E-2</v>
          </cell>
          <cell r="O9">
            <v>0.17952196054450886</v>
          </cell>
          <cell r="P9">
            <v>0.10525293290694293</v>
          </cell>
          <cell r="Q9">
            <v>0.22450924905453351</v>
          </cell>
          <cell r="R9">
            <v>0.13549476610167788</v>
          </cell>
          <cell r="S9">
            <v>0.11142862007349064</v>
          </cell>
          <cell r="T9">
            <v>0.19331485438708551</v>
          </cell>
          <cell r="U9">
            <v>0.17998327495201094</v>
          </cell>
          <cell r="V9">
            <v>0.28776668091786584</v>
          </cell>
          <cell r="W9">
            <v>0.19438879462558756</v>
          </cell>
          <cell r="X9">
            <v>0.37110239413403101</v>
          </cell>
          <cell r="Y9">
            <v>-3.1235468420779289E-2</v>
          </cell>
          <cell r="Z9">
            <v>0.42292531971448488</v>
          </cell>
          <cell r="AA9">
            <v>0.39564167574949938</v>
          </cell>
          <cell r="AB9">
            <v>0.29081753144370848</v>
          </cell>
          <cell r="AC9">
            <v>0.35524562054190079</v>
          </cell>
          <cell r="AD9">
            <v>0.79700337411608557</v>
          </cell>
          <cell r="AE9">
            <v>0.42967228743836916</v>
          </cell>
          <cell r="AF9">
            <v>0.29952198056246471</v>
          </cell>
          <cell r="AG9">
            <v>0.44118943701053093</v>
          </cell>
          <cell r="AH9">
            <v>0.16520593539827622</v>
          </cell>
          <cell r="AI9">
            <v>0.21320334653063977</v>
          </cell>
          <cell r="AJ9">
            <v>4.8726534259572851E-2</v>
          </cell>
          <cell r="AK9">
            <v>5.069642781363104E-2</v>
          </cell>
          <cell r="AL9">
            <v>0.11381230921539953</v>
          </cell>
          <cell r="AM9">
            <v>0.17116614261142304</v>
          </cell>
          <cell r="AN9">
            <v>0.1208173658699383</v>
          </cell>
          <cell r="AO9">
            <v>0.1878600490701412</v>
          </cell>
          <cell r="AP9">
            <v>0.43849078845244116</v>
          </cell>
          <cell r="AQ9">
            <v>0.23094310689668474</v>
          </cell>
          <cell r="AR9">
            <v>0.43820541943646951</v>
          </cell>
          <cell r="AS9">
            <v>0.25276736697160285</v>
          </cell>
          <cell r="AT9">
            <v>0.24091462979186185</v>
          </cell>
          <cell r="AU9">
            <v>0.17239950841951557</v>
          </cell>
          <cell r="AV9">
            <v>0.26757549516883961</v>
          </cell>
          <cell r="AW9">
            <v>0.14512021036996225</v>
          </cell>
          <cell r="AX9">
            <v>0.15235233690263872</v>
          </cell>
          <cell r="AY9">
            <v>0.12546782534041578</v>
          </cell>
          <cell r="AZ9">
            <v>8.5662892967053317E-2</v>
          </cell>
          <cell r="BA9">
            <v>7.9898517368643729E-2</v>
          </cell>
          <cell r="BB9">
            <v>7.5727191254277848E-2</v>
          </cell>
          <cell r="BC9">
            <v>7.2566376014289613E-2</v>
          </cell>
          <cell r="BD9">
            <v>7.0927008885961929E-2</v>
          </cell>
          <cell r="BE9">
            <v>6.9410128433181839E-2</v>
          </cell>
          <cell r="BF9">
            <v>6.800245761108914E-2</v>
          </cell>
          <cell r="BG9">
            <v>6.6692572702955255E-2</v>
          </cell>
          <cell r="BH9">
            <v>6.5470590807315654E-2</v>
          </cell>
          <cell r="BI9">
            <v>6.4327918499171188E-2</v>
          </cell>
          <cell r="BK9">
            <v>0.21000660614596334</v>
          </cell>
          <cell r="BL9">
            <v>5.7568889022876268E-2</v>
          </cell>
        </row>
        <row r="10">
          <cell r="A10" t="str">
            <v>VIP Revenues (US$ mm)</v>
          </cell>
          <cell r="C10">
            <v>1158.4249182304775</v>
          </cell>
          <cell r="D10">
            <v>1373.1958703116916</v>
          </cell>
          <cell r="E10">
            <v>1311.6412933882118</v>
          </cell>
          <cell r="F10">
            <v>1543.9553513896376</v>
          </cell>
          <cell r="G10">
            <v>1152.1755032529654</v>
          </cell>
          <cell r="H10">
            <v>1070.2080149186154</v>
          </cell>
          <cell r="I10">
            <v>356.7836313191666</v>
          </cell>
          <cell r="J10">
            <v>323.12262262629986</v>
          </cell>
          <cell r="K10">
            <v>347.77375070532207</v>
          </cell>
          <cell r="L10">
            <v>322.42796849630065</v>
          </cell>
          <cell r="M10">
            <v>1350.1079731470891</v>
          </cell>
          <cell r="N10">
            <v>386.33383027944319</v>
          </cell>
          <cell r="O10">
            <v>395.05514867652977</v>
          </cell>
          <cell r="P10">
            <v>398.421535841712</v>
          </cell>
          <cell r="Q10">
            <v>409.2409713503929</v>
          </cell>
          <cell r="R10">
            <v>1589.0514861480779</v>
          </cell>
          <cell r="S10">
            <v>448.8076265927283</v>
          </cell>
          <cell r="T10">
            <v>492.75232872959464</v>
          </cell>
          <cell r="U10">
            <v>491.39934057749974</v>
          </cell>
          <cell r="V10">
            <v>550.84854088916359</v>
          </cell>
          <cell r="W10">
            <v>1983.8078367889864</v>
          </cell>
          <cell r="X10">
            <v>646.14830969658385</v>
          </cell>
          <cell r="Y10">
            <v>501.2437962789877</v>
          </cell>
          <cell r="Z10">
            <v>734.20742432344173</v>
          </cell>
          <cell r="AA10">
            <v>807.25032416093984</v>
          </cell>
          <cell r="AB10">
            <v>2688.8498544599533</v>
          </cell>
          <cell r="AC10">
            <v>851.76682704702944</v>
          </cell>
          <cell r="AD10">
            <v>827.74883397630197</v>
          </cell>
          <cell r="AE10">
            <v>954.29704649257633</v>
          </cell>
          <cell r="AF10">
            <v>973.19097327333657</v>
          </cell>
          <cell r="AG10">
            <v>3607.0036807892443</v>
          </cell>
          <cell r="AH10">
            <v>871.38028739791866</v>
          </cell>
          <cell r="AI10">
            <v>926.51373647604282</v>
          </cell>
          <cell r="AJ10">
            <v>873.66750231017863</v>
          </cell>
          <cell r="AK10">
            <v>826.27410821960814</v>
          </cell>
          <cell r="AL10">
            <v>3497.8356344037484</v>
          </cell>
          <cell r="AM10">
            <v>973.27110396866146</v>
          </cell>
          <cell r="AN10">
            <v>1013.2898875543249</v>
          </cell>
          <cell r="AO10">
            <v>1104.6934295107803</v>
          </cell>
          <cell r="AP10">
            <v>1371.0374881365419</v>
          </cell>
          <cell r="AQ10">
            <v>4462.2919091703079</v>
          </cell>
          <cell r="AR10">
            <v>1449.0493350188763</v>
          </cell>
          <cell r="AS10">
            <v>1317.2768538206224</v>
          </cell>
          <cell r="AT10">
            <v>1270.3974439373974</v>
          </cell>
          <cell r="AU10">
            <v>1508.1412369501963</v>
          </cell>
          <cell r="AV10">
            <v>5544.8648697270928</v>
          </cell>
          <cell r="AW10">
            <v>5988.4540593052607</v>
          </cell>
          <cell r="AX10">
            <v>6347.7613028635769</v>
          </cell>
          <cell r="AY10">
            <v>6601.6717549781206</v>
          </cell>
          <cell r="AZ10">
            <v>6799.7219076274641</v>
          </cell>
          <cell r="BA10">
            <v>7003.713564856288</v>
          </cell>
          <cell r="BB10">
            <v>7213.824971801977</v>
          </cell>
          <cell r="BC10">
            <v>7430.2397209560368</v>
          </cell>
          <cell r="BD10">
            <v>7653.1469125847179</v>
          </cell>
          <cell r="BE10">
            <v>7882.7413199622597</v>
          </cell>
          <cell r="BF10">
            <v>8119.2235595611273</v>
          </cell>
          <cell r="BG10">
            <v>8362.800266347962</v>
          </cell>
          <cell r="BH10">
            <v>8613.6842743384004</v>
          </cell>
          <cell r="BI10">
            <v>8872.094802568552</v>
          </cell>
          <cell r="BK10">
            <v>4009.0761184965568</v>
          </cell>
          <cell r="BL10">
            <v>1535.788751230536</v>
          </cell>
        </row>
        <row r="11">
          <cell r="A11" t="str">
            <v xml:space="preserve">  Year-over-Year growth</v>
          </cell>
          <cell r="D11">
            <v>0.18539911279643562</v>
          </cell>
          <cell r="E11">
            <v>-4.4825780687432371E-2</v>
          </cell>
          <cell r="F11">
            <v>0.17711706635990065</v>
          </cell>
          <cell r="G11">
            <v>-0.2537507627950838</v>
          </cell>
          <cell r="H11">
            <v>-7.114149546048254E-2</v>
          </cell>
          <cell r="I11" t="str">
            <v>N.M.</v>
          </cell>
          <cell r="J11" t="str">
            <v>N.M.</v>
          </cell>
          <cell r="K11" t="str">
            <v>N.M.</v>
          </cell>
          <cell r="L11" t="str">
            <v>N.M.</v>
          </cell>
          <cell r="M11">
            <v>0.26153790134879418</v>
          </cell>
          <cell r="N11">
            <v>8.2823864006928094E-2</v>
          </cell>
          <cell r="O11">
            <v>0.22261680555069607</v>
          </cell>
          <cell r="P11">
            <v>0.14563429538218697</v>
          </cell>
          <cell r="Q11">
            <v>0.26924774317488609</v>
          </cell>
          <cell r="R11">
            <v>0.17698103985269698</v>
          </cell>
          <cell r="S11">
            <v>0.16170935966983913</v>
          </cell>
          <cell r="T11">
            <v>0.24730010577095163</v>
          </cell>
          <cell r="U11">
            <v>0.23336540917488624</v>
          </cell>
          <cell r="V11">
            <v>0.34602490818918041</v>
          </cell>
          <cell r="W11">
            <v>0.24842263078448967</v>
          </cell>
          <cell r="X11">
            <v>0.43969993246779859</v>
          </cell>
          <cell r="Y11">
            <v>1.723272941456333E-2</v>
          </cell>
          <cell r="Z11">
            <v>0.49411560760458162</v>
          </cell>
          <cell r="AA11">
            <v>0.46546693735069167</v>
          </cell>
          <cell r="AB11">
            <v>0.35539834282142757</v>
          </cell>
          <cell r="AC11">
            <v>0.31822186062360713</v>
          </cell>
          <cell r="AD11">
            <v>0.65138968326619362</v>
          </cell>
          <cell r="AE11">
            <v>0.29976490958524837</v>
          </cell>
          <cell r="AF11">
            <v>0.20556281508449858</v>
          </cell>
          <cell r="AG11">
            <v>0.34146712387319189</v>
          </cell>
          <cell r="AH11">
            <v>2.3026795277865775E-2</v>
          </cell>
          <cell r="AI11">
            <v>0.11931747704831985</v>
          </cell>
          <cell r="AJ11">
            <v>-8.4491033980188424E-2</v>
          </cell>
          <cell r="AK11">
            <v>-0.15096406469900991</v>
          </cell>
          <cell r="AL11">
            <v>-3.0265576652145021E-2</v>
          </cell>
          <cell r="AM11">
            <v>0.11693036673460355</v>
          </cell>
          <cell r="AN11">
            <v>9.3658785252695331E-2</v>
          </cell>
          <cell r="AO11">
            <v>0.2644323230401906</v>
          </cell>
          <cell r="AP11">
            <v>0.65930104126189804</v>
          </cell>
          <cell r="AQ11">
            <v>0.27572944402545185</v>
          </cell>
          <cell r="AR11">
            <v>0.48884450499984688</v>
          </cell>
          <cell r="AS11">
            <v>0.3</v>
          </cell>
          <cell r="AT11">
            <v>0.15</v>
          </cell>
          <cell r="AU11">
            <v>0.1</v>
          </cell>
          <cell r="AV11">
            <v>0.24260469341596069</v>
          </cell>
          <cell r="AW11">
            <v>0.08</v>
          </cell>
          <cell r="AX11">
            <v>0.06</v>
          </cell>
          <cell r="AY11">
            <v>3.9999999999999994E-2</v>
          </cell>
          <cell r="AZ11">
            <v>0.03</v>
          </cell>
          <cell r="BA11">
            <v>0.03</v>
          </cell>
          <cell r="BB11">
            <v>0.03</v>
          </cell>
          <cell r="BC11">
            <v>0.03</v>
          </cell>
          <cell r="BD11">
            <v>0.03</v>
          </cell>
          <cell r="BE11">
            <v>0.03</v>
          </cell>
          <cell r="BF11">
            <v>0.03</v>
          </cell>
          <cell r="BG11">
            <v>0.03</v>
          </cell>
          <cell r="BH11">
            <v>0.03</v>
          </cell>
          <cell r="BI11">
            <v>0.03</v>
          </cell>
          <cell r="BK11">
            <v>0.1</v>
          </cell>
          <cell r="BL11">
            <v>0.14260469341596069</v>
          </cell>
        </row>
        <row r="12">
          <cell r="A12" t="str">
            <v>Mass Market Revenues (US$ mm)</v>
          </cell>
          <cell r="C12">
            <v>774.18348351978238</v>
          </cell>
          <cell r="D12">
            <v>812.62684792133757</v>
          </cell>
          <cell r="E12">
            <v>743.50329546010403</v>
          </cell>
          <cell r="F12">
            <v>680.70481053873436</v>
          </cell>
          <cell r="G12">
            <v>662.81947826698092</v>
          </cell>
          <cell r="H12">
            <v>551.5480923777086</v>
          </cell>
          <cell r="I12">
            <v>168.24051122816675</v>
          </cell>
          <cell r="J12">
            <v>152.36773901043691</v>
          </cell>
          <cell r="K12">
            <v>163.99192248273209</v>
          </cell>
          <cell r="L12">
            <v>152.04017643273204</v>
          </cell>
          <cell r="M12">
            <v>636.64034915406774</v>
          </cell>
          <cell r="N12">
            <v>162.13602457748809</v>
          </cell>
          <cell r="O12">
            <v>165.7961749012515</v>
          </cell>
          <cell r="P12">
            <v>167.20897541048095</v>
          </cell>
          <cell r="Q12">
            <v>171.74966049695442</v>
          </cell>
          <cell r="R12">
            <v>666.8908353861749</v>
          </cell>
          <cell r="S12">
            <v>160.7774673428186</v>
          </cell>
          <cell r="T12">
            <v>176.51988679842961</v>
          </cell>
          <cell r="U12">
            <v>176.03520250264322</v>
          </cell>
          <cell r="V12">
            <v>197.33183672926856</v>
          </cell>
          <cell r="W12">
            <v>710.66439337316001</v>
          </cell>
          <cell r="X12">
            <v>189.65527202686269</v>
          </cell>
          <cell r="Y12">
            <v>147.12338809600604</v>
          </cell>
          <cell r="Z12">
            <v>215.50208627736168</v>
          </cell>
          <cell r="AA12">
            <v>236.94139182134211</v>
          </cell>
          <cell r="AB12">
            <v>789.22213822157244</v>
          </cell>
          <cell r="AC12">
            <v>280.95231671690618</v>
          </cell>
          <cell r="AD12">
            <v>337.36918401170789</v>
          </cell>
          <cell r="AE12">
            <v>403.47632193004841</v>
          </cell>
          <cell r="AF12">
            <v>383.7591135668772</v>
          </cell>
          <cell r="AG12">
            <v>1405.5569362255396</v>
          </cell>
          <cell r="AH12">
            <v>448.47078205507222</v>
          </cell>
          <cell r="AI12">
            <v>487.01134205015683</v>
          </cell>
          <cell r="AJ12">
            <v>550.26545666562674</v>
          </cell>
          <cell r="AK12">
            <v>599.46850074480096</v>
          </cell>
          <cell r="AL12">
            <v>2085.2160815156567</v>
          </cell>
          <cell r="AM12">
            <v>572.49378186415947</v>
          </cell>
          <cell r="AN12">
            <v>571.01356755050801</v>
          </cell>
          <cell r="AO12">
            <v>586.73964501081116</v>
          </cell>
          <cell r="AP12">
            <v>679.88012156291154</v>
          </cell>
          <cell r="AQ12">
            <v>2410.12711598839</v>
          </cell>
          <cell r="AR12">
            <v>774.07810096048252</v>
          </cell>
          <cell r="AS12">
            <v>667.48681411507209</v>
          </cell>
          <cell r="AT12">
            <v>828.52660355027422</v>
          </cell>
          <cell r="AU12">
            <v>896.35356047037067</v>
          </cell>
          <cell r="AV12">
            <v>3166.4450790961996</v>
          </cell>
          <cell r="AW12">
            <v>3987.0430218892116</v>
          </cell>
          <cell r="AX12">
            <v>5147.5260704163238</v>
          </cell>
          <cell r="AY12">
            <v>6335.90432669035</v>
          </cell>
          <cell r="AZ12">
            <v>7246.1243691780828</v>
          </cell>
          <cell r="BA12">
            <v>8164.3750046539062</v>
          </cell>
          <cell r="BB12">
            <v>9102.9003417733402</v>
          </cell>
          <cell r="BC12">
            <v>10070.531217046064</v>
          </cell>
          <cell r="BD12">
            <v>11088.901361248239</v>
          </cell>
          <cell r="BE12">
            <v>12160.194931658338</v>
          </cell>
          <cell r="BF12">
            <v>13286.68161491206</v>
          </cell>
          <cell r="BG12">
            <v>14470.719795246345</v>
          </cell>
          <cell r="BH12">
            <v>15714.75983589918</v>
          </cell>
          <cell r="BI12">
            <v>17021.347477604031</v>
          </cell>
          <cell r="BK12">
            <v>3933.7539429289145</v>
          </cell>
          <cell r="BL12">
            <v>-767.30886383271491</v>
          </cell>
        </row>
        <row r="13">
          <cell r="A13" t="str">
            <v xml:space="preserve">  Year-over-Year growth</v>
          </cell>
          <cell r="D13">
            <v>4.9656657911086644E-2</v>
          </cell>
          <cell r="E13">
            <v>-8.5061861588807242E-2</v>
          </cell>
          <cell r="F13">
            <v>-8.446295437400575E-2</v>
          </cell>
          <cell r="G13">
            <v>-2.6274725835415125E-2</v>
          </cell>
          <cell r="H13">
            <v>-0.16787585389042037</v>
          </cell>
          <cell r="I13" t="str">
            <v>N.M.</v>
          </cell>
          <cell r="J13" t="str">
            <v>N.M.</v>
          </cell>
          <cell r="K13" t="str">
            <v>N.M.</v>
          </cell>
          <cell r="L13" t="str">
            <v>N.M.</v>
          </cell>
          <cell r="M13">
            <v>0.15427894312811197</v>
          </cell>
          <cell r="N13">
            <v>-3.6284284956789037E-2</v>
          </cell>
          <cell r="O13">
            <v>8.8131752679579956E-2</v>
          </cell>
          <cell r="P13">
            <v>1.9617142594859249E-2</v>
          </cell>
          <cell r="Q13">
            <v>0.12963339379537331</v>
          </cell>
          <cell r="R13">
            <v>4.7515816853742177E-2</v>
          </cell>
          <cell r="S13">
            <v>-8.3791201752341227E-3</v>
          </cell>
          <cell r="T13">
            <v>6.4680092309518988E-2</v>
          </cell>
          <cell r="U13">
            <v>5.2785605978953987E-2</v>
          </cell>
          <cell r="V13">
            <v>0.14895037438963543</v>
          </cell>
          <cell r="W13">
            <v>6.5638265911447391E-2</v>
          </cell>
          <cell r="X13">
            <v>0.17961350655231589</v>
          </cell>
          <cell r="Y13">
            <v>-0.16653363672271004</v>
          </cell>
          <cell r="Z13">
            <v>0.22419881485991899</v>
          </cell>
          <cell r="AA13">
            <v>0.20072561908201503</v>
          </cell>
          <cell r="AB13">
            <v>0.11054127036749239</v>
          </cell>
          <cell r="AC13">
            <v>0.4813841646179613</v>
          </cell>
          <cell r="AD13">
            <v>1.2931036892078374</v>
          </cell>
          <cell r="AE13">
            <v>0.87226179059238773</v>
          </cell>
          <cell r="AF13">
            <v>0.61963728927632111</v>
          </cell>
          <cell r="AG13">
            <v>0.78093957094616173</v>
          </cell>
          <cell r="AH13">
            <v>0.59625230108695404</v>
          </cell>
          <cell r="AI13">
            <v>0.44355609560728526</v>
          </cell>
          <cell r="AJ13">
            <v>0.36381102621686812</v>
          </cell>
          <cell r="AK13">
            <v>0.56209580320581076</v>
          </cell>
          <cell r="AL13">
            <v>0.48355148608583787</v>
          </cell>
          <cell r="AM13">
            <v>0.27654644354034463</v>
          </cell>
          <cell r="AN13">
            <v>0.17248515228973837</v>
          </cell>
          <cell r="AO13">
            <v>6.6284713865562894E-2</v>
          </cell>
          <cell r="AP13">
            <v>0.13413819194537213</v>
          </cell>
          <cell r="AQ13">
            <v>0.15581648221155531</v>
          </cell>
          <cell r="AR13">
            <v>0.35211617223146474</v>
          </cell>
          <cell r="AS13">
            <v>0.16895088321352492</v>
          </cell>
          <cell r="AT13">
            <v>0.41208559979785919</v>
          </cell>
          <cell r="AU13">
            <v>0.31839942372462504</v>
          </cell>
          <cell r="AV13">
            <v>0.31380832906717648</v>
          </cell>
          <cell r="AW13">
            <v>0.25915432679073525</v>
          </cell>
          <cell r="AX13">
            <v>0.29106358826728473</v>
          </cell>
          <cell r="AY13">
            <v>0.23086396067109427</v>
          </cell>
          <cell r="AZ13">
            <v>0.14366063557073927</v>
          </cell>
          <cell r="BA13">
            <v>0.12672300235166678</v>
          </cell>
          <cell r="BB13">
            <v>0.11495372720930264</v>
          </cell>
          <cell r="BC13">
            <v>0.10629918366042657</v>
          </cell>
          <cell r="BD13">
            <v>0.10112377612001366</v>
          </cell>
          <cell r="BE13">
            <v>9.6609531955427874E-2</v>
          </cell>
          <cell r="BF13">
            <v>9.2637222477493619E-2</v>
          </cell>
          <cell r="BG13">
            <v>8.9114664944285327E-2</v>
          </cell>
          <cell r="BH13">
            <v>8.5969465116828792E-2</v>
          </cell>
          <cell r="BI13">
            <v>8.3143977722144324E-2</v>
          </cell>
          <cell r="BK13">
            <v>0.34732741003516732</v>
          </cell>
          <cell r="BL13">
            <v>-3.3519080967990833E-2</v>
          </cell>
        </row>
        <row r="14">
          <cell r="BL14">
            <v>0</v>
          </cell>
        </row>
        <row r="15">
          <cell r="A15" t="str">
            <v>% VIP</v>
          </cell>
          <cell r="C15">
            <v>0.59941006009357822</v>
          </cell>
          <cell r="D15">
            <v>0.62822838231901657</v>
          </cell>
          <cell r="E15">
            <v>0.6382233641883287</v>
          </cell>
          <cell r="F15">
            <v>0.69401851923815261</v>
          </cell>
          <cell r="G15">
            <v>0.63480919505798827</v>
          </cell>
          <cell r="H15">
            <v>0.6599068812528105</v>
          </cell>
          <cell r="I15">
            <v>0.67955661922156452</v>
          </cell>
          <cell r="J15">
            <v>0.6795566192215643</v>
          </cell>
          <cell r="K15">
            <v>0.67955661922156441</v>
          </cell>
          <cell r="L15">
            <v>0.6795566192215643</v>
          </cell>
          <cell r="M15">
            <v>0.6795566192215643</v>
          </cell>
          <cell r="N15">
            <v>0.70438480229732703</v>
          </cell>
          <cell r="O15">
            <v>0.70438480229732725</v>
          </cell>
          <cell r="P15">
            <v>0.70438480229732714</v>
          </cell>
          <cell r="Q15">
            <v>0.70438480229732703</v>
          </cell>
          <cell r="R15">
            <v>0.70438480229732703</v>
          </cell>
          <cell r="S15">
            <v>0.73625098621617868</v>
          </cell>
          <cell r="T15">
            <v>0.73625098621617846</v>
          </cell>
          <cell r="U15">
            <v>0.73625098621617857</v>
          </cell>
          <cell r="V15">
            <v>0.73625098621617857</v>
          </cell>
          <cell r="W15">
            <v>0.73625098621617857</v>
          </cell>
          <cell r="X15">
            <v>0.77308631337067368</v>
          </cell>
          <cell r="Y15">
            <v>0.77308631337067357</v>
          </cell>
          <cell r="Z15">
            <v>0.77308631337067346</v>
          </cell>
          <cell r="AA15">
            <v>0.77308631337067357</v>
          </cell>
          <cell r="AB15">
            <v>0.77308631337067357</v>
          </cell>
          <cell r="AC15">
            <v>0.75196647971947927</v>
          </cell>
          <cell r="AD15">
            <v>0.71044205067372013</v>
          </cell>
          <cell r="AE15">
            <v>0.70283971440772786</v>
          </cell>
          <cell r="AF15">
            <v>0.7171899561460684</v>
          </cell>
          <cell r="AG15">
            <v>0.71959302966741678</v>
          </cell>
          <cell r="AH15">
            <v>0.66021107044983496</v>
          </cell>
          <cell r="AI15">
            <v>0.65546324614351004</v>
          </cell>
          <cell r="AJ15">
            <v>0.61355943536736657</v>
          </cell>
          <cell r="AK15">
            <v>0.57953946457402572</v>
          </cell>
          <cell r="AL15">
            <v>0.6265096245535553</v>
          </cell>
          <cell r="AM15">
            <v>0.62963721901619363</v>
          </cell>
          <cell r="AN15">
            <v>0.63958068404722113</v>
          </cell>
          <cell r="AO15">
            <v>0.65311093069599224</v>
          </cell>
          <cell r="AP15">
            <v>0.66849954461966765</v>
          </cell>
          <cell r="AQ15">
            <v>0.64930439963492537</v>
          </cell>
          <cell r="AR15">
            <v>0.65180668978632961</v>
          </cell>
          <cell r="AS15">
            <v>0.66369456228040025</v>
          </cell>
          <cell r="AT15">
            <v>0.60526127444107014</v>
          </cell>
          <cell r="AU15">
            <v>0.62721750887881389</v>
          </cell>
          <cell r="AV15">
            <v>0.63651332604415989</v>
          </cell>
          <cell r="AW15">
            <v>0.60031635622394453</v>
          </cell>
          <cell r="AX15">
            <v>0.55220553403637074</v>
          </cell>
          <cell r="AY15">
            <v>0.51027114455637257</v>
          </cell>
          <cell r="AZ15">
            <v>0.48410909343754599</v>
          </cell>
          <cell r="BA15">
            <v>0.46174002299371142</v>
          </cell>
          <cell r="BB15">
            <v>0.44211230091617482</v>
          </cell>
          <cell r="BC15">
            <v>0.42456642323234006</v>
          </cell>
          <cell r="BD15">
            <v>0.40834100951867647</v>
          </cell>
          <cell r="BE15">
            <v>0.3932927401954337</v>
          </cell>
          <cell r="BF15">
            <v>0.37929830546214899</v>
          </cell>
          <cell r="BG15">
            <v>0.36625103110641649</v>
          </cell>
          <cell r="BH15">
            <v>0.35405816480938468</v>
          </cell>
          <cell r="BI15">
            <v>0.342638676873109</v>
          </cell>
          <cell r="BK15">
            <v>0.50474152002404316</v>
          </cell>
          <cell r="BL15">
            <v>0.13177180602011673</v>
          </cell>
        </row>
        <row r="16">
          <cell r="A16" t="str">
            <v>% Mass Market</v>
          </cell>
          <cell r="C16">
            <v>0.40058993990642178</v>
          </cell>
          <cell r="D16">
            <v>0.37177161768098338</v>
          </cell>
          <cell r="E16">
            <v>0.36177663581167124</v>
          </cell>
          <cell r="F16">
            <v>0.30598148076184734</v>
          </cell>
          <cell r="G16">
            <v>0.36519080494201173</v>
          </cell>
          <cell r="H16">
            <v>0.34009311874718956</v>
          </cell>
          <cell r="I16">
            <v>0.32044338077843554</v>
          </cell>
          <cell r="J16">
            <v>0.32044338077843565</v>
          </cell>
          <cell r="K16">
            <v>0.32044338077843565</v>
          </cell>
          <cell r="L16">
            <v>0.3204433807784357</v>
          </cell>
          <cell r="M16">
            <v>0.32044338077843559</v>
          </cell>
          <cell r="N16">
            <v>0.29561519770267297</v>
          </cell>
          <cell r="O16">
            <v>0.29561519770267275</v>
          </cell>
          <cell r="P16">
            <v>0.29561519770267286</v>
          </cell>
          <cell r="Q16">
            <v>0.29561519770267286</v>
          </cell>
          <cell r="R16">
            <v>0.29561519770267281</v>
          </cell>
          <cell r="S16">
            <v>0.26374901378382137</v>
          </cell>
          <cell r="T16">
            <v>0.26374901378382148</v>
          </cell>
          <cell r="U16">
            <v>0.26374901378382148</v>
          </cell>
          <cell r="V16">
            <v>0.26374901378382137</v>
          </cell>
          <cell r="W16">
            <v>0.26374901378382143</v>
          </cell>
          <cell r="X16">
            <v>0.22691368662932634</v>
          </cell>
          <cell r="Y16">
            <v>0.22691368662932643</v>
          </cell>
          <cell r="Z16">
            <v>0.22691368662932643</v>
          </cell>
          <cell r="AA16">
            <v>0.2269136866293264</v>
          </cell>
          <cell r="AB16">
            <v>0.22691368662932634</v>
          </cell>
          <cell r="AC16">
            <v>0.24803352028052073</v>
          </cell>
          <cell r="AD16">
            <v>0.28955794932627998</v>
          </cell>
          <cell r="AE16">
            <v>0.29716028559227203</v>
          </cell>
          <cell r="AF16">
            <v>0.28281004385393166</v>
          </cell>
          <cell r="AG16">
            <v>0.28040697033258322</v>
          </cell>
          <cell r="AH16">
            <v>0.33978892955016499</v>
          </cell>
          <cell r="AI16">
            <v>0.34453675385648991</v>
          </cell>
          <cell r="AJ16">
            <v>0.38644056463263349</v>
          </cell>
          <cell r="AK16">
            <v>0.42046053542597428</v>
          </cell>
          <cell r="AL16">
            <v>0.37349037544644492</v>
          </cell>
          <cell r="AM16">
            <v>0.37036278098380632</v>
          </cell>
          <cell r="AN16">
            <v>0.36041931595277887</v>
          </cell>
          <cell r="AO16">
            <v>0.34688906930400765</v>
          </cell>
          <cell r="AP16">
            <v>0.33150045538033235</v>
          </cell>
          <cell r="AQ16">
            <v>0.35069560036507452</v>
          </cell>
          <cell r="AR16">
            <v>0.34819331021367039</v>
          </cell>
          <cell r="AS16">
            <v>0.33630543771959975</v>
          </cell>
          <cell r="AT16">
            <v>0.39473872555892986</v>
          </cell>
          <cell r="AU16">
            <v>0.37278249112118611</v>
          </cell>
          <cell r="AV16">
            <v>0.36348667395584033</v>
          </cell>
          <cell r="AW16">
            <v>0.39968364377605536</v>
          </cell>
          <cell r="AX16">
            <v>0.44779446596362921</v>
          </cell>
          <cell r="AY16">
            <v>0.48972885544362743</v>
          </cell>
          <cell r="AZ16">
            <v>0.51589090656245395</v>
          </cell>
          <cell r="BA16">
            <v>0.53825997700628869</v>
          </cell>
          <cell r="BB16">
            <v>0.55788769908382529</v>
          </cell>
          <cell r="BC16">
            <v>0.57543357676765994</v>
          </cell>
          <cell r="BD16">
            <v>0.59165899048132342</v>
          </cell>
          <cell r="BE16">
            <v>0.6067072598045663</v>
          </cell>
          <cell r="BF16">
            <v>0.62070169453785096</v>
          </cell>
          <cell r="BG16">
            <v>0.63374896889358345</v>
          </cell>
          <cell r="BH16">
            <v>0.64594183519061543</v>
          </cell>
          <cell r="BI16">
            <v>0.65736132312689111</v>
          </cell>
          <cell r="BK16">
            <v>0.49525847997595679</v>
          </cell>
          <cell r="BL16">
            <v>-0.13177180602011646</v>
          </cell>
        </row>
        <row r="17">
          <cell r="BL17">
            <v>0</v>
          </cell>
        </row>
        <row r="18">
          <cell r="A18" t="str">
            <v>Gaming Revenue / Visitor / Day (US$)</v>
          </cell>
          <cell r="I18">
            <v>158.41376235097823</v>
          </cell>
          <cell r="J18">
            <v>143.48672334848223</v>
          </cell>
          <cell r="K18">
            <v>137.83435953688036</v>
          </cell>
          <cell r="L18">
            <v>134.65832092808358</v>
          </cell>
          <cell r="M18">
            <v>143.29764578663571</v>
          </cell>
          <cell r="N18">
            <v>150.11399707548483</v>
          </cell>
          <cell r="O18">
            <v>147.62293343555933</v>
          </cell>
          <cell r="P18">
            <v>140.33811733604551</v>
          </cell>
          <cell r="Q18">
            <v>148.62915352291139</v>
          </cell>
          <cell r="R18">
            <v>146.56224959002131</v>
          </cell>
          <cell r="S18">
            <v>152.46848637074407</v>
          </cell>
          <cell r="T18">
            <v>159.59939629195657</v>
          </cell>
          <cell r="U18">
            <v>150.07573464872777</v>
          </cell>
          <cell r="V18">
            <v>167.35638549096882</v>
          </cell>
          <cell r="W18">
            <v>157.48438863797563</v>
          </cell>
          <cell r="X18">
            <v>193.25457345079735</v>
          </cell>
          <cell r="Y18">
            <v>216.95186831614348</v>
          </cell>
          <cell r="Z18">
            <v>196.77973515008657</v>
          </cell>
          <cell r="AA18">
            <v>205.59245176103926</v>
          </cell>
          <cell r="AB18">
            <v>201.99492775148218</v>
          </cell>
          <cell r="AC18">
            <v>212.80687312536119</v>
          </cell>
          <cell r="AD18">
            <v>206.69640069393247</v>
          </cell>
          <cell r="AE18">
            <v>216.18897989509648</v>
          </cell>
          <cell r="AF18">
            <v>216.59383065537276</v>
          </cell>
          <cell r="AG18">
            <v>213.25454479961729</v>
          </cell>
          <cell r="AH18">
            <v>215.30415039329952</v>
          </cell>
          <cell r="AI18">
            <v>228.60781622023097</v>
          </cell>
          <cell r="AJ18">
            <v>210.57242052937389</v>
          </cell>
          <cell r="AK18">
            <v>205.75112834524049</v>
          </cell>
          <cell r="AL18">
            <v>214.69138190801422</v>
          </cell>
          <cell r="AM18">
            <v>214.81896348052675</v>
          </cell>
          <cell r="AN18">
            <v>221.83499230178845</v>
          </cell>
          <cell r="AO18">
            <v>222.30927440563593</v>
          </cell>
          <cell r="AP18">
            <v>240.23642576569631</v>
          </cell>
          <cell r="AQ18">
            <v>225.4507129639166</v>
          </cell>
          <cell r="AR18">
            <v>259.77371825818869</v>
          </cell>
          <cell r="AS18">
            <v>237.74107466696157</v>
          </cell>
          <cell r="AT18">
            <v>205.12932965058957</v>
          </cell>
          <cell r="AU18">
            <v>224.31420669942776</v>
          </cell>
          <cell r="AV18">
            <v>230.10560483419101</v>
          </cell>
          <cell r="AW18">
            <v>219.72962460523692</v>
          </cell>
          <cell r="AX18">
            <v>202.00563873280637</v>
          </cell>
          <cell r="AY18">
            <v>184.70834649115616</v>
          </cell>
          <cell r="AZ18">
            <v>175.34134827214305</v>
          </cell>
          <cell r="BA18">
            <v>168.05449221973646</v>
          </cell>
          <cell r="BB18">
            <v>162.14196381556579</v>
          </cell>
          <cell r="BC18">
            <v>157.19799950867699</v>
          </cell>
          <cell r="BD18">
            <v>152.88706598442917</v>
          </cell>
          <cell r="BE18">
            <v>149.09498057949239</v>
          </cell>
          <cell r="BF18">
            <v>145.73346248933547</v>
          </cell>
          <cell r="BG18">
            <v>142.73318231337117</v>
          </cell>
          <cell r="BH18">
            <v>140.03893569040201</v>
          </cell>
          <cell r="BI18">
            <v>137.60622040816031</v>
          </cell>
          <cell r="BK18">
            <v>220.66402160063058</v>
          </cell>
          <cell r="BL18">
            <v>9.4415832335604364</v>
          </cell>
        </row>
        <row r="19">
          <cell r="A19" t="str">
            <v xml:space="preserve">  Year-over-Year growth</v>
          </cell>
          <cell r="N19">
            <v>-5.2392955967453192E-2</v>
          </cell>
          <cell r="O19">
            <v>2.8826430700710892E-2</v>
          </cell>
          <cell r="P19">
            <v>1.8164975754795254E-2</v>
          </cell>
          <cell r="Q19">
            <v>0.10375023614240031</v>
          </cell>
          <cell r="R19">
            <v>2.2781977927581964E-2</v>
          </cell>
          <cell r="S19">
            <v>1.5684675254335367E-2</v>
          </cell>
          <cell r="T19">
            <v>8.1128741840272633E-2</v>
          </cell>
          <cell r="U19">
            <v>6.9386831585926956E-2</v>
          </cell>
          <cell r="V19">
            <v>0.12599972161700168</v>
          </cell>
          <cell r="W19">
            <v>7.4522184795244417E-2</v>
          </cell>
          <cell r="X19">
            <v>0.26750503038954143</v>
          </cell>
          <cell r="Y19">
            <v>0.35935268777127161</v>
          </cell>
          <cell r="Z19">
            <v>0.31120287773820143</v>
          </cell>
          <cell r="AA19">
            <v>0.22847091348142068</v>
          </cell>
          <cell r="AB19">
            <v>0.28263461222068931</v>
          </cell>
          <cell r="AC19">
            <v>0.10117380057523895</v>
          </cell>
          <cell r="AD19">
            <v>-4.7270704335519609E-2</v>
          </cell>
          <cell r="AE19">
            <v>9.8634367660908939E-2</v>
          </cell>
          <cell r="AF19">
            <v>5.3510616757080243E-2</v>
          </cell>
          <cell r="AG19">
            <v>5.5742078147566154E-2</v>
          </cell>
          <cell r="AH19">
            <v>1.1734946485808306E-2</v>
          </cell>
          <cell r="AI19">
            <v>0.10600772656290247</v>
          </cell>
          <cell r="AJ19">
            <v>-2.5979859697048302E-2</v>
          </cell>
          <cell r="AK19">
            <v>-5.0060069935160434E-2</v>
          </cell>
          <cell r="AL19">
            <v>6.7376623074881792E-3</v>
          </cell>
          <cell r="AM19">
            <v>-2.253495401210226E-3</v>
          </cell>
          <cell r="AN19">
            <v>-2.9626388241764556E-2</v>
          </cell>
          <cell r="AO19">
            <v>5.5737849461747535E-2</v>
          </cell>
          <cell r="AP19">
            <v>0.16760684472452159</v>
          </cell>
          <cell r="AQ19">
            <v>5.0115337468516818E-2</v>
          </cell>
          <cell r="AR19">
            <v>0.2092680927665731</v>
          </cell>
          <cell r="AS19">
            <v>7.1702314410046597E-2</v>
          </cell>
          <cell r="AT19">
            <v>-7.7279478334759122E-2</v>
          </cell>
          <cell r="AU19">
            <v>-6.6277289197590572E-2</v>
          </cell>
          <cell r="AV19">
            <v>2.064704878985868E-2</v>
          </cell>
          <cell r="AW19">
            <v>-4.5092253343549715E-2</v>
          </cell>
          <cell r="AX19">
            <v>-8.0662704923258333E-2</v>
          </cell>
          <cell r="AY19">
            <v>-8.562776935414862E-2</v>
          </cell>
          <cell r="AZ19">
            <v>-5.0712371135115952E-2</v>
          </cell>
          <cell r="BA19">
            <v>-4.1558115779381621E-2</v>
          </cell>
          <cell r="BB19">
            <v>-3.5182209806327913E-2</v>
          </cell>
          <cell r="BC19">
            <v>-3.0491577815799031E-2</v>
          </cell>
          <cell r="BD19">
            <v>-2.7423590234746387E-2</v>
          </cell>
          <cell r="BE19">
            <v>-2.4803179919241747E-2</v>
          </cell>
          <cell r="BF19">
            <v>-2.2546151970318506E-2</v>
          </cell>
          <cell r="BG19">
            <v>-2.0587448652596541E-2</v>
          </cell>
          <cell r="BH19">
            <v>-1.8876105606991489E-2</v>
          </cell>
          <cell r="BI19">
            <v>-1.7371706448983226E-2</v>
          </cell>
          <cell r="BK19">
            <v>2.3810189514658076E-2</v>
          </cell>
          <cell r="BL19">
            <v>-3.1631407247993959E-3</v>
          </cell>
        </row>
        <row r="20">
          <cell r="A20" t="str">
            <v>Mass Market Revenue / Visitor / Day (US$)</v>
          </cell>
          <cell r="I20">
            <v>50.76264156957911</v>
          </cell>
          <cell r="J20">
            <v>45.97937072660774</v>
          </cell>
          <cell r="K20">
            <v>44.16810815742835</v>
          </cell>
          <cell r="L20">
            <v>43.15036760814268</v>
          </cell>
          <cell r="M20">
            <v>45.918782073460292</v>
          </cell>
          <cell r="N20">
            <v>44.375978923407921</v>
          </cell>
          <cell r="O20">
            <v>43.639582653001376</v>
          </cell>
          <cell r="P20">
            <v>41.486080301515997</v>
          </cell>
          <cell r="Q20">
            <v>43.93703660305637</v>
          </cell>
          <cell r="R20">
            <v>43.326028388302625</v>
          </cell>
          <cell r="S20">
            <v>40.213412913395764</v>
          </cell>
          <cell r="T20">
            <v>42.094183372496836</v>
          </cell>
          <cell r="U20">
            <v>39.582327006484441</v>
          </cell>
          <cell r="V20">
            <v>44.14008162366806</v>
          </cell>
          <cell r="W20">
            <v>41.536352189614121</v>
          </cell>
          <cell r="X20">
            <v>43.85210771969836</v>
          </cell>
          <cell r="Y20">
            <v>49.229348260736273</v>
          </cell>
          <cell r="Z20">
            <v>44.652015156848591</v>
          </cell>
          <cell r="AA20">
            <v>46.651741172259364</v>
          </cell>
          <cell r="AB20">
            <v>45.835413736513246</v>
          </cell>
          <cell r="AC20">
            <v>52.78323788117347</v>
          </cell>
          <cell r="AD20">
            <v>59.850585918058158</v>
          </cell>
          <cell r="AE20">
            <v>64.242779007528839</v>
          </cell>
          <cell r="AF20">
            <v>61.254910746137007</v>
          </cell>
          <cell r="AG20">
            <v>59.798060816914834</v>
          </cell>
          <cell r="AH20">
            <v>73.157966789846967</v>
          </cell>
          <cell r="AI20">
            <v>78.763794906739406</v>
          </cell>
          <cell r="AJ20">
            <v>81.373725085431587</v>
          </cell>
          <cell r="AK20">
            <v>86.510229588538181</v>
          </cell>
          <cell r="AL20">
            <v>80.18516483394032</v>
          </cell>
          <cell r="AM20">
            <v>79.560948722706613</v>
          </cell>
          <cell r="AN20">
            <v>79.953616179800562</v>
          </cell>
          <cell r="AO20">
            <v>77.116657296220311</v>
          </cell>
          <cell r="AP20">
            <v>79.638484540271733</v>
          </cell>
          <cell r="AQ20">
            <v>79.064573135614836</v>
          </cell>
          <cell r="AR20">
            <v>79.560948722706613</v>
          </cell>
          <cell r="AS20">
            <v>79.953616179800562</v>
          </cell>
          <cell r="AT20">
            <v>80.972490161031331</v>
          </cell>
          <cell r="AU20">
            <v>83.620408767285326</v>
          </cell>
          <cell r="AV20">
            <v>83.640320959777029</v>
          </cell>
          <cell r="AW20">
            <v>87.822337007765881</v>
          </cell>
          <cell r="AX20">
            <v>90.457007117998856</v>
          </cell>
          <cell r="AY20">
            <v>90.457007117998856</v>
          </cell>
          <cell r="AZ20">
            <v>90.457007117998856</v>
          </cell>
          <cell r="BA20">
            <v>90.457007117998856</v>
          </cell>
          <cell r="BB20">
            <v>90.457007117998856</v>
          </cell>
          <cell r="BC20">
            <v>90.457007117998856</v>
          </cell>
          <cell r="BD20">
            <v>90.457007117998856</v>
          </cell>
          <cell r="BE20">
            <v>90.457007117998856</v>
          </cell>
          <cell r="BF20">
            <v>90.457007117998856</v>
          </cell>
          <cell r="BG20">
            <v>90.457007117998856</v>
          </cell>
          <cell r="BH20">
            <v>90.457007117998856</v>
          </cell>
          <cell r="BI20">
            <v>90.457007117998856</v>
          </cell>
          <cell r="BK20">
            <v>109.28572792331001</v>
          </cell>
          <cell r="BL20">
            <v>-25.645406963532977</v>
          </cell>
        </row>
        <row r="21">
          <cell r="A21" t="str">
            <v xml:space="preserve">  Year-over-Year growth</v>
          </cell>
          <cell r="N21">
            <v>-0.12581422969128087</v>
          </cell>
          <cell r="O21">
            <v>-5.0887779380859532E-2</v>
          </cell>
          <cell r="P21">
            <v>-6.0723177147474883E-2</v>
          </cell>
          <cell r="Q21">
            <v>1.8230875853888273E-2</v>
          </cell>
          <cell r="R21">
            <v>-5.6463903615949884E-2</v>
          </cell>
          <cell r="S21">
            <v>-9.3802235150613034E-2</v>
          </cell>
          <cell r="T21">
            <v>-3.5412787807636237E-2</v>
          </cell>
          <cell r="U21">
            <v>-4.588896519495933E-2</v>
          </cell>
          <cell r="V21">
            <v>4.6212725370187169E-3</v>
          </cell>
          <cell r="W21">
            <v>-4.1307183355206667E-2</v>
          </cell>
          <cell r="X21">
            <v>9.0484605575232857E-2</v>
          </cell>
          <cell r="Y21">
            <v>0.16950477041208867</v>
          </cell>
          <cell r="Z21">
            <v>0.12807958838634281</v>
          </cell>
          <cell r="AA21">
            <v>5.6902014137747869E-2</v>
          </cell>
          <cell r="AB21">
            <v>0.10350118198328628</v>
          </cell>
          <cell r="AC21">
            <v>0.20366478661784471</v>
          </cell>
          <cell r="AD21">
            <v>0.21575011720788995</v>
          </cell>
          <cell r="AE21">
            <v>0.43874310670781624</v>
          </cell>
          <cell r="AF21">
            <v>0.31302517777323957</v>
          </cell>
          <cell r="AG21">
            <v>0.30462574551342403</v>
          </cell>
          <cell r="AH21">
            <v>0.38600756085750998</v>
          </cell>
          <cell r="AI21">
            <v>0.31600708161112157</v>
          </cell>
          <cell r="AJ21">
            <v>0.26665948052924526</v>
          </cell>
          <cell r="AK21">
            <v>0.41229867997144831</v>
          </cell>
          <cell r="AL21">
            <v>0.34093252755210868</v>
          </cell>
          <cell r="AM21">
            <v>8.7522688420972772E-2</v>
          </cell>
          <cell r="AN21">
            <v>1.510619535879365E-2</v>
          </cell>
          <cell r="AO21">
            <v>-5.2315016729809538E-2</v>
          </cell>
          <cell r="AP21">
            <v>-7.9432745479349531E-2</v>
          </cell>
          <cell r="AQ21">
            <v>-1.3975050131108113E-2</v>
          </cell>
          <cell r="AR21">
            <v>0</v>
          </cell>
          <cell r="AS21">
            <v>0</v>
          </cell>
          <cell r="AT21">
            <v>0.05</v>
          </cell>
          <cell r="AU21">
            <v>0.05</v>
          </cell>
          <cell r="AV21">
            <v>5.7873553763626573E-2</v>
          </cell>
          <cell r="AW21">
            <v>0.05</v>
          </cell>
          <cell r="AX21">
            <v>0.03</v>
          </cell>
          <cell r="AY21">
            <v>0</v>
          </cell>
          <cell r="AZ21">
            <v>0</v>
          </cell>
          <cell r="BA21">
            <v>0</v>
          </cell>
          <cell r="BB21">
            <v>0</v>
          </cell>
          <cell r="BC21">
            <v>0</v>
          </cell>
          <cell r="BD21">
            <v>0</v>
          </cell>
          <cell r="BE21">
            <v>0</v>
          </cell>
          <cell r="BF21">
            <v>0</v>
          </cell>
          <cell r="BG21">
            <v>0</v>
          </cell>
          <cell r="BH21">
            <v>0</v>
          </cell>
          <cell r="BI21">
            <v>0</v>
          </cell>
          <cell r="BK21">
            <v>0.14000000000000001</v>
          </cell>
          <cell r="BL21">
            <v>-8.212644623637344E-2</v>
          </cell>
        </row>
        <row r="22">
          <cell r="BL22">
            <v>0</v>
          </cell>
        </row>
        <row r="23">
          <cell r="A23" t="str">
            <v>Total Visitors</v>
          </cell>
          <cell r="C23">
            <v>7.8338000000000001</v>
          </cell>
          <cell r="D23">
            <v>7.7525000000000004</v>
          </cell>
          <cell r="E23">
            <v>8.1510999999999996</v>
          </cell>
          <cell r="F23">
            <v>7.0004</v>
          </cell>
          <cell r="G23">
            <v>6.9485000000000001</v>
          </cell>
          <cell r="H23">
            <v>7.4439000000000002</v>
          </cell>
          <cell r="I23">
            <v>2.175767</v>
          </cell>
          <cell r="J23">
            <v>2.1899030000000002</v>
          </cell>
          <cell r="K23">
            <v>2.4746739999999998</v>
          </cell>
          <cell r="L23">
            <v>2.3218679999999998</v>
          </cell>
          <cell r="M23">
            <v>9.1622120000000002</v>
          </cell>
          <cell r="N23">
            <v>2.4530820000000002</v>
          </cell>
          <cell r="O23">
            <v>2.5566200000000001</v>
          </cell>
          <cell r="P23">
            <v>2.6891560000000001</v>
          </cell>
          <cell r="Q23">
            <v>2.5801150000000002</v>
          </cell>
          <cell r="R23">
            <v>10.278973000000001</v>
          </cell>
          <cell r="S23">
            <v>2.6729509999999999</v>
          </cell>
          <cell r="T23">
            <v>2.8038780000000001</v>
          </cell>
          <cell r="U23">
            <v>3.0133160000000001</v>
          </cell>
          <cell r="V23">
            <v>3.0406960000000001</v>
          </cell>
          <cell r="W23">
            <v>11.530841000000001</v>
          </cell>
          <cell r="X23">
            <v>2.995587</v>
          </cell>
          <cell r="Y23">
            <v>2.0730729999999999</v>
          </cell>
          <cell r="Z23">
            <v>3.3212470000000001</v>
          </cell>
          <cell r="AA23">
            <v>3.4979689999999999</v>
          </cell>
          <cell r="AB23">
            <v>11.887875999999999</v>
          </cell>
          <cell r="AC23">
            <v>3.7514470000000002</v>
          </cell>
          <cell r="AD23">
            <v>3.9834390000000002</v>
          </cell>
          <cell r="AE23">
            <v>4.4552269999999998</v>
          </cell>
          <cell r="AF23">
            <v>4.482443</v>
          </cell>
          <cell r="AG23">
            <v>16.672556</v>
          </cell>
          <cell r="AH23">
            <v>4.4570220000000003</v>
          </cell>
          <cell r="AI23">
            <v>4.4663009999999996</v>
          </cell>
          <cell r="AJ23">
            <v>4.8511319999999998</v>
          </cell>
          <cell r="AK23">
            <v>4.9367320000000001</v>
          </cell>
          <cell r="AL23">
            <v>18.711186999999999</v>
          </cell>
          <cell r="AM23">
            <v>5.2480180000000001</v>
          </cell>
          <cell r="AN23">
            <v>5.1744620000000001</v>
          </cell>
          <cell r="AO23">
            <v>5.4733140000000002</v>
          </cell>
          <cell r="AP23">
            <v>6.102328</v>
          </cell>
          <cell r="AQ23">
            <v>21.998122000000002</v>
          </cell>
          <cell r="AR23">
            <v>6.2021452000000004</v>
          </cell>
          <cell r="AS23">
            <v>5.9977077000000003</v>
          </cell>
          <cell r="AT23">
            <v>7.1657113800000003</v>
          </cell>
          <cell r="AU23">
            <v>7.4876471791448207</v>
          </cell>
          <cell r="AV23">
            <v>26.853211459144823</v>
          </cell>
          <cell r="AW23">
            <v>31.112956369452657</v>
          </cell>
          <cell r="AX23">
            <v>35.938386716715485</v>
          </cell>
          <cell r="AY23">
            <v>41.464358695646425</v>
          </cell>
          <cell r="AZ23">
            <v>46.725028260970944</v>
          </cell>
          <cell r="BA23">
            <v>51.917160814241257</v>
          </cell>
          <cell r="BB23">
            <v>57.225724977400361</v>
          </cell>
          <cell r="BC23">
            <v>62.698682591780887</v>
          </cell>
          <cell r="BD23">
            <v>68.453241363633722</v>
          </cell>
          <cell r="BE23">
            <v>74.501429399553246</v>
          </cell>
          <cell r="BF23">
            <v>80.855743837087061</v>
          </cell>
          <cell r="BG23">
            <v>87.529168173325587</v>
          </cell>
          <cell r="BH23">
            <v>94.535190211282512</v>
          </cell>
          <cell r="BI23">
            <v>101.88782064554243</v>
          </cell>
          <cell r="BK23">
            <v>25.885017569144825</v>
          </cell>
          <cell r="BL23">
            <v>0.96819388999999845</v>
          </cell>
        </row>
        <row r="24">
          <cell r="A24" t="str">
            <v xml:space="preserve">  Year-over-Year growth</v>
          </cell>
          <cell r="D24">
            <v>-1.0378105134162152E-2</v>
          </cell>
          <cell r="E24">
            <v>5.1415672363753551E-2</v>
          </cell>
          <cell r="F24">
            <v>-0.1411711302768951</v>
          </cell>
          <cell r="G24">
            <v>-7.4138620650248122E-3</v>
          </cell>
          <cell r="H24">
            <v>7.1295963157516073E-2</v>
          </cell>
          <cell r="I24" t="str">
            <v>N.M.</v>
          </cell>
          <cell r="J24" t="str">
            <v>N.M.</v>
          </cell>
          <cell r="K24" t="str">
            <v>N.M.</v>
          </cell>
          <cell r="L24" t="str">
            <v>N.M.</v>
          </cell>
          <cell r="M24">
            <v>0.23083491180698301</v>
          </cell>
          <cell r="N24">
            <v>0.12745620280112724</v>
          </cell>
          <cell r="O24">
            <v>0.16745810202552347</v>
          </cell>
          <cell r="P24">
            <v>8.667080997335419E-2</v>
          </cell>
          <cell r="Q24">
            <v>0.11122380772722673</v>
          </cell>
          <cell r="R24">
            <v>0.12188770571997254</v>
          </cell>
          <cell r="S24">
            <v>8.9629698477262432E-2</v>
          </cell>
          <cell r="T24">
            <v>9.6712847431374316E-2</v>
          </cell>
          <cell r="U24">
            <v>0.12054339725921448</v>
          </cell>
          <cell r="V24">
            <v>0.17851181052007359</v>
          </cell>
          <cell r="W24">
            <v>0.12178920987534458</v>
          </cell>
          <cell r="X24">
            <v>0.12070404582800065</v>
          </cell>
          <cell r="Y24">
            <v>-0.26064079820876662</v>
          </cell>
          <cell r="Z24">
            <v>0.10219007896948074</v>
          </cell>
          <cell r="AA24">
            <v>0.15038431990570578</v>
          </cell>
          <cell r="AB24">
            <v>3.0963483062510289E-2</v>
          </cell>
          <cell r="AC24">
            <v>0.25232450267677087</v>
          </cell>
          <cell r="AD24">
            <v>0.92151410008234169</v>
          </cell>
          <cell r="AE24">
            <v>0.34143199828257265</v>
          </cell>
          <cell r="AF24">
            <v>0.28144160225548021</v>
          </cell>
          <cell r="AG24">
            <v>0.40248400975918686</v>
          </cell>
          <cell r="AH24">
            <v>0.18808075923770207</v>
          </cell>
          <cell r="AI24">
            <v>0.12121737021704093</v>
          </cell>
          <cell r="AJ24">
            <v>8.8863036608460177E-2</v>
          </cell>
          <cell r="AK24">
            <v>0.10134852802366923</v>
          </cell>
          <cell r="AL24">
            <v>0.12227465302860563</v>
          </cell>
          <cell r="AM24">
            <v>0.17747186349988842</v>
          </cell>
          <cell r="AN24">
            <v>0.15855648779605325</v>
          </cell>
          <cell r="AO24">
            <v>0.12825501346902146</v>
          </cell>
          <cell r="AP24">
            <v>0.23610680101735304</v>
          </cell>
          <cell r="AQ24">
            <v>0.17566683503296732</v>
          </cell>
          <cell r="AR24">
            <v>0.18180715081388832</v>
          </cell>
          <cell r="AS24">
            <v>0.15909783471209193</v>
          </cell>
          <cell r="AT24">
            <v>0.3092088961093773</v>
          </cell>
          <cell r="AU24">
            <v>0.22701486697287021</v>
          </cell>
          <cell r="AV24">
            <v>0.22070472466444269</v>
          </cell>
          <cell r="AW24">
            <v>0.15863074391637366</v>
          </cell>
          <cell r="AX24">
            <v>0.15509391939367534</v>
          </cell>
          <cell r="AY24">
            <v>0.15376238289407484</v>
          </cell>
          <cell r="AZ24">
            <v>0.1268720831772292</v>
          </cell>
          <cell r="BA24">
            <v>0.11112101472193769</v>
          </cell>
          <cell r="BB24">
            <v>0.10225066394044657</v>
          </cell>
          <cell r="BC24">
            <v>9.5638065162860109E-2</v>
          </cell>
          <cell r="BD24">
            <v>9.178117520139395E-2</v>
          </cell>
          <cell r="BE24">
            <v>8.8355027686572996E-2</v>
          </cell>
          <cell r="BF24">
            <v>8.5291174796868097E-2</v>
          </cell>
          <cell r="BG24">
            <v>8.2534944575916924E-2</v>
          </cell>
          <cell r="BH24">
            <v>8.0042141198960914E-2</v>
          </cell>
          <cell r="BI24">
            <v>7.7776650343930998E-2</v>
          </cell>
          <cell r="BK24">
            <v>0.17766064791266523</v>
          </cell>
          <cell r="BL24">
            <v>4.304407675177746E-2</v>
          </cell>
        </row>
        <row r="25">
          <cell r="A25" t="str">
            <v>Avg Days Stayed for All Guests (incl. day trippers)</v>
          </cell>
          <cell r="I25">
            <v>1.5232597975794282</v>
          </cell>
          <cell r="J25">
            <v>1.5132306225435557</v>
          </cell>
          <cell r="K25">
            <v>1.500360645483001</v>
          </cell>
          <cell r="L25">
            <v>1.517526692588324</v>
          </cell>
          <cell r="M25">
            <v>1.5132248442479466</v>
          </cell>
          <cell r="N25">
            <v>1.4894279794424594</v>
          </cell>
          <cell r="O25">
            <v>1.4860305442341841</v>
          </cell>
          <cell r="P25">
            <v>1.4987913754352666</v>
          </cell>
          <cell r="Q25">
            <v>1.5150468461031128</v>
          </cell>
          <cell r="R25">
            <v>1.4974631502582991</v>
          </cell>
          <cell r="S25">
            <v>1.4957646062348318</v>
          </cell>
          <cell r="T25">
            <v>1.4955896072035468</v>
          </cell>
          <cell r="U25">
            <v>1.4758884166147859</v>
          </cell>
          <cell r="V25">
            <v>1.4702494428907067</v>
          </cell>
          <cell r="W25">
            <v>1.4837994970762898</v>
          </cell>
          <cell r="X25">
            <v>1.4437517054253473</v>
          </cell>
          <cell r="Y25">
            <v>1.4415942323304582</v>
          </cell>
          <cell r="Z25">
            <v>1.4531459649543277</v>
          </cell>
          <cell r="AA25">
            <v>1.4519682554838729</v>
          </cell>
          <cell r="AB25">
            <v>1.4484177445435447</v>
          </cell>
          <cell r="AC25">
            <v>1.418854215453397</v>
          </cell>
          <cell r="AD25">
            <v>1.4150729633364536</v>
          </cell>
          <cell r="AE25">
            <v>1.4096909023939745</v>
          </cell>
          <cell r="AF25">
            <v>1.3976647600426821</v>
          </cell>
          <cell r="AG25">
            <v>1.4098053597780686</v>
          </cell>
          <cell r="AH25">
            <v>1.3753959751600955</v>
          </cell>
          <cell r="AI25">
            <v>1.3844091296130736</v>
          </cell>
          <cell r="AJ25">
            <v>1.3939428261280047</v>
          </cell>
          <cell r="AK25">
            <v>1.4036516869864517</v>
          </cell>
          <cell r="AL25">
            <v>1.3898108575367241</v>
          </cell>
          <cell r="AM25">
            <v>1.3711201231906343</v>
          </cell>
          <cell r="AN25">
            <v>1.3802034684958553</v>
          </cell>
          <cell r="AO25">
            <v>1.390102656879056</v>
          </cell>
          <cell r="AP25">
            <v>1.3989874192275473</v>
          </cell>
          <cell r="AQ25">
            <v>1.3857101947157124</v>
          </cell>
          <cell r="AR25">
            <v>1.3798351956014356</v>
          </cell>
          <cell r="AS25">
            <v>1.3919360516391184</v>
          </cell>
          <cell r="AT25">
            <v>1.4279389854678177</v>
          </cell>
          <cell r="AU25">
            <v>1.4315999996672684</v>
          </cell>
          <cell r="AV25">
            <v>1.409808216231297</v>
          </cell>
          <cell r="AW25">
            <v>1.4591658339019791</v>
          </cell>
          <cell r="AX25">
            <v>1.5834259669277251</v>
          </cell>
          <cell r="AY25">
            <v>1.6892403375063489</v>
          </cell>
          <cell r="AZ25">
            <v>1.7144072578115312</v>
          </cell>
          <cell r="BA25">
            <v>1.7384803879875337</v>
          </cell>
          <cell r="BB25">
            <v>1.7585157820070054</v>
          </cell>
          <cell r="BC25">
            <v>1.7756270395727332</v>
          </cell>
          <cell r="BD25">
            <v>1.7908214532408184</v>
          </cell>
          <cell r="BE25">
            <v>1.8044037337967822</v>
          </cell>
          <cell r="BF25">
            <v>1.8166172633742717</v>
          </cell>
          <cell r="BG25">
            <v>1.8276587855618405</v>
          </cell>
          <cell r="BH25">
            <v>1.8376890660667624</v>
          </cell>
          <cell r="BI25">
            <v>1.8468407570351979</v>
          </cell>
          <cell r="BK25">
            <v>1.3905777552739083</v>
          </cell>
          <cell r="BL25">
            <v>1.9230460957388784E-2</v>
          </cell>
        </row>
        <row r="26">
          <cell r="BL26">
            <v>0</v>
          </cell>
        </row>
        <row r="27">
          <cell r="A27" t="str">
            <v>Gaming Revenue / Visitor (US$)</v>
          </cell>
          <cell r="C27">
            <v>246.70126908400263</v>
          </cell>
          <cell r="D27">
            <v>281.9506892270918</v>
          </cell>
          <cell r="E27">
            <v>252.13095028257732</v>
          </cell>
          <cell r="F27">
            <v>317.79043510776125</v>
          </cell>
          <cell r="G27">
            <v>261.20673260702978</v>
          </cell>
          <cell r="H27">
            <v>217.86376862885368</v>
          </cell>
          <cell r="I27">
            <v>241.30531557254676</v>
          </cell>
          <cell r="J27">
            <v>217.12850369935873</v>
          </cell>
          <cell r="K27">
            <v>206.80124864448982</v>
          </cell>
          <cell r="L27">
            <v>204.34759638749176</v>
          </cell>
          <cell r="M27">
            <v>216.84155772657923</v>
          </cell>
          <cell r="N27">
            <v>223.58398735017062</v>
          </cell>
          <cell r="O27">
            <v>219.37218811469097</v>
          </cell>
          <cell r="P27">
            <v>210.33755990808748</v>
          </cell>
          <cell r="Q27">
            <v>225.18013028386227</v>
          </cell>
          <cell r="R27">
            <v>219.47156798001637</v>
          </cell>
          <cell r="S27">
            <v>228.05696547955682</v>
          </cell>
          <cell r="T27">
            <v>238.69519841021051</v>
          </cell>
          <cell r="U27">
            <v>221.49503838301158</v>
          </cell>
          <cell r="V27">
            <v>246.05563253229926</v>
          </cell>
          <cell r="W27">
            <v>233.6752566583952</v>
          </cell>
          <cell r="X27">
            <v>279.01162000083673</v>
          </cell>
          <cell r="Y27">
            <v>312.75656205786953</v>
          </cell>
          <cell r="Z27">
            <v>285.94967811812955</v>
          </cell>
          <cell r="AA27">
            <v>298.51371352412843</v>
          </cell>
          <cell r="AB27">
            <v>292.57303766303806</v>
          </cell>
          <cell r="AC27">
            <v>301.94192901137495</v>
          </cell>
          <cell r="AD27">
            <v>292.490488240942</v>
          </cell>
          <cell r="AE27">
            <v>304.75963815595139</v>
          </cell>
          <cell r="AF27">
            <v>302.72556434966685</v>
          </cell>
          <cell r="AG27">
            <v>300.64740025553272</v>
          </cell>
          <cell r="AH27">
            <v>296.12846188620807</v>
          </cell>
          <cell r="AI27">
            <v>316.48674787619547</v>
          </cell>
          <cell r="AJ27">
            <v>293.5259149773301</v>
          </cell>
          <cell r="AK27">
            <v>288.80291840116274</v>
          </cell>
          <cell r="AL27">
            <v>298.38041359532156</v>
          </cell>
          <cell r="AM27">
            <v>294.54260367110419</v>
          </cell>
          <cell r="AN27">
            <v>306.1774258086798</v>
          </cell>
          <cell r="AO27">
            <v>309.03271300012966</v>
          </cell>
          <cell r="AP27">
            <v>336.08773728640176</v>
          </cell>
          <cell r="AQ27">
            <v>312.40935136002508</v>
          </cell>
          <cell r="AR27">
            <v>358.44491934489997</v>
          </cell>
          <cell r="AS27">
            <v>330.92037278437135</v>
          </cell>
          <cell r="AT27">
            <v>292.91216687095641</v>
          </cell>
          <cell r="AU27">
            <v>321.12821823626433</v>
          </cell>
          <cell r="AV27">
            <v>324.40477229611457</v>
          </cell>
          <cell r="AW27">
            <v>320.62196092006934</v>
          </cell>
          <cell r="AX27">
            <v>319.86097383534667</v>
          </cell>
          <cell r="AY27">
            <v>312.01678956696031</v>
          </cell>
          <cell r="AZ27">
            <v>300.60648007222147</v>
          </cell>
          <cell r="BA27">
            <v>292.15943883721536</v>
          </cell>
          <cell r="BB27">
            <v>285.12920229528123</v>
          </cell>
          <cell r="BC27">
            <v>279.12501849434807</v>
          </cell>
          <cell r="BD27">
            <v>273.79343768796036</v>
          </cell>
          <cell r="BE27">
            <v>269.02753964799484</v>
          </cell>
          <cell r="BF27">
            <v>264.74192380943367</v>
          </cell>
          <cell r="BG27">
            <v>260.86755464623275</v>
          </cell>
          <cell r="BH27">
            <v>257.3480209418783</v>
          </cell>
          <cell r="BI27">
            <v>254.13677627135911</v>
          </cell>
          <cell r="BK27">
            <v>306.85047982711808</v>
          </cell>
          <cell r="BL27">
            <v>17.554292468996493</v>
          </cell>
        </row>
        <row r="28">
          <cell r="A28" t="str">
            <v xml:space="preserve">  Year-over-Year growth</v>
          </cell>
          <cell r="D28">
            <v>0.14288301099532097</v>
          </cell>
          <cell r="E28">
            <v>-0.10576224880406926</v>
          </cell>
          <cell r="F28">
            <v>0.26041818646856196</v>
          </cell>
          <cell r="G28">
            <v>-0.17805351026862781</v>
          </cell>
          <cell r="H28">
            <v>-0.16593356360145228</v>
          </cell>
          <cell r="I28" t="str">
            <v>N.M.</v>
          </cell>
          <cell r="J28" t="str">
            <v>N.M.</v>
          </cell>
          <cell r="K28" t="str">
            <v>N.M.</v>
          </cell>
          <cell r="L28" t="str">
            <v>N.M.</v>
          </cell>
          <cell r="M28">
            <v>-4.6919729182499648E-3</v>
          </cell>
          <cell r="N28">
            <v>-7.3439444051734304E-2</v>
          </cell>
          <cell r="O28">
            <v>1.0333440230578361E-2</v>
          </cell>
          <cell r="P28">
            <v>1.7100047928999329E-2</v>
          </cell>
          <cell r="Q28">
            <v>0.10194655706577072</v>
          </cell>
          <cell r="R28">
            <v>1.212871868755605E-2</v>
          </cell>
          <cell r="S28">
            <v>2.0005807134930276E-2</v>
          </cell>
          <cell r="T28">
            <v>8.8083227238528572E-2</v>
          </cell>
          <cell r="U28">
            <v>5.3045582918237022E-2</v>
          </cell>
          <cell r="V28">
            <v>9.2705791679404959E-2</v>
          </cell>
          <cell r="W28">
            <v>6.4717670763039914E-2</v>
          </cell>
          <cell r="X28">
            <v>0.22342950330033884</v>
          </cell>
          <cell r="Y28">
            <v>0.31027588380885907</v>
          </cell>
          <cell r="Z28">
            <v>0.29099811989315238</v>
          </cell>
          <cell r="AA28">
            <v>0.21319601771336449</v>
          </cell>
          <cell r="AB28">
            <v>0.25204971141101273</v>
          </cell>
          <cell r="AC28">
            <v>8.2184064629528431E-2</v>
          </cell>
          <cell r="AD28">
            <v>-6.4798236953307109E-2</v>
          </cell>
          <cell r="AE28">
            <v>6.5780665191206067E-2</v>
          </cell>
          <cell r="AF28">
            <v>1.4109404810301873E-2</v>
          </cell>
          <cell r="AG28">
            <v>2.7597767234430082E-2</v>
          </cell>
          <cell r="AH28">
            <v>-1.9253593378705136E-2</v>
          </cell>
          <cell r="AI28">
            <v>8.2041162362470832E-2</v>
          </cell>
          <cell r="AJ28">
            <v>-3.6860928325662234E-2</v>
          </cell>
          <cell r="AK28">
            <v>-4.5990981892836125E-2</v>
          </cell>
          <cell r="AL28">
            <v>-7.5403501187250033E-3</v>
          </cell>
          <cell r="AM28">
            <v>-5.3553049409795772E-3</v>
          </cell>
          <cell r="AN28">
            <v>-3.2574261439687557E-2</v>
          </cell>
          <cell r="AO28">
            <v>5.2829400170670393E-2</v>
          </cell>
          <cell r="AP28">
            <v>0.16372694274355593</v>
          </cell>
          <cell r="AQ28">
            <v>4.7016952606447893E-2</v>
          </cell>
          <cell r="AR28">
            <v>0.21695440617871076</v>
          </cell>
          <cell r="AS28">
            <v>8.0812446934453552E-2</v>
          </cell>
          <cell r="AT28">
            <v>-5.2164529679310956E-2</v>
          </cell>
          <cell r="AU28">
            <v>-4.4510755348950659E-2</v>
          </cell>
          <cell r="AV28">
            <v>3.8396484880715898E-2</v>
          </cell>
          <cell r="AW28">
            <v>-1.1660775978327154E-2</v>
          </cell>
          <cell r="AX28">
            <v>-2.373471494400814E-3</v>
          </cell>
          <cell r="AY28">
            <v>-2.4523730339245042E-2</v>
          </cell>
          <cell r="AZ28">
            <v>-3.6569536884777598E-2</v>
          </cell>
          <cell r="BA28">
            <v>-2.8099997155672352E-2</v>
          </cell>
          <cell r="BB28">
            <v>-2.4063013572021563E-2</v>
          </cell>
          <cell r="BC28">
            <v>-2.1057765225728109E-2</v>
          </cell>
          <cell r="BD28">
            <v>-1.9101049540980686E-2</v>
          </cell>
          <cell r="BE28">
            <v>-1.7406911137867298E-2</v>
          </cell>
          <cell r="BF28">
            <v>-1.5930026510180384E-2</v>
          </cell>
          <cell r="BG28">
            <v>-1.4634513141899563E-2</v>
          </cell>
          <cell r="BH28">
            <v>-1.3491649849393328E-2</v>
          </cell>
          <cell r="BI28">
            <v>-1.2478217857538665E-2</v>
          </cell>
          <cell r="BK28">
            <v>2.7466280961862211E-2</v>
          </cell>
          <cell r="BL28">
            <v>1.0930203918853687E-2</v>
          </cell>
        </row>
        <row r="29">
          <cell r="A29" t="str">
            <v>Mass Market Revenue / Visitor (US$)</v>
          </cell>
          <cell r="C29">
            <v>98.826046557198595</v>
          </cell>
          <cell r="D29">
            <v>104.82126384022412</v>
          </cell>
          <cell r="E29">
            <v>91.21508697723057</v>
          </cell>
          <cell r="F29">
            <v>97.237987906224561</v>
          </cell>
          <cell r="G29">
            <v>95.390296937034023</v>
          </cell>
          <cell r="H29">
            <v>74.093968535002972</v>
          </cell>
          <cell r="I29">
            <v>77.324691121874153</v>
          </cell>
          <cell r="J29">
            <v>69.577391788785576</v>
          </cell>
          <cell r="K29">
            <v>66.268091264842198</v>
          </cell>
          <cell r="L29">
            <v>65.481834640355117</v>
          </cell>
          <cell r="M29">
            <v>69.485441851167352</v>
          </cell>
          <cell r="N29">
            <v>66.094824623672622</v>
          </cell>
          <cell r="O29">
            <v>64.849752759992299</v>
          </cell>
          <cell r="P29">
            <v>62.17897935652708</v>
          </cell>
          <cell r="Q29">
            <v>66.566668732577583</v>
          </cell>
          <cell r="R29">
            <v>64.879130958528137</v>
          </cell>
          <cell r="S29">
            <v>60.149799731764105</v>
          </cell>
          <cell r="T29">
            <v>62.955623175626613</v>
          </cell>
          <cell r="U29">
            <v>58.419097931528988</v>
          </cell>
          <cell r="V29">
            <v>64.896930416348283</v>
          </cell>
          <cell r="W29">
            <v>61.631618489333086</v>
          </cell>
          <cell r="X29">
            <v>63.311555306810547</v>
          </cell>
          <cell r="Y29">
            <v>70.968744514064895</v>
          </cell>
          <cell r="Z29">
            <v>64.885895652254007</v>
          </cell>
          <cell r="AA29">
            <v>67.736847245170594</v>
          </cell>
          <cell r="AB29">
            <v>66.388826584460716</v>
          </cell>
          <cell r="AC29">
            <v>74.89171957298241</v>
          </cell>
          <cell r="AD29">
            <v>84.692945972489568</v>
          </cell>
          <cell r="AE29">
            <v>90.562461111420006</v>
          </cell>
          <cell r="AF29">
            <v>85.613830129435485</v>
          </cell>
          <cell r="AG29">
            <v>84.303626644021449</v>
          </cell>
          <cell r="AH29">
            <v>100.62117307365146</v>
          </cell>
          <cell r="AI29">
            <v>109.04131675186174</v>
          </cell>
          <cell r="AJ29">
            <v>113.43032031814982</v>
          </cell>
          <cell r="AK29">
            <v>121.43022970353687</v>
          </cell>
          <cell r="AL29">
            <v>111.44221269958217</v>
          </cell>
          <cell r="AM29">
            <v>109.08761781384123</v>
          </cell>
          <cell r="AN29">
            <v>110.35225837014708</v>
          </cell>
          <cell r="AO29">
            <v>107.20007019710748</v>
          </cell>
          <cell r="AP29">
            <v>111.41323795818768</v>
          </cell>
          <cell r="AQ29">
            <v>109.56058503486751</v>
          </cell>
          <cell r="AR29">
            <v>124.80812299597282</v>
          </cell>
          <cell r="AS29">
            <v>111.29032081958113</v>
          </cell>
          <cell r="AT29">
            <v>115.62377545134594</v>
          </cell>
          <cell r="AU29">
            <v>119.71097716342251</v>
          </cell>
          <cell r="AV29">
            <v>117.91681169731642</v>
          </cell>
          <cell r="AW29">
            <v>128.14735361515733</v>
          </cell>
          <cell r="AX29">
            <v>143.23197396120545</v>
          </cell>
          <cell r="AY29">
            <v>152.8036252338226</v>
          </cell>
          <cell r="AZ29">
            <v>155.08014952300658</v>
          </cell>
          <cell r="BA29">
            <v>157.25773283068975</v>
          </cell>
          <cell r="BB29">
            <v>159.070074610121</v>
          </cell>
          <cell r="BC29">
            <v>160.61790775754196</v>
          </cell>
          <cell r="BD29">
            <v>161.99234894286977</v>
          </cell>
          <cell r="BE29">
            <v>163.22096139179925</v>
          </cell>
          <cell r="BF29">
            <v>164.32576072372612</v>
          </cell>
          <cell r="BG29">
            <v>165.32454377484052</v>
          </cell>
          <cell r="BH29">
            <v>166.23185292986977</v>
          </cell>
          <cell r="BI29">
            <v>167.05968750494333</v>
          </cell>
          <cell r="BK29">
            <v>151.9703022190715</v>
          </cell>
          <cell r="BL29">
            <v>-34.05349052175508</v>
          </cell>
        </row>
        <row r="30">
          <cell r="A30" t="str">
            <v xml:space="preserve">  Year-over-Year growth</v>
          </cell>
          <cell r="D30">
            <v>6.0664343985020297E-2</v>
          </cell>
          <cell r="E30">
            <v>-0.1298035948482078</v>
          </cell>
          <cell r="F30">
            <v>6.6029657248448892E-2</v>
          </cell>
          <cell r="G30">
            <v>-1.9001740050117344E-2</v>
          </cell>
          <cell r="H30">
            <v>-0.22325466096502977</v>
          </cell>
          <cell r="I30" t="str">
            <v>N.M.</v>
          </cell>
          <cell r="J30" t="str">
            <v>N.M.</v>
          </cell>
          <cell r="K30" t="str">
            <v>N.M.</v>
          </cell>
          <cell r="L30" t="str">
            <v>N.M.</v>
          </cell>
          <cell r="M30">
            <v>-6.2198405281240876E-2</v>
          </cell>
          <cell r="N30">
            <v>-0.14523002077695657</v>
          </cell>
          <cell r="O30">
            <v>-6.7947919679784197E-2</v>
          </cell>
          <cell r="P30">
            <v>-6.1705593601192987E-2</v>
          </cell>
          <cell r="Q30">
            <v>1.6566947126339437E-2</v>
          </cell>
          <cell r="R30">
            <v>-6.6291740685848866E-2</v>
          </cell>
          <cell r="S30">
            <v>-8.9946904704838793E-2</v>
          </cell>
          <cell r="T30">
            <v>-2.9207969248176258E-2</v>
          </cell>
          <cell r="U30">
            <v>-6.0468689964165656E-2</v>
          </cell>
          <cell r="V30">
            <v>-2.5083699515402236E-2</v>
          </cell>
          <cell r="W30">
            <v>-5.0054808398573014E-2</v>
          </cell>
          <cell r="X30">
            <v>5.2564689976461798E-2</v>
          </cell>
          <cell r="Y30">
            <v>0.12728205892083966</v>
          </cell>
          <cell r="Z30">
            <v>0.11069663773830496</v>
          </cell>
          <cell r="AA30">
            <v>4.3760418414287683E-2</v>
          </cell>
          <cell r="AB30">
            <v>7.7187784642569257E-2</v>
          </cell>
          <cell r="AC30">
            <v>0.18290759419909808</v>
          </cell>
          <cell r="AD30">
            <v>0.19338374311672868</v>
          </cell>
          <cell r="AE30">
            <v>0.39571874906028293</v>
          </cell>
          <cell r="AF30">
            <v>0.26391814221231646</v>
          </cell>
          <cell r="AG30">
            <v>0.26984661397455634</v>
          </cell>
          <cell r="AH30">
            <v>0.34355538432517307</v>
          </cell>
          <cell r="AI30">
            <v>0.28748994972121</v>
          </cell>
          <cell r="AJ30">
            <v>0.25250925080972819</v>
          </cell>
          <cell r="AK30">
            <v>0.41834829162475584</v>
          </cell>
          <cell r="AL30">
            <v>0.32191481121156862</v>
          </cell>
          <cell r="AM30">
            <v>8.4141781312692565E-2</v>
          </cell>
          <cell r="AN30">
            <v>1.2022430188261213E-2</v>
          </cell>
          <cell r="AO30">
            <v>-5.4925791477690611E-2</v>
          </cell>
          <cell r="AP30">
            <v>-8.2491746658183485E-2</v>
          </cell>
          <cell r="AQ30">
            <v>-1.6884335110852633E-2</v>
          </cell>
          <cell r="AR30">
            <v>0.14410897860982486</v>
          </cell>
          <cell r="AS30">
            <v>8.500618503769708E-3</v>
          </cell>
          <cell r="AT30">
            <v>7.8579288602609099E-2</v>
          </cell>
          <cell r="AU30">
            <v>7.4477138958557898E-2</v>
          </cell>
          <cell r="AV30">
            <v>7.6270372778582285E-2</v>
          </cell>
          <cell r="AW30">
            <v>8.6760672804671257E-2</v>
          </cell>
          <cell r="AX30">
            <v>0.11771308513595335</v>
          </cell>
          <cell r="AY30">
            <v>6.6826219089947347E-2</v>
          </cell>
          <cell r="AZ30">
            <v>1.4898365701078164E-2</v>
          </cell>
          <cell r="BA30">
            <v>1.4041663709900565E-2</v>
          </cell>
          <cell r="BB30">
            <v>1.1524659212672761E-2</v>
          </cell>
          <cell r="BC30">
            <v>9.730511230441552E-3</v>
          </cell>
          <cell r="BD30">
            <v>8.5572101175828141E-3</v>
          </cell>
          <cell r="BE30">
            <v>7.5843856635646745E-3</v>
          </cell>
          <cell r="BF30">
            <v>6.7687343739808448E-3</v>
          </cell>
          <cell r="BG30">
            <v>6.0780674114364608E-3</v>
          </cell>
          <cell r="BH30">
            <v>5.4880487452906301E-3</v>
          </cell>
          <cell r="BI30">
            <v>4.9799996840724781E-3</v>
          </cell>
          <cell r="BK30">
            <v>0.14407101266670197</v>
          </cell>
          <cell r="BL30">
            <v>-6.7800639888119685E-2</v>
          </cell>
        </row>
        <row r="31">
          <cell r="BL31">
            <v>0</v>
          </cell>
        </row>
        <row r="32">
          <cell r="A32" t="str">
            <v>Average Total Tables</v>
          </cell>
          <cell r="X32">
            <v>441</v>
          </cell>
          <cell r="Y32">
            <v>441</v>
          </cell>
          <cell r="Z32">
            <v>441</v>
          </cell>
          <cell r="AA32">
            <v>441</v>
          </cell>
          <cell r="AB32">
            <v>441</v>
          </cell>
          <cell r="AC32">
            <v>441</v>
          </cell>
          <cell r="AD32">
            <v>584.87912087912082</v>
          </cell>
          <cell r="AE32">
            <v>680</v>
          </cell>
          <cell r="AF32">
            <v>936.304347826087</v>
          </cell>
          <cell r="AG32">
            <v>660.54586717630195</v>
          </cell>
          <cell r="AH32">
            <v>1159</v>
          </cell>
          <cell r="AI32">
            <v>1235.5</v>
          </cell>
          <cell r="AJ32">
            <v>1270.5</v>
          </cell>
          <cell r="AK32">
            <v>1342</v>
          </cell>
          <cell r="AL32">
            <v>1251.75</v>
          </cell>
          <cell r="AM32">
            <v>1561</v>
          </cell>
          <cell r="AN32">
            <v>1890</v>
          </cell>
          <cell r="AO32">
            <v>2182.5</v>
          </cell>
          <cell r="AP32">
            <v>2624.2705314009663</v>
          </cell>
          <cell r="AQ32">
            <v>2064.4426328502418</v>
          </cell>
          <cell r="AR32">
            <v>2855</v>
          </cell>
          <cell r="AS32">
            <v>3288.666666666667</v>
          </cell>
          <cell r="AT32">
            <v>4422</v>
          </cell>
          <cell r="AU32">
            <v>4791</v>
          </cell>
          <cell r="AV32">
            <v>3839.166666666667</v>
          </cell>
          <cell r="AW32">
            <v>5581</v>
          </cell>
          <cell r="AX32">
            <v>8198.5</v>
          </cell>
          <cell r="AY32">
            <v>9966</v>
          </cell>
          <cell r="AZ32">
            <v>11616</v>
          </cell>
          <cell r="BA32">
            <v>11616</v>
          </cell>
          <cell r="BK32">
            <v>4104.434782608696</v>
          </cell>
          <cell r="BL32">
            <v>-265.268115942029</v>
          </cell>
        </row>
        <row r="33">
          <cell r="A33" t="str">
            <v xml:space="preserve">  Year-over-Year growth</v>
          </cell>
          <cell r="AC33">
            <v>0</v>
          </cell>
          <cell r="AD33">
            <v>0.32625650992997923</v>
          </cell>
          <cell r="AE33">
            <v>0.54195011337868482</v>
          </cell>
          <cell r="AF33">
            <v>1.1231391107167505</v>
          </cell>
          <cell r="AG33">
            <v>0.49783643350635365</v>
          </cell>
          <cell r="AH33">
            <v>1.6281179138321997</v>
          </cell>
          <cell r="AI33">
            <v>1.112402299714415</v>
          </cell>
          <cell r="AJ33">
            <v>0.86838235294117649</v>
          </cell>
          <cell r="AK33">
            <v>0.43329463663803103</v>
          </cell>
          <cell r="AL33">
            <v>0.89502358912784419</v>
          </cell>
          <cell r="AM33">
            <v>0.34685073339085415</v>
          </cell>
          <cell r="AN33">
            <v>0.52974504249291776</v>
          </cell>
          <cell r="AO33">
            <v>0.71782762691853597</v>
          </cell>
          <cell r="AP33">
            <v>0.95549219925556361</v>
          </cell>
          <cell r="AQ33">
            <v>0.6492451630519207</v>
          </cell>
          <cell r="AR33">
            <v>0.82895579756566296</v>
          </cell>
          <cell r="AS33">
            <v>0.74003527336860686</v>
          </cell>
          <cell r="AT33">
            <v>1.0261168384879724</v>
          </cell>
          <cell r="AU33">
            <v>0.82565019218591207</v>
          </cell>
          <cell r="AV33">
            <v>0.85966255762030008</v>
          </cell>
          <cell r="AW33">
            <v>0.45370088995007585</v>
          </cell>
          <cell r="AX33">
            <v>0.46900197097294383</v>
          </cell>
          <cell r="AY33">
            <v>0.21558821735683353</v>
          </cell>
          <cell r="AZ33">
            <v>0.16556291390728473</v>
          </cell>
          <cell r="BA33">
            <v>0</v>
          </cell>
          <cell r="BK33">
            <v>0.90824031392313787</v>
          </cell>
          <cell r="BL33">
            <v>-4.8577756302837782E-2</v>
          </cell>
        </row>
        <row r="34">
          <cell r="A34" t="str">
            <v>Average VIP Tables</v>
          </cell>
          <cell r="X34">
            <v>183</v>
          </cell>
          <cell r="Y34">
            <v>183</v>
          </cell>
          <cell r="Z34">
            <v>183</v>
          </cell>
          <cell r="AA34">
            <v>183</v>
          </cell>
          <cell r="AB34">
            <v>183</v>
          </cell>
          <cell r="AC34">
            <v>183</v>
          </cell>
          <cell r="AD34">
            <v>184.87912087912082</v>
          </cell>
          <cell r="AE34">
            <v>184</v>
          </cell>
          <cell r="AF34">
            <v>227.304347826087</v>
          </cell>
          <cell r="AG34">
            <v>194.79586717630195</v>
          </cell>
          <cell r="AH34">
            <v>276</v>
          </cell>
          <cell r="AI34">
            <v>286</v>
          </cell>
          <cell r="AJ34">
            <v>288</v>
          </cell>
          <cell r="AK34">
            <v>294.5</v>
          </cell>
          <cell r="AL34">
            <v>286.125</v>
          </cell>
          <cell r="AM34">
            <v>374</v>
          </cell>
          <cell r="AN34">
            <v>499</v>
          </cell>
          <cell r="AO34">
            <v>559.97101449275351</v>
          </cell>
          <cell r="AP34">
            <v>535.66666666666697</v>
          </cell>
          <cell r="AQ34">
            <v>492.15942028985546</v>
          </cell>
          <cell r="AR34">
            <v>508.66666666666652</v>
          </cell>
          <cell r="AS34">
            <v>640.66666666666697</v>
          </cell>
          <cell r="AT34">
            <v>834.66666666666652</v>
          </cell>
          <cell r="AU34">
            <v>889.66666666666652</v>
          </cell>
          <cell r="AV34">
            <v>718.41666666666652</v>
          </cell>
          <cell r="AW34">
            <v>927.16666666666697</v>
          </cell>
          <cell r="AX34">
            <v>1302.166666666667</v>
          </cell>
          <cell r="AY34">
            <v>1624.6666666666661</v>
          </cell>
          <cell r="AZ34">
            <v>1949.6666666666661</v>
          </cell>
          <cell r="BA34">
            <v>1949.6666666666661</v>
          </cell>
          <cell r="BK34">
            <v>1007.809782608696</v>
          </cell>
          <cell r="BL34">
            <v>-289.39311594202945</v>
          </cell>
        </row>
        <row r="35">
          <cell r="A35" t="str">
            <v xml:space="preserve">  Year-over-Year growth</v>
          </cell>
          <cell r="AC35">
            <v>0</v>
          </cell>
          <cell r="AD35">
            <v>1.0268420104485365E-2</v>
          </cell>
          <cell r="AE35">
            <v>5.464480874316946E-3</v>
          </cell>
          <cell r="AF35">
            <v>0.24210026134473761</v>
          </cell>
          <cell r="AG35">
            <v>6.4458290580885036E-2</v>
          </cell>
          <cell r="AH35">
            <v>0.50819672131147531</v>
          </cell>
          <cell r="AI35">
            <v>0.54695672848311983</v>
          </cell>
          <cell r="AJ35">
            <v>0.56521739130434789</v>
          </cell>
          <cell r="AK35">
            <v>0.29561973986227974</v>
          </cell>
          <cell r="AL35">
            <v>0.46884533099996273</v>
          </cell>
          <cell r="AM35">
            <v>0.35507246376811596</v>
          </cell>
          <cell r="AN35">
            <v>0.74475524475524479</v>
          </cell>
          <cell r="AO35">
            <v>0.94434380032206078</v>
          </cell>
          <cell r="AP35">
            <v>0.81890209394453972</v>
          </cell>
          <cell r="AQ35">
            <v>0.72008534832627502</v>
          </cell>
          <cell r="AR35">
            <v>0.36007130124777142</v>
          </cell>
          <cell r="AS35">
            <v>0.28390113560454311</v>
          </cell>
          <cell r="AT35">
            <v>0.49055334127025207</v>
          </cell>
          <cell r="AU35">
            <v>0.66085874299937641</v>
          </cell>
          <cell r="AV35">
            <v>0.45972349009099056</v>
          </cell>
          <cell r="AW35">
            <v>0.29056953949657882</v>
          </cell>
          <cell r="AX35">
            <v>0.40445802624483185</v>
          </cell>
          <cell r="AY35">
            <v>0.24766414949443161</v>
          </cell>
          <cell r="AZ35">
            <v>0.20004103405826834</v>
          </cell>
          <cell r="BA35">
            <v>0</v>
          </cell>
          <cell r="BK35">
            <v>0.88193406087833015</v>
          </cell>
          <cell r="BL35">
            <v>-0.42221057078733959</v>
          </cell>
        </row>
        <row r="36">
          <cell r="A36" t="str">
            <v>Average Mass Market Tables</v>
          </cell>
          <cell r="X36">
            <v>258</v>
          </cell>
          <cell r="Y36">
            <v>258</v>
          </cell>
          <cell r="Z36">
            <v>258</v>
          </cell>
          <cell r="AA36">
            <v>258</v>
          </cell>
          <cell r="AB36">
            <v>258</v>
          </cell>
          <cell r="AC36">
            <v>258</v>
          </cell>
          <cell r="AD36">
            <v>400</v>
          </cell>
          <cell r="AE36">
            <v>496</v>
          </cell>
          <cell r="AF36">
            <v>709</v>
          </cell>
          <cell r="AG36">
            <v>465.75</v>
          </cell>
          <cell r="AH36">
            <v>883</v>
          </cell>
          <cell r="AI36">
            <v>949.5</v>
          </cell>
          <cell r="AJ36">
            <v>982.5</v>
          </cell>
          <cell r="AK36">
            <v>1047.5</v>
          </cell>
          <cell r="AL36">
            <v>965.625</v>
          </cell>
          <cell r="AM36">
            <v>1187</v>
          </cell>
          <cell r="AN36">
            <v>1391</v>
          </cell>
          <cell r="AO36">
            <v>1622.5289855072465</v>
          </cell>
          <cell r="AP36">
            <v>2088.6038647342993</v>
          </cell>
          <cell r="AQ36">
            <v>1572.2832125603863</v>
          </cell>
          <cell r="AR36">
            <v>2346.3333333333335</v>
          </cell>
          <cell r="AS36">
            <v>2648</v>
          </cell>
          <cell r="AT36">
            <v>3587.3333333333335</v>
          </cell>
          <cell r="AU36">
            <v>3901.3333333333335</v>
          </cell>
          <cell r="AV36">
            <v>3120.7500000000005</v>
          </cell>
          <cell r="AW36">
            <v>4653.833333333333</v>
          </cell>
          <cell r="AX36">
            <v>6896.333333333333</v>
          </cell>
          <cell r="AY36">
            <v>8341.3333333333339</v>
          </cell>
          <cell r="AZ36">
            <v>9666.3333333333339</v>
          </cell>
          <cell r="BA36">
            <v>9666.3333333333339</v>
          </cell>
          <cell r="BK36">
            <v>3096.625</v>
          </cell>
          <cell r="BL36">
            <v>24.125000000000455</v>
          </cell>
        </row>
        <row r="37">
          <cell r="A37" t="str">
            <v xml:space="preserve">  Year-over-Year growth</v>
          </cell>
          <cell r="AC37">
            <v>0</v>
          </cell>
          <cell r="AD37">
            <v>0.5503875968992249</v>
          </cell>
          <cell r="AE37">
            <v>0.92248062015503884</v>
          </cell>
          <cell r="AF37">
            <v>1.748062015503876</v>
          </cell>
          <cell r="AG37">
            <v>0.80523255813953498</v>
          </cell>
          <cell r="AH37">
            <v>2.4224806201550386</v>
          </cell>
          <cell r="AI37">
            <v>1.3737499999999998</v>
          </cell>
          <cell r="AJ37">
            <v>0.98084677419354849</v>
          </cell>
          <cell r="AK37">
            <v>0.47743300423131174</v>
          </cell>
          <cell r="AL37">
            <v>1.0732689210950079</v>
          </cell>
          <cell r="AM37">
            <v>0.34428086070215169</v>
          </cell>
          <cell r="AN37">
            <v>0.46498156924697209</v>
          </cell>
          <cell r="AO37">
            <v>0.65142899288269374</v>
          </cell>
          <cell r="AP37">
            <v>0.99389390428095403</v>
          </cell>
          <cell r="AQ37">
            <v>0.62825445960946169</v>
          </cell>
          <cell r="AR37">
            <v>0.97669194046616137</v>
          </cell>
          <cell r="AS37">
            <v>0.90366642703091293</v>
          </cell>
          <cell r="AT37">
            <v>1.2109517705853716</v>
          </cell>
          <cell r="AU37">
            <v>0.86791444716092192</v>
          </cell>
          <cell r="AV37">
            <v>0.98485233135448391</v>
          </cell>
          <cell r="AW37">
            <v>0.49125477315816135</v>
          </cell>
          <cell r="AX37">
            <v>0.48186083157253878</v>
          </cell>
          <cell r="AY37">
            <v>0.20953163516844708</v>
          </cell>
          <cell r="AZ37">
            <v>0.15884750639386191</v>
          </cell>
          <cell r="BA37">
            <v>0</v>
          </cell>
          <cell r="BK37">
            <v>0.91696114461175471</v>
          </cell>
          <cell r="BL37">
            <v>6.7891186742729204E-2</v>
          </cell>
        </row>
        <row r="38">
          <cell r="A38" t="str">
            <v>Average Slots</v>
          </cell>
          <cell r="X38">
            <v>808</v>
          </cell>
          <cell r="Y38">
            <v>808</v>
          </cell>
          <cell r="Z38">
            <v>808</v>
          </cell>
          <cell r="AA38">
            <v>873</v>
          </cell>
          <cell r="AB38">
            <v>824.25</v>
          </cell>
          <cell r="AC38">
            <v>873</v>
          </cell>
          <cell r="AD38">
            <v>1130.8791208791208</v>
          </cell>
          <cell r="AE38">
            <v>2027</v>
          </cell>
          <cell r="AF38">
            <v>2163.782608695652</v>
          </cell>
          <cell r="AG38">
            <v>1548.6654323936932</v>
          </cell>
          <cell r="AH38">
            <v>2721</v>
          </cell>
          <cell r="AI38">
            <v>2774.5</v>
          </cell>
          <cell r="AJ38">
            <v>2927</v>
          </cell>
          <cell r="AK38">
            <v>3251.5</v>
          </cell>
          <cell r="AL38">
            <v>2918.5</v>
          </cell>
          <cell r="AM38">
            <v>3988.5</v>
          </cell>
          <cell r="AN38">
            <v>4378</v>
          </cell>
          <cell r="AO38">
            <v>4849</v>
          </cell>
          <cell r="AP38">
            <v>5855.5</v>
          </cell>
          <cell r="AQ38">
            <v>4767.75</v>
          </cell>
          <cell r="AR38">
            <v>7518.782608695652</v>
          </cell>
          <cell r="AS38">
            <v>8227.115942028986</v>
          </cell>
          <cell r="AT38">
            <v>13641.782608695652</v>
          </cell>
          <cell r="AU38">
            <v>14878.782608695652</v>
          </cell>
          <cell r="AV38">
            <v>11066.615942028986</v>
          </cell>
          <cell r="AW38">
            <v>17875.782608695652</v>
          </cell>
          <cell r="AX38">
            <v>27650.782608695652</v>
          </cell>
          <cell r="AY38">
            <v>38425.782608695648</v>
          </cell>
          <cell r="AZ38">
            <v>46525.782608695648</v>
          </cell>
          <cell r="BA38">
            <v>47125.782608695648</v>
          </cell>
          <cell r="BK38">
            <v>9388.7391304347821</v>
          </cell>
          <cell r="BL38">
            <v>1677.8768115942039</v>
          </cell>
        </row>
        <row r="39">
          <cell r="A39" t="str">
            <v xml:space="preserve">  Year-over-Year growth</v>
          </cell>
          <cell r="AC39">
            <v>8.0445544554455406E-2</v>
          </cell>
          <cell r="AD39">
            <v>0.39960287237514946</v>
          </cell>
          <cell r="AE39">
            <v>1.5086633663366338</v>
          </cell>
          <cell r="AF39">
            <v>1.4785596892275512</v>
          </cell>
          <cell r="AG39">
            <v>0.87887829225804448</v>
          </cell>
          <cell r="AH39">
            <v>2.1168384879725086</v>
          </cell>
          <cell r="AI39">
            <v>1.4534010300262366</v>
          </cell>
          <cell r="AJ39">
            <v>0.44400592007893436</v>
          </cell>
          <cell r="AK39">
            <v>0.50269254727027968</v>
          </cell>
          <cell r="AL39">
            <v>0.88452582394702461</v>
          </cell>
          <cell r="AM39">
            <v>0.46582138919514882</v>
          </cell>
          <cell r="AN39">
            <v>0.57794197152640114</v>
          </cell>
          <cell r="AO39">
            <v>0.65664502903997257</v>
          </cell>
          <cell r="AP39">
            <v>0.80086114101184069</v>
          </cell>
          <cell r="AQ39">
            <v>0.63363028953229406</v>
          </cell>
          <cell r="AR39">
            <v>0.88511535883055092</v>
          </cell>
          <cell r="AS39">
            <v>0.87919505299885481</v>
          </cell>
          <cell r="AT39">
            <v>1.8133187479265112</v>
          </cell>
          <cell r="AU39">
            <v>1.5409926750398175</v>
          </cell>
          <cell r="AV39">
            <v>1.3211401482940559</v>
          </cell>
          <cell r="AW39">
            <v>0.61528896478703077</v>
          </cell>
          <cell r="AX39">
            <v>0.54682920541028301</v>
          </cell>
          <cell r="AY39">
            <v>0.38968155630471957</v>
          </cell>
          <cell r="AZ39">
            <v>0.21079596692890767</v>
          </cell>
          <cell r="BA39">
            <v>1.2896075387840211E-2</v>
          </cell>
          <cell r="BK39">
            <v>0.98914957126029623</v>
          </cell>
          <cell r="BL39">
            <v>0.33199057703375967</v>
          </cell>
        </row>
        <row r="40">
          <cell r="BL40">
            <v>0</v>
          </cell>
        </row>
        <row r="41">
          <cell r="A41" t="str">
            <v>Daily Win/Table (US$)</v>
          </cell>
          <cell r="X41">
            <v>20878.371700446176</v>
          </cell>
          <cell r="Y41">
            <v>16018.230552374755</v>
          </cell>
          <cell r="Z41">
            <v>23208.008050217322</v>
          </cell>
          <cell r="AA41">
            <v>25516.865399353974</v>
          </cell>
          <cell r="AB41">
            <v>21423.0158648406</v>
          </cell>
          <cell r="AC41">
            <v>27942.175562350341</v>
          </cell>
          <cell r="AD41">
            <v>21520.504062701977</v>
          </cell>
          <cell r="AE41">
            <v>21326.732189187915</v>
          </cell>
          <cell r="AF41">
            <v>15492.559288536297</v>
          </cell>
          <cell r="AG41">
            <v>20414.826766476152</v>
          </cell>
          <cell r="AH41">
            <v>12362.080724846539</v>
          </cell>
          <cell r="AI41">
            <v>12245.199541216536</v>
          </cell>
          <cell r="AJ41">
            <v>11833.739383548802</v>
          </cell>
          <cell r="AK41">
            <v>11193.953182029822</v>
          </cell>
          <cell r="AL41">
            <v>11887.951376957966</v>
          </cell>
          <cell r="AM41">
            <v>10624.081807773682</v>
          </cell>
          <cell r="AN41">
            <v>8888.5375798081623</v>
          </cell>
          <cell r="AO41">
            <v>8101.2104045306896</v>
          </cell>
          <cell r="AP41">
            <v>8180.5502025059914</v>
          </cell>
          <cell r="AQ41">
            <v>8789.413707071848</v>
          </cell>
          <cell r="AR41">
            <v>8253.9689289360504</v>
          </cell>
          <cell r="AS41">
            <v>6276.1665605991375</v>
          </cell>
          <cell r="AT41">
            <v>4702.2807171656068</v>
          </cell>
          <cell r="AU41">
            <v>5009.0981311412315</v>
          </cell>
          <cell r="AV41">
            <v>5794.6280674243335</v>
          </cell>
          <cell r="AW41">
            <v>4418.7291130811236</v>
          </cell>
          <cell r="AX41">
            <v>3327.7505285950278</v>
          </cell>
          <cell r="AY41">
            <v>2957.6453872411762</v>
          </cell>
          <cell r="AZ41">
            <v>2678.1458741867596</v>
          </cell>
          <cell r="BA41">
            <v>2912.0188823426479</v>
          </cell>
          <cell r="BK41">
            <v>4961.6795122459662</v>
          </cell>
          <cell r="BL41">
            <v>832.94855517836731</v>
          </cell>
        </row>
        <row r="42">
          <cell r="A42" t="str">
            <v xml:space="preserve">  Year-over-Year growth</v>
          </cell>
          <cell r="AC42">
            <v>0.33833116697281573</v>
          </cell>
          <cell r="AD42">
            <v>0.34350070641925501</v>
          </cell>
          <cell r="AE42">
            <v>-8.1061496400669841E-2</v>
          </cell>
          <cell r="AF42">
            <v>-0.39285021705963419</v>
          </cell>
          <cell r="AG42">
            <v>-4.7061025614936192E-2</v>
          </cell>
          <cell r="AH42">
            <v>-0.55758345669034548</v>
          </cell>
          <cell r="AI42">
            <v>-0.43099847914625899</v>
          </cell>
          <cell r="AJ42">
            <v>-0.44512177118498286</v>
          </cell>
          <cell r="AK42">
            <v>-0.27746262102009345</v>
          </cell>
          <cell r="AL42">
            <v>-0.41768051657045868</v>
          </cell>
          <cell r="AM42">
            <v>-0.1405911315220304</v>
          </cell>
          <cell r="AN42">
            <v>-0.27412064214307574</v>
          </cell>
          <cell r="AO42">
            <v>-0.31541416098845754</v>
          </cell>
          <cell r="AP42">
            <v>-0.26919917660200576</v>
          </cell>
          <cell r="AQ42">
            <v>-0.26064521729891277</v>
          </cell>
          <cell r="AR42">
            <v>-0.223088726322063</v>
          </cell>
          <cell r="AS42">
            <v>-0.29390335538924572</v>
          </cell>
          <cell r="AT42">
            <v>-0.41955825335238728</v>
          </cell>
          <cell r="AU42">
            <v>-0.38768200094820415</v>
          </cell>
          <cell r="AV42">
            <v>-0.34072643972122385</v>
          </cell>
          <cell r="AW42">
            <v>-0.2374438770415831</v>
          </cell>
          <cell r="AX42">
            <v>-0.2468987250782998</v>
          </cell>
          <cell r="AY42">
            <v>-0.11121781460887026</v>
          </cell>
          <cell r="AZ42">
            <v>-9.4500684314669403E-2</v>
          </cell>
          <cell r="BA42">
            <v>8.7326463584402658E-2</v>
          </cell>
          <cell r="BK42">
            <v>-0.38297983646888889</v>
          </cell>
          <cell r="BL42">
            <v>4.225339674766504E-2</v>
          </cell>
        </row>
        <row r="43">
          <cell r="A43" t="str">
            <v>Daily VIP Win/Table (US$)</v>
          </cell>
          <cell r="X43">
            <v>39231.834225657789</v>
          </cell>
          <cell r="Y43">
            <v>30099.309210291707</v>
          </cell>
          <cell r="Z43">
            <v>43609.374217358141</v>
          </cell>
          <cell r="AA43">
            <v>47947.86909960441</v>
          </cell>
          <cell r="AB43">
            <v>40255.256448236447</v>
          </cell>
          <cell r="AC43">
            <v>51147.950942594696</v>
          </cell>
          <cell r="AD43">
            <v>49200.47753068844</v>
          </cell>
          <cell r="AE43">
            <v>56373.88034573348</v>
          </cell>
          <cell r="AF43">
            <v>46537.441338625496</v>
          </cell>
          <cell r="AG43">
            <v>50592.455869262696</v>
          </cell>
          <cell r="AH43">
            <v>35079.721714892054</v>
          </cell>
          <cell r="AI43">
            <v>35599.544166450578</v>
          </cell>
          <cell r="AJ43">
            <v>32973.562134291162</v>
          </cell>
          <cell r="AK43">
            <v>30496.571499948626</v>
          </cell>
          <cell r="AL43">
            <v>33492.743825717982</v>
          </cell>
          <cell r="AM43">
            <v>28914.768388849123</v>
          </cell>
          <cell r="AN43">
            <v>22314.73689256149</v>
          </cell>
          <cell r="AO43">
            <v>21443.140745718862</v>
          </cell>
          <cell r="AP43">
            <v>27820.624877638747</v>
          </cell>
          <cell r="AQ43">
            <v>24840.441493932929</v>
          </cell>
          <cell r="AR43">
            <v>31652.45380119871</v>
          </cell>
          <cell r="AS43">
            <v>22594.541866084237</v>
          </cell>
          <cell r="AT43">
            <v>16543.9311528172</v>
          </cell>
          <cell r="AU43">
            <v>18425.821879431271</v>
          </cell>
          <cell r="AV43">
            <v>21145.682313409634</v>
          </cell>
          <cell r="AW43">
            <v>17695.549290114752</v>
          </cell>
          <cell r="AX43">
            <v>13355.530672336219</v>
          </cell>
          <cell r="AY43">
            <v>11132.604799823705</v>
          </cell>
          <cell r="AZ43">
            <v>9555.1590473877513</v>
          </cell>
          <cell r="BA43">
            <v>9814.9236171186476</v>
          </cell>
          <cell r="BK43">
            <v>10898.654068658198</v>
          </cell>
          <cell r="BL43">
            <v>10247.028244751436</v>
          </cell>
        </row>
        <row r="44">
          <cell r="A44" t="str">
            <v xml:space="preserve">  Year-over-Year growth</v>
          </cell>
          <cell r="AC44">
            <v>0.30373590611125989</v>
          </cell>
          <cell r="AD44">
            <v>0.63460487371801766</v>
          </cell>
          <cell r="AE44">
            <v>0.29270096985924177</v>
          </cell>
          <cell r="AF44">
            <v>-2.9415859087480234E-2</v>
          </cell>
          <cell r="AG44">
            <v>0.25679129468020356</v>
          </cell>
          <cell r="AH44">
            <v>-0.31415196369717002</v>
          </cell>
          <cell r="AI44">
            <v>-0.2764390519533958</v>
          </cell>
          <cell r="AJ44">
            <v>-0.41509149393178701</v>
          </cell>
          <cell r="AK44">
            <v>-0.34468740388963215</v>
          </cell>
          <cell r="AL44">
            <v>-0.33798936520758216</v>
          </cell>
          <cell r="AM44">
            <v>-0.17574122668783265</v>
          </cell>
          <cell r="AN44">
            <v>-0.37317352187921671</v>
          </cell>
          <cell r="AO44">
            <v>-0.34968685947888933</v>
          </cell>
          <cell r="AP44">
            <v>-8.7745818323033076E-2</v>
          </cell>
          <cell r="AQ44">
            <v>-0.25833363718445879</v>
          </cell>
          <cell r="AR44">
            <v>9.4681215340647995E-2</v>
          </cell>
          <cell r="AS44">
            <v>1.2539021852236987E-2</v>
          </cell>
          <cell r="AT44">
            <v>-0.2284744408945687</v>
          </cell>
          <cell r="AU44">
            <v>-0.3376920194829518</v>
          </cell>
          <cell r="AV44">
            <v>-0.14873967443073466</v>
          </cell>
          <cell r="AW44">
            <v>-0.16316016537839328</v>
          </cell>
          <cell r="AX44">
            <v>-0.24526046333034679</v>
          </cell>
          <cell r="AY44">
            <v>-0.16644234714813233</v>
          </cell>
          <cell r="AZ44">
            <v>-0.14169601641306206</v>
          </cell>
          <cell r="BA44">
            <v>2.7185792349726734E-2</v>
          </cell>
          <cell r="BK44">
            <v>-0.41549492999419368</v>
          </cell>
          <cell r="BL44">
            <v>0.26675525556345903</v>
          </cell>
        </row>
        <row r="45">
          <cell r="A45" t="str">
            <v>Daily Mass Market Win/Table (US$)</v>
          </cell>
          <cell r="X45">
            <v>7860.2180488425865</v>
          </cell>
          <cell r="Y45">
            <v>6030.4887136197112</v>
          </cell>
          <cell r="Z45">
            <v>8737.2715828267374</v>
          </cell>
          <cell r="AA45">
            <v>9606.5023096414607</v>
          </cell>
          <cell r="AB45">
            <v>8065.2638231295905</v>
          </cell>
          <cell r="AC45">
            <v>11482.265118223535</v>
          </cell>
          <cell r="AD45">
            <v>8726.8811609051645</v>
          </cell>
          <cell r="AE45">
            <v>8325.370776275855</v>
          </cell>
          <cell r="AF45">
            <v>5539.6161746670159</v>
          </cell>
          <cell r="AG45">
            <v>7793.2971252477782</v>
          </cell>
          <cell r="AH45">
            <v>5261.2099284110227</v>
          </cell>
          <cell r="AI45">
            <v>5210.6102175546766</v>
          </cell>
          <cell r="AJ45">
            <v>5637.0279818044764</v>
          </cell>
          <cell r="AK45">
            <v>5767.1072683046768</v>
          </cell>
          <cell r="AL45">
            <v>5486.2206435972312</v>
          </cell>
          <cell r="AM45">
            <v>4861.0516634415735</v>
          </cell>
          <cell r="AN45">
            <v>4072.0936854415809</v>
          </cell>
          <cell r="AO45">
            <v>3496.6120675024445</v>
          </cell>
          <cell r="AP45">
            <v>3143.4373674920867</v>
          </cell>
          <cell r="AQ45">
            <v>3765.0870033772258</v>
          </cell>
          <cell r="AR45">
            <v>3181.3609000863839</v>
          </cell>
          <cell r="AS45">
            <v>2328.0400075852417</v>
          </cell>
          <cell r="AT45">
            <v>1947.0779025520055</v>
          </cell>
          <cell r="AU45">
            <v>1949.5257042627188</v>
          </cell>
          <cell r="AV45">
            <v>2260.7169174700166</v>
          </cell>
          <cell r="AW45">
            <v>1773.6354395919532</v>
          </cell>
          <cell r="AX45">
            <v>1434.3036180858212</v>
          </cell>
          <cell r="AY45">
            <v>1365.3838712194677</v>
          </cell>
          <cell r="AZ45">
            <v>1291.0756286592386</v>
          </cell>
          <cell r="BA45">
            <v>1519.7263966119397</v>
          </cell>
          <cell r="BK45">
            <v>3029.4658806143771</v>
          </cell>
          <cell r="BL45">
            <v>-768.74896314436046</v>
          </cell>
        </row>
        <row r="46">
          <cell r="A46" t="str">
            <v xml:space="preserve">  Year-over-Year growth</v>
          </cell>
          <cell r="AC46">
            <v>0.46080745430647352</v>
          </cell>
          <cell r="AD46">
            <v>0.44712668828907964</v>
          </cell>
          <cell r="AE46">
            <v>-4.7142955629361549E-2</v>
          </cell>
          <cell r="AF46">
            <v>-0.42334722918795942</v>
          </cell>
          <cell r="AG46">
            <v>-3.3720744149976278E-2</v>
          </cell>
          <cell r="AH46">
            <v>-0.54179686026749707</v>
          </cell>
          <cell r="AI46">
            <v>-0.40292412358068308</v>
          </cell>
          <cell r="AJ46">
            <v>-0.32290967774457979</v>
          </cell>
          <cell r="AK46">
            <v>4.1066219475275334E-2</v>
          </cell>
          <cell r="AL46">
            <v>-0.29603343034058849</v>
          </cell>
          <cell r="AM46">
            <v>-7.6058220526148856E-2</v>
          </cell>
          <cell r="AN46">
            <v>-0.21849965446991315</v>
          </cell>
          <cell r="AO46">
            <v>-0.37970645546039328</v>
          </cell>
          <cell r="AP46">
            <v>-0.45493689968833462</v>
          </cell>
          <cell r="AQ46">
            <v>-0.3137193620217732</v>
          </cell>
          <cell r="AR46">
            <v>-0.34554061130179103</v>
          </cell>
          <cell r="AS46">
            <v>-0.42829409453216272</v>
          </cell>
          <cell r="AT46">
            <v>-0.44315301069621893</v>
          </cell>
          <cell r="AU46">
            <v>-0.37981086423932808</v>
          </cell>
          <cell r="AV46">
            <v>-0.39955785472096983</v>
          </cell>
          <cell r="AW46">
            <v>-0.21545443134170006</v>
          </cell>
          <cell r="AX46">
            <v>-0.19131993753135623</v>
          </cell>
          <cell r="AY46">
            <v>-4.805101653325794E-2</v>
          </cell>
          <cell r="AZ46">
            <v>-5.4422967874860007E-2</v>
          </cell>
          <cell r="BA46">
            <v>0.17710098686484477</v>
          </cell>
          <cell r="BK46">
            <v>-0.33062453443542383</v>
          </cell>
          <cell r="BL46">
            <v>-6.8933320285545996E-2</v>
          </cell>
        </row>
        <row r="47">
          <cell r="A47" t="str">
            <v>Daily Win/Slot (US$)</v>
          </cell>
          <cell r="X47">
            <v>98.19869269441466</v>
          </cell>
          <cell r="Y47">
            <v>75.33965397729358</v>
          </cell>
          <cell r="Z47">
            <v>109.15583280491602</v>
          </cell>
          <cell r="AA47">
            <v>111.07939887061613</v>
          </cell>
          <cell r="AB47">
            <v>95.440555439451785</v>
          </cell>
          <cell r="AC47">
            <v>143.14283538202235</v>
          </cell>
          <cell r="AD47">
            <v>191.53347346963304</v>
          </cell>
          <cell r="AE47">
            <v>126.40764176566685</v>
          </cell>
          <cell r="AF47">
            <v>112.63000444921863</v>
          </cell>
          <cell r="AG47">
            <v>136.89300769567095</v>
          </cell>
          <cell r="AH47">
            <v>123.98394807565924</v>
          </cell>
          <cell r="AI47">
            <v>145.71944061776799</v>
          </cell>
          <cell r="AJ47">
            <v>151.26965356397008</v>
          </cell>
          <cell r="AK47">
            <v>146.06092605512933</v>
          </cell>
          <cell r="AL47">
            <v>142.29534428720078</v>
          </cell>
          <cell r="AM47">
            <v>148.16941110887214</v>
          </cell>
          <cell r="AN47">
            <v>139.46826227447755</v>
          </cell>
          <cell r="AO47">
            <v>145.23621498801791</v>
          </cell>
          <cell r="AP47">
            <v>140.82587089775592</v>
          </cell>
          <cell r="AQ47">
            <v>143.3181059766107</v>
          </cell>
          <cell r="AR47">
            <v>151.1327993310496</v>
          </cell>
          <cell r="AS47">
            <v>142.25762751996712</v>
          </cell>
          <cell r="AT47">
            <v>148.14093928777828</v>
          </cell>
          <cell r="AU47">
            <v>143.64238831571103</v>
          </cell>
          <cell r="AV47">
            <v>146.39160569190702</v>
          </cell>
          <cell r="AW47">
            <v>149.31943780574517</v>
          </cell>
          <cell r="AX47">
            <v>152.30582656186007</v>
          </cell>
          <cell r="AY47">
            <v>155.35194309309728</v>
          </cell>
          <cell r="AZ47">
            <v>158.45898195495923</v>
          </cell>
          <cell r="BA47">
            <v>161.62816159405841</v>
          </cell>
          <cell r="BK47">
            <v>148.71946710450229</v>
          </cell>
          <cell r="BL47">
            <v>-2.3278614125952686</v>
          </cell>
        </row>
        <row r="48">
          <cell r="A48" t="str">
            <v xml:space="preserve">  Year-over-Year growth</v>
          </cell>
          <cell r="AC48">
            <v>0.45768575379582455</v>
          </cell>
          <cell r="AD48">
            <v>1.5422664341856258</v>
          </cell>
          <cell r="AE48">
            <v>0.1580475226787319</v>
          </cell>
          <cell r="AF48">
            <v>1.3959434371882296E-2</v>
          </cell>
          <cell r="AG48">
            <v>0.43432744146713298</v>
          </cell>
          <cell r="AH48">
            <v>-0.13384454244762933</v>
          </cell>
          <cell r="AI48">
            <v>-0.23919595892009293</v>
          </cell>
          <cell r="AJ48">
            <v>0.19668124055658098</v>
          </cell>
          <cell r="AK48">
            <v>0.29682074301065708</v>
          </cell>
          <cell r="AL48">
            <v>3.9463933786449079E-2</v>
          </cell>
          <cell r="AM48">
            <v>0.1950693086370674</v>
          </cell>
          <cell r="AN48">
            <v>-4.2898725913227298E-2</v>
          </cell>
          <cell r="AO48">
            <v>-3.9885320246342171E-2</v>
          </cell>
          <cell r="AP48">
            <v>-3.5841585417563993E-2</v>
          </cell>
          <cell r="AQ48">
            <v>7.1875977006361502E-3</v>
          </cell>
          <cell r="AR48">
            <v>0.02</v>
          </cell>
          <cell r="AS48">
            <v>0.02</v>
          </cell>
          <cell r="AT48">
            <v>0.02</v>
          </cell>
          <cell r="AU48">
            <v>0.02</v>
          </cell>
          <cell r="AV48">
            <v>2.1445299561786868E-2</v>
          </cell>
          <cell r="AW48">
            <v>0.02</v>
          </cell>
          <cell r="AX48">
            <v>0.02</v>
          </cell>
          <cell r="AY48">
            <v>0.02</v>
          </cell>
          <cell r="AZ48">
            <v>0.02</v>
          </cell>
          <cell r="BA48">
            <v>0.02</v>
          </cell>
          <cell r="BK48">
            <v>0.02</v>
          </cell>
          <cell r="BL48">
            <v>1.4452995617868676E-3</v>
          </cell>
        </row>
        <row r="49">
          <cell r="BL49">
            <v>0</v>
          </cell>
        </row>
        <row r="50">
          <cell r="A50" t="str">
            <v>Visitors (millions)</v>
          </cell>
          <cell r="BL50">
            <v>0</v>
          </cell>
        </row>
        <row r="51">
          <cell r="A51" t="str">
            <v>Total</v>
          </cell>
          <cell r="B51">
            <v>7.8292999999999999</v>
          </cell>
          <cell r="C51">
            <v>7.8338000000000001</v>
          </cell>
          <cell r="D51">
            <v>7.7525000000000004</v>
          </cell>
          <cell r="E51">
            <v>8.1510999999999996</v>
          </cell>
          <cell r="F51">
            <v>7.0004</v>
          </cell>
          <cell r="G51">
            <v>6.9485000000000001</v>
          </cell>
          <cell r="H51">
            <v>7.4439000000000002</v>
          </cell>
          <cell r="I51">
            <v>2.175767</v>
          </cell>
          <cell r="J51">
            <v>2.1899030000000002</v>
          </cell>
          <cell r="K51">
            <v>2.4746739999999998</v>
          </cell>
          <cell r="L51">
            <v>2.3218679999999998</v>
          </cell>
          <cell r="M51">
            <v>9.1622120000000002</v>
          </cell>
          <cell r="N51">
            <v>2.4530820000000002</v>
          </cell>
          <cell r="O51">
            <v>2.5566200000000001</v>
          </cell>
          <cell r="P51">
            <v>2.6891560000000001</v>
          </cell>
          <cell r="Q51">
            <v>2.5801150000000002</v>
          </cell>
          <cell r="R51">
            <v>10.278973000000001</v>
          </cell>
          <cell r="S51">
            <v>2.6729509999999999</v>
          </cell>
          <cell r="T51">
            <v>2.8038780000000001</v>
          </cell>
          <cell r="U51">
            <v>3.0133160000000001</v>
          </cell>
          <cell r="V51">
            <v>3.0406960000000001</v>
          </cell>
          <cell r="W51">
            <v>11.530841000000001</v>
          </cell>
          <cell r="X51">
            <v>2.995587</v>
          </cell>
          <cell r="Y51">
            <v>2.0730729999999999</v>
          </cell>
          <cell r="Z51">
            <v>3.3212470000000001</v>
          </cell>
          <cell r="AA51">
            <v>3.4979689999999999</v>
          </cell>
          <cell r="AB51">
            <v>11.887875999999999</v>
          </cell>
          <cell r="AC51">
            <v>3.7514470000000002</v>
          </cell>
          <cell r="AD51">
            <v>3.9834390000000002</v>
          </cell>
          <cell r="AE51">
            <v>4.4552269999999998</v>
          </cell>
          <cell r="AF51">
            <v>4.482443</v>
          </cell>
          <cell r="AG51">
            <v>16.672556</v>
          </cell>
          <cell r="AH51">
            <v>4.4570220000000003</v>
          </cell>
          <cell r="AI51">
            <v>4.4663009999999996</v>
          </cell>
          <cell r="AJ51">
            <v>4.8511319999999998</v>
          </cell>
          <cell r="AK51">
            <v>4.9367320000000001</v>
          </cell>
          <cell r="AL51">
            <v>18.711186999999999</v>
          </cell>
          <cell r="AM51">
            <v>5.2480180000000001</v>
          </cell>
          <cell r="AN51">
            <v>5.1744620000000001</v>
          </cell>
          <cell r="AO51">
            <v>5.4733140000000002</v>
          </cell>
          <cell r="AP51">
            <v>6.102328</v>
          </cell>
          <cell r="AQ51">
            <v>21.998122000000002</v>
          </cell>
          <cell r="AR51">
            <v>6.2021452000000004</v>
          </cell>
          <cell r="AS51">
            <v>5.9977077000000003</v>
          </cell>
          <cell r="AT51">
            <v>7.1657113800000003</v>
          </cell>
          <cell r="AU51">
            <v>7.4876471791448207</v>
          </cell>
          <cell r="AV51">
            <v>26.853211459144823</v>
          </cell>
          <cell r="AW51">
            <v>31.112956369452657</v>
          </cell>
          <cell r="AX51">
            <v>35.938386716715485</v>
          </cell>
          <cell r="AY51">
            <v>41.464358695646425</v>
          </cell>
          <cell r="AZ51">
            <v>46.725028260970944</v>
          </cell>
          <cell r="BA51">
            <v>51.917160814241257</v>
          </cell>
          <cell r="BB51">
            <v>57.225724977400361</v>
          </cell>
          <cell r="BC51">
            <v>62.698682591780887</v>
          </cell>
          <cell r="BD51">
            <v>68.453241363633722</v>
          </cell>
          <cell r="BE51">
            <v>74.501429399553246</v>
          </cell>
          <cell r="BF51">
            <v>80.855743837087061</v>
          </cell>
          <cell r="BG51">
            <v>87.529168173325587</v>
          </cell>
          <cell r="BH51">
            <v>94.535190211282512</v>
          </cell>
          <cell r="BI51">
            <v>101.88782064554243</v>
          </cell>
          <cell r="BK51">
            <v>25.885017569144825</v>
          </cell>
          <cell r="BL51">
            <v>0.96819388999999845</v>
          </cell>
        </row>
        <row r="52">
          <cell r="A52" t="str">
            <v xml:space="preserve">  Year-over-Year growth</v>
          </cell>
          <cell r="C52">
            <v>5.7476402743539268E-4</v>
          </cell>
          <cell r="D52">
            <v>-1.0378105134162152E-2</v>
          </cell>
          <cell r="E52">
            <v>5.1415672363753551E-2</v>
          </cell>
          <cell r="F52">
            <v>-0.1411711302768951</v>
          </cell>
          <cell r="G52">
            <v>-7.4138620650248122E-3</v>
          </cell>
          <cell r="H52">
            <v>7.1295963157516073E-2</v>
          </cell>
          <cell r="I52" t="str">
            <v>N.M.</v>
          </cell>
          <cell r="J52" t="str">
            <v>N.M.</v>
          </cell>
          <cell r="K52" t="str">
            <v>N.M.</v>
          </cell>
          <cell r="L52" t="str">
            <v>N.M.</v>
          </cell>
          <cell r="M52">
            <v>0.23083491180698301</v>
          </cell>
          <cell r="N52">
            <v>0.12745620280112724</v>
          </cell>
          <cell r="O52">
            <v>0.16745810202552347</v>
          </cell>
          <cell r="P52">
            <v>8.667080997335419E-2</v>
          </cell>
          <cell r="Q52">
            <v>0.11122380772722673</v>
          </cell>
          <cell r="R52">
            <v>0.12188770571997254</v>
          </cell>
          <cell r="S52">
            <v>8.9629698477262432E-2</v>
          </cell>
          <cell r="T52">
            <v>9.6712847431374316E-2</v>
          </cell>
          <cell r="U52">
            <v>0.12054339725921448</v>
          </cell>
          <cell r="V52">
            <v>0.17851181052007359</v>
          </cell>
          <cell r="W52">
            <v>0.12178920987534458</v>
          </cell>
          <cell r="X52">
            <v>0.12070404582800065</v>
          </cell>
          <cell r="Y52">
            <v>-0.26064079820876662</v>
          </cell>
          <cell r="Z52">
            <v>0.10219007896948074</v>
          </cell>
          <cell r="AA52">
            <v>0.15038431990570578</v>
          </cell>
          <cell r="AB52">
            <v>3.0963483062510289E-2</v>
          </cell>
          <cell r="AC52">
            <v>0.25232450267677087</v>
          </cell>
          <cell r="AD52">
            <v>0.92151410008234169</v>
          </cell>
          <cell r="AE52">
            <v>0.34143199828257265</v>
          </cell>
          <cell r="AF52">
            <v>0.28144160225548021</v>
          </cell>
          <cell r="AG52">
            <v>0.40248400975918686</v>
          </cell>
          <cell r="AH52">
            <v>0.18808075923770207</v>
          </cell>
          <cell r="AI52">
            <v>0.12121737021704093</v>
          </cell>
          <cell r="AJ52">
            <v>8.8863036608460177E-2</v>
          </cell>
          <cell r="AK52">
            <v>0.10134852802366923</v>
          </cell>
          <cell r="AL52">
            <v>0.12227465302860563</v>
          </cell>
          <cell r="AM52">
            <v>0.17747186349988842</v>
          </cell>
          <cell r="AN52">
            <v>0.15855648779605325</v>
          </cell>
          <cell r="AO52">
            <v>0.12825501346902146</v>
          </cell>
          <cell r="AP52">
            <v>0.23610680101735304</v>
          </cell>
          <cell r="AQ52">
            <v>0.17566683503296732</v>
          </cell>
          <cell r="AR52">
            <v>0.18180715081388832</v>
          </cell>
          <cell r="AS52">
            <v>0.15909783471209193</v>
          </cell>
          <cell r="AT52">
            <v>0.3092088961093773</v>
          </cell>
          <cell r="AU52">
            <v>0.22701486697287021</v>
          </cell>
          <cell r="AV52">
            <v>0.22070472466444269</v>
          </cell>
          <cell r="AW52">
            <v>0.15863074391637366</v>
          </cell>
          <cell r="AX52">
            <v>0.15509391939367534</v>
          </cell>
          <cell r="AY52">
            <v>0.15376238289407484</v>
          </cell>
          <cell r="AZ52">
            <v>0.1268720831772292</v>
          </cell>
          <cell r="BA52">
            <v>0.11112101472193769</v>
          </cell>
          <cell r="BB52">
            <v>0.10225066394044657</v>
          </cell>
          <cell r="BC52">
            <v>9.5638065162860109E-2</v>
          </cell>
          <cell r="BD52">
            <v>9.178117520139395E-2</v>
          </cell>
          <cell r="BE52">
            <v>8.8355027686572996E-2</v>
          </cell>
          <cell r="BF52">
            <v>8.5291174796868097E-2</v>
          </cell>
          <cell r="BG52">
            <v>8.2534944575916924E-2</v>
          </cell>
          <cell r="BH52">
            <v>8.0042141198960914E-2</v>
          </cell>
          <cell r="BI52">
            <v>7.7776650343930998E-2</v>
          </cell>
          <cell r="BK52">
            <v>0.17766064791266523</v>
          </cell>
          <cell r="BL52">
            <v>4.304407675177746E-2</v>
          </cell>
        </row>
        <row r="53">
          <cell r="A53" t="str">
            <v>China</v>
          </cell>
          <cell r="B53">
            <v>0.27210000000000001</v>
          </cell>
          <cell r="C53">
            <v>0.24529999999999999</v>
          </cell>
          <cell r="D53">
            <v>0.54320000000000002</v>
          </cell>
          <cell r="E53">
            <v>0.60419999999999996</v>
          </cell>
          <cell r="F53">
            <v>0.52980000000000005</v>
          </cell>
          <cell r="G53">
            <v>0.81679999999999997</v>
          </cell>
          <cell r="H53">
            <v>1.6452</v>
          </cell>
          <cell r="I53">
            <v>0.57844899999999999</v>
          </cell>
          <cell r="J53">
            <v>0.54893999999999998</v>
          </cell>
          <cell r="K53">
            <v>0.55027999999999999</v>
          </cell>
          <cell r="L53">
            <v>0.59704400000000002</v>
          </cell>
          <cell r="M53">
            <v>2.2747129999999998</v>
          </cell>
          <cell r="N53">
            <v>0.65302700000000002</v>
          </cell>
          <cell r="O53">
            <v>0.70688700000000004</v>
          </cell>
          <cell r="P53">
            <v>0.79081500000000005</v>
          </cell>
          <cell r="Q53">
            <v>0.854993</v>
          </cell>
          <cell r="R53">
            <v>3.005722</v>
          </cell>
          <cell r="S53">
            <v>0.87337799999999999</v>
          </cell>
          <cell r="T53">
            <v>0.99712999999999996</v>
          </cell>
          <cell r="U53">
            <v>1.074287</v>
          </cell>
          <cell r="V53">
            <v>1.2956510000000001</v>
          </cell>
          <cell r="W53">
            <v>4.2404460000000004</v>
          </cell>
          <cell r="X53">
            <v>1.3382860000000001</v>
          </cell>
          <cell r="Y53">
            <v>0.93695799999999996</v>
          </cell>
          <cell r="Z53">
            <v>1.5344089999999999</v>
          </cell>
          <cell r="AA53">
            <v>1.932383</v>
          </cell>
          <cell r="AB53">
            <v>5.7420359999999997</v>
          </cell>
          <cell r="AC53">
            <v>2.1895210000000001</v>
          </cell>
          <cell r="AD53">
            <v>2.2764180000000001</v>
          </cell>
          <cell r="AE53">
            <v>2.4935589999999999</v>
          </cell>
          <cell r="AF53">
            <v>2.5702410000000002</v>
          </cell>
          <cell r="AG53">
            <v>9.5297389999999993</v>
          </cell>
          <cell r="AH53">
            <v>2.4850150000000002</v>
          </cell>
          <cell r="AI53">
            <v>2.5055670000000001</v>
          </cell>
          <cell r="AJ53">
            <v>2.6505230000000002</v>
          </cell>
          <cell r="AK53">
            <v>2.8218610000000002</v>
          </cell>
          <cell r="AL53">
            <v>10.462966</v>
          </cell>
          <cell r="AM53">
            <v>2.9777629999999999</v>
          </cell>
          <cell r="AN53">
            <v>2.8476919999999999</v>
          </cell>
          <cell r="AO53">
            <v>2.886676</v>
          </cell>
          <cell r="AP53">
            <v>3.2734860000000001</v>
          </cell>
          <cell r="AQ53">
            <v>11.985617</v>
          </cell>
          <cell r="AR53">
            <v>3.2755393000000002</v>
          </cell>
          <cell r="AS53">
            <v>3.1324612000000003</v>
          </cell>
          <cell r="AT53">
            <v>3.9836128799999999</v>
          </cell>
          <cell r="AU53">
            <v>4.0930367791448212</v>
          </cell>
          <cell r="AV53">
            <v>14.484650159144822</v>
          </cell>
          <cell r="AW53">
            <v>17.638701722452655</v>
          </cell>
          <cell r="AX53">
            <v>21.558132326615485</v>
          </cell>
          <cell r="AY53">
            <v>26.21178215894642</v>
          </cell>
          <cell r="AZ53">
            <v>30.904491640661544</v>
          </cell>
          <cell r="BA53">
            <v>35.722262498083758</v>
          </cell>
          <cell r="BB53">
            <v>40.647239202574539</v>
          </cell>
          <cell r="BC53">
            <v>45.727146924343032</v>
          </cell>
          <cell r="BD53">
            <v>51.078950400418123</v>
          </cell>
          <cell r="BE53">
            <v>56.714428297171466</v>
          </cell>
          <cell r="BF53">
            <v>62.645821663158735</v>
          </cell>
          <cell r="BG53">
            <v>68.885851074934806</v>
          </cell>
          <cell r="BH53">
            <v>75.447734395510523</v>
          </cell>
          <cell r="BI53">
            <v>82.345205166779223</v>
          </cell>
          <cell r="BK53">
            <v>15.470252789144821</v>
          </cell>
          <cell r="BL53">
            <v>-0.98560262999999892</v>
          </cell>
        </row>
        <row r="54">
          <cell r="A54" t="str">
            <v xml:space="preserve">  Year-over-Year growth</v>
          </cell>
          <cell r="C54">
            <v>-9.8493201029033473E-2</v>
          </cell>
          <cell r="D54">
            <v>1.2144313086017124</v>
          </cell>
          <cell r="E54">
            <v>0.1122974963181147</v>
          </cell>
          <cell r="F54">
            <v>-0.12313803376365429</v>
          </cell>
          <cell r="G54">
            <v>0.54171385428463559</v>
          </cell>
          <cell r="H54">
            <v>1.0142017629774731</v>
          </cell>
          <cell r="I54" t="str">
            <v>N.M.</v>
          </cell>
          <cell r="J54" t="str">
            <v>N.M.</v>
          </cell>
          <cell r="K54" t="str">
            <v>N.M.</v>
          </cell>
          <cell r="L54" t="str">
            <v>N.M.</v>
          </cell>
          <cell r="M54">
            <v>0.3826361536591294</v>
          </cell>
          <cell r="N54">
            <v>0.12892752861531442</v>
          </cell>
          <cell r="O54">
            <v>0.28773089955186371</v>
          </cell>
          <cell r="P54">
            <v>0.43711383295776707</v>
          </cell>
          <cell r="Q54">
            <v>0.43204353447987076</v>
          </cell>
          <cell r="R54">
            <v>0.32136317856362551</v>
          </cell>
          <cell r="S54">
            <v>0.33743015219891359</v>
          </cell>
          <cell r="T54">
            <v>0.41059320655210785</v>
          </cell>
          <cell r="U54">
            <v>0.35845551740925496</v>
          </cell>
          <cell r="V54">
            <v>0.51539369328169959</v>
          </cell>
          <cell r="W54">
            <v>0.41079115101130448</v>
          </cell>
          <cell r="X54">
            <v>0.53231017955570215</v>
          </cell>
          <cell r="Y54">
            <v>-6.0345190697301265E-2</v>
          </cell>
          <cell r="Z54">
            <v>0.42830454059296996</v>
          </cell>
          <cell r="AA54">
            <v>0.49143789492695156</v>
          </cell>
          <cell r="AB54">
            <v>0.3541113364018782</v>
          </cell>
          <cell r="AC54">
            <v>0.63606359178830219</v>
          </cell>
          <cell r="AD54">
            <v>1.4295838233944318</v>
          </cell>
          <cell r="AE54">
            <v>0.62509409160139184</v>
          </cell>
          <cell r="AF54">
            <v>0.33008880744655711</v>
          </cell>
          <cell r="AG54">
            <v>0.65964459296319289</v>
          </cell>
          <cell r="AH54">
            <v>0.1349582853966691</v>
          </cell>
          <cell r="AI54">
            <v>0.10066209281423721</v>
          </cell>
          <cell r="AJ54">
            <v>6.2947778656931908E-2</v>
          </cell>
          <cell r="AK54">
            <v>9.7897434520731741E-2</v>
          </cell>
          <cell r="AL54">
            <v>9.7927865600516473E-2</v>
          </cell>
          <cell r="AM54">
            <v>0.19828773669374211</v>
          </cell>
          <cell r="AN54">
            <v>0.13654593950191707</v>
          </cell>
          <cell r="AO54">
            <v>8.9096755621437707E-2</v>
          </cell>
          <cell r="AP54">
            <v>0.16004509081063878</v>
          </cell>
          <cell r="AQ54">
            <v>0.14552766395303207</v>
          </cell>
          <cell r="AR54">
            <v>0.1</v>
          </cell>
          <cell r="AS54">
            <v>0.1</v>
          </cell>
          <cell r="AT54">
            <v>0.38</v>
          </cell>
          <cell r="AU54">
            <v>0.25036025177588095</v>
          </cell>
          <cell r="AV54">
            <v>0.20850267108859089</v>
          </cell>
          <cell r="AW54">
            <v>0.21775131112272916</v>
          </cell>
          <cell r="AX54">
            <v>0.22220629759693189</v>
          </cell>
          <cell r="AY54">
            <v>0.21586516688115776</v>
          </cell>
          <cell r="AZ54">
            <v>0.17903053875768005</v>
          </cell>
          <cell r="BA54">
            <v>0.15589225389759842</v>
          </cell>
          <cell r="BB54">
            <v>0.13786855479142646</v>
          </cell>
          <cell r="BC54">
            <v>0.12497546749612298</v>
          </cell>
          <cell r="BD54">
            <v>0.11703777375242352</v>
          </cell>
          <cell r="BE54">
            <v>0.11032877247037587</v>
          </cell>
          <cell r="BF54">
            <v>0.10458349919191701</v>
          </cell>
          <cell r="BG54">
            <v>9.9608070356681955E-2</v>
          </cell>
          <cell r="BH54">
            <v>9.5257345567780316E-2</v>
          </cell>
          <cell r="BI54">
            <v>9.1420515493691568E-2</v>
          </cell>
          <cell r="BK54">
            <v>0.23492877811137691</v>
          </cell>
          <cell r="BL54">
            <v>-2.6426107022786027E-2</v>
          </cell>
        </row>
        <row r="55">
          <cell r="A55" t="str">
            <v>Hong Kong</v>
          </cell>
          <cell r="B55">
            <v>6.0678000000000001</v>
          </cell>
          <cell r="C55">
            <v>6.0884</v>
          </cell>
          <cell r="D55">
            <v>5.6174999999999997</v>
          </cell>
          <cell r="E55">
            <v>5.2055999999999996</v>
          </cell>
          <cell r="F55">
            <v>4.7024999999999997</v>
          </cell>
          <cell r="G55">
            <v>4.7218</v>
          </cell>
          <cell r="H55">
            <v>4.2298</v>
          </cell>
          <cell r="I55">
            <v>1.1965939999999999</v>
          </cell>
          <cell r="J55">
            <v>1.1606160000000001</v>
          </cell>
          <cell r="K55">
            <v>1.399656</v>
          </cell>
          <cell r="L55">
            <v>1.1977530000000001</v>
          </cell>
          <cell r="M55">
            <v>4.954619000000001</v>
          </cell>
          <cell r="N55">
            <v>1.3230470000000001</v>
          </cell>
          <cell r="O55">
            <v>1.2837400000000001</v>
          </cell>
          <cell r="P55">
            <v>1.3696699999999999</v>
          </cell>
          <cell r="Q55">
            <v>1.219679</v>
          </cell>
          <cell r="R55">
            <v>5.1961360000000001</v>
          </cell>
          <cell r="S55">
            <v>1.307323</v>
          </cell>
          <cell r="T55">
            <v>1.2400910000000001</v>
          </cell>
          <cell r="U55">
            <v>1.371502</v>
          </cell>
          <cell r="V55">
            <v>1.1825209999999999</v>
          </cell>
          <cell r="W55">
            <v>5.1014369999999998</v>
          </cell>
          <cell r="X55">
            <v>1.1979759999999999</v>
          </cell>
          <cell r="Y55">
            <v>0.98099999999999998</v>
          </cell>
          <cell r="Z55">
            <v>1.3407359999999999</v>
          </cell>
          <cell r="AA55">
            <v>1.10345</v>
          </cell>
          <cell r="AB55">
            <v>4.6231620000000007</v>
          </cell>
          <cell r="AC55">
            <v>1.1577139999999999</v>
          </cell>
          <cell r="AD55">
            <v>1.227455</v>
          </cell>
          <cell r="AE55">
            <v>1.399008</v>
          </cell>
          <cell r="AF55">
            <v>1.2668820000000001</v>
          </cell>
          <cell r="AG55">
            <v>5.0510589999999995</v>
          </cell>
          <cell r="AH55">
            <v>1.35812</v>
          </cell>
          <cell r="AI55">
            <v>1.295623</v>
          </cell>
          <cell r="AJ55">
            <v>1.530324</v>
          </cell>
          <cell r="AK55">
            <v>1.430825</v>
          </cell>
          <cell r="AL55">
            <v>5.6148919999999993</v>
          </cell>
          <cell r="AM55">
            <v>1.5959220000000001</v>
          </cell>
          <cell r="AN55">
            <v>1.595545</v>
          </cell>
          <cell r="AO55">
            <v>1.8053090000000001</v>
          </cell>
          <cell r="AP55">
            <v>1.9438800000000001</v>
          </cell>
          <cell r="AQ55">
            <v>6.9406560000000006</v>
          </cell>
          <cell r="AR55">
            <v>1.9151064</v>
          </cell>
          <cell r="AS55">
            <v>1.9146539999999999</v>
          </cell>
          <cell r="AT55">
            <v>2.1663708000000002</v>
          </cell>
          <cell r="AU55">
            <v>2.3326560000000001</v>
          </cell>
          <cell r="AV55">
            <v>8.3287872000000007</v>
          </cell>
          <cell r="AW55">
            <v>8.8285144320000004</v>
          </cell>
          <cell r="AX55">
            <v>9.2699401536000003</v>
          </cell>
          <cell r="AY55">
            <v>9.7334371612800012</v>
          </cell>
          <cell r="AZ55">
            <v>10.025440276118401</v>
          </cell>
          <cell r="BA55">
            <v>10.225949081640769</v>
          </cell>
          <cell r="BB55">
            <v>10.430468063273585</v>
          </cell>
          <cell r="BC55">
            <v>10.639077424539057</v>
          </cell>
          <cell r="BD55">
            <v>10.851858973029838</v>
          </cell>
          <cell r="BE55">
            <v>11.068896152490435</v>
          </cell>
          <cell r="BF55">
            <v>11.290274075540244</v>
          </cell>
          <cell r="BG55">
            <v>11.51607955705105</v>
          </cell>
          <cell r="BH55">
            <v>11.746401148192071</v>
          </cell>
          <cell r="BI55">
            <v>11.981329171155913</v>
          </cell>
          <cell r="BK55">
            <v>7.0345265400000017</v>
          </cell>
          <cell r="BL55">
            <v>1.2942606599999991</v>
          </cell>
        </row>
        <row r="56">
          <cell r="A56" t="str">
            <v xml:space="preserve">  Year-over-Year growth</v>
          </cell>
          <cell r="C56">
            <v>3.3949701704076851E-3</v>
          </cell>
          <cell r="D56">
            <v>-7.7343801327113937E-2</v>
          </cell>
          <cell r="E56">
            <v>-7.3324432576769016E-2</v>
          </cell>
          <cell r="F56">
            <v>-9.6645919778699851E-2</v>
          </cell>
          <cell r="G56">
            <v>4.1041998936737212E-3</v>
          </cell>
          <cell r="H56">
            <v>-0.10419755178110046</v>
          </cell>
          <cell r="I56" t="str">
            <v>N.M.</v>
          </cell>
          <cell r="J56" t="str">
            <v>N.M.</v>
          </cell>
          <cell r="K56" t="str">
            <v>N.M.</v>
          </cell>
          <cell r="L56" t="str">
            <v>N.M.</v>
          </cell>
          <cell r="M56">
            <v>0.17136011158920073</v>
          </cell>
          <cell r="N56">
            <v>0.10567744782273691</v>
          </cell>
          <cell r="O56">
            <v>0.10608504449361367</v>
          </cell>
          <cell r="P56">
            <v>-2.1423835571026117E-2</v>
          </cell>
          <cell r="Q56">
            <v>1.8305944547832409E-2</v>
          </cell>
          <cell r="R56">
            <v>4.8745826873872522E-2</v>
          </cell>
          <cell r="S56">
            <v>-1.1884687392057947E-2</v>
          </cell>
          <cell r="T56">
            <v>-3.4001433312041418E-2</v>
          </cell>
          <cell r="U56">
            <v>1.3375484605782084E-3</v>
          </cell>
          <cell r="V56">
            <v>-3.0465392943553216E-2</v>
          </cell>
          <cell r="W56">
            <v>-1.8224888648026183E-2</v>
          </cell>
          <cell r="X56">
            <v>-8.36419155786291E-2</v>
          </cell>
          <cell r="Y56">
            <v>-0.20892902214434272</v>
          </cell>
          <cell r="Z56">
            <v>-2.2432340601763689E-2</v>
          </cell>
          <cell r="AA56">
            <v>-6.6866465796379004E-2</v>
          </cell>
          <cell r="AB56">
            <v>-9.3752995479508883E-2</v>
          </cell>
          <cell r="AC56">
            <v>-3.3608352754980086E-2</v>
          </cell>
          <cell r="AD56">
            <v>0.25122833843017323</v>
          </cell>
          <cell r="AE56">
            <v>4.346269511671208E-2</v>
          </cell>
          <cell r="AF56">
            <v>0.14811001857809591</v>
          </cell>
          <cell r="AG56">
            <v>9.2555052148291406E-2</v>
          </cell>
          <cell r="AH56">
            <v>0.17310492919667553</v>
          </cell>
          <cell r="AI56">
            <v>5.5536048164698482E-2</v>
          </cell>
          <cell r="AJ56">
            <v>9.3863651959102512E-2</v>
          </cell>
          <cell r="AK56">
            <v>0.12940668507406361</v>
          </cell>
          <cell r="AL56">
            <v>0.1116266905613259</v>
          </cell>
          <cell r="AM56">
            <v>0.17509645686684538</v>
          </cell>
          <cell r="AN56">
            <v>0.23148863519712148</v>
          </cell>
          <cell r="AO56">
            <v>0.17969070602042447</v>
          </cell>
          <cell r="AP56">
            <v>0.35857285132703165</v>
          </cell>
          <cell r="AQ56">
            <v>0.23611567239405518</v>
          </cell>
          <cell r="AR56">
            <v>0.2</v>
          </cell>
          <cell r="AS56">
            <v>0.2</v>
          </cell>
          <cell r="AT56">
            <v>0.2</v>
          </cell>
          <cell r="AU56">
            <v>0.2</v>
          </cell>
          <cell r="AV56">
            <v>0.19999999999999996</v>
          </cell>
          <cell r="AW56">
            <v>0.06</v>
          </cell>
          <cell r="AX56">
            <v>0.05</v>
          </cell>
          <cell r="AY56">
            <v>0.05</v>
          </cell>
          <cell r="AZ56">
            <v>0.03</v>
          </cell>
          <cell r="BA56">
            <v>0.02</v>
          </cell>
          <cell r="BB56">
            <v>0.02</v>
          </cell>
          <cell r="BC56">
            <v>0.02</v>
          </cell>
          <cell r="BD56">
            <v>0.02</v>
          </cell>
          <cell r="BE56">
            <v>0.02</v>
          </cell>
          <cell r="BF56">
            <v>0.02</v>
          </cell>
          <cell r="BG56">
            <v>0.02</v>
          </cell>
          <cell r="BH56">
            <v>0.02</v>
          </cell>
          <cell r="BI56">
            <v>0.02</v>
          </cell>
          <cell r="BK56">
            <v>0.08</v>
          </cell>
          <cell r="BL56">
            <v>0.11999999999999995</v>
          </cell>
        </row>
        <row r="57">
          <cell r="A57" t="str">
            <v>Other</v>
          </cell>
          <cell r="B57">
            <v>1.4893999999999998</v>
          </cell>
          <cell r="C57">
            <v>1.5000999999999998</v>
          </cell>
          <cell r="D57">
            <v>1.591800000000001</v>
          </cell>
          <cell r="E57">
            <v>2.3413000000000004</v>
          </cell>
          <cell r="F57">
            <v>1.7681000000000004</v>
          </cell>
          <cell r="G57">
            <v>1.4099000000000004</v>
          </cell>
          <cell r="H57">
            <v>1.5689000000000002</v>
          </cell>
          <cell r="I57">
            <v>0.40072400000000008</v>
          </cell>
          <cell r="J57">
            <v>0.48034700000000008</v>
          </cell>
          <cell r="K57">
            <v>0.52473799999999993</v>
          </cell>
          <cell r="L57">
            <v>0.52707099999999985</v>
          </cell>
          <cell r="M57">
            <v>1.9328799999999999</v>
          </cell>
          <cell r="N57">
            <v>0.4770080000000001</v>
          </cell>
          <cell r="O57">
            <v>0.56599299999999997</v>
          </cell>
          <cell r="P57">
            <v>0.52867100000000011</v>
          </cell>
          <cell r="Q57">
            <v>0.50544300000000031</v>
          </cell>
          <cell r="R57">
            <v>2.0771150000000005</v>
          </cell>
          <cell r="S57">
            <v>0.49224999999999985</v>
          </cell>
          <cell r="T57">
            <v>0.56665700000000019</v>
          </cell>
          <cell r="U57">
            <v>0.56752700000000011</v>
          </cell>
          <cell r="V57">
            <v>0.56252400000000002</v>
          </cell>
          <cell r="W57">
            <v>2.1889580000000004</v>
          </cell>
          <cell r="X57">
            <v>0.45932499999999998</v>
          </cell>
          <cell r="Y57">
            <v>0.155115</v>
          </cell>
          <cell r="Z57">
            <v>0.44610200000000022</v>
          </cell>
          <cell r="AA57">
            <v>0.46213599999999988</v>
          </cell>
          <cell r="AB57">
            <v>1.5226780000000002</v>
          </cell>
          <cell r="AC57">
            <v>0.40421200000000024</v>
          </cell>
          <cell r="AD57">
            <v>0.47956600000000016</v>
          </cell>
          <cell r="AE57">
            <v>0.56265999999999994</v>
          </cell>
          <cell r="AF57">
            <v>0.64531999999999967</v>
          </cell>
          <cell r="AG57">
            <v>2.091758</v>
          </cell>
          <cell r="AH57">
            <v>0.61388700000000007</v>
          </cell>
          <cell r="AI57">
            <v>0.66511099999999956</v>
          </cell>
          <cell r="AJ57">
            <v>0.67028499999999958</v>
          </cell>
          <cell r="AK57">
            <v>0.68404599999999993</v>
          </cell>
          <cell r="AL57">
            <v>2.6333289999999989</v>
          </cell>
          <cell r="AM57">
            <v>0.67433300000000007</v>
          </cell>
          <cell r="AN57">
            <v>0.73122500000000024</v>
          </cell>
          <cell r="AO57">
            <v>0.78132900000000016</v>
          </cell>
          <cell r="AP57">
            <v>0.8849619999999998</v>
          </cell>
          <cell r="AQ57">
            <v>3.0718490000000003</v>
          </cell>
          <cell r="AR57">
            <v>1.0114995000000002</v>
          </cell>
          <cell r="AS57">
            <v>0.95059250000000028</v>
          </cell>
          <cell r="AT57">
            <v>1.0157277000000002</v>
          </cell>
          <cell r="AU57">
            <v>1.0619543999999996</v>
          </cell>
          <cell r="AV57">
            <v>4.0397741000000007</v>
          </cell>
          <cell r="AW57">
            <v>4.645740215</v>
          </cell>
          <cell r="AX57">
            <v>5.1103142365000007</v>
          </cell>
          <cell r="AY57">
            <v>5.5191393754200009</v>
          </cell>
          <cell r="AZ57">
            <v>5.7950963441910011</v>
          </cell>
          <cell r="BA57">
            <v>5.9689492345167317</v>
          </cell>
          <cell r="BB57">
            <v>6.1480177115522334</v>
          </cell>
          <cell r="BC57">
            <v>6.3324582428988005</v>
          </cell>
          <cell r="BD57">
            <v>6.5224319901857646</v>
          </cell>
          <cell r="BE57">
            <v>6.7181049498913374</v>
          </cell>
          <cell r="BF57">
            <v>6.9196480983880777</v>
          </cell>
          <cell r="BG57">
            <v>7.1272375413397207</v>
          </cell>
          <cell r="BH57">
            <v>7.3410546675799129</v>
          </cell>
          <cell r="BI57">
            <v>7.5612863076073102</v>
          </cell>
          <cell r="BK57">
            <v>3.3802382400000002</v>
          </cell>
          <cell r="BL57">
            <v>0.65953586000000053</v>
          </cell>
        </row>
        <row r="58">
          <cell r="A58" t="str">
            <v xml:space="preserve">  Year-over-Year growth</v>
          </cell>
          <cell r="C58">
            <v>7.184100980260455E-3</v>
          </cell>
          <cell r="D58">
            <v>6.112925804946423E-2</v>
          </cell>
          <cell r="E58">
            <v>0.47085060937303624</v>
          </cell>
          <cell r="F58">
            <v>-0.24482125314995939</v>
          </cell>
          <cell r="G58">
            <v>-0.20259035122447822</v>
          </cell>
          <cell r="H58">
            <v>0.11277395559968784</v>
          </cell>
          <cell r="I58" t="str">
            <v>N.M.</v>
          </cell>
          <cell r="J58" t="str">
            <v>N.M.</v>
          </cell>
          <cell r="K58" t="str">
            <v>N.M.</v>
          </cell>
          <cell r="L58" t="str">
            <v>N.M.</v>
          </cell>
          <cell r="M58">
            <v>0.23199694053158249</v>
          </cell>
          <cell r="N58">
            <v>0.19036543855621324</v>
          </cell>
          <cell r="O58">
            <v>0.17830027042950181</v>
          </cell>
          <cell r="P58">
            <v>7.4951690176816577E-3</v>
          </cell>
          <cell r="Q58">
            <v>-4.1034319854439949E-2</v>
          </cell>
          <cell r="R58">
            <v>7.4621807872190971E-2</v>
          </cell>
          <cell r="S58">
            <v>3.1953342501592763E-2</v>
          </cell>
          <cell r="T58">
            <v>1.1731593853638866E-3</v>
          </cell>
          <cell r="U58">
            <v>7.3497506010354208E-2</v>
          </cell>
          <cell r="V58">
            <v>0.11293261554715306</v>
          </cell>
          <cell r="W58">
            <v>5.3845357623434342E-2</v>
          </cell>
          <cell r="X58">
            <v>-6.6886744540375576E-2</v>
          </cell>
          <cell r="Y58">
            <v>-0.72626297742726209</v>
          </cell>
          <cell r="Z58">
            <v>-0.21395457837248244</v>
          </cell>
          <cell r="AA58">
            <v>-0.17845994126472853</v>
          </cell>
          <cell r="AB58">
            <v>-0.30438226772738453</v>
          </cell>
          <cell r="AC58">
            <v>-0.11998693735372501</v>
          </cell>
          <cell r="AD58">
            <v>2.0916803661799319</v>
          </cell>
          <cell r="AE58">
            <v>0.26128105231538901</v>
          </cell>
          <cell r="AF58">
            <v>0.39638547959907866</v>
          </cell>
          <cell r="AG58">
            <v>0.37373627254087838</v>
          </cell>
          <cell r="AH58">
            <v>0.51872532235559476</v>
          </cell>
          <cell r="AI58">
            <v>0.38690190714103867</v>
          </cell>
          <cell r="AJ58">
            <v>0.19127892510574718</v>
          </cell>
          <cell r="AK58">
            <v>6.0010537407798159E-2</v>
          </cell>
          <cell r="AL58">
            <v>0.25890710110825377</v>
          </cell>
          <cell r="AM58">
            <v>9.8464375365498791E-2</v>
          </cell>
          <cell r="AN58">
            <v>9.9402956799693243E-2</v>
          </cell>
          <cell r="AO58">
            <v>0.1656668432084869</v>
          </cell>
          <cell r="AP58">
            <v>0.29371708920160322</v>
          </cell>
          <cell r="AQ58">
            <v>0.16652685631001729</v>
          </cell>
          <cell r="AR58">
            <v>0.5</v>
          </cell>
          <cell r="AS58">
            <v>0.3</v>
          </cell>
          <cell r="AT58">
            <v>0.3</v>
          </cell>
          <cell r="AU58">
            <v>0.2</v>
          </cell>
          <cell r="AV58">
            <v>0.31509527323771458</v>
          </cell>
          <cell r="AW58">
            <v>0.15</v>
          </cell>
          <cell r="AX58">
            <v>0.1</v>
          </cell>
          <cell r="AY58">
            <v>0.08</v>
          </cell>
          <cell r="AZ58">
            <v>0.05</v>
          </cell>
          <cell r="BA58">
            <v>0.03</v>
          </cell>
          <cell r="BB58">
            <v>0.03</v>
          </cell>
          <cell r="BC58">
            <v>0.03</v>
          </cell>
          <cell r="BD58">
            <v>0.03</v>
          </cell>
          <cell r="BE58">
            <v>0.03</v>
          </cell>
          <cell r="BF58">
            <v>0.03</v>
          </cell>
          <cell r="BG58">
            <v>0.03</v>
          </cell>
          <cell r="BH58">
            <v>0.03</v>
          </cell>
          <cell r="BI58">
            <v>0.03</v>
          </cell>
          <cell r="BK58">
            <v>0.15</v>
          </cell>
          <cell r="BL58">
            <v>0.16509527323771458</v>
          </cell>
        </row>
        <row r="59">
          <cell r="BL59">
            <v>0</v>
          </cell>
        </row>
        <row r="60">
          <cell r="A60" t="str">
            <v>IVS Visitors (Included in China visitors)</v>
          </cell>
          <cell r="Z60">
            <v>0.11890000000000001</v>
          </cell>
          <cell r="AA60">
            <v>0.4894</v>
          </cell>
          <cell r="AB60">
            <v>0.60830000000000006</v>
          </cell>
          <cell r="AC60">
            <v>0.67215000000000003</v>
          </cell>
          <cell r="AD60">
            <v>0.76708599999999993</v>
          </cell>
          <cell r="AE60">
            <v>1.050022</v>
          </cell>
          <cell r="AF60">
            <v>1.0294939999999999</v>
          </cell>
          <cell r="AG60">
            <v>3.5187520000000001</v>
          </cell>
          <cell r="AH60">
            <v>1.28729</v>
          </cell>
          <cell r="AI60">
            <v>1.2476640000000001</v>
          </cell>
          <cell r="AJ60">
            <v>1.3860619999999999</v>
          </cell>
          <cell r="AK60">
            <v>1.410493</v>
          </cell>
          <cell r="AL60">
            <v>5.3315089999999996</v>
          </cell>
          <cell r="AM60">
            <v>1.593618</v>
          </cell>
          <cell r="AN60">
            <v>1.184491</v>
          </cell>
          <cell r="AO60">
            <v>1.4137850000000001</v>
          </cell>
          <cell r="AP60">
            <v>1.582956</v>
          </cell>
          <cell r="AQ60">
            <v>5.7748499999999998</v>
          </cell>
          <cell r="AR60">
            <v>2.0717034000000001</v>
          </cell>
          <cell r="AS60">
            <v>1.5398383</v>
          </cell>
          <cell r="AT60">
            <v>1.9792989999999999</v>
          </cell>
          <cell r="AU60">
            <v>2.3053415091448213</v>
          </cell>
          <cell r="AV60">
            <v>7.8961822091448219</v>
          </cell>
          <cell r="AW60">
            <v>10.519358044952657</v>
          </cell>
          <cell r="AX60">
            <v>13.865754056090488</v>
          </cell>
          <cell r="AY60">
            <v>17.989030775247421</v>
          </cell>
          <cell r="AZ60">
            <v>22.230157652125556</v>
          </cell>
          <cell r="BA60">
            <v>26.709562013918656</v>
          </cell>
          <cell r="BB60">
            <v>31.437723495532428</v>
          </cell>
          <cell r="BC60">
            <v>36.425536060230506</v>
          </cell>
          <cell r="BD60">
            <v>41.684323427664474</v>
          </cell>
          <cell r="BE60">
            <v>47.225855054690292</v>
          </cell>
          <cell r="BF60">
            <v>53.062362688252755</v>
          </cell>
          <cell r="BG60">
            <v>59.206557510279751</v>
          </cell>
          <cell r="BH60">
            <v>65.671647895208935</v>
          </cell>
          <cell r="BI60">
            <v>72.47135780147461</v>
          </cell>
          <cell r="BK60">
            <v>8.800043609144824</v>
          </cell>
          <cell r="BL60">
            <v>-0.90386140000000204</v>
          </cell>
        </row>
        <row r="61">
          <cell r="A61" t="str">
            <v xml:space="preserve">  Year-over-Year growth</v>
          </cell>
          <cell r="AE61">
            <v>7.8311354079058031</v>
          </cell>
          <cell r="AF61">
            <v>1.1035839803841436</v>
          </cell>
          <cell r="AG61">
            <v>4.7845668255794838</v>
          </cell>
          <cell r="AH61">
            <v>0.91518262292643016</v>
          </cell>
          <cell r="AI61">
            <v>0.62649820228761866</v>
          </cell>
          <cell r="AJ61">
            <v>0.32003138981849899</v>
          </cell>
          <cell r="AK61">
            <v>0.37008374988100967</v>
          </cell>
          <cell r="AL61">
            <v>0.51517043542710583</v>
          </cell>
          <cell r="AM61">
            <v>0.23796347365395509</v>
          </cell>
          <cell r="AN61">
            <v>-5.0633022993370136E-2</v>
          </cell>
          <cell r="AO61">
            <v>2.00012697844687E-2</v>
          </cell>
          <cell r="AP61">
            <v>0.12227143275436325</v>
          </cell>
          <cell r="AQ61">
            <v>8.3154881666710256E-2</v>
          </cell>
          <cell r="AR61">
            <v>0.3</v>
          </cell>
          <cell r="AS61">
            <v>0.3</v>
          </cell>
          <cell r="AT61">
            <v>0.4</v>
          </cell>
          <cell r="AU61">
            <v>0.45635223540314529</v>
          </cell>
          <cell r="AV61">
            <v>0.36733979395911964</v>
          </cell>
          <cell r="AW61">
            <v>0.33220811859810562</v>
          </cell>
          <cell r="AX61">
            <v>0.31811789244529809</v>
          </cell>
          <cell r="AY61">
            <v>0.29737125745035109</v>
          </cell>
          <cell r="AZ61">
            <v>0.23576183341205059</v>
          </cell>
          <cell r="BA61">
            <v>0.20150124132677028</v>
          </cell>
          <cell r="BB61">
            <v>0.17702130342496347</v>
          </cell>
          <cell r="BC61">
            <v>0.15865692582374447</v>
          </cell>
          <cell r="BD61">
            <v>0.14437089844713435</v>
          </cell>
          <cell r="BE61">
            <v>0.13294042391361183</v>
          </cell>
          <cell r="BF61">
            <v>0.12358712461221599</v>
          </cell>
          <cell r="BG61">
            <v>0.11579195706238754</v>
          </cell>
          <cell r="BH61">
            <v>0.10919551240260295</v>
          </cell>
          <cell r="BI61">
            <v>0.10354102758493067</v>
          </cell>
          <cell r="BK61">
            <v>0.38159214754685333</v>
          </cell>
          <cell r="BL61">
            <v>-1.425235358773369E-2</v>
          </cell>
        </row>
        <row r="62">
          <cell r="A62" t="str">
            <v xml:space="preserve">  Share of Mainland China Visitors</v>
          </cell>
          <cell r="Z62">
            <v>7.7489117960074544E-2</v>
          </cell>
          <cell r="AA62">
            <v>0.2532624226149785</v>
          </cell>
          <cell r="AB62" t="str">
            <v>N.M.</v>
          </cell>
          <cell r="AC62">
            <v>0.30698495241653312</v>
          </cell>
          <cell r="AD62">
            <v>0.33697062665995431</v>
          </cell>
          <cell r="AE62">
            <v>0.42109370582368416</v>
          </cell>
          <cell r="AF62">
            <v>0.40054376223863825</v>
          </cell>
          <cell r="AG62">
            <v>0.36923907359897268</v>
          </cell>
          <cell r="AH62">
            <v>0.51802101798178279</v>
          </cell>
          <cell r="AI62">
            <v>0.497956749909302</v>
          </cell>
          <cell r="AJ62">
            <v>0.52293905768785998</v>
          </cell>
          <cell r="AK62">
            <v>0.4998449604711217</v>
          </cell>
          <cell r="AL62">
            <v>0.50956000430470672</v>
          </cell>
          <cell r="AM62">
            <v>0.53517287977585859</v>
          </cell>
          <cell r="AN62">
            <v>0.4159477218744162</v>
          </cell>
          <cell r="AO62">
            <v>0.48976227328595245</v>
          </cell>
          <cell r="AP62">
            <v>0.48356889261172953</v>
          </cell>
          <cell r="AQ62">
            <v>0.48181499542326439</v>
          </cell>
          <cell r="AR62">
            <v>0.63247703973510561</v>
          </cell>
          <cell r="AS62">
            <v>0.49157458039703728</v>
          </cell>
          <cell r="AT62">
            <v>0.49686027724661841</v>
          </cell>
          <cell r="AU62">
            <v>0.56323498505832825</v>
          </cell>
          <cell r="AV62">
            <v>0.54514138224868347</v>
          </cell>
          <cell r="AW62">
            <v>0.59637938270492752</v>
          </cell>
          <cell r="AX62">
            <v>0.64317974516614074</v>
          </cell>
          <cell r="AY62">
            <v>0.68629560043507121</v>
          </cell>
          <cell r="AZ62">
            <v>0.71931801728383638</v>
          </cell>
          <cell r="BA62">
            <v>0.74770073747012611</v>
          </cell>
          <cell r="BB62">
            <v>0.77342826012993293</v>
          </cell>
          <cell r="BC62">
            <v>0.79658449105730722</v>
          </cell>
          <cell r="BD62">
            <v>0.81607635045146221</v>
          </cell>
          <cell r="BE62">
            <v>0.83269560273510856</v>
          </cell>
          <cell r="BF62">
            <v>0.84702157748947049</v>
          </cell>
          <cell r="BG62">
            <v>0.85948792947152808</v>
          </cell>
          <cell r="BH62">
            <v>0.87042571153888337</v>
          </cell>
          <cell r="BI62">
            <v>0.8800920181653995</v>
          </cell>
          <cell r="BK62">
            <v>0.56883644560221058</v>
          </cell>
          <cell r="BL62">
            <v>-2.3695063353527113E-2</v>
          </cell>
        </row>
        <row r="63">
          <cell r="BL63">
            <v>0</v>
          </cell>
        </row>
        <row r="64">
          <cell r="A64" t="str">
            <v>Visitor Categories (included in total visitors)</v>
          </cell>
          <cell r="BL64">
            <v>0</v>
          </cell>
        </row>
        <row r="65">
          <cell r="A65" t="str">
            <v>Hotel Guests (mm)</v>
          </cell>
          <cell r="I65">
            <v>0.64250399999999996</v>
          </cell>
          <cell r="J65">
            <v>0.65831399999999995</v>
          </cell>
          <cell r="K65">
            <v>0.72399800000000003</v>
          </cell>
          <cell r="L65">
            <v>0.66502700000000003</v>
          </cell>
          <cell r="M65">
            <v>2.6898429999999998</v>
          </cell>
          <cell r="N65">
            <v>0.63451000000000002</v>
          </cell>
          <cell r="O65">
            <v>0.67612899999999998</v>
          </cell>
          <cell r="P65">
            <v>0.72155800000000003</v>
          </cell>
          <cell r="Q65">
            <v>0.73465599999999998</v>
          </cell>
          <cell r="R65">
            <v>2.7668530000000002</v>
          </cell>
          <cell r="S65">
            <v>0.72163500000000003</v>
          </cell>
          <cell r="T65">
            <v>0.77815900000000005</v>
          </cell>
          <cell r="U65">
            <v>0.81986700000000001</v>
          </cell>
          <cell r="V65">
            <v>0.83513999999999999</v>
          </cell>
          <cell r="W65">
            <v>3.154801</v>
          </cell>
          <cell r="X65">
            <v>0.76294200000000001</v>
          </cell>
          <cell r="Y65">
            <v>0.47021099999999999</v>
          </cell>
          <cell r="Z65">
            <v>0.88101700000000005</v>
          </cell>
          <cell r="AA65">
            <v>0.92910199999999998</v>
          </cell>
          <cell r="AB65">
            <v>3.043272</v>
          </cell>
          <cell r="AC65">
            <v>0.90883100000000006</v>
          </cell>
          <cell r="AD65">
            <v>0.96535700000000002</v>
          </cell>
          <cell r="AE65">
            <v>1.050009</v>
          </cell>
          <cell r="AF65">
            <v>1.031957</v>
          </cell>
          <cell r="AG65">
            <v>3.9561540000000006</v>
          </cell>
          <cell r="AH65">
            <v>0.90970899999999999</v>
          </cell>
          <cell r="AI65">
            <v>0.99521800000000005</v>
          </cell>
          <cell r="AJ65">
            <v>1.0900049999999999</v>
          </cell>
          <cell r="AK65">
            <v>1.1261559999999999</v>
          </cell>
          <cell r="AL65">
            <v>4.1210880000000003</v>
          </cell>
          <cell r="AM65">
            <v>1.0668580000000001</v>
          </cell>
          <cell r="AN65">
            <v>1.0922099999999999</v>
          </cell>
          <cell r="AO65">
            <v>1.1840930000000001</v>
          </cell>
          <cell r="AP65">
            <v>1.337693</v>
          </cell>
          <cell r="AQ65">
            <v>4.6808540000000001</v>
          </cell>
          <cell r="AR65">
            <v>1.2608204133030032</v>
          </cell>
          <cell r="AS65">
            <v>1.2659782460508937</v>
          </cell>
          <cell r="AT65">
            <v>1.5502250894208409</v>
          </cell>
          <cell r="AU65">
            <v>1.6413691984455396</v>
          </cell>
          <cell r="AV65">
            <v>5.718392947220277</v>
          </cell>
          <cell r="AW65">
            <v>7.2477650018330273</v>
          </cell>
          <cell r="AX65">
            <v>9.0906170171459291</v>
          </cell>
          <cell r="AY65">
            <v>11.12696307559267</v>
          </cell>
          <cell r="AZ65">
            <v>13.258229495648175</v>
          </cell>
          <cell r="BA65">
            <v>15.479990331349189</v>
          </cell>
          <cell r="BB65">
            <v>17.749476403510823</v>
          </cell>
          <cell r="BC65">
            <v>20.089518865799334</v>
          </cell>
          <cell r="BD65">
            <v>22.556264011369748</v>
          </cell>
          <cell r="BE65">
            <v>25.155235729013647</v>
          </cell>
          <cell r="BF65">
            <v>27.892175686482574</v>
          </cell>
          <cell r="BG65">
            <v>30.773051431514041</v>
          </cell>
          <cell r="BH65">
            <v>33.804064783015832</v>
          </cell>
          <cell r="BI65">
            <v>36.991660522529486</v>
          </cell>
          <cell r="BK65">
            <v>5.5233605609474532</v>
          </cell>
          <cell r="BL65">
            <v>0.19503238627282382</v>
          </cell>
        </row>
        <row r="66">
          <cell r="A66" t="str">
            <v xml:space="preserve">  Year-over-Year growth</v>
          </cell>
          <cell r="N66">
            <v>-1.2441945886718098E-2</v>
          </cell>
          <cell r="O66">
            <v>2.7061554212731265E-2</v>
          </cell>
          <cell r="P66">
            <v>-3.3701750557322274E-3</v>
          </cell>
          <cell r="Q66">
            <v>0.10470101213935656</v>
          </cell>
          <cell r="R66">
            <v>2.8629923753914488E-2</v>
          </cell>
          <cell r="S66">
            <v>0.13731068068273156</v>
          </cell>
          <cell r="T66">
            <v>0.15090315605453997</v>
          </cell>
          <cell r="U66">
            <v>0.13624545774560048</v>
          </cell>
          <cell r="V66">
            <v>0.13677694050004363</v>
          </cell>
          <cell r="W66">
            <v>0.14021272543210639</v>
          </cell>
          <cell r="X66">
            <v>5.7240848905610209E-2</v>
          </cell>
          <cell r="Y66">
            <v>-0.39573917412765258</v>
          </cell>
          <cell r="Z66">
            <v>7.4585268098362301E-2</v>
          </cell>
          <cell r="AA66">
            <v>0.11251047728524566</v>
          </cell>
          <cell r="AB66">
            <v>-3.5352150579386787E-2</v>
          </cell>
          <cell r="AC66">
            <v>0.19121899174511303</v>
          </cell>
          <cell r="AD66">
            <v>1.0530293846804946</v>
          </cell>
          <cell r="AE66">
            <v>0.19181468689026415</v>
          </cell>
          <cell r="AF66">
            <v>0.11070366870375925</v>
          </cell>
          <cell r="AG66">
            <v>0.2999672720676958</v>
          </cell>
          <cell r="AH66">
            <v>9.6607620118582815E-4</v>
          </cell>
          <cell r="AI66">
            <v>3.0932597992245459E-2</v>
          </cell>
          <cell r="AJ66">
            <v>3.8091102076267758E-2</v>
          </cell>
          <cell r="AK66">
            <v>9.1281904187868301E-2</v>
          </cell>
          <cell r="AL66">
            <v>4.1690490309527872E-2</v>
          </cell>
          <cell r="AM66">
            <v>0.17274644968885666</v>
          </cell>
          <cell r="AN66">
            <v>9.7458044368168517E-2</v>
          </cell>
          <cell r="AO66">
            <v>8.6318870096926403E-2</v>
          </cell>
          <cell r="AP66">
            <v>0.18783987298384952</v>
          </cell>
          <cell r="AQ66">
            <v>0.13582966439930422</v>
          </cell>
          <cell r="AR66">
            <v>0.1818071508138881</v>
          </cell>
          <cell r="AS66">
            <v>0.15909783471209193</v>
          </cell>
          <cell r="AT66">
            <v>0.3092088961093773</v>
          </cell>
          <cell r="AU66">
            <v>0.22701486697287021</v>
          </cell>
          <cell r="AV66">
            <v>0.22165590877653463</v>
          </cell>
          <cell r="AW66">
            <v>0.26744787717958096</v>
          </cell>
          <cell r="AX66">
            <v>0.25426486852799823</v>
          </cell>
          <cell r="AY66">
            <v>0.22400526329576564</v>
          </cell>
          <cell r="AZ66">
            <v>0.1915407111155516</v>
          </cell>
          <cell r="BA66">
            <v>0.16757598263254336</v>
          </cell>
          <cell r="BB66">
            <v>0.14660771897031499</v>
          </cell>
          <cell r="BC66">
            <v>0.13183726714471722</v>
          </cell>
          <cell r="BD66">
            <v>0.12278766664590623</v>
          </cell>
          <cell r="BE66">
            <v>0.11522172804564867</v>
          </cell>
          <cell r="BF66">
            <v>0.10880199998731022</v>
          </cell>
          <cell r="BG66">
            <v>0.10328616087226328</v>
          </cell>
          <cell r="BH66">
            <v>9.849570356216919E-2</v>
          </cell>
          <cell r="BI66">
            <v>9.4296226207541745E-2</v>
          </cell>
          <cell r="BK66">
            <v>0.17766064791266523</v>
          </cell>
          <cell r="BL66">
            <v>4.3995260863869401E-2</v>
          </cell>
        </row>
        <row r="67">
          <cell r="A67" t="str">
            <v xml:space="preserve">  Share of Visitation</v>
          </cell>
          <cell r="I67">
            <v>0.29530000225207936</v>
          </cell>
          <cell r="J67">
            <v>0.3006133148363192</v>
          </cell>
          <cell r="K67">
            <v>0.29256298001272091</v>
          </cell>
          <cell r="L67">
            <v>0.28641895232631659</v>
          </cell>
          <cell r="M67">
            <v>0.29358008742866892</v>
          </cell>
          <cell r="N67">
            <v>0.25865829189566431</v>
          </cell>
          <cell r="O67">
            <v>0.26446206319280924</v>
          </cell>
          <cell r="P67">
            <v>0.26832136179529936</v>
          </cell>
          <cell r="Q67">
            <v>0.28473769580038094</v>
          </cell>
          <cell r="R67">
            <v>0.26917601593077439</v>
          </cell>
          <cell r="S67">
            <v>0.26997689070993075</v>
          </cell>
          <cell r="T67">
            <v>0.2775295501444785</v>
          </cell>
          <cell r="U67">
            <v>0.27208132170671778</v>
          </cell>
          <cell r="V67">
            <v>0.27465422390136995</v>
          </cell>
          <cell r="W67">
            <v>0.2735967827498445</v>
          </cell>
          <cell r="X67">
            <v>0.25468864699973659</v>
          </cell>
          <cell r="Y67">
            <v>0.22681835130745517</v>
          </cell>
          <cell r="Z67">
            <v>0.26526693136644158</v>
          </cell>
          <cell r="AA67">
            <v>0.26561184504493895</v>
          </cell>
          <cell r="AB67">
            <v>0.25599795960186666</v>
          </cell>
          <cell r="AC67">
            <v>0.24226145271411273</v>
          </cell>
          <cell r="AD67">
            <v>0.24234260898685783</v>
          </cell>
          <cell r="AE67">
            <v>0.23568024704465115</v>
          </cell>
          <cell r="AF67">
            <v>0.230222001707551</v>
          </cell>
          <cell r="AG67">
            <v>0.23728539283358835</v>
          </cell>
          <cell r="AH67">
            <v>0.20410691264256714</v>
          </cell>
          <cell r="AI67">
            <v>0.22282824198369078</v>
          </cell>
          <cell r="AJ67">
            <v>0.22469085566008098</v>
          </cell>
          <cell r="AK67">
            <v>0.22811771025852728</v>
          </cell>
          <cell r="AL67">
            <v>0.22024727773817879</v>
          </cell>
          <cell r="AM67">
            <v>0.20328779360131768</v>
          </cell>
          <cell r="AN67">
            <v>0.21107701631589909</v>
          </cell>
          <cell r="AO67">
            <v>0.21633931471865125</v>
          </cell>
          <cell r="AP67">
            <v>0.21921027516056169</v>
          </cell>
          <cell r="AQ67">
            <v>0.21278425494685407</v>
          </cell>
          <cell r="AR67">
            <v>0.20328779360131768</v>
          </cell>
          <cell r="AS67">
            <v>0.21107701631589909</v>
          </cell>
          <cell r="AT67">
            <v>0.21633931471865125</v>
          </cell>
          <cell r="AU67">
            <v>0.21921027516056169</v>
          </cell>
          <cell r="AV67">
            <v>0.2129500583541149</v>
          </cell>
          <cell r="AW67">
            <v>0.23295005835411489</v>
          </cell>
          <cell r="AX67">
            <v>0.25295005835411488</v>
          </cell>
          <cell r="AY67">
            <v>0.26835005835411491</v>
          </cell>
          <cell r="AZ67">
            <v>0.28375005835411493</v>
          </cell>
          <cell r="BA67">
            <v>0.29816712024635433</v>
          </cell>
          <cell r="BB67">
            <v>0.31016603827248085</v>
          </cell>
          <cell r="BC67">
            <v>0.32041373176209048</v>
          </cell>
          <cell r="BD67">
            <v>0.32951345417739308</v>
          </cell>
          <cell r="BE67">
            <v>0.33764769255775506</v>
          </cell>
          <cell r="BF67">
            <v>0.34496220506834219</v>
          </cell>
          <cell r="BG67">
            <v>0.35157481870017465</v>
          </cell>
          <cell r="BH67">
            <v>0.35758181379299125</v>
          </cell>
          <cell r="BI67">
            <v>0.36306263386690529</v>
          </cell>
          <cell r="BK67">
            <v>0.21338059926725136</v>
          </cell>
          <cell r="BL67">
            <v>-4.3054091313646237E-4</v>
          </cell>
        </row>
        <row r="68">
          <cell r="BL68">
            <v>0</v>
          </cell>
        </row>
        <row r="69">
          <cell r="A69" t="str">
            <v>Other Overnight Visitors (mm)</v>
          </cell>
          <cell r="I69">
            <v>0.64930599999999994</v>
          </cell>
          <cell r="J69">
            <v>0.57573300000000016</v>
          </cell>
          <cell r="K69">
            <v>0.65198399999999979</v>
          </cell>
          <cell r="L69">
            <v>0.62985199999999986</v>
          </cell>
          <cell r="M69">
            <v>2.506875</v>
          </cell>
          <cell r="N69">
            <v>0.75571800000000022</v>
          </cell>
          <cell r="O69">
            <v>0.74077800000000016</v>
          </cell>
          <cell r="P69">
            <v>0.82103599999999999</v>
          </cell>
          <cell r="Q69">
            <v>0.75745000000000018</v>
          </cell>
          <cell r="R69">
            <v>3.0749820000000003</v>
          </cell>
          <cell r="S69">
            <v>0.82216699999999987</v>
          </cell>
          <cell r="T69">
            <v>0.85449900000000012</v>
          </cell>
          <cell r="U69">
            <v>0.88939200000000007</v>
          </cell>
          <cell r="V69">
            <v>0.84430000000000005</v>
          </cell>
          <cell r="W69">
            <v>3.410358</v>
          </cell>
          <cell r="X69">
            <v>0.84787799999999991</v>
          </cell>
          <cell r="Y69">
            <v>0.62717400000000012</v>
          </cell>
          <cell r="Z69">
            <v>0.90145200000000003</v>
          </cell>
          <cell r="AA69">
            <v>0.88873899999999983</v>
          </cell>
          <cell r="AB69">
            <v>3.2652429999999999</v>
          </cell>
          <cell r="AC69">
            <v>0.97960100000000006</v>
          </cell>
          <cell r="AD69">
            <v>1.0092860000000003</v>
          </cell>
          <cell r="AE69">
            <v>1.207511</v>
          </cell>
          <cell r="AF69">
            <v>1.170879</v>
          </cell>
          <cell r="AG69">
            <v>4.3672770000000005</v>
          </cell>
          <cell r="AH69">
            <v>1.1993830000000005</v>
          </cell>
          <cell r="AI69">
            <v>1.1248679999999998</v>
          </cell>
          <cell r="AJ69">
            <v>1.2860590000000001</v>
          </cell>
          <cell r="AK69">
            <v>1.2826660000000003</v>
          </cell>
          <cell r="AL69">
            <v>4.8929760000000009</v>
          </cell>
          <cell r="AM69">
            <v>1.4272919999999998</v>
          </cell>
          <cell r="AN69">
            <v>1.4080510000000002</v>
          </cell>
          <cell r="AO69">
            <v>1.5074250000000002</v>
          </cell>
          <cell r="AP69">
            <v>1.659041</v>
          </cell>
          <cell r="AQ69">
            <v>6.0018090000000006</v>
          </cell>
          <cell r="AR69">
            <v>1.624762439899456</v>
          </cell>
          <cell r="AS69">
            <v>1.5720917882641958</v>
          </cell>
          <cell r="AT69">
            <v>1.9018771064176783</v>
          </cell>
          <cell r="AU69">
            <v>1.9607915001260892</v>
          </cell>
          <cell r="AV69">
            <v>7.059522834707419</v>
          </cell>
          <cell r="AW69">
            <v>7.7126858481298948</v>
          </cell>
          <cell r="AX69">
            <v>8.3698007246177593</v>
          </cell>
          <cell r="AY69">
            <v>8.8719887680948251</v>
          </cell>
          <cell r="AZ69">
            <v>9.2268683188186191</v>
          </cell>
          <cell r="BA69">
            <v>9.5036743683831784</v>
          </cell>
          <cell r="BB69">
            <v>9.788784599434674</v>
          </cell>
          <cell r="BC69">
            <v>10.082448137417714</v>
          </cell>
          <cell r="BD69">
            <v>10.384921581540246</v>
          </cell>
          <cell r="BE69">
            <v>10.696469228986453</v>
          </cell>
          <cell r="BF69">
            <v>11.017363305856048</v>
          </cell>
          <cell r="BG69">
            <v>11.347884205031729</v>
          </cell>
          <cell r="BH69">
            <v>11.688320731182682</v>
          </cell>
          <cell r="BI69">
            <v>12.038970353118163</v>
          </cell>
          <cell r="BK69">
            <v>6.6327571348337973</v>
          </cell>
          <cell r="BL69">
            <v>0.42676569987362178</v>
          </cell>
        </row>
        <row r="70">
          <cell r="A70" t="str">
            <v xml:space="preserve">  Year-over-Year growth</v>
          </cell>
          <cell r="N70">
            <v>0.16388574878408679</v>
          </cell>
          <cell r="O70">
            <v>0.28666934151768264</v>
          </cell>
          <cell r="P70">
            <v>0.25928857149868745</v>
          </cell>
          <cell r="Q70">
            <v>0.20258409912169895</v>
          </cell>
          <cell r="R70">
            <v>0.22661959611069582</v>
          </cell>
          <cell r="S70">
            <v>8.7928301297573563E-2</v>
          </cell>
          <cell r="T70">
            <v>0.15351562816390318</v>
          </cell>
          <cell r="U70">
            <v>8.3255789027521399E-2</v>
          </cell>
          <cell r="V70">
            <v>0.11466103373159919</v>
          </cell>
          <cell r="W70">
            <v>0.10906600428880542</v>
          </cell>
          <cell r="X70">
            <v>3.1272235446083485E-2</v>
          </cell>
          <cell r="Y70">
            <v>-0.26603307903227502</v>
          </cell>
          <cell r="Z70">
            <v>1.3559825138971249E-2</v>
          </cell>
          <cell r="AA70">
            <v>5.2634134786213149E-2</v>
          </cell>
          <cell r="AB70">
            <v>-4.2551251217614161E-2</v>
          </cell>
          <cell r="AC70">
            <v>0.15535607717148014</v>
          </cell>
          <cell r="AD70">
            <v>0.60925995018926193</v>
          </cell>
          <cell r="AE70">
            <v>0.33951780017127908</v>
          </cell>
          <cell r="AF70">
            <v>0.31746103186649877</v>
          </cell>
          <cell r="AG70">
            <v>0.33750443688264564</v>
          </cell>
          <cell r="AH70">
            <v>0.22435869297805988</v>
          </cell>
          <cell r="AI70">
            <v>0.11451858046183072</v>
          </cell>
          <cell r="AJ70">
            <v>6.5049510936132204E-2</v>
          </cell>
          <cell r="AK70">
            <v>9.5472717505395766E-2</v>
          </cell>
          <cell r="AL70">
            <v>0.12037225941931329</v>
          </cell>
          <cell r="AM70">
            <v>0.19002186957794054</v>
          </cell>
          <cell r="AN70">
            <v>0.25174776062613602</v>
          </cell>
          <cell r="AO70">
            <v>0.17212740628540391</v>
          </cell>
          <cell r="AP70">
            <v>0.29343180531798585</v>
          </cell>
          <cell r="AQ70">
            <v>0.22661729793892293</v>
          </cell>
          <cell r="AR70">
            <v>0.13835321707082793</v>
          </cell>
          <cell r="AS70">
            <v>0.11650202177633884</v>
          </cell>
          <cell r="AT70">
            <v>0.26167279063149285</v>
          </cell>
          <cell r="AU70">
            <v>0.18188248519843042</v>
          </cell>
          <cell r="AV70">
            <v>0.17623250501764032</v>
          </cell>
          <cell r="AW70">
            <v>9.252226088302562E-2</v>
          </cell>
          <cell r="AX70">
            <v>8.5199227535916799E-2</v>
          </cell>
          <cell r="AY70">
            <v>0.06</v>
          </cell>
          <cell r="AZ70">
            <v>0.04</v>
          </cell>
          <cell r="BA70">
            <v>0.03</v>
          </cell>
          <cell r="BB70">
            <v>0.03</v>
          </cell>
          <cell r="BC70">
            <v>0.03</v>
          </cell>
          <cell r="BD70">
            <v>0.03</v>
          </cell>
          <cell r="BE70">
            <v>0.03</v>
          </cell>
          <cell r="BF70">
            <v>0.03</v>
          </cell>
          <cell r="BG70">
            <v>0.03</v>
          </cell>
          <cell r="BH70">
            <v>0.03</v>
          </cell>
          <cell r="BI70">
            <v>0.03</v>
          </cell>
          <cell r="BK70">
            <v>0.13342747386754317</v>
          </cell>
          <cell r="BL70">
            <v>4.280503115009715E-2</v>
          </cell>
        </row>
        <row r="71">
          <cell r="A71" t="str">
            <v xml:space="preserve">  Share of Visitation</v>
          </cell>
          <cell r="I71">
            <v>0.29842625612025547</v>
          </cell>
          <cell r="J71">
            <v>0.26290342540286038</v>
          </cell>
          <cell r="K71">
            <v>0.26346258133394534</v>
          </cell>
          <cell r="L71">
            <v>0.27126951230647045</v>
          </cell>
          <cell r="M71">
            <v>0.2736102373531632</v>
          </cell>
          <cell r="N71">
            <v>0.30806878856882897</v>
          </cell>
          <cell r="O71">
            <v>0.28974896543092055</v>
          </cell>
          <cell r="P71">
            <v>0.30531363743866102</v>
          </cell>
          <cell r="Q71">
            <v>0.29357218573590715</v>
          </cell>
          <cell r="R71">
            <v>0.2991526488103432</v>
          </cell>
          <cell r="S71">
            <v>0.30758775600450583</v>
          </cell>
          <cell r="T71">
            <v>0.30475612704975041</v>
          </cell>
          <cell r="U71">
            <v>0.29515391017735942</v>
          </cell>
          <cell r="V71">
            <v>0.27766669209944039</v>
          </cell>
          <cell r="W71">
            <v>0.29575969350370884</v>
          </cell>
          <cell r="X71">
            <v>0.2830423553046531</v>
          </cell>
          <cell r="Y71">
            <v>0.30253348531383129</v>
          </cell>
          <cell r="Z71">
            <v>0.27141974083830561</v>
          </cell>
          <cell r="AA71">
            <v>0.25407286342446139</v>
          </cell>
          <cell r="AB71">
            <v>0.27467000833454186</v>
          </cell>
          <cell r="AC71">
            <v>0.26112617344720584</v>
          </cell>
          <cell r="AD71">
            <v>0.25337051728418591</v>
          </cell>
          <cell r="AE71">
            <v>0.27103242999739408</v>
          </cell>
          <cell r="AF71">
            <v>0.26121447612384585</v>
          </cell>
          <cell r="AG71">
            <v>0.26194405944715377</v>
          </cell>
          <cell r="AH71">
            <v>0.26909963648373297</v>
          </cell>
          <cell r="AI71">
            <v>0.25185673782398449</v>
          </cell>
          <cell r="AJ71">
            <v>0.26510492808688779</v>
          </cell>
          <cell r="AK71">
            <v>0.25982086935243809</v>
          </cell>
          <cell r="AL71">
            <v>0.26150003203965633</v>
          </cell>
          <cell r="AM71">
            <v>0.27196781718355384</v>
          </cell>
          <cell r="AN71">
            <v>0.27211543924759718</v>
          </cell>
          <cell r="AO71">
            <v>0.27541357941459238</v>
          </cell>
          <cell r="AP71">
            <v>0.2718701780697465</v>
          </cell>
          <cell r="AQ71">
            <v>0.27283278999907357</v>
          </cell>
          <cell r="AR71">
            <v>0.26196781718355383</v>
          </cell>
          <cell r="AS71">
            <v>0.26211543924759717</v>
          </cell>
          <cell r="AT71">
            <v>0.26541357941459237</v>
          </cell>
          <cell r="AU71">
            <v>0.2618701780697465</v>
          </cell>
          <cell r="AV71">
            <v>0.26289305640213506</v>
          </cell>
          <cell r="AW71">
            <v>0.24789305640213505</v>
          </cell>
          <cell r="AX71">
            <v>0.23289305640213503</v>
          </cell>
          <cell r="AY71">
            <v>0.2139666221107224</v>
          </cell>
          <cell r="AZ71">
            <v>0.19747164768492503</v>
          </cell>
          <cell r="BA71">
            <v>0.18305458579268555</v>
          </cell>
          <cell r="BB71">
            <v>0.17105566776655901</v>
          </cell>
          <cell r="BC71">
            <v>0.16080797427694937</v>
          </cell>
          <cell r="BD71">
            <v>0.15170825186164683</v>
          </cell>
          <cell r="BE71">
            <v>0.1435740134812849</v>
          </cell>
          <cell r="BF71">
            <v>0.13625950097069769</v>
          </cell>
          <cell r="BG71">
            <v>0.1296468873388652</v>
          </cell>
          <cell r="BH71">
            <v>0.12363989224604864</v>
          </cell>
          <cell r="BI71">
            <v>0.11815907217213469</v>
          </cell>
          <cell r="BK71">
            <v>0.25623923635037837</v>
          </cell>
          <cell r="BL71">
            <v>6.653820051756687E-3</v>
          </cell>
        </row>
        <row r="72">
          <cell r="BL72">
            <v>0</v>
          </cell>
        </row>
        <row r="73">
          <cell r="A73" t="str">
            <v>Total Overnight Guests (mm)</v>
          </cell>
          <cell r="I73">
            <v>1.2918099999999999</v>
          </cell>
          <cell r="J73">
            <v>1.2340470000000001</v>
          </cell>
          <cell r="K73">
            <v>1.3759819999999998</v>
          </cell>
          <cell r="L73">
            <v>1.2948789999999999</v>
          </cell>
          <cell r="M73">
            <v>5.1967179999999997</v>
          </cell>
          <cell r="N73">
            <v>1.3902280000000002</v>
          </cell>
          <cell r="O73">
            <v>1.4169070000000001</v>
          </cell>
          <cell r="P73">
            <v>1.542594</v>
          </cell>
          <cell r="Q73">
            <v>1.4921060000000002</v>
          </cell>
          <cell r="R73">
            <v>5.8418350000000014</v>
          </cell>
          <cell r="S73">
            <v>1.5438019999999999</v>
          </cell>
          <cell r="T73">
            <v>1.6326580000000002</v>
          </cell>
          <cell r="U73">
            <v>1.7092590000000001</v>
          </cell>
          <cell r="V73">
            <v>1.67944</v>
          </cell>
          <cell r="W73">
            <v>6.5651589999999995</v>
          </cell>
          <cell r="X73">
            <v>1.6108199999999999</v>
          </cell>
          <cell r="Y73">
            <v>1.0973850000000001</v>
          </cell>
          <cell r="Z73">
            <v>1.7824690000000001</v>
          </cell>
          <cell r="AA73">
            <v>1.8178409999999998</v>
          </cell>
          <cell r="AB73">
            <v>6.3085149999999999</v>
          </cell>
          <cell r="AC73">
            <v>1.8884320000000001</v>
          </cell>
          <cell r="AD73">
            <v>1.9746430000000004</v>
          </cell>
          <cell r="AE73">
            <v>2.25752</v>
          </cell>
          <cell r="AF73">
            <v>2.202836</v>
          </cell>
          <cell r="AG73">
            <v>8.3234309999999994</v>
          </cell>
          <cell r="AH73">
            <v>2.1090920000000004</v>
          </cell>
          <cell r="AI73">
            <v>2.1200859999999997</v>
          </cell>
          <cell r="AJ73">
            <v>2.376064</v>
          </cell>
          <cell r="AK73">
            <v>2.4088220000000002</v>
          </cell>
          <cell r="AL73">
            <v>9.0140640000000012</v>
          </cell>
          <cell r="AM73">
            <v>2.4941499999999999</v>
          </cell>
          <cell r="AN73">
            <v>2.5002610000000001</v>
          </cell>
          <cell r="AO73">
            <v>2.6915180000000003</v>
          </cell>
          <cell r="AP73">
            <v>2.996734</v>
          </cell>
          <cell r="AQ73">
            <v>10.682663</v>
          </cell>
          <cell r="AR73">
            <v>2.8855828532024592</v>
          </cell>
          <cell r="AS73">
            <v>2.8380700343150895</v>
          </cell>
          <cell r="AT73">
            <v>3.4521021958385192</v>
          </cell>
          <cell r="AU73">
            <v>3.6021606985716286</v>
          </cell>
          <cell r="AV73">
            <v>12.777915781927696</v>
          </cell>
          <cell r="AW73">
            <v>14.960450849962921</v>
          </cell>
          <cell r="AX73">
            <v>17.460417741763688</v>
          </cell>
          <cell r="AY73">
            <v>19.998951843687493</v>
          </cell>
          <cell r="AZ73">
            <v>22.485097814466794</v>
          </cell>
          <cell r="BA73">
            <v>24.983664699732365</v>
          </cell>
          <cell r="BB73">
            <v>27.538261002945497</v>
          </cell>
          <cell r="BC73">
            <v>30.171967003217048</v>
          </cell>
          <cell r="BD73">
            <v>32.941185592909996</v>
          </cell>
          <cell r="BE73">
            <v>35.851704958000099</v>
          </cell>
          <cell r="BF73">
            <v>38.909538992338625</v>
          </cell>
          <cell r="BG73">
            <v>42.120935636545767</v>
          </cell>
          <cell r="BH73">
            <v>45.492385514198517</v>
          </cell>
          <cell r="BI73">
            <v>49.030630875647645</v>
          </cell>
          <cell r="BK73">
            <v>12.156117695781251</v>
          </cell>
          <cell r="BL73">
            <v>0.62179808614644472</v>
          </cell>
        </row>
        <row r="74">
          <cell r="A74" t="str">
            <v xml:space="preserve">  Year-over-Year growth</v>
          </cell>
          <cell r="N74">
            <v>7.6186126442743474E-2</v>
          </cell>
          <cell r="O74">
            <v>0.14817912121661503</v>
          </cell>
          <cell r="P74">
            <v>0.12108588629793138</v>
          </cell>
          <cell r="Q74">
            <v>0.15231307326784993</v>
          </cell>
          <cell r="R74">
            <v>0.12413931254303234</v>
          </cell>
          <cell r="S74">
            <v>0.11046677235676428</v>
          </cell>
          <cell r="T74">
            <v>0.15226899154284657</v>
          </cell>
          <cell r="U74">
            <v>0.10804203828097347</v>
          </cell>
          <cell r="V74">
            <v>0.12555006145675973</v>
          </cell>
          <cell r="W74">
            <v>0.12381794419048098</v>
          </cell>
          <cell r="X74">
            <v>4.3411007370116161E-2</v>
          </cell>
          <cell r="Y74">
            <v>-0.32785372074249475</v>
          </cell>
          <cell r="Z74">
            <v>4.2831425781581389E-2</v>
          </cell>
          <cell r="AA74">
            <v>8.2409017291477982E-2</v>
          </cell>
          <cell r="AB74">
            <v>-3.9091817882856983E-2</v>
          </cell>
          <cell r="AC74">
            <v>0.17234203697495709</v>
          </cell>
          <cell r="AD74">
            <v>0.7994076828095884</v>
          </cell>
          <cell r="AE74">
            <v>0.26651290990193921</v>
          </cell>
          <cell r="AF74">
            <v>0.21178694946367704</v>
          </cell>
          <cell r="AG74">
            <v>0.31939624459956106</v>
          </cell>
          <cell r="AH74">
            <v>0.11684826353292066</v>
          </cell>
          <cell r="AI74">
            <v>7.3655339218278604E-2</v>
          </cell>
          <cell r="AJ74">
            <v>5.2510719727842936E-2</v>
          </cell>
          <cell r="AK74">
            <v>9.3509457808025775E-2</v>
          </cell>
          <cell r="AL74">
            <v>8.2974557006600058E-2</v>
          </cell>
          <cell r="AM74">
            <v>0.18257050901525362</v>
          </cell>
          <cell r="AN74">
            <v>0.17932055586424345</v>
          </cell>
          <cell r="AO74">
            <v>0.13276325890211726</v>
          </cell>
          <cell r="AP74">
            <v>0.24406618670868996</v>
          </cell>
          <cell r="AQ74">
            <v>0.18511062268916634</v>
          </cell>
          <cell r="AR74">
            <v>0.15694038177433578</v>
          </cell>
          <cell r="AS74">
            <v>0.13510950829336998</v>
          </cell>
          <cell r="AT74">
            <v>0.28258558770125952</v>
          </cell>
          <cell r="AU74">
            <v>0.20202884158941981</v>
          </cell>
          <cell r="AV74">
            <v>0.19613581200939278</v>
          </cell>
          <cell r="AW74">
            <v>0.17080524752887083</v>
          </cell>
          <cell r="AX74">
            <v>0.16710505030047029</v>
          </cell>
          <cell r="AY74">
            <v>0.14538793627210134</v>
          </cell>
          <cell r="AZ74">
            <v>0.12431381355438553</v>
          </cell>
          <cell r="BA74">
            <v>0.11112101472193769</v>
          </cell>
          <cell r="BB74">
            <v>0.10225066394044657</v>
          </cell>
          <cell r="BC74">
            <v>9.5638065162860109E-2</v>
          </cell>
          <cell r="BD74">
            <v>9.1781175201394172E-2</v>
          </cell>
          <cell r="BE74">
            <v>8.8355027686572996E-2</v>
          </cell>
          <cell r="BF74">
            <v>8.5291174796868097E-2</v>
          </cell>
          <cell r="BG74">
            <v>8.2534944575916702E-2</v>
          </cell>
          <cell r="BH74">
            <v>8.0042141198961136E-2</v>
          </cell>
          <cell r="BI74">
            <v>7.7776650343930998E-2</v>
          </cell>
          <cell r="BK74">
            <v>0.15310660405423859</v>
          </cell>
          <cell r="BL74">
            <v>4.3029207955154192E-2</v>
          </cell>
        </row>
        <row r="75">
          <cell r="A75" t="str">
            <v xml:space="preserve">  Share of Visitation</v>
          </cell>
          <cell r="I75">
            <v>0.59372625837233484</v>
          </cell>
          <cell r="J75">
            <v>0.56351674023917953</v>
          </cell>
          <cell r="K75">
            <v>0.55602556134666625</v>
          </cell>
          <cell r="L75">
            <v>0.5576884646327871</v>
          </cell>
          <cell r="M75">
            <v>0.56719032478183207</v>
          </cell>
          <cell r="N75">
            <v>0.56672708046449327</v>
          </cell>
          <cell r="O75">
            <v>0.55421102862372984</v>
          </cell>
          <cell r="P75">
            <v>0.57363499923396033</v>
          </cell>
          <cell r="Q75">
            <v>0.57830988153628815</v>
          </cell>
          <cell r="R75">
            <v>0.56832866474111776</v>
          </cell>
          <cell r="S75">
            <v>0.57756464671443664</v>
          </cell>
          <cell r="T75">
            <v>0.58228567719422886</v>
          </cell>
          <cell r="U75">
            <v>0.56723523188407721</v>
          </cell>
          <cell r="V75">
            <v>0.55232091600081035</v>
          </cell>
          <cell r="W75">
            <v>0.56935647625355335</v>
          </cell>
          <cell r="X75">
            <v>0.53773100230438975</v>
          </cell>
          <cell r="Y75">
            <v>0.52935183662128638</v>
          </cell>
          <cell r="Z75">
            <v>0.53668667220474719</v>
          </cell>
          <cell r="AA75">
            <v>0.5196847084694004</v>
          </cell>
          <cell r="AB75">
            <v>0.53066796793640858</v>
          </cell>
          <cell r="AC75">
            <v>0.5033876261613186</v>
          </cell>
          <cell r="AD75">
            <v>0.49571312627104375</v>
          </cell>
          <cell r="AE75">
            <v>0.50671267704204526</v>
          </cell>
          <cell r="AF75">
            <v>0.49143647783139688</v>
          </cell>
          <cell r="AG75">
            <v>0.49922945228074206</v>
          </cell>
          <cell r="AH75">
            <v>0.47320654912630011</v>
          </cell>
          <cell r="AI75">
            <v>0.47468497980767527</v>
          </cell>
          <cell r="AJ75">
            <v>0.48979578374696875</v>
          </cell>
          <cell r="AK75">
            <v>0.48793857961096537</v>
          </cell>
          <cell r="AL75">
            <v>0.48174730977783514</v>
          </cell>
          <cell r="AM75">
            <v>0.4752556107848715</v>
          </cell>
          <cell r="AN75">
            <v>0.48319245556349627</v>
          </cell>
          <cell r="AO75">
            <v>0.49175289413324363</v>
          </cell>
          <cell r="AP75">
            <v>0.49108045323030819</v>
          </cell>
          <cell r="AQ75">
            <v>0.48561704494592761</v>
          </cell>
          <cell r="AR75">
            <v>0.46525561078487149</v>
          </cell>
          <cell r="AS75">
            <v>0.47319245556349626</v>
          </cell>
          <cell r="AT75">
            <v>0.48175289413324363</v>
          </cell>
          <cell r="AU75">
            <v>0.48108045323030812</v>
          </cell>
          <cell r="AV75">
            <v>0.47584311475624996</v>
          </cell>
          <cell r="AW75">
            <v>0.48084311475624991</v>
          </cell>
          <cell r="AX75">
            <v>0.48584311475624992</v>
          </cell>
          <cell r="AY75">
            <v>0.48231668046483728</v>
          </cell>
          <cell r="AZ75">
            <v>0.48122170603903996</v>
          </cell>
          <cell r="BA75">
            <v>0.48122170603903985</v>
          </cell>
          <cell r="BB75">
            <v>0.48122170603903985</v>
          </cell>
          <cell r="BC75">
            <v>0.48122170603903985</v>
          </cell>
          <cell r="BD75">
            <v>0.48122170603903991</v>
          </cell>
          <cell r="BE75">
            <v>0.48122170603903991</v>
          </cell>
          <cell r="BF75">
            <v>0.48122170603903996</v>
          </cell>
          <cell r="BG75">
            <v>0.48122170603903985</v>
          </cell>
          <cell r="BH75">
            <v>0.48122170603903991</v>
          </cell>
          <cell r="BI75">
            <v>0.48122170603903996</v>
          </cell>
          <cell r="BK75">
            <v>0.46961983561762977</v>
          </cell>
          <cell r="BL75">
            <v>6.2232791386201969E-3</v>
          </cell>
        </row>
        <row r="76">
          <cell r="BL76">
            <v>0</v>
          </cell>
        </row>
        <row r="77">
          <cell r="A77" t="str">
            <v>Day Trippers (mm)</v>
          </cell>
          <cell r="I77">
            <v>0.88395699999999999</v>
          </cell>
          <cell r="J77">
            <v>0.95585600000000004</v>
          </cell>
          <cell r="K77">
            <v>1.098692</v>
          </cell>
          <cell r="L77">
            <v>1.0269889999999999</v>
          </cell>
          <cell r="M77">
            <v>3.9654940000000001</v>
          </cell>
          <cell r="N77">
            <v>1.062854</v>
          </cell>
          <cell r="O77">
            <v>1.139713</v>
          </cell>
          <cell r="P77">
            <v>1.1465620000000001</v>
          </cell>
          <cell r="Q77">
            <v>1.088009</v>
          </cell>
          <cell r="R77">
            <v>4.4371380000000009</v>
          </cell>
          <cell r="S77">
            <v>1.129149</v>
          </cell>
          <cell r="T77">
            <v>1.1712199999999999</v>
          </cell>
          <cell r="U77">
            <v>1.304057</v>
          </cell>
          <cell r="V77">
            <v>1.361256</v>
          </cell>
          <cell r="W77">
            <v>4.9656820000000002</v>
          </cell>
          <cell r="X77">
            <v>1.3847670000000001</v>
          </cell>
          <cell r="Y77">
            <v>0.975688</v>
          </cell>
          <cell r="Z77">
            <v>1.538778</v>
          </cell>
          <cell r="AA77">
            <v>1.6801280000000001</v>
          </cell>
          <cell r="AB77">
            <v>5.5793609999999996</v>
          </cell>
          <cell r="AC77">
            <v>1.8630150000000001</v>
          </cell>
          <cell r="AD77">
            <v>2.0087959999999998</v>
          </cell>
          <cell r="AE77">
            <v>2.1977069999999999</v>
          </cell>
          <cell r="AF77">
            <v>2.2796069999999999</v>
          </cell>
          <cell r="AG77">
            <v>8.3491250000000008</v>
          </cell>
          <cell r="AH77">
            <v>2.3479299999999999</v>
          </cell>
          <cell r="AI77">
            <v>2.3462149999999999</v>
          </cell>
          <cell r="AJ77">
            <v>2.4750679999999998</v>
          </cell>
          <cell r="AK77">
            <v>2.5279099999999999</v>
          </cell>
          <cell r="AL77">
            <v>9.6971229999999995</v>
          </cell>
          <cell r="AM77">
            <v>2.7538680000000002</v>
          </cell>
          <cell r="AN77">
            <v>2.6742010000000001</v>
          </cell>
          <cell r="AO77">
            <v>2.7817959999999999</v>
          </cell>
          <cell r="AP77">
            <v>3.105594</v>
          </cell>
          <cell r="AQ77">
            <v>11.315459000000001</v>
          </cell>
          <cell r="AR77">
            <v>3.3165623467975411</v>
          </cell>
          <cell r="AS77">
            <v>3.1596376656849108</v>
          </cell>
          <cell r="AT77">
            <v>3.7136091841614811</v>
          </cell>
          <cell r="AU77">
            <v>3.8854864805731921</v>
          </cell>
          <cell r="AV77">
            <v>14.075295677217126</v>
          </cell>
          <cell r="AW77">
            <v>16.152505519489736</v>
          </cell>
          <cell r="AX77">
            <v>18.477968974951796</v>
          </cell>
          <cell r="AY77">
            <v>21.465406851958932</v>
          </cell>
          <cell r="AZ77">
            <v>24.23993044650415</v>
          </cell>
          <cell r="BA77">
            <v>26.933496114508888</v>
          </cell>
          <cell r="BB77">
            <v>29.687463974454861</v>
          </cell>
          <cell r="BC77">
            <v>32.526715588563839</v>
          </cell>
          <cell r="BD77">
            <v>35.512055770723727</v>
          </cell>
          <cell r="BE77">
            <v>38.649724441553147</v>
          </cell>
          <cell r="BF77">
            <v>41.946204844748436</v>
          </cell>
          <cell r="BG77">
            <v>45.408232536779813</v>
          </cell>
          <cell r="BH77">
            <v>49.042804697083994</v>
          </cell>
          <cell r="BI77">
            <v>52.857189769894788</v>
          </cell>
          <cell r="BK77">
            <v>13.728899873363574</v>
          </cell>
          <cell r="BL77">
            <v>0.34639580385355195</v>
          </cell>
        </row>
        <row r="78">
          <cell r="A78" t="str">
            <v xml:space="preserve">  Year-over-Year growth</v>
          </cell>
          <cell r="N78">
            <v>0.20238201631979824</v>
          </cell>
          <cell r="O78">
            <v>0.1923480105789992</v>
          </cell>
          <cell r="P78">
            <v>4.3569990497791977E-2</v>
          </cell>
          <cell r="Q78">
            <v>5.9416410497094008E-2</v>
          </cell>
          <cell r="R78">
            <v>0.11893701011778135</v>
          </cell>
          <cell r="S78">
            <v>6.2374512397751714E-2</v>
          </cell>
          <cell r="T78">
            <v>2.7644678967424285E-2</v>
          </cell>
          <cell r="U78">
            <v>0.1373628290489306</v>
          </cell>
          <cell r="V78">
            <v>0.25114406222742636</v>
          </cell>
          <cell r="W78">
            <v>0.11911822440501041</v>
          </cell>
          <cell r="X78">
            <v>0.22638110647930443</v>
          </cell>
          <cell r="Y78">
            <v>-0.16694728573624085</v>
          </cell>
          <cell r="Z78">
            <v>0.17999289908339899</v>
          </cell>
          <cell r="AA78">
            <v>0.23424837062242521</v>
          </cell>
          <cell r="AB78">
            <v>0.12358403135762619</v>
          </cell>
          <cell r="AC78">
            <v>0.34536351602832815</v>
          </cell>
          <cell r="AD78">
            <v>1.0588507801674303</v>
          </cell>
          <cell r="AE78">
            <v>0.42821576601693034</v>
          </cell>
          <cell r="AF78">
            <v>0.35680555291025429</v>
          </cell>
          <cell r="AG78">
            <v>0.49643032598177483</v>
          </cell>
          <cell r="AH78">
            <v>0.26028507553616032</v>
          </cell>
          <cell r="AI78">
            <v>0.16797076457738869</v>
          </cell>
          <cell r="AJ78">
            <v>0.12620472155751417</v>
          </cell>
          <cell r="AK78">
            <v>0.10892359955027331</v>
          </cell>
          <cell r="AL78">
            <v>0.16145380503945006</v>
          </cell>
          <cell r="AM78">
            <v>0.17289186645257759</v>
          </cell>
          <cell r="AN78">
            <v>0.13979366767325252</v>
          </cell>
          <cell r="AO78">
            <v>0.12392710018472219</v>
          </cell>
          <cell r="AP78">
            <v>0.2285223761921904</v>
          </cell>
          <cell r="AQ78">
            <v>0.16688826160088932</v>
          </cell>
          <cell r="AR78">
            <v>0.20432872846394279</v>
          </cell>
          <cell r="AS78">
            <v>0.18152587097413786</v>
          </cell>
          <cell r="AT78">
            <v>0.33496819470639871</v>
          </cell>
          <cell r="AU78">
            <v>0.25112506031799131</v>
          </cell>
          <cell r="AV78">
            <v>0.24389966657270601</v>
          </cell>
          <cell r="AW78">
            <v>0.14757841610637512</v>
          </cell>
          <cell r="AX78">
            <v>0.14396920977096328</v>
          </cell>
          <cell r="AY78">
            <v>0.16167566257183452</v>
          </cell>
          <cell r="AZ78">
            <v>0.12925557915954511</v>
          </cell>
          <cell r="BA78">
            <v>0.11112101472193792</v>
          </cell>
          <cell r="BB78">
            <v>0.10225066394044657</v>
          </cell>
          <cell r="BC78">
            <v>9.5638065162860109E-2</v>
          </cell>
          <cell r="BD78">
            <v>9.178117520139395E-2</v>
          </cell>
          <cell r="BE78">
            <v>8.8355027686572996E-2</v>
          </cell>
          <cell r="BF78">
            <v>8.5291174796867875E-2</v>
          </cell>
          <cell r="BG78">
            <v>8.2534944575917146E-2</v>
          </cell>
          <cell r="BH78">
            <v>8.0042141198960914E-2</v>
          </cell>
          <cell r="BI78">
            <v>7.7776650343930998E-2</v>
          </cell>
          <cell r="BK78">
            <v>0.2002914230366637</v>
          </cell>
          <cell r="BL78">
            <v>4.3608243536042313E-2</v>
          </cell>
        </row>
        <row r="79">
          <cell r="A79" t="str">
            <v xml:space="preserve">  Share of Visitation</v>
          </cell>
          <cell r="I79">
            <v>0.40627374162766511</v>
          </cell>
          <cell r="J79">
            <v>0.43648325976082042</v>
          </cell>
          <cell r="K79">
            <v>0.44397443865333375</v>
          </cell>
          <cell r="L79">
            <v>0.44231153536721296</v>
          </cell>
          <cell r="M79">
            <v>0.43280967521816782</v>
          </cell>
          <cell r="N79">
            <v>0.43327291953550673</v>
          </cell>
          <cell r="O79">
            <v>0.44578897137627022</v>
          </cell>
          <cell r="P79">
            <v>0.42636500076603961</v>
          </cell>
          <cell r="Q79">
            <v>0.42169011846371185</v>
          </cell>
          <cell r="R79">
            <v>0.43167133525888246</v>
          </cell>
          <cell r="S79">
            <v>0.42243535328556342</v>
          </cell>
          <cell r="T79">
            <v>0.41771432280577109</v>
          </cell>
          <cell r="U79">
            <v>0.43276476811592279</v>
          </cell>
          <cell r="V79">
            <v>0.44767908399918965</v>
          </cell>
          <cell r="W79">
            <v>0.4306435237464466</v>
          </cell>
          <cell r="X79">
            <v>0.46226899769561025</v>
          </cell>
          <cell r="Y79">
            <v>0.47064816337871362</v>
          </cell>
          <cell r="Z79">
            <v>0.46331332779525281</v>
          </cell>
          <cell r="AA79">
            <v>0.48031529153059965</v>
          </cell>
          <cell r="AB79">
            <v>0.46933203206359153</v>
          </cell>
          <cell r="AC79">
            <v>0.49661237383868145</v>
          </cell>
          <cell r="AD79">
            <v>0.5042868737289562</v>
          </cell>
          <cell r="AE79">
            <v>0.49328732295795474</v>
          </cell>
          <cell r="AF79">
            <v>0.50856352216860312</v>
          </cell>
          <cell r="AG79">
            <v>0.500770547719258</v>
          </cell>
          <cell r="AH79">
            <v>0.52679345087369989</v>
          </cell>
          <cell r="AI79">
            <v>0.52531502019232468</v>
          </cell>
          <cell r="AJ79">
            <v>0.51020421625303125</v>
          </cell>
          <cell r="AK79">
            <v>0.51206142038903468</v>
          </cell>
          <cell r="AL79">
            <v>0.51825269022216491</v>
          </cell>
          <cell r="AM79">
            <v>0.52474438921512845</v>
          </cell>
          <cell r="AN79">
            <v>0.51680754443650379</v>
          </cell>
          <cell r="AO79">
            <v>0.50824710586675637</v>
          </cell>
          <cell r="AP79">
            <v>0.50891954676969187</v>
          </cell>
          <cell r="AQ79">
            <v>0.51438295505407228</v>
          </cell>
          <cell r="AR79">
            <v>0.53474438921512846</v>
          </cell>
          <cell r="AS79">
            <v>0.52680754443650368</v>
          </cell>
          <cell r="AT79">
            <v>0.51824710586675637</v>
          </cell>
          <cell r="AU79">
            <v>0.51891954676969188</v>
          </cell>
          <cell r="AV79">
            <v>0.52415688524375004</v>
          </cell>
          <cell r="AW79">
            <v>0.51915688524375003</v>
          </cell>
          <cell r="AX79">
            <v>0.51415688524375014</v>
          </cell>
          <cell r="AY79">
            <v>0.51768331953516278</v>
          </cell>
          <cell r="AZ79">
            <v>0.51877829396096009</v>
          </cell>
          <cell r="BA79">
            <v>0.51877829396096009</v>
          </cell>
          <cell r="BB79">
            <v>0.51877829396096009</v>
          </cell>
          <cell r="BC79">
            <v>0.51877829396096009</v>
          </cell>
          <cell r="BD79">
            <v>0.51877829396096009</v>
          </cell>
          <cell r="BE79">
            <v>0.51877829396096009</v>
          </cell>
          <cell r="BF79">
            <v>0.51877829396096009</v>
          </cell>
          <cell r="BG79">
            <v>0.51877829396096009</v>
          </cell>
          <cell r="BH79">
            <v>0.51877829396096009</v>
          </cell>
          <cell r="BI79">
            <v>0.51877829396096009</v>
          </cell>
          <cell r="BK79">
            <v>0.53038016438237023</v>
          </cell>
          <cell r="BL79">
            <v>-6.2232791386201969E-3</v>
          </cell>
        </row>
        <row r="80">
          <cell r="A80" t="str">
            <v xml:space="preserve">  Share of China + Hong Kong</v>
          </cell>
          <cell r="I80">
            <v>0.49799187963333846</v>
          </cell>
          <cell r="J80">
            <v>0.55912529335102212</v>
          </cell>
          <cell r="K80">
            <v>0.5634502875991827</v>
          </cell>
          <cell r="L80">
            <v>0.57220343024865761</v>
          </cell>
          <cell r="M80">
            <v>0.54852841175367228</v>
          </cell>
          <cell r="N80">
            <v>0.53786143636321304</v>
          </cell>
          <cell r="O80">
            <v>0.57253970733844151</v>
          </cell>
          <cell r="P80">
            <v>0.53069657970316853</v>
          </cell>
          <cell r="Q80">
            <v>0.52442458374142997</v>
          </cell>
          <cell r="R80">
            <v>0.540991809416842</v>
          </cell>
          <cell r="S80">
            <v>0.51779175595370475</v>
          </cell>
          <cell r="T80">
            <v>0.52351555791761295</v>
          </cell>
          <cell r="U80">
            <v>0.533184587877368</v>
          </cell>
          <cell r="V80">
            <v>0.54929843449122984</v>
          </cell>
          <cell r="W80">
            <v>0.5315504379577437</v>
          </cell>
          <cell r="X80">
            <v>0.54598736250434698</v>
          </cell>
          <cell r="Y80">
            <v>0.50871186960298398</v>
          </cell>
          <cell r="Z80">
            <v>0.535200137732184</v>
          </cell>
          <cell r="AA80">
            <v>0.55343228695386071</v>
          </cell>
          <cell r="AB80">
            <v>0.53827828469846883</v>
          </cell>
          <cell r="AC80">
            <v>0.55658326947465597</v>
          </cell>
          <cell r="AD80">
            <v>0.57330730879800718</v>
          </cell>
          <cell r="AE80">
            <v>0.5645906672897345</v>
          </cell>
          <cell r="AF80">
            <v>0.59409276168629466</v>
          </cell>
          <cell r="AG80">
            <v>0.57261097780793635</v>
          </cell>
          <cell r="AH80">
            <v>0.61094132784822797</v>
          </cell>
          <cell r="AI80">
            <v>0.61723170901743929</v>
          </cell>
          <cell r="AJ80">
            <v>0.59200157288702504</v>
          </cell>
          <cell r="AK80">
            <v>0.5944266752823979</v>
          </cell>
          <cell r="AL80">
            <v>0.60313525595262751</v>
          </cell>
          <cell r="AM80">
            <v>0.60211142656304495</v>
          </cell>
          <cell r="AN80">
            <v>0.60185873497182352</v>
          </cell>
          <cell r="AO80">
            <v>0.59288254331588874</v>
          </cell>
          <cell r="AP80">
            <v>0.5952417369224241</v>
          </cell>
          <cell r="AQ80">
            <v>0.59787043122541872</v>
          </cell>
          <cell r="AR80">
            <v>0.63894986066907655</v>
          </cell>
          <cell r="AS80">
            <v>0.62602844208606745</v>
          </cell>
          <cell r="AT80">
            <v>0.60384049412005614</v>
          </cell>
          <cell r="AU80">
            <v>0.60467977759283742</v>
          </cell>
          <cell r="AV80">
            <v>0.61697391128018719</v>
          </cell>
          <cell r="AW80">
            <v>0.61028350791521957</v>
          </cell>
          <cell r="AX80">
            <v>0.59938774916305237</v>
          </cell>
          <cell r="AY80">
            <v>0.59717000641251672</v>
          </cell>
          <cell r="AZ80">
            <v>0.59222992346504655</v>
          </cell>
          <cell r="BA80">
            <v>0.58617071673783649</v>
          </cell>
          <cell r="BB80">
            <v>0.58122154582895047</v>
          </cell>
          <cell r="BC80">
            <v>0.57706039324610081</v>
          </cell>
          <cell r="BD80">
            <v>0.57341501152654184</v>
          </cell>
          <cell r="BE80">
            <v>0.57019517344941806</v>
          </cell>
          <cell r="BF80">
            <v>0.56733053626462082</v>
          </cell>
          <cell r="BG80">
            <v>0.56476545003156065</v>
          </cell>
          <cell r="BH80">
            <v>0.56245531183118658</v>
          </cell>
          <cell r="BI80">
            <v>0.56036395422446161</v>
          </cell>
          <cell r="BK80">
            <v>0.61004374548938389</v>
          </cell>
          <cell r="BL80">
            <v>6.9301657908032999E-3</v>
          </cell>
        </row>
        <row r="81">
          <cell r="BL81">
            <v>0</v>
          </cell>
        </row>
        <row r="82">
          <cell r="A82" t="str">
            <v>Avg Nights Stayed for Hotel Guests</v>
          </cell>
          <cell r="H82">
            <v>1.43</v>
          </cell>
          <cell r="I82">
            <v>1.2666666666666668</v>
          </cell>
          <cell r="J82">
            <v>1.2700000000000002</v>
          </cell>
          <cell r="K82">
            <v>1.26</v>
          </cell>
          <cell r="L82">
            <v>1.3333333333333333</v>
          </cell>
          <cell r="M82">
            <v>1.2825</v>
          </cell>
          <cell r="N82">
            <v>1.2966666666666666</v>
          </cell>
          <cell r="O82">
            <v>1.29</v>
          </cell>
          <cell r="P82">
            <v>1.29</v>
          </cell>
          <cell r="Q82">
            <v>1.2933333333333332</v>
          </cell>
          <cell r="R82">
            <v>1.2925</v>
          </cell>
          <cell r="S82">
            <v>1.2666666666666666</v>
          </cell>
          <cell r="T82">
            <v>1.2366666666666666</v>
          </cell>
          <cell r="U82">
            <v>1.2066666666666668</v>
          </cell>
          <cell r="V82">
            <v>1.2066666666666668</v>
          </cell>
          <cell r="W82">
            <v>1.2291666666666667</v>
          </cell>
          <cell r="X82">
            <v>1.1866666666666668</v>
          </cell>
          <cell r="Y82">
            <v>1.28</v>
          </cell>
          <cell r="Z82">
            <v>1.1966666666666665</v>
          </cell>
          <cell r="AA82">
            <v>1.2233333333333334</v>
          </cell>
          <cell r="AB82">
            <v>1.2216666666666667</v>
          </cell>
          <cell r="AC82">
            <v>1.19</v>
          </cell>
          <cell r="AD82">
            <v>1.1900000000000002</v>
          </cell>
          <cell r="AE82">
            <v>1.1633333333333331</v>
          </cell>
          <cell r="AF82">
            <v>1.1599999999999999</v>
          </cell>
          <cell r="AG82">
            <v>1.1758333333333333</v>
          </cell>
          <cell r="AH82">
            <v>1.18</v>
          </cell>
          <cell r="AI82">
            <v>1.1599999999999999</v>
          </cell>
          <cell r="AJ82">
            <v>1.1633333333333333</v>
          </cell>
          <cell r="AK82">
            <v>1.2</v>
          </cell>
          <cell r="AL82">
            <v>1.1758333333333333</v>
          </cell>
          <cell r="AM82">
            <v>1.1566666666666665</v>
          </cell>
          <cell r="AN82">
            <v>1.1566666666666665</v>
          </cell>
          <cell r="AO82">
            <v>1.1666666666666667</v>
          </cell>
          <cell r="AP82">
            <v>1.2</v>
          </cell>
          <cell r="AQ82">
            <v>1.17</v>
          </cell>
          <cell r="AR82">
            <v>1.2241329526046154</v>
          </cell>
          <cell r="AS82">
            <v>1.2359390736549345</v>
          </cell>
          <cell r="AT82">
            <v>1.3646719559247491</v>
          </cell>
          <cell r="AU82">
            <v>1.3715821961911758</v>
          </cell>
          <cell r="AV82">
            <v>1.2749478692713259</v>
          </cell>
          <cell r="AW82">
            <v>1.439017908256258</v>
          </cell>
          <cell r="AX82">
            <v>1.8461329551184145</v>
          </cell>
          <cell r="AY82">
            <v>2.1697667219533114</v>
          </cell>
          <cell r="AZ82">
            <v>2.1697667219533114</v>
          </cell>
          <cell r="BA82">
            <v>2.1697667219533114</v>
          </cell>
          <cell r="BB82">
            <v>2.1697667219533114</v>
          </cell>
          <cell r="BC82">
            <v>2.1697667219533114</v>
          </cell>
          <cell r="BD82">
            <v>2.1697667219533114</v>
          </cell>
          <cell r="BE82">
            <v>2.1697667219533114</v>
          </cell>
          <cell r="BF82">
            <v>2.1697667219533114</v>
          </cell>
          <cell r="BG82">
            <v>2.1697667219533114</v>
          </cell>
          <cell r="BH82">
            <v>2.1697667219533114</v>
          </cell>
          <cell r="BI82">
            <v>2.1697667219533114</v>
          </cell>
          <cell r="BK82">
            <v>1.23</v>
          </cell>
          <cell r="BL82">
            <v>4.494786927132588E-2</v>
          </cell>
        </row>
        <row r="83">
          <cell r="A83" t="str">
            <v>Avg Days Stayed for All Guests (incl. day trippers)</v>
          </cell>
          <cell r="I83">
            <v>1.5232597975794282</v>
          </cell>
          <cell r="J83">
            <v>1.5132306225435557</v>
          </cell>
          <cell r="K83">
            <v>1.500360645483001</v>
          </cell>
          <cell r="L83">
            <v>1.517526692588324</v>
          </cell>
          <cell r="M83">
            <v>1.5132248442479466</v>
          </cell>
          <cell r="N83">
            <v>1.4894279794424594</v>
          </cell>
          <cell r="O83">
            <v>1.4860305442341841</v>
          </cell>
          <cell r="P83">
            <v>1.4987913754352666</v>
          </cell>
          <cell r="Q83">
            <v>1.5150468461031128</v>
          </cell>
          <cell r="R83">
            <v>1.4974631502582991</v>
          </cell>
          <cell r="S83">
            <v>1.4957646062348318</v>
          </cell>
          <cell r="T83">
            <v>1.4955896072035468</v>
          </cell>
          <cell r="U83">
            <v>1.4758884166147859</v>
          </cell>
          <cell r="V83">
            <v>1.4702494428907067</v>
          </cell>
          <cell r="W83">
            <v>1.4837994970762898</v>
          </cell>
          <cell r="X83">
            <v>1.4437517054253473</v>
          </cell>
          <cell r="Y83">
            <v>1.4415942323304582</v>
          </cell>
          <cell r="Z83">
            <v>1.4531459649543277</v>
          </cell>
          <cell r="AA83">
            <v>1.4519682554838729</v>
          </cell>
          <cell r="AB83">
            <v>1.4484177445435447</v>
          </cell>
          <cell r="AC83">
            <v>1.418854215453397</v>
          </cell>
          <cell r="AD83">
            <v>1.4150729633364536</v>
          </cell>
          <cell r="AE83">
            <v>1.4096909023939745</v>
          </cell>
          <cell r="AF83">
            <v>1.3976647600426821</v>
          </cell>
          <cell r="AG83">
            <v>1.4098053597780686</v>
          </cell>
          <cell r="AH83">
            <v>1.3753959751600955</v>
          </cell>
          <cell r="AI83">
            <v>1.3844091296130736</v>
          </cell>
          <cell r="AJ83">
            <v>1.3939428261280047</v>
          </cell>
          <cell r="AK83">
            <v>1.4036516869864517</v>
          </cell>
          <cell r="AL83">
            <v>1.3898108575367241</v>
          </cell>
          <cell r="AM83">
            <v>1.3711201231906343</v>
          </cell>
          <cell r="AN83">
            <v>1.3802034684958553</v>
          </cell>
          <cell r="AO83">
            <v>1.390102656879056</v>
          </cell>
          <cell r="AP83">
            <v>1.3989874192275473</v>
          </cell>
          <cell r="AQ83">
            <v>1.3857101947157124</v>
          </cell>
          <cell r="AR83">
            <v>1.3798351956014356</v>
          </cell>
          <cell r="AS83">
            <v>1.3919360516391184</v>
          </cell>
          <cell r="AT83">
            <v>1.4279389854678177</v>
          </cell>
          <cell r="AU83">
            <v>1.4315999996672684</v>
          </cell>
          <cell r="AV83">
            <v>1.409808216231297</v>
          </cell>
          <cell r="AW83">
            <v>1.4591658339019791</v>
          </cell>
          <cell r="AX83">
            <v>1.5834259669277251</v>
          </cell>
          <cell r="AY83">
            <v>1.6892403375063489</v>
          </cell>
          <cell r="AZ83">
            <v>1.7144072578115312</v>
          </cell>
          <cell r="BA83">
            <v>1.7384803879875337</v>
          </cell>
          <cell r="BB83">
            <v>1.7585157820070054</v>
          </cell>
          <cell r="BC83">
            <v>1.7756270395727332</v>
          </cell>
          <cell r="BD83">
            <v>1.7908214532408184</v>
          </cell>
          <cell r="BE83">
            <v>1.8044037337967822</v>
          </cell>
          <cell r="BF83">
            <v>1.8166172633742717</v>
          </cell>
          <cell r="BG83">
            <v>1.8276587855618405</v>
          </cell>
          <cell r="BH83">
            <v>1.8376890660667624</v>
          </cell>
          <cell r="BI83">
            <v>1.8468407570351979</v>
          </cell>
          <cell r="BK83">
            <v>1.3905777552739083</v>
          </cell>
          <cell r="BL83">
            <v>1.9230460957388784E-2</v>
          </cell>
        </row>
        <row r="84">
          <cell r="A84" t="str">
            <v xml:space="preserve">  Year-over-Year growth</v>
          </cell>
          <cell r="N84">
            <v>-2.22101431356162E-2</v>
          </cell>
          <cell r="O84">
            <v>-1.7974839990781755E-2</v>
          </cell>
          <cell r="P84">
            <v>-1.0459285588826361E-3</v>
          </cell>
          <cell r="Q84">
            <v>-1.6341369791535998E-3</v>
          </cell>
          <cell r="R84">
            <v>-1.0415963000845907E-2</v>
          </cell>
          <cell r="S84">
            <v>4.2544029518931659E-3</v>
          </cell>
          <cell r="T84">
            <v>6.4326154038030214E-3</v>
          </cell>
          <cell r="U84">
            <v>-1.5280951836161627E-2</v>
          </cell>
          <cell r="V84">
            <v>-2.9568328746817696E-2</v>
          </cell>
          <cell r="W84">
            <v>-9.1245338355421257E-3</v>
          </cell>
          <cell r="X84">
            <v>-3.4773453384762454E-2</v>
          </cell>
          <cell r="Y84">
            <v>-3.6103069059198134E-2</v>
          </cell>
          <cell r="Z84">
            <v>-1.5409330003837374E-2</v>
          </cell>
          <cell r="AA84">
            <v>-1.2434071983656425E-2</v>
          </cell>
          <cell r="AB84">
            <v>-2.3845373045658813E-2</v>
          </cell>
          <cell r="AC84">
            <v>-1.7244994328588614E-2</v>
          </cell>
          <cell r="AD84">
            <v>-1.8397180287778148E-2</v>
          </cell>
          <cell r="AE84">
            <v>-2.9904127739651343E-2</v>
          </cell>
          <cell r="AF84">
            <v>-3.7399919203532361E-2</v>
          </cell>
          <cell r="AG84">
            <v>-2.6658320716475559E-2</v>
          </cell>
          <cell r="AH84">
            <v>-3.0629108910540381E-2</v>
          </cell>
          <cell r="AI84">
            <v>-2.1669436501055683E-2</v>
          </cell>
          <cell r="AJ84">
            <v>-1.1171297366838417E-2</v>
          </cell>
          <cell r="AK84">
            <v>4.2835214243983621E-3</v>
          </cell>
          <cell r="AL84">
            <v>-1.4182455828152141E-2</v>
          </cell>
          <cell r="AM84">
            <v>-3.1088152406171243E-3</v>
          </cell>
          <cell r="AN84">
            <v>-3.0378744456804885E-3</v>
          </cell>
          <cell r="AO84">
            <v>-2.7548972432503982E-3</v>
          </cell>
          <cell r="AP84">
            <v>-3.3229524120177434E-3</v>
          </cell>
          <cell r="AQ84">
            <v>-2.9505186254477067E-3</v>
          </cell>
          <cell r="AR84">
            <v>6.3561698668102018E-3</v>
          </cell>
          <cell r="AS84">
            <v>8.500618503769708E-3</v>
          </cell>
          <cell r="AT84">
            <v>2.7218370097722655E-2</v>
          </cell>
          <cell r="AU84">
            <v>2.3311560912912421E-2</v>
          </cell>
          <cell r="AV84">
            <v>1.7390376146094955E-2</v>
          </cell>
          <cell r="AW84">
            <v>3.5010164575877578E-2</v>
          </cell>
          <cell r="AX84">
            <v>8.5158335083449721E-2</v>
          </cell>
          <cell r="AY84">
            <v>6.6826219089947347E-2</v>
          </cell>
          <cell r="AZ84">
            <v>1.4898365701078164E-2</v>
          </cell>
          <cell r="BA84">
            <v>1.4041663709900565E-2</v>
          </cell>
          <cell r="BB84">
            <v>1.1524659212672983E-2</v>
          </cell>
          <cell r="BC84">
            <v>9.730511230441552E-3</v>
          </cell>
          <cell r="BD84">
            <v>8.5572101175828141E-3</v>
          </cell>
          <cell r="BE84">
            <v>7.5843856635646745E-3</v>
          </cell>
          <cell r="BF84">
            <v>6.7687343739806227E-3</v>
          </cell>
          <cell r="BG84">
            <v>6.0780674114369049E-3</v>
          </cell>
          <cell r="BH84">
            <v>5.4880487452906301E-3</v>
          </cell>
          <cell r="BI84">
            <v>4.979999684072256E-3</v>
          </cell>
          <cell r="BK84">
            <v>3.5710637427210923E-3</v>
          </cell>
          <cell r="BL84">
            <v>1.3819312403373862E-2</v>
          </cell>
        </row>
        <row r="85">
          <cell r="BL85">
            <v>0</v>
          </cell>
        </row>
        <row r="86">
          <cell r="A86" t="str">
            <v>Visitor Days (mm)</v>
          </cell>
          <cell r="I86">
            <v>3.3142583999999999</v>
          </cell>
          <cell r="J86">
            <v>3.3138282800000005</v>
          </cell>
          <cell r="K86">
            <v>3.7129034799999996</v>
          </cell>
          <cell r="L86">
            <v>3.5234966666666665</v>
          </cell>
          <cell r="M86">
            <v>13.864486826666667</v>
          </cell>
          <cell r="N86">
            <v>3.6536889666666674</v>
          </cell>
          <cell r="O86">
            <v>3.79921541</v>
          </cell>
          <cell r="P86">
            <v>4.0304838199999997</v>
          </cell>
          <cell r="Q86">
            <v>3.9089950933333331</v>
          </cell>
          <cell r="R86">
            <v>15.39238329</v>
          </cell>
          <cell r="S86">
            <v>3.9981054999999994</v>
          </cell>
          <cell r="T86">
            <v>4.1934507966666663</v>
          </cell>
          <cell r="U86">
            <v>4.4473181799999999</v>
          </cell>
          <cell r="V86">
            <v>4.4705816</v>
          </cell>
          <cell r="W86">
            <v>17.109456076666664</v>
          </cell>
          <cell r="X86">
            <v>4.32488384</v>
          </cell>
          <cell r="Y86">
            <v>2.9885300799999999</v>
          </cell>
          <cell r="Z86">
            <v>4.8262566766666657</v>
          </cell>
          <cell r="AA86">
            <v>5.0789399466666669</v>
          </cell>
          <cell r="AB86">
            <v>17.218610543333334</v>
          </cell>
          <cell r="AC86">
            <v>5.3227563900000003</v>
          </cell>
          <cell r="AD86">
            <v>5.6368568299999993</v>
          </cell>
          <cell r="AE86">
            <v>6.2804929700000001</v>
          </cell>
          <cell r="AF86">
            <v>6.2649526199999999</v>
          </cell>
          <cell r="AG86">
            <v>23.505058809999998</v>
          </cell>
          <cell r="AH86">
            <v>6.1301701199999998</v>
          </cell>
          <cell r="AI86">
            <v>6.1831878800000002</v>
          </cell>
          <cell r="AJ86">
            <v>6.7622006499999996</v>
          </cell>
          <cell r="AK86">
            <v>6.9294522000000001</v>
          </cell>
          <cell r="AL86">
            <v>26.005010850000001</v>
          </cell>
          <cell r="AM86">
            <v>7.1956630866666664</v>
          </cell>
          <cell r="AN86">
            <v>7.1418104000000007</v>
          </cell>
          <cell r="AO86">
            <v>7.6084683333333336</v>
          </cell>
          <cell r="AP86">
            <v>8.5370801000000007</v>
          </cell>
          <cell r="AQ86">
            <v>30.483021920000002</v>
          </cell>
          <cell r="AR86">
            <v>8.5579382351905053</v>
          </cell>
          <cell r="AS86">
            <v>8.3484255748235388</v>
          </cell>
          <cell r="AT86">
            <v>10.232198638112397</v>
          </cell>
          <cell r="AU86">
            <v>10.719315699172348</v>
          </cell>
          <cell r="AV86">
            <v>37.857878147298791</v>
          </cell>
          <cell r="AW86">
            <v>45.398962925988279</v>
          </cell>
          <cell r="AX86">
            <v>56.905774736737726</v>
          </cell>
          <cell r="AY86">
            <v>70.043267277518083</v>
          </cell>
          <cell r="AZ86">
            <v>80.105727572057503</v>
          </cell>
          <cell r="BA86">
            <v>90.25696587555332</v>
          </cell>
          <cell r="BB86">
            <v>100.63234050955101</v>
          </cell>
          <cell r="BC86">
            <v>111.32947615555436</v>
          </cell>
          <cell r="BD86">
            <v>122.58753317786704</v>
          </cell>
          <cell r="BE86">
            <v>134.43065738175125</v>
          </cell>
          <cell r="BF86">
            <v>146.88394009742024</v>
          </cell>
          <cell r="BG86">
            <v>159.97345320489833</v>
          </cell>
          <cell r="BH86">
            <v>173.72628540981549</v>
          </cell>
          <cell r="BI86">
            <v>188.17057981368006</v>
          </cell>
          <cell r="BK86">
            <v>35.995129626527088</v>
          </cell>
          <cell r="BL86">
            <v>1.8627485207717029</v>
          </cell>
        </row>
        <row r="87">
          <cell r="A87" t="str">
            <v xml:space="preserve">  Year-over-Year growth</v>
          </cell>
          <cell r="N87">
            <v>0.10241523915777573</v>
          </cell>
          <cell r="O87">
            <v>0.14647322944567276</v>
          </cell>
          <cell r="P87">
            <v>8.5534229939098871E-2</v>
          </cell>
          <cell r="Q87">
            <v>0.10940791581090381</v>
          </cell>
          <cell r="R87">
            <v>0.11020216488608936</v>
          </cell>
          <cell r="S87">
            <v>9.4265422282934441E-2</v>
          </cell>
          <cell r="T87">
            <v>0.10376757938730985</v>
          </cell>
          <cell r="U87">
            <v>0.1034204275753674</v>
          </cell>
          <cell r="V87">
            <v>0.14366518587460875</v>
          </cell>
          <cell r="W87">
            <v>0.11155340627349108</v>
          </cell>
          <cell r="X87">
            <v>8.1733295932286065E-2</v>
          </cell>
          <cell r="Y87">
            <v>-0.28733393453058909</v>
          </cell>
          <cell r="Z87">
            <v>8.5206068315684558E-2</v>
          </cell>
          <cell r="AA87">
            <v>0.13608035846312849</v>
          </cell>
          <cell r="AB87">
            <v>6.3797742124327428E-3</v>
          </cell>
          <cell r="AC87">
            <v>0.23072817373055732</v>
          </cell>
          <cell r="AD87">
            <v>0.88616365875761893</v>
          </cell>
          <cell r="AE87">
            <v>0.30131764445187503</v>
          </cell>
          <cell r="AF87">
            <v>0.2335157898670801</v>
          </cell>
          <cell r="AG87">
            <v>0.36509614122729772</v>
          </cell>
          <cell r="AH87">
            <v>0.15169090426849308</v>
          </cell>
          <cell r="AI87">
            <v>9.6921221609242325E-2</v>
          </cell>
          <cell r="AJ87">
            <v>7.669902383474847E-2</v>
          </cell>
          <cell r="AK87">
            <v>0.1060661780391885</v>
          </cell>
          <cell r="AL87">
            <v>0.10635804233497281</v>
          </cell>
          <cell r="AM87">
            <v>0.1738113210252421</v>
          </cell>
          <cell r="AN87">
            <v>0.15503693864790025</v>
          </cell>
          <cell r="AO87">
            <v>0.12514678684273206</v>
          </cell>
          <cell r="AP87">
            <v>0.23199927694140099</v>
          </cell>
          <cell r="AQ87">
            <v>0.17219800813888142</v>
          </cell>
          <cell r="AR87">
            <v>0.18931891781427224</v>
          </cell>
          <cell r="AS87">
            <v>0.16895088321352492</v>
          </cell>
          <cell r="AT87">
            <v>0.34484342837891324</v>
          </cell>
          <cell r="AU87">
            <v>0.25561849878535714</v>
          </cell>
          <cell r="AV87">
            <v>0.24193323898967267</v>
          </cell>
          <cell r="AW87">
            <v>0.19919459694355734</v>
          </cell>
          <cell r="AX87">
            <v>0.25345979443425715</v>
          </cell>
          <cell r="AY87">
            <v>0.23086396067109405</v>
          </cell>
          <cell r="AZ87">
            <v>0.14366063557073949</v>
          </cell>
          <cell r="BA87">
            <v>0.12672300235166678</v>
          </cell>
          <cell r="BB87">
            <v>0.11495372720930264</v>
          </cell>
          <cell r="BC87">
            <v>0.10629918366042657</v>
          </cell>
          <cell r="BD87">
            <v>0.10112377612001366</v>
          </cell>
          <cell r="BE87">
            <v>9.6609531955427652E-2</v>
          </cell>
          <cell r="BF87">
            <v>9.2637222477493397E-2</v>
          </cell>
          <cell r="BG87">
            <v>8.9114664944285549E-2</v>
          </cell>
          <cell r="BH87">
            <v>8.5969465116828792E-2</v>
          </cell>
          <cell r="BI87">
            <v>8.3143977722144324E-2</v>
          </cell>
          <cell r="BK87">
            <v>0.18186614915365551</v>
          </cell>
          <cell r="BL87">
            <v>6.0067089836017162E-2</v>
          </cell>
        </row>
        <row r="88">
          <cell r="A88" t="str">
            <v xml:space="preserve">  Abs Growth Differential (bps)</v>
          </cell>
          <cell r="N88">
            <v>-250.40963643351512</v>
          </cell>
          <cell r="O88">
            <v>-209.8487257985071</v>
          </cell>
          <cell r="P88">
            <v>-11.365800342553189</v>
          </cell>
          <cell r="Q88">
            <v>-18.158919163229204</v>
          </cell>
          <cell r="R88">
            <v>-116.85540833883179</v>
          </cell>
          <cell r="S88">
            <v>46.357238056720092</v>
          </cell>
          <cell r="T88">
            <v>70.547319559355344</v>
          </cell>
          <cell r="U88">
            <v>-171.22969683847077</v>
          </cell>
          <cell r="V88">
            <v>-348.4662464546484</v>
          </cell>
          <cell r="W88">
            <v>-102.35803601853499</v>
          </cell>
          <cell r="X88">
            <v>-389.70749895714584</v>
          </cell>
          <cell r="Y88">
            <v>-266.93136321822465</v>
          </cell>
          <cell r="Z88">
            <v>-169.84010653796179</v>
          </cell>
          <cell r="AA88">
            <v>-143.03961442577284</v>
          </cell>
          <cell r="AB88">
            <v>-245.83708850077545</v>
          </cell>
          <cell r="AC88">
            <v>-215.96328946213549</v>
          </cell>
          <cell r="AD88">
            <v>-353.5044132472276</v>
          </cell>
          <cell r="AE88">
            <v>-401.14353830697615</v>
          </cell>
          <cell r="AF88">
            <v>-479.25812388400101</v>
          </cell>
          <cell r="AG88">
            <v>-373.87868531889137</v>
          </cell>
          <cell r="AH88">
            <v>-363.89854969208989</v>
          </cell>
          <cell r="AI88">
            <v>-242.96148607798608</v>
          </cell>
          <cell r="AJ88">
            <v>-121.64012773711707</v>
          </cell>
          <cell r="AK88">
            <v>47.176500155192699</v>
          </cell>
          <cell r="AL88">
            <v>-159.16610693632816</v>
          </cell>
          <cell r="AM88">
            <v>-36.605424746463115</v>
          </cell>
          <cell r="AN88">
            <v>-35.195491481530006</v>
          </cell>
          <cell r="AO88">
            <v>-31.082266262894009</v>
          </cell>
          <cell r="AP88">
            <v>-41.075240759520511</v>
          </cell>
          <cell r="AQ88">
            <v>-34.688268940858968</v>
          </cell>
          <cell r="AR88">
            <v>75.11767000383918</v>
          </cell>
          <cell r="AS88">
            <v>98.530485014329813</v>
          </cell>
          <cell r="AT88">
            <v>356.34532269535947</v>
          </cell>
          <cell r="AU88">
            <v>286.0363181248693</v>
          </cell>
          <cell r="AV88">
            <v>212.28514325229986</v>
          </cell>
          <cell r="AW88">
            <v>405.63853027183683</v>
          </cell>
          <cell r="AX88">
            <v>983.65875040581807</v>
          </cell>
          <cell r="AY88">
            <v>771.01577777019202</v>
          </cell>
          <cell r="AZ88">
            <v>167.88552393510292</v>
          </cell>
          <cell r="BA88">
            <v>156.01987629729086</v>
          </cell>
          <cell r="BB88">
            <v>127.03063268856063</v>
          </cell>
          <cell r="BC88">
            <v>106.61118497566457</v>
          </cell>
          <cell r="BD88">
            <v>93.426009186197149</v>
          </cell>
          <cell r="BE88">
            <v>82.545042688546573</v>
          </cell>
          <cell r="BF88">
            <v>73.460476806253013</v>
          </cell>
          <cell r="BG88">
            <v>65.797203683686249</v>
          </cell>
          <cell r="BH88">
            <v>59.273239178678772</v>
          </cell>
          <cell r="BI88">
            <v>53.673273782133265</v>
          </cell>
          <cell r="BK88">
            <v>42.055012409902837</v>
          </cell>
          <cell r="BL88">
            <v>170.23013084239702</v>
          </cell>
        </row>
        <row r="89">
          <cell r="BL89">
            <v>0</v>
          </cell>
        </row>
        <row r="90">
          <cell r="BL90">
            <v>0</v>
          </cell>
        </row>
        <row r="91">
          <cell r="A91" t="str">
            <v>Casino Gaming Revenue Detail (millions US$)</v>
          </cell>
          <cell r="BL91">
            <v>0</v>
          </cell>
        </row>
        <row r="92">
          <cell r="BL92">
            <v>0</v>
          </cell>
        </row>
        <row r="93">
          <cell r="A93" t="str">
            <v>Total Revenue Summary</v>
          </cell>
          <cell r="BL93">
            <v>0</v>
          </cell>
        </row>
        <row r="94">
          <cell r="A94" t="str">
            <v>Sands Macao</v>
          </cell>
          <cell r="C94">
            <v>0</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57.6</v>
          </cell>
          <cell r="AE94">
            <v>162.9117794787893</v>
          </cell>
          <cell r="AF94">
            <v>170.537010938413</v>
          </cell>
          <cell r="AG94">
            <v>391.04879041720227</v>
          </cell>
          <cell r="AH94">
            <v>177.40654000000001</v>
          </cell>
          <cell r="AI94">
            <v>220.51797400000004</v>
          </cell>
          <cell r="AJ94">
            <v>264.364912</v>
          </cell>
          <cell r="AK94">
            <v>299.95060799999999</v>
          </cell>
          <cell r="AL94">
            <v>962.24003400000004</v>
          </cell>
          <cell r="AM94">
            <v>308.92467999999997</v>
          </cell>
          <cell r="AN94">
            <v>341.35691500000001</v>
          </cell>
          <cell r="AO94">
            <v>361.91235999999998</v>
          </cell>
          <cell r="AP94">
            <v>386.23191600000001</v>
          </cell>
          <cell r="AQ94">
            <v>1398.4258709999999</v>
          </cell>
          <cell r="AR94">
            <v>417.53246624884412</v>
          </cell>
          <cell r="AS94">
            <v>340.57094774735958</v>
          </cell>
          <cell r="AT94">
            <v>253.50072429389809</v>
          </cell>
          <cell r="AU94">
            <v>246.90657757885123</v>
          </cell>
          <cell r="AV94">
            <v>1258.510715868953</v>
          </cell>
          <cell r="AW94">
            <v>1013.5918943205954</v>
          </cell>
          <cell r="AX94">
            <v>883.43190800879233</v>
          </cell>
          <cell r="AY94">
            <v>826.11430020996249</v>
          </cell>
          <cell r="AZ94">
            <v>799.13488708614227</v>
          </cell>
          <cell r="BA94">
            <v>872.61400371464583</v>
          </cell>
          <cell r="BK94">
            <v>1050.3547782056712</v>
          </cell>
          <cell r="BL94">
            <v>208.15593766328175</v>
          </cell>
        </row>
        <row r="95">
          <cell r="A95" t="str">
            <v>Venetian Macao</v>
          </cell>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277.29897953448113</v>
          </cell>
          <cell r="AU95">
            <v>368.42329934912004</v>
          </cell>
          <cell r="AV95">
            <v>645.72227888360112</v>
          </cell>
          <cell r="AW95">
            <v>1480.3037262634375</v>
          </cell>
          <cell r="AX95">
            <v>1524.7537754977643</v>
          </cell>
          <cell r="AY95">
            <v>1357.7602907069081</v>
          </cell>
          <cell r="AZ95">
            <v>1427.6654453876506</v>
          </cell>
          <cell r="BA95">
            <v>1547.0981206849451</v>
          </cell>
          <cell r="BK95">
            <v>765.40373848581066</v>
          </cell>
          <cell r="BL95">
            <v>-119.68145960220954</v>
          </cell>
        </row>
        <row r="96">
          <cell r="A96" t="str">
            <v>LVS Cotai Strip</v>
          </cell>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528.93890953862979</v>
          </cell>
          <cell r="AX96">
            <v>1273.1936130947747</v>
          </cell>
          <cell r="AY96">
            <v>1747.8663115307552</v>
          </cell>
          <cell r="AZ96">
            <v>1706.3550879819845</v>
          </cell>
          <cell r="BA96">
            <v>1861.5977576673893</v>
          </cell>
          <cell r="BK96">
            <v>0</v>
          </cell>
          <cell r="BL96">
            <v>0</v>
          </cell>
        </row>
        <row r="97">
          <cell r="A97" t="str">
            <v>Wynn Macau</v>
          </cell>
          <cell r="C97">
            <v>0</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52.353639999999999</v>
          </cell>
          <cell r="AP97">
            <v>275.58989599999995</v>
          </cell>
          <cell r="AQ97">
            <v>327.94353599999999</v>
          </cell>
          <cell r="AR97">
            <v>319.59176189977671</v>
          </cell>
          <cell r="AS97">
            <v>262.17932771581843</v>
          </cell>
          <cell r="AT97">
            <v>286.31638558717214</v>
          </cell>
          <cell r="AU97">
            <v>300.05951249355434</v>
          </cell>
          <cell r="AV97">
            <v>1168.1469876963215</v>
          </cell>
          <cell r="AW97">
            <v>1141.3819628632441</v>
          </cell>
          <cell r="AX97">
            <v>1219.1638579736386</v>
          </cell>
          <cell r="AY97">
            <v>1049.0623669646052</v>
          </cell>
          <cell r="AZ97">
            <v>1067.3154458461636</v>
          </cell>
          <cell r="BA97">
            <v>1151.6403757862122</v>
          </cell>
          <cell r="BK97">
            <v>800.59869158023923</v>
          </cell>
          <cell r="BL97">
            <v>367.54829611608227</v>
          </cell>
        </row>
        <row r="98">
          <cell r="A98" t="str">
            <v>Wynn Cotai</v>
          </cell>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634.49290988200744</v>
          </cell>
          <cell r="AZ98">
            <v>652.64443069898198</v>
          </cell>
          <cell r="BA98">
            <v>707.97169585659503</v>
          </cell>
          <cell r="BK98">
            <v>0</v>
          </cell>
          <cell r="BL98">
            <v>0</v>
          </cell>
        </row>
        <row r="99">
          <cell r="A99" t="str">
            <v>Wynn Cotai #2</v>
          </cell>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634.49290988200744</v>
          </cell>
          <cell r="AZ99">
            <v>652.64443069898198</v>
          </cell>
          <cell r="BA99">
            <v>707.97169585659503</v>
          </cell>
        </row>
        <row r="100">
          <cell r="A100" t="str">
            <v>MGM Macau</v>
          </cell>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157.57245435087751</v>
          </cell>
          <cell r="AV100">
            <v>157.57245435087751</v>
          </cell>
          <cell r="AW100">
            <v>996.71863968447019</v>
          </cell>
          <cell r="AX100">
            <v>947.84510027468764</v>
          </cell>
          <cell r="AY100">
            <v>965.05125420420973</v>
          </cell>
          <cell r="AZ100">
            <v>937.58221584118883</v>
          </cell>
          <cell r="BA100">
            <v>1005.8665261955875</v>
          </cell>
          <cell r="BK100">
            <v>181.01392313590708</v>
          </cell>
          <cell r="BL100">
            <v>-23.441468785029571</v>
          </cell>
        </row>
        <row r="101">
          <cell r="A101" t="str">
            <v>MGM Cotai #1</v>
          </cell>
          <cell r="C101">
            <v>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620.92313449949177</v>
          </cell>
          <cell r="BA101">
            <v>672.31976641806648</v>
          </cell>
        </row>
        <row r="102">
          <cell r="A102" t="str">
            <v>Other</v>
          </cell>
          <cell r="C102">
            <v>1932.6084017502599</v>
          </cell>
          <cell r="D102">
            <v>2185.8227182330293</v>
          </cell>
          <cell r="E102">
            <v>2055.1445888483158</v>
          </cell>
          <cell r="F102">
            <v>2224.660161928372</v>
          </cell>
          <cell r="G102">
            <v>1814.9949815199464</v>
          </cell>
          <cell r="H102">
            <v>1621.756107296324</v>
          </cell>
          <cell r="I102">
            <v>525.02414254733333</v>
          </cell>
          <cell r="J102">
            <v>475.49036163673679</v>
          </cell>
          <cell r="K102">
            <v>511.76567318805417</v>
          </cell>
          <cell r="L102">
            <v>474.46814492903269</v>
          </cell>
          <cell r="M102">
            <v>1986.748322301157</v>
          </cell>
          <cell r="N102">
            <v>548.46985485693131</v>
          </cell>
          <cell r="O102">
            <v>560.85132357778127</v>
          </cell>
          <cell r="P102">
            <v>565.63051125219295</v>
          </cell>
          <cell r="Q102">
            <v>580.99063184734734</v>
          </cell>
          <cell r="R102">
            <v>2255.9423215342531</v>
          </cell>
          <cell r="S102">
            <v>609.58509393554687</v>
          </cell>
          <cell r="T102">
            <v>669.27221552802428</v>
          </cell>
          <cell r="U102">
            <v>667.43454308014293</v>
          </cell>
          <cell r="V102">
            <v>748.1803776184322</v>
          </cell>
          <cell r="W102">
            <v>2694.4722301621464</v>
          </cell>
          <cell r="X102">
            <v>835.80358172344654</v>
          </cell>
          <cell r="Y102">
            <v>648.36718437499371</v>
          </cell>
          <cell r="Z102">
            <v>949.70951060080347</v>
          </cell>
          <cell r="AA102">
            <v>1044.1917159822819</v>
          </cell>
          <cell r="AB102">
            <v>3478.0719926815259</v>
          </cell>
          <cell r="AC102">
            <v>1132.7191437639356</v>
          </cell>
          <cell r="AD102">
            <v>1107.5180179880099</v>
          </cell>
          <cell r="AE102">
            <v>1194.8615889438356</v>
          </cell>
          <cell r="AF102">
            <v>1186.4130759018008</v>
          </cell>
          <cell r="AG102">
            <v>4621.5118265975816</v>
          </cell>
          <cell r="AH102">
            <v>1142.444529452991</v>
          </cell>
          <cell r="AI102">
            <v>1193.0071045261996</v>
          </cell>
          <cell r="AJ102">
            <v>1159.5680469758054</v>
          </cell>
          <cell r="AK102">
            <v>1125.792000964409</v>
          </cell>
          <cell r="AL102">
            <v>4620.8116819194056</v>
          </cell>
          <cell r="AM102">
            <v>1236.8402058328211</v>
          </cell>
          <cell r="AN102">
            <v>1242.9465401048328</v>
          </cell>
          <cell r="AO102">
            <v>1277.1670745215915</v>
          </cell>
          <cell r="AP102">
            <v>1389.0957976994534</v>
          </cell>
          <cell r="AQ102">
            <v>5146.0496181586986</v>
          </cell>
          <cell r="AR102">
            <v>1486.0032078307379</v>
          </cell>
          <cell r="AS102">
            <v>1382.0133924725164</v>
          </cell>
          <cell r="AT102">
            <v>1281.8079580721201</v>
          </cell>
          <cell r="AU102">
            <v>1331.5329536481638</v>
          </cell>
          <cell r="AV102">
            <v>5481.3575120235382</v>
          </cell>
          <cell r="AW102">
            <v>4814.5619485240968</v>
          </cell>
          <cell r="AX102">
            <v>5646.899118430244</v>
          </cell>
          <cell r="AY102">
            <v>5722.7357382880155</v>
          </cell>
          <cell r="AZ102">
            <v>6181.5811987649631</v>
          </cell>
          <cell r="BA102">
            <v>6641.0086273301567</v>
          </cell>
          <cell r="BK102">
            <v>5145.4589300178432</v>
          </cell>
          <cell r="BL102">
            <v>335.89858200569506</v>
          </cell>
        </row>
        <row r="103">
          <cell r="B103" t="str">
            <v>______</v>
          </cell>
          <cell r="C103" t="str">
            <v>______</v>
          </cell>
          <cell r="D103" t="str">
            <v>______</v>
          </cell>
          <cell r="E103" t="str">
            <v>______</v>
          </cell>
          <cell r="F103" t="str">
            <v>______</v>
          </cell>
          <cell r="G103" t="str">
            <v>______</v>
          </cell>
          <cell r="H103" t="str">
            <v>______</v>
          </cell>
          <cell r="I103" t="str">
            <v>______</v>
          </cell>
          <cell r="J103" t="str">
            <v>______</v>
          </cell>
          <cell r="K103" t="str">
            <v>______</v>
          </cell>
          <cell r="L103" t="str">
            <v>______</v>
          </cell>
          <cell r="M103" t="str">
            <v>______</v>
          </cell>
          <cell r="N103" t="str">
            <v>______</v>
          </cell>
          <cell r="O103" t="str">
            <v>______</v>
          </cell>
          <cell r="P103" t="str">
            <v>______</v>
          </cell>
          <cell r="Q103" t="str">
            <v>______</v>
          </cell>
          <cell r="R103" t="str">
            <v>______</v>
          </cell>
          <cell r="S103" t="str">
            <v>______</v>
          </cell>
          <cell r="T103" t="str">
            <v>______</v>
          </cell>
          <cell r="U103" t="str">
            <v>______</v>
          </cell>
          <cell r="V103" t="str">
            <v>______</v>
          </cell>
          <cell r="W103" t="str">
            <v>______</v>
          </cell>
          <cell r="X103" t="str">
            <v>______</v>
          </cell>
          <cell r="Y103" t="str">
            <v>______</v>
          </cell>
          <cell r="Z103" t="str">
            <v>______</v>
          </cell>
          <cell r="AA103" t="str">
            <v>______</v>
          </cell>
          <cell r="AB103" t="str">
            <v>______</v>
          </cell>
          <cell r="AC103" t="str">
            <v>______</v>
          </cell>
          <cell r="AD103" t="str">
            <v>______</v>
          </cell>
          <cell r="AE103" t="str">
            <v>______</v>
          </cell>
          <cell r="AF103" t="str">
            <v>______</v>
          </cell>
          <cell r="AG103" t="str">
            <v>______</v>
          </cell>
          <cell r="AH103" t="str">
            <v>______</v>
          </cell>
          <cell r="AI103" t="str">
            <v>______</v>
          </cell>
          <cell r="AJ103" t="str">
            <v>______</v>
          </cell>
          <cell r="AK103" t="str">
            <v>______</v>
          </cell>
          <cell r="AL103" t="str">
            <v>______</v>
          </cell>
          <cell r="AM103" t="str">
            <v>______</v>
          </cell>
          <cell r="AN103" t="str">
            <v>______</v>
          </cell>
          <cell r="AO103" t="str">
            <v>______</v>
          </cell>
          <cell r="AP103" t="str">
            <v>______</v>
          </cell>
          <cell r="AQ103" t="str">
            <v>______</v>
          </cell>
          <cell r="AR103" t="str">
            <v>______</v>
          </cell>
          <cell r="AS103" t="str">
            <v>______</v>
          </cell>
          <cell r="AT103" t="str">
            <v>______</v>
          </cell>
          <cell r="AU103" t="str">
            <v>______</v>
          </cell>
          <cell r="AV103" t="str">
            <v>______</v>
          </cell>
          <cell r="AW103" t="str">
            <v>______</v>
          </cell>
          <cell r="AX103" t="str">
            <v>______</v>
          </cell>
          <cell r="AY103" t="str">
            <v>______</v>
          </cell>
          <cell r="AZ103" t="str">
            <v>______</v>
          </cell>
          <cell r="BA103" t="str">
            <v>______</v>
          </cell>
          <cell r="BK103" t="str">
            <v>______</v>
          </cell>
          <cell r="BL103" t="e">
            <v>#VALUE!</v>
          </cell>
        </row>
        <row r="104">
          <cell r="A104" t="str">
            <v>Total Revenue</v>
          </cell>
          <cell r="C104">
            <v>1932.6084017502599</v>
          </cell>
          <cell r="D104">
            <v>2185.8227182330293</v>
          </cell>
          <cell r="E104">
            <v>2055.1445888483158</v>
          </cell>
          <cell r="F104">
            <v>2224.660161928372</v>
          </cell>
          <cell r="G104">
            <v>1814.9949815199464</v>
          </cell>
          <cell r="H104">
            <v>1621.756107296324</v>
          </cell>
          <cell r="I104">
            <v>525.02414254733333</v>
          </cell>
          <cell r="J104">
            <v>475.49036163673679</v>
          </cell>
          <cell r="K104">
            <v>511.76567318805417</v>
          </cell>
          <cell r="L104">
            <v>474.46814492903269</v>
          </cell>
          <cell r="M104">
            <v>1986.748322301157</v>
          </cell>
          <cell r="N104">
            <v>548.46985485693131</v>
          </cell>
          <cell r="O104">
            <v>560.85132357778127</v>
          </cell>
          <cell r="P104">
            <v>565.63051125219295</v>
          </cell>
          <cell r="Q104">
            <v>580.99063184734734</v>
          </cell>
          <cell r="R104">
            <v>2255.9423215342531</v>
          </cell>
          <cell r="S104">
            <v>609.58509393554687</v>
          </cell>
          <cell r="T104">
            <v>669.27221552802428</v>
          </cell>
          <cell r="U104">
            <v>667.43454308014293</v>
          </cell>
          <cell r="V104">
            <v>748.1803776184322</v>
          </cell>
          <cell r="W104">
            <v>2694.4722301621464</v>
          </cell>
          <cell r="X104">
            <v>835.80358172344654</v>
          </cell>
          <cell r="Y104">
            <v>648.36718437499371</v>
          </cell>
          <cell r="Z104">
            <v>949.70951060080347</v>
          </cell>
          <cell r="AA104">
            <v>1044.1917159822819</v>
          </cell>
          <cell r="AB104">
            <v>3478.0719926815259</v>
          </cell>
          <cell r="AC104">
            <v>1132.7191437639356</v>
          </cell>
          <cell r="AD104">
            <v>1165.1180179880098</v>
          </cell>
          <cell r="AE104">
            <v>1357.773368422625</v>
          </cell>
          <cell r="AF104">
            <v>1356.9500868402138</v>
          </cell>
          <cell r="AG104">
            <v>5012.5606170147839</v>
          </cell>
          <cell r="AH104">
            <v>1319.8510694529909</v>
          </cell>
          <cell r="AI104">
            <v>1413.5250785261996</v>
          </cell>
          <cell r="AJ104">
            <v>1423.9329589758054</v>
          </cell>
          <cell r="AK104">
            <v>1425.7426089644091</v>
          </cell>
          <cell r="AL104">
            <v>5583.051715919406</v>
          </cell>
          <cell r="AM104">
            <v>1545.7648858328212</v>
          </cell>
          <cell r="AN104">
            <v>1584.3034551048329</v>
          </cell>
          <cell r="AO104">
            <v>1691.4330745215916</v>
          </cell>
          <cell r="AP104">
            <v>2050.9176096994534</v>
          </cell>
          <cell r="AQ104">
            <v>6872.4190251586988</v>
          </cell>
          <cell r="AR104">
            <v>2223.1274359793588</v>
          </cell>
          <cell r="AS104">
            <v>1984.7636679356945</v>
          </cell>
          <cell r="AT104">
            <v>2098.9240474876715</v>
          </cell>
          <cell r="AU104">
            <v>2404.494797420567</v>
          </cell>
          <cell r="AV104">
            <v>8711.3099488232911</v>
          </cell>
          <cell r="AW104">
            <v>9975.4970811944731</v>
          </cell>
          <cell r="AX104">
            <v>11495.287373279902</v>
          </cell>
          <cell r="AY104">
            <v>12937.576081668471</v>
          </cell>
          <cell r="AZ104">
            <v>14045.846276805547</v>
          </cell>
          <cell r="BA104">
            <v>15168.088569510193</v>
          </cell>
          <cell r="BK104">
            <v>7942.8300614254713</v>
          </cell>
          <cell r="BL104">
            <v>768.47988739781977</v>
          </cell>
        </row>
        <row r="105">
          <cell r="A105" t="str">
            <v xml:space="preserve">  Year-over-Year growth</v>
          </cell>
          <cell r="D105">
            <v>0.1310220509511637</v>
          </cell>
          <cell r="E105">
            <v>-5.978441357327946E-2</v>
          </cell>
          <cell r="F105">
            <v>8.2483526463240864E-2</v>
          </cell>
          <cell r="G105">
            <v>-0.18414730816832769</v>
          </cell>
          <cell r="H105">
            <v>-0.10646799368106064</v>
          </cell>
          <cell r="I105" t="str">
            <v>N.M.</v>
          </cell>
          <cell r="J105" t="str">
            <v>N.M.</v>
          </cell>
          <cell r="K105" t="str">
            <v>N.M.</v>
          </cell>
          <cell r="L105" t="str">
            <v>N.M.</v>
          </cell>
          <cell r="M105">
            <v>0.22505986773394793</v>
          </cell>
          <cell r="N105">
            <v>4.465644607473318E-2</v>
          </cell>
          <cell r="O105">
            <v>0.17952196054450886</v>
          </cell>
          <cell r="P105">
            <v>0.10525293290694293</v>
          </cell>
          <cell r="Q105">
            <v>0.22450924905453351</v>
          </cell>
          <cell r="R105">
            <v>0.13549476610167788</v>
          </cell>
          <cell r="S105">
            <v>0.11142862007349064</v>
          </cell>
          <cell r="T105">
            <v>0.19331485438708551</v>
          </cell>
          <cell r="U105">
            <v>0.17998327495201094</v>
          </cell>
          <cell r="V105">
            <v>0.28776668091786584</v>
          </cell>
          <cell r="W105">
            <v>0.19438879462558756</v>
          </cell>
          <cell r="X105">
            <v>0.37110239413403101</v>
          </cell>
          <cell r="Y105">
            <v>-3.1235468420779289E-2</v>
          </cell>
          <cell r="Z105">
            <v>0.42292531971448488</v>
          </cell>
          <cell r="AA105">
            <v>0.39564167574949938</v>
          </cell>
          <cell r="AB105">
            <v>0.29081753144370848</v>
          </cell>
          <cell r="AC105">
            <v>0.35524562054190079</v>
          </cell>
          <cell r="AD105">
            <v>0.79700337411608557</v>
          </cell>
          <cell r="AE105">
            <v>0.42967228743836938</v>
          </cell>
          <cell r="AF105">
            <v>0.29952198056246471</v>
          </cell>
          <cell r="AG105">
            <v>0.44118943701053093</v>
          </cell>
          <cell r="AH105">
            <v>0.16520593539827622</v>
          </cell>
          <cell r="AI105">
            <v>0.21320334653063977</v>
          </cell>
          <cell r="AJ105">
            <v>4.8726534259572629E-2</v>
          </cell>
          <cell r="AK105">
            <v>5.069642781363104E-2</v>
          </cell>
          <cell r="AL105">
            <v>0.11381230921539975</v>
          </cell>
          <cell r="AM105">
            <v>0.17116614261142327</v>
          </cell>
          <cell r="AN105">
            <v>0.1208173658699383</v>
          </cell>
          <cell r="AO105">
            <v>0.1878600490701412</v>
          </cell>
          <cell r="AP105">
            <v>0.43849078845244116</v>
          </cell>
          <cell r="AQ105">
            <v>0.23094310689668451</v>
          </cell>
          <cell r="AR105">
            <v>0.43820541943646929</v>
          </cell>
          <cell r="AS105">
            <v>0.25276736697160285</v>
          </cell>
          <cell r="AT105">
            <v>0.24091462979186185</v>
          </cell>
          <cell r="AU105">
            <v>0.17239950841951557</v>
          </cell>
          <cell r="AV105">
            <v>0.26757549516883961</v>
          </cell>
          <cell r="AW105">
            <v>0.14512021036996225</v>
          </cell>
          <cell r="AX105">
            <v>0.15235233690263872</v>
          </cell>
          <cell r="AY105">
            <v>0.12546782534041578</v>
          </cell>
          <cell r="AZ105">
            <v>8.5662892967053317E-2</v>
          </cell>
          <cell r="BA105">
            <v>7.9898517368643729E-2</v>
          </cell>
          <cell r="BK105">
            <v>0.21000660614596334</v>
          </cell>
          <cell r="BL105">
            <v>5.7568889022876268E-2</v>
          </cell>
        </row>
        <row r="106">
          <cell r="BL106">
            <v>0</v>
          </cell>
        </row>
        <row r="107">
          <cell r="A107" t="str">
            <v>Total Market Share</v>
          </cell>
          <cell r="BL107">
            <v>0</v>
          </cell>
        </row>
        <row r="108">
          <cell r="A108" t="str">
            <v>Sands Macao</v>
          </cell>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0.119984515286266</v>
          </cell>
          <cell r="AF108">
            <v>0.12567670144413676</v>
          </cell>
          <cell r="AG108">
            <v>7.8013777846359544E-2</v>
          </cell>
          <cell r="AH108">
            <v>0.13441405936317172</v>
          </cell>
          <cell r="AI108">
            <v>0.15600570329457564</v>
          </cell>
          <cell r="AJ108">
            <v>0.18565825752790369</v>
          </cell>
          <cell r="AK108">
            <v>0.21038201854531771</v>
          </cell>
          <cell r="AL108">
            <v>0.17235019178781519</v>
          </cell>
          <cell r="AM108">
            <v>0.19985230796180156</v>
          </cell>
          <cell r="AN108">
            <v>0.21546182576330525</v>
          </cell>
          <cell r="AO108">
            <v>0.21396788643403111</v>
          </cell>
          <cell r="AP108">
            <v>0.18832151724349347</v>
          </cell>
          <cell r="AQ108">
            <v>0.20348379018808552</v>
          </cell>
          <cell r="AR108">
            <v>0.18781310485914979</v>
          </cell>
          <cell r="AS108">
            <v>0.17159269551804085</v>
          </cell>
          <cell r="AT108">
            <v>0.12077651146897304</v>
          </cell>
          <cell r="AU108">
            <v>0.10268542807566954</v>
          </cell>
          <cell r="AV108">
            <v>0.1444685957981498</v>
          </cell>
          <cell r="AW108">
            <v>0.10160815907924933</v>
          </cell>
          <cell r="AX108">
            <v>7.6851659234050657E-2</v>
          </cell>
          <cell r="AY108">
            <v>6.3853869920850292E-2</v>
          </cell>
          <cell r="AZ108">
            <v>5.6894748193690885E-2</v>
          </cell>
          <cell r="BA108">
            <v>5.7529595750694128E-2</v>
          </cell>
          <cell r="BK108">
            <v>0.13223936179961124</v>
          </cell>
          <cell r="BL108">
            <v>1.2229233998538563E-2</v>
          </cell>
        </row>
        <row r="109">
          <cell r="A109" t="str">
            <v>Venetian Macao</v>
          </cell>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0.13211482324307874</v>
          </cell>
          <cell r="AU109">
            <v>0.15322274755776052</v>
          </cell>
          <cell r="AV109">
            <v>7.4124590064761062E-2</v>
          </cell>
          <cell r="AW109">
            <v>0.14839398119358529</v>
          </cell>
          <cell r="AX109">
            <v>0.13264164052496522</v>
          </cell>
          <cell r="AY109">
            <v>0.10494703815738311</v>
          </cell>
          <cell r="AZ109">
            <v>0.10164324863395452</v>
          </cell>
          <cell r="BA109">
            <v>0.10199690709842051</v>
          </cell>
          <cell r="BK109">
            <v>9.6364108581777519E-2</v>
          </cell>
          <cell r="BL109">
            <v>-2.2239518517016457E-2</v>
          </cell>
        </row>
        <row r="110">
          <cell r="A110" t="str">
            <v>LVS Cotai Strip</v>
          </cell>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5.3023814776686225E-2</v>
          </cell>
          <cell r="AX110">
            <v>0.11075787596700158</v>
          </cell>
          <cell r="AY110">
            <v>0.13509998321921712</v>
          </cell>
          <cell r="AZ110">
            <v>0.12148467627755226</v>
          </cell>
          <cell r="BA110">
            <v>0.12273120302115323</v>
          </cell>
          <cell r="BK110">
            <v>0</v>
          </cell>
          <cell r="BL110">
            <v>0</v>
          </cell>
        </row>
        <row r="111">
          <cell r="A111" t="str">
            <v>Wynn Macau</v>
          </cell>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3.0952238541751238E-2</v>
          </cell>
          <cell r="AP111">
            <v>0.13437394788393553</v>
          </cell>
          <cell r="AQ111">
            <v>4.7718792291252511E-2</v>
          </cell>
          <cell r="AR111">
            <v>0.14375773368969572</v>
          </cell>
          <cell r="AS111">
            <v>0.13209599306526248</v>
          </cell>
          <cell r="AT111">
            <v>0.13641102732129895</v>
          </cell>
          <cell r="AU111">
            <v>0.12479108410442168</v>
          </cell>
          <cell r="AV111">
            <v>0.13409544541049337</v>
          </cell>
          <cell r="AW111">
            <v>0.11441855514297582</v>
          </cell>
          <cell r="AX111">
            <v>0.10605771029330777</v>
          </cell>
          <cell r="AY111">
            <v>8.108646939290616E-2</v>
          </cell>
          <cell r="AZ111">
            <v>7.5987977143724197E-2</v>
          </cell>
          <cell r="BA111">
            <v>7.592521434118979E-2</v>
          </cell>
          <cell r="BK111">
            <v>0.10079514296401283</v>
          </cell>
          <cell r="BL111">
            <v>3.3300302446480537E-2</v>
          </cell>
        </row>
        <row r="112">
          <cell r="A112" t="str">
            <v>Wynn Cotai</v>
          </cell>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4.9042641826936503E-2</v>
          </cell>
          <cell r="AZ112">
            <v>4.6465297842303681E-2</v>
          </cell>
          <cell r="BA112">
            <v>4.667507659994214E-2</v>
          </cell>
          <cell r="BK112">
            <v>0</v>
          </cell>
          <cell r="BL112">
            <v>0</v>
          </cell>
        </row>
        <row r="113">
          <cell r="A113" t="str">
            <v>Wynn Cotai #2</v>
          </cell>
          <cell r="C113">
            <v>0</v>
          </cell>
          <cell r="D113">
            <v>0</v>
          </cell>
          <cell r="E113">
            <v>0</v>
          </cell>
          <cell r="F113">
            <v>0</v>
          </cell>
          <cell r="G113">
            <v>0</v>
          </cell>
          <cell r="H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4.9042641826936503E-2</v>
          </cell>
          <cell r="AZ113">
            <v>4.6465297842303681E-2</v>
          </cell>
          <cell r="BA113">
            <v>4.667507659994214E-2</v>
          </cell>
        </row>
        <row r="114">
          <cell r="A114" t="str">
            <v>MGM Macau</v>
          </cell>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6.5532458011518302E-2</v>
          </cell>
          <cell r="AV114">
            <v>1.808826172832504E-2</v>
          </cell>
          <cell r="AW114">
            <v>9.9916689020285138E-2</v>
          </cell>
          <cell r="AX114">
            <v>8.2455102643009703E-2</v>
          </cell>
          <cell r="AY114">
            <v>7.4592894999211762E-2</v>
          </cell>
          <cell r="AZ114">
            <v>6.6751564652210021E-2</v>
          </cell>
          <cell r="BA114">
            <v>6.6314652738612589E-2</v>
          </cell>
          <cell r="BK114">
            <v>2.2789600398855966E-2</v>
          </cell>
          <cell r="BL114">
            <v>-4.7013386705309253E-3</v>
          </cell>
        </row>
        <row r="115">
          <cell r="A115" t="str">
            <v>MGM Cotai #1</v>
          </cell>
          <cell r="C115">
            <v>0</v>
          </cell>
          <cell r="D115">
            <v>0</v>
          </cell>
          <cell r="E115">
            <v>0</v>
          </cell>
          <cell r="F115">
            <v>0</v>
          </cell>
          <cell r="G115">
            <v>0</v>
          </cell>
          <cell r="H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4.4206886666903533E-2</v>
          </cell>
          <cell r="BA115">
            <v>4.4324620293259336E-2</v>
          </cell>
        </row>
        <row r="116">
          <cell r="A116" t="str">
            <v>Other</v>
          </cell>
          <cell r="C116">
            <v>1</v>
          </cell>
          <cell r="D116">
            <v>1</v>
          </cell>
          <cell r="E116">
            <v>1</v>
          </cell>
          <cell r="F116">
            <v>1</v>
          </cell>
          <cell r="G116">
            <v>1</v>
          </cell>
          <cell r="H116">
            <v>1</v>
          </cell>
          <cell r="I116">
            <v>1</v>
          </cell>
          <cell r="J116">
            <v>1</v>
          </cell>
          <cell r="K116">
            <v>1</v>
          </cell>
          <cell r="L116">
            <v>1</v>
          </cell>
          <cell r="M116">
            <v>1</v>
          </cell>
          <cell r="N116">
            <v>1</v>
          </cell>
          <cell r="O116">
            <v>1</v>
          </cell>
          <cell r="P116">
            <v>1</v>
          </cell>
          <cell r="Q116">
            <v>1</v>
          </cell>
          <cell r="R116">
            <v>1</v>
          </cell>
          <cell r="S116">
            <v>1</v>
          </cell>
          <cell r="T116">
            <v>1</v>
          </cell>
          <cell r="U116">
            <v>1</v>
          </cell>
          <cell r="V116">
            <v>1</v>
          </cell>
          <cell r="W116">
            <v>1</v>
          </cell>
          <cell r="X116">
            <v>1</v>
          </cell>
          <cell r="Y116">
            <v>1</v>
          </cell>
          <cell r="Z116">
            <v>1</v>
          </cell>
          <cell r="AA116">
            <v>1</v>
          </cell>
          <cell r="AB116">
            <v>1</v>
          </cell>
          <cell r="AC116">
            <v>1</v>
          </cell>
          <cell r="AD116">
            <v>0.95056294803554164</v>
          </cell>
          <cell r="AE116">
            <v>0.88001548471373414</v>
          </cell>
          <cell r="AF116">
            <v>0.87432329855586322</v>
          </cell>
          <cell r="AG116">
            <v>0.92198622215364046</v>
          </cell>
          <cell r="AH116">
            <v>0.86558594063682837</v>
          </cell>
          <cell r="AI116">
            <v>0.84399429670542436</v>
          </cell>
          <cell r="AJ116">
            <v>0.81434174247209634</v>
          </cell>
          <cell r="AK116">
            <v>0.78961798145468221</v>
          </cell>
          <cell r="AL116">
            <v>0.82764980821218503</v>
          </cell>
          <cell r="AM116">
            <v>0.80014769203819847</v>
          </cell>
          <cell r="AN116">
            <v>0.7845381742366947</v>
          </cell>
          <cell r="AO116">
            <v>0.75507987502421758</v>
          </cell>
          <cell r="AP116">
            <v>0.67730453487257103</v>
          </cell>
          <cell r="AQ116">
            <v>0.74879741752066198</v>
          </cell>
          <cell r="AR116">
            <v>0.6684291614511545</v>
          </cell>
          <cell r="AS116">
            <v>0.69631131141669667</v>
          </cell>
          <cell r="AT116">
            <v>0.61069763796664922</v>
          </cell>
          <cell r="AU116">
            <v>0.55376828225062991</v>
          </cell>
          <cell r="AV116">
            <v>0.62922310699827078</v>
          </cell>
          <cell r="AW116">
            <v>0.48263880078721827</v>
          </cell>
          <cell r="AX116">
            <v>0.49123601133766509</v>
          </cell>
          <cell r="AY116">
            <v>0.44233446065655857</v>
          </cell>
          <cell r="AZ116">
            <v>0.44010030274735734</v>
          </cell>
          <cell r="BA116">
            <v>0.43782765355678616</v>
          </cell>
          <cell r="BK116">
            <v>0.64781178625574243</v>
          </cell>
          <cell r="BL116">
            <v>-1.8588679257471652E-2</v>
          </cell>
        </row>
        <row r="117">
          <cell r="B117" t="str">
            <v>______</v>
          </cell>
          <cell r="C117" t="str">
            <v>______</v>
          </cell>
          <cell r="D117" t="str">
            <v>______</v>
          </cell>
          <cell r="E117" t="str">
            <v>______</v>
          </cell>
          <cell r="F117" t="str">
            <v>______</v>
          </cell>
          <cell r="G117" t="str">
            <v>______</v>
          </cell>
          <cell r="H117" t="str">
            <v>______</v>
          </cell>
          <cell r="I117" t="str">
            <v>______</v>
          </cell>
          <cell r="J117" t="str">
            <v>______</v>
          </cell>
          <cell r="K117" t="str">
            <v>______</v>
          </cell>
          <cell r="L117" t="str">
            <v>______</v>
          </cell>
          <cell r="M117" t="str">
            <v>______</v>
          </cell>
          <cell r="N117" t="str">
            <v>______</v>
          </cell>
          <cell r="O117" t="str">
            <v>______</v>
          </cell>
          <cell r="P117" t="str">
            <v>______</v>
          </cell>
          <cell r="Q117" t="str">
            <v>______</v>
          </cell>
          <cell r="R117" t="str">
            <v>______</v>
          </cell>
          <cell r="S117" t="str">
            <v>______</v>
          </cell>
          <cell r="T117" t="str">
            <v>______</v>
          </cell>
          <cell r="U117" t="str">
            <v>______</v>
          </cell>
          <cell r="V117" t="str">
            <v>______</v>
          </cell>
          <cell r="W117" t="str">
            <v>______</v>
          </cell>
          <cell r="X117" t="str">
            <v>______</v>
          </cell>
          <cell r="Y117" t="str">
            <v>______</v>
          </cell>
          <cell r="Z117" t="str">
            <v>______</v>
          </cell>
          <cell r="AA117" t="str">
            <v>______</v>
          </cell>
          <cell r="AB117" t="str">
            <v>______</v>
          </cell>
          <cell r="AC117" t="str">
            <v>______</v>
          </cell>
          <cell r="AD117" t="str">
            <v>______</v>
          </cell>
          <cell r="AE117" t="str">
            <v>______</v>
          </cell>
          <cell r="AF117" t="str">
            <v>______</v>
          </cell>
          <cell r="AG117" t="str">
            <v>______</v>
          </cell>
          <cell r="AH117" t="str">
            <v>______</v>
          </cell>
          <cell r="AI117" t="str">
            <v>______</v>
          </cell>
          <cell r="AJ117" t="str">
            <v>______</v>
          </cell>
          <cell r="AK117" t="str">
            <v>______</v>
          </cell>
          <cell r="AL117" t="str">
            <v>______</v>
          </cell>
          <cell r="AM117" t="str">
            <v>______</v>
          </cell>
          <cell r="AN117" t="str">
            <v>______</v>
          </cell>
          <cell r="AO117" t="str">
            <v>______</v>
          </cell>
          <cell r="AP117" t="str">
            <v>______</v>
          </cell>
          <cell r="AQ117" t="str">
            <v>______</v>
          </cell>
          <cell r="AR117" t="str">
            <v>______</v>
          </cell>
          <cell r="AS117" t="str">
            <v>______</v>
          </cell>
          <cell r="AT117" t="str">
            <v>______</v>
          </cell>
          <cell r="AU117" t="str">
            <v>______</v>
          </cell>
          <cell r="AV117" t="str">
            <v>______</v>
          </cell>
          <cell r="AW117" t="str">
            <v>______</v>
          </cell>
          <cell r="AX117" t="str">
            <v>______</v>
          </cell>
          <cell r="AY117" t="str">
            <v>______</v>
          </cell>
          <cell r="AZ117" t="str">
            <v>______</v>
          </cell>
          <cell r="BA117" t="str">
            <v>______</v>
          </cell>
          <cell r="BK117" t="str">
            <v>______</v>
          </cell>
          <cell r="BL117" t="e">
            <v>#VALUE!</v>
          </cell>
        </row>
        <row r="118">
          <cell r="A118" t="str">
            <v>Total</v>
          </cell>
          <cell r="C118">
            <v>1</v>
          </cell>
          <cell r="D118">
            <v>1</v>
          </cell>
          <cell r="E118">
            <v>1</v>
          </cell>
          <cell r="F118">
            <v>1</v>
          </cell>
          <cell r="G118">
            <v>1</v>
          </cell>
          <cell r="H118">
            <v>1</v>
          </cell>
          <cell r="I118">
            <v>1</v>
          </cell>
          <cell r="J118">
            <v>1</v>
          </cell>
          <cell r="K118">
            <v>1</v>
          </cell>
          <cell r="L118">
            <v>1</v>
          </cell>
          <cell r="M118">
            <v>1</v>
          </cell>
          <cell r="N118">
            <v>1</v>
          </cell>
          <cell r="O118">
            <v>1</v>
          </cell>
          <cell r="P118">
            <v>1</v>
          </cell>
          <cell r="Q118">
            <v>1</v>
          </cell>
          <cell r="R118">
            <v>1</v>
          </cell>
          <cell r="S118">
            <v>1</v>
          </cell>
          <cell r="T118">
            <v>1</v>
          </cell>
          <cell r="U118">
            <v>1</v>
          </cell>
          <cell r="V118">
            <v>1</v>
          </cell>
          <cell r="W118">
            <v>1</v>
          </cell>
          <cell r="X118">
            <v>1</v>
          </cell>
          <cell r="Y118">
            <v>1</v>
          </cell>
          <cell r="Z118">
            <v>1</v>
          </cell>
          <cell r="AA118">
            <v>1</v>
          </cell>
          <cell r="AB118">
            <v>1</v>
          </cell>
          <cell r="AC118">
            <v>1</v>
          </cell>
          <cell r="AD118">
            <v>0.95056294803554164</v>
          </cell>
          <cell r="AE118">
            <v>1.0000000000000002</v>
          </cell>
          <cell r="AF118">
            <v>1</v>
          </cell>
          <cell r="AG118">
            <v>1</v>
          </cell>
          <cell r="AH118">
            <v>1</v>
          </cell>
          <cell r="AI118">
            <v>1</v>
          </cell>
          <cell r="AJ118">
            <v>1</v>
          </cell>
          <cell r="AK118">
            <v>0.99999999999999989</v>
          </cell>
          <cell r="AL118">
            <v>1.0000000000000002</v>
          </cell>
          <cell r="AM118">
            <v>1</v>
          </cell>
          <cell r="AN118">
            <v>1</v>
          </cell>
          <cell r="AO118">
            <v>1</v>
          </cell>
          <cell r="AP118">
            <v>1</v>
          </cell>
          <cell r="AQ118">
            <v>1</v>
          </cell>
          <cell r="AR118">
            <v>1</v>
          </cell>
          <cell r="AS118">
            <v>1</v>
          </cell>
          <cell r="AT118">
            <v>1</v>
          </cell>
          <cell r="AU118">
            <v>1</v>
          </cell>
          <cell r="AV118">
            <v>1</v>
          </cell>
          <cell r="AW118">
            <v>1</v>
          </cell>
          <cell r="AX118">
            <v>1</v>
          </cell>
          <cell r="AY118">
            <v>1</v>
          </cell>
          <cell r="AZ118">
            <v>1</v>
          </cell>
          <cell r="BA118">
            <v>1</v>
          </cell>
          <cell r="BK118">
            <v>1</v>
          </cell>
          <cell r="BL118">
            <v>0</v>
          </cell>
        </row>
        <row r="119">
          <cell r="BL119">
            <v>0</v>
          </cell>
        </row>
        <row r="120">
          <cell r="A120" t="str">
            <v>VIP Casino Revenue</v>
          </cell>
          <cell r="BL120">
            <v>0</v>
          </cell>
        </row>
        <row r="121">
          <cell r="A121" t="str">
            <v>Sands Macao</v>
          </cell>
          <cell r="C121">
            <v>0</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1.4575</v>
          </cell>
          <cell r="AF121">
            <v>11.1035</v>
          </cell>
          <cell r="AG121">
            <v>12.561</v>
          </cell>
          <cell r="AH121">
            <v>17.969700000000003</v>
          </cell>
          <cell r="AI121">
            <v>51.817999999999998</v>
          </cell>
          <cell r="AJ121">
            <v>76.751999999999995</v>
          </cell>
          <cell r="AK121">
            <v>94.463999999999999</v>
          </cell>
          <cell r="AL121">
            <v>241.00369999999998</v>
          </cell>
          <cell r="AM121">
            <v>92.5</v>
          </cell>
          <cell r="AN121">
            <v>127.8</v>
          </cell>
          <cell r="AO121">
            <v>147.41999999999999</v>
          </cell>
          <cell r="AP121">
            <v>175.15</v>
          </cell>
          <cell r="AQ121">
            <v>542.87</v>
          </cell>
          <cell r="AR121">
            <v>188.37641355245393</v>
          </cell>
          <cell r="AS121">
            <v>151.48683818937158</v>
          </cell>
          <cell r="AT121">
            <v>88.927821075617828</v>
          </cell>
          <cell r="AU121">
            <v>105.56988658651376</v>
          </cell>
          <cell r="AV121">
            <v>534.36095940395705</v>
          </cell>
          <cell r="AW121">
            <v>359.30724355831563</v>
          </cell>
          <cell r="AX121">
            <v>317.38806514317889</v>
          </cell>
          <cell r="AY121">
            <v>264.06687019912482</v>
          </cell>
          <cell r="AZ121">
            <v>271.98887630509859</v>
          </cell>
          <cell r="BA121">
            <v>280.14854259425152</v>
          </cell>
          <cell r="BK121">
            <v>280.63532829475901</v>
          </cell>
          <cell r="BL121">
            <v>253.72563110919805</v>
          </cell>
        </row>
        <row r="122">
          <cell r="A122" t="str">
            <v>Venetian Macao</v>
          </cell>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127.03974439373974</v>
          </cell>
          <cell r="AU122">
            <v>211.13977317302752</v>
          </cell>
          <cell r="AV122">
            <v>338.17951756676723</v>
          </cell>
          <cell r="AW122">
            <v>778.4990277096839</v>
          </cell>
          <cell r="AX122">
            <v>888.68658240090087</v>
          </cell>
          <cell r="AY122">
            <v>726.18389304759341</v>
          </cell>
          <cell r="AZ122">
            <v>611.9749716864718</v>
          </cell>
          <cell r="BA122">
            <v>630.33422083706591</v>
          </cell>
          <cell r="BK122">
            <v>320.72608947972452</v>
          </cell>
          <cell r="BL122">
            <v>17.45342808704271</v>
          </cell>
        </row>
        <row r="123">
          <cell r="A123" t="str">
            <v>Cotai Site 2 - Four Seasons</v>
          </cell>
          <cell r="C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119.76908118610521</v>
          </cell>
          <cell r="AX123">
            <v>126.95522605727155</v>
          </cell>
          <cell r="AY123">
            <v>132.03343509956241</v>
          </cell>
          <cell r="AZ123">
            <v>135.99443815254929</v>
          </cell>
          <cell r="BA123">
            <v>140.07427129712576</v>
          </cell>
          <cell r="BK123">
            <v>0</v>
          </cell>
          <cell r="BL123">
            <v>0</v>
          </cell>
        </row>
        <row r="124">
          <cell r="A124" t="str">
            <v>Cotai Site 3 - Far East</v>
          </cell>
          <cell r="C124">
            <v>0</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25.391045211454308</v>
          </cell>
          <cell r="AY124">
            <v>52.813374039824964</v>
          </cell>
          <cell r="AZ124">
            <v>54.397775261019717</v>
          </cell>
          <cell r="BA124">
            <v>56.029708518850306</v>
          </cell>
          <cell r="BK124">
            <v>0</v>
          </cell>
          <cell r="BL124">
            <v>0</v>
          </cell>
        </row>
        <row r="125">
          <cell r="A125" t="str">
            <v>Cotai Site 5 - Shangri-La/St.Regis/Traders</v>
          </cell>
          <cell r="C125">
            <v>0</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29.942270296526303</v>
          </cell>
          <cell r="AX125">
            <v>95.216419542953645</v>
          </cell>
          <cell r="AY125">
            <v>99.025076324671801</v>
          </cell>
          <cell r="AZ125">
            <v>101.99582861441196</v>
          </cell>
          <cell r="BA125">
            <v>105.05570347284431</v>
          </cell>
          <cell r="BK125">
            <v>0</v>
          </cell>
          <cell r="BL125">
            <v>0</v>
          </cell>
        </row>
        <row r="126">
          <cell r="A126" t="str">
            <v>Cotai Site 6 - Starwood</v>
          </cell>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29.942270296526303</v>
          </cell>
          <cell r="AX126">
            <v>95.216419542953645</v>
          </cell>
          <cell r="AY126">
            <v>99.025076324671801</v>
          </cell>
          <cell r="AZ126">
            <v>101.99582861441196</v>
          </cell>
          <cell r="BA126">
            <v>105.05570347284431</v>
          </cell>
          <cell r="BK126">
            <v>0</v>
          </cell>
          <cell r="BL126">
            <v>0</v>
          </cell>
        </row>
        <row r="127">
          <cell r="A127" t="str">
            <v>Cotai Site 7 - Hilton</v>
          </cell>
          <cell r="C127">
            <v>0</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31.738806514317886</v>
          </cell>
          <cell r="AY127">
            <v>99.025076324671801</v>
          </cell>
          <cell r="AZ127">
            <v>101.99582861441196</v>
          </cell>
          <cell r="BA127">
            <v>105.05570347284431</v>
          </cell>
          <cell r="BK127">
            <v>0</v>
          </cell>
          <cell r="BL127">
            <v>0</v>
          </cell>
        </row>
        <row r="128">
          <cell r="A128" t="str">
            <v>Cotai Site 8 - FHR/Raffles</v>
          </cell>
          <cell r="C128">
            <v>0</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31.738806514317886</v>
          </cell>
          <cell r="AY128">
            <v>99.025076324671801</v>
          </cell>
          <cell r="AZ128">
            <v>101.99582861441196</v>
          </cell>
          <cell r="BA128">
            <v>105.05570347284431</v>
          </cell>
          <cell r="BK128">
            <v>0</v>
          </cell>
          <cell r="BL128">
            <v>0</v>
          </cell>
        </row>
        <row r="129">
          <cell r="A129" t="str">
            <v>Wynn Macau</v>
          </cell>
          <cell r="C129">
            <v>0</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27.75</v>
          </cell>
          <cell r="AP129">
            <v>171.6</v>
          </cell>
          <cell r="AQ129">
            <v>199.35</v>
          </cell>
          <cell r="AR129">
            <v>188.37641355245393</v>
          </cell>
          <cell r="AS129">
            <v>151.48683818937158</v>
          </cell>
          <cell r="AT129">
            <v>139.74371883311372</v>
          </cell>
          <cell r="AU129">
            <v>158.35482987977062</v>
          </cell>
          <cell r="AV129">
            <v>637.96180045470976</v>
          </cell>
          <cell r="AW129">
            <v>569.2296633049815</v>
          </cell>
          <cell r="AX129">
            <v>666.86105613191614</v>
          </cell>
          <cell r="AY129">
            <v>495.48534572784922</v>
          </cell>
          <cell r="AZ129">
            <v>510.34990609968474</v>
          </cell>
          <cell r="BA129">
            <v>525.66040328267525</v>
          </cell>
          <cell r="BK129">
            <v>200.45380592482786</v>
          </cell>
          <cell r="BL129">
            <v>437.5079945298819</v>
          </cell>
        </row>
        <row r="130">
          <cell r="A130" t="str">
            <v>Wynn Cotai</v>
          </cell>
          <cell r="C130">
            <v>0</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264.06687019912482</v>
          </cell>
          <cell r="AZ130">
            <v>271.98887630509859</v>
          </cell>
          <cell r="BA130">
            <v>280.14854259425152</v>
          </cell>
          <cell r="BK130">
            <v>0</v>
          </cell>
          <cell r="BL130">
            <v>0</v>
          </cell>
        </row>
        <row r="131">
          <cell r="A131" t="str">
            <v>Wynn Cotai #2</v>
          </cell>
          <cell r="C131">
            <v>0</v>
          </cell>
          <cell r="D131">
            <v>0</v>
          </cell>
          <cell r="E131">
            <v>0</v>
          </cell>
          <cell r="F131">
            <v>0</v>
          </cell>
          <cell r="G131">
            <v>0</v>
          </cell>
          <cell r="H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264.06687019912482</v>
          </cell>
          <cell r="AZ131">
            <v>271.98887630509859</v>
          </cell>
          <cell r="BA131">
            <v>280.14854259425152</v>
          </cell>
        </row>
        <row r="132">
          <cell r="A132" t="str">
            <v>MGM Macau</v>
          </cell>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75.407061847509823</v>
          </cell>
          <cell r="AV132">
            <v>75.407061847509823</v>
          </cell>
          <cell r="AW132">
            <v>538.96086533747348</v>
          </cell>
          <cell r="AX132">
            <v>507.82090422908618</v>
          </cell>
          <cell r="AY132">
            <v>528.13374039824964</v>
          </cell>
          <cell r="AZ132">
            <v>509.9791430720598</v>
          </cell>
          <cell r="BA132">
            <v>525.27851736422156</v>
          </cell>
          <cell r="BK132">
            <v>40.090761184965565</v>
          </cell>
          <cell r="BL132">
            <v>35.316300662544258</v>
          </cell>
        </row>
        <row r="133">
          <cell r="A133" t="str">
            <v>MGM Cotai</v>
          </cell>
          <cell r="C133">
            <v>0</v>
          </cell>
          <cell r="D133">
            <v>0</v>
          </cell>
          <cell r="E133">
            <v>0</v>
          </cell>
          <cell r="F133">
            <v>0</v>
          </cell>
          <cell r="G133">
            <v>0</v>
          </cell>
          <cell r="H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271.98887630509859</v>
          </cell>
          <cell r="BA133">
            <v>280.14854259425152</v>
          </cell>
        </row>
        <row r="134">
          <cell r="A134" t="str">
            <v>Other</v>
          </cell>
          <cell r="C134">
            <v>1158.4249182304775</v>
          </cell>
          <cell r="D134">
            <v>1373.1958703116916</v>
          </cell>
          <cell r="E134">
            <v>1311.6412933882118</v>
          </cell>
          <cell r="F134">
            <v>1543.9553513896376</v>
          </cell>
          <cell r="G134">
            <v>1152.1755032529654</v>
          </cell>
          <cell r="H134">
            <v>1070.2080149186154</v>
          </cell>
          <cell r="I134">
            <v>356.7836313191666</v>
          </cell>
          <cell r="J134">
            <v>323.12262262629986</v>
          </cell>
          <cell r="K134">
            <v>347.77375070532207</v>
          </cell>
          <cell r="L134">
            <v>322.42796849630065</v>
          </cell>
          <cell r="M134">
            <v>1350.1079731470891</v>
          </cell>
          <cell r="N134">
            <v>386.33383027944319</v>
          </cell>
          <cell r="O134">
            <v>395.05514867652977</v>
          </cell>
          <cell r="P134">
            <v>398.421535841712</v>
          </cell>
          <cell r="Q134">
            <v>409.2409713503929</v>
          </cell>
          <cell r="R134">
            <v>1589.0514861480779</v>
          </cell>
          <cell r="S134">
            <v>448.8076265927283</v>
          </cell>
          <cell r="T134">
            <v>492.75232872959464</v>
          </cell>
          <cell r="U134">
            <v>491.39934057749974</v>
          </cell>
          <cell r="V134">
            <v>550.84854088916359</v>
          </cell>
          <cell r="W134">
            <v>1983.8078367889864</v>
          </cell>
          <cell r="X134">
            <v>646.14830969658385</v>
          </cell>
          <cell r="Y134">
            <v>501.2437962789877</v>
          </cell>
          <cell r="Z134">
            <v>734.20742432344173</v>
          </cell>
          <cell r="AA134">
            <v>807.25032416093984</v>
          </cell>
          <cell r="AB134">
            <v>2688.8498544599533</v>
          </cell>
          <cell r="AC134">
            <v>851.76682704702944</v>
          </cell>
          <cell r="AD134">
            <v>827.74883397630197</v>
          </cell>
          <cell r="AE134">
            <v>952.83954649257635</v>
          </cell>
          <cell r="AF134">
            <v>962.08747327333651</v>
          </cell>
          <cell r="AG134">
            <v>3594.4426807892442</v>
          </cell>
          <cell r="AH134">
            <v>853.41058739791868</v>
          </cell>
          <cell r="AI134">
            <v>874.69573647604284</v>
          </cell>
          <cell r="AJ134">
            <v>796.91550231017868</v>
          </cell>
          <cell r="AK134">
            <v>731.81010821960808</v>
          </cell>
          <cell r="AL134">
            <v>3256.8319344037482</v>
          </cell>
          <cell r="AM134">
            <v>880.77110396866146</v>
          </cell>
          <cell r="AN134">
            <v>885.48988755432492</v>
          </cell>
          <cell r="AO134">
            <v>929.52342951078037</v>
          </cell>
          <cell r="AP134">
            <v>1024.2874881365419</v>
          </cell>
          <cell r="AQ134">
            <v>3720.0719091703086</v>
          </cell>
          <cell r="AR134">
            <v>1072.2965079139685</v>
          </cell>
          <cell r="AS134">
            <v>1014.3031774418791</v>
          </cell>
          <cell r="AT134">
            <v>914.68615963492607</v>
          </cell>
          <cell r="AU134">
            <v>957.66968546337466</v>
          </cell>
          <cell r="AV134">
            <v>3958.9555304541482</v>
          </cell>
          <cell r="AW134">
            <v>3562.8036376156483</v>
          </cell>
          <cell r="AX134">
            <v>3560.7479715752261</v>
          </cell>
          <cell r="AY134">
            <v>3478.7210507689792</v>
          </cell>
          <cell r="AZ134">
            <v>3481.086853677637</v>
          </cell>
          <cell r="BA134">
            <v>3585.5194592879666</v>
          </cell>
          <cell r="BK134">
            <v>3167.1701336122796</v>
          </cell>
          <cell r="BL134">
            <v>791.78539684186853</v>
          </cell>
        </row>
        <row r="135">
          <cell r="B135" t="str">
            <v>______</v>
          </cell>
          <cell r="C135" t="str">
            <v>______</v>
          </cell>
          <cell r="D135" t="str">
            <v>______</v>
          </cell>
          <cell r="E135" t="str">
            <v>______</v>
          </cell>
          <cell r="F135" t="str">
            <v>______</v>
          </cell>
          <cell r="G135" t="str">
            <v>______</v>
          </cell>
          <cell r="H135" t="str">
            <v>______</v>
          </cell>
          <cell r="I135" t="str">
            <v>______</v>
          </cell>
          <cell r="J135" t="str">
            <v>______</v>
          </cell>
          <cell r="K135" t="str">
            <v>______</v>
          </cell>
          <cell r="L135" t="str">
            <v>______</v>
          </cell>
          <cell r="M135" t="str">
            <v>______</v>
          </cell>
          <cell r="N135" t="str">
            <v>______</v>
          </cell>
          <cell r="O135" t="str">
            <v>______</v>
          </cell>
          <cell r="P135" t="str">
            <v>______</v>
          </cell>
          <cell r="Q135" t="str">
            <v>______</v>
          </cell>
          <cell r="R135" t="str">
            <v>______</v>
          </cell>
          <cell r="S135" t="str">
            <v>______</v>
          </cell>
          <cell r="T135" t="str">
            <v>______</v>
          </cell>
          <cell r="U135" t="str">
            <v>______</v>
          </cell>
          <cell r="V135" t="str">
            <v>______</v>
          </cell>
          <cell r="W135" t="str">
            <v>______</v>
          </cell>
          <cell r="X135" t="str">
            <v>______</v>
          </cell>
          <cell r="Y135" t="str">
            <v>______</v>
          </cell>
          <cell r="Z135" t="str">
            <v>______</v>
          </cell>
          <cell r="AA135" t="str">
            <v>______</v>
          </cell>
          <cell r="AB135" t="str">
            <v>______</v>
          </cell>
          <cell r="AC135" t="str">
            <v>______</v>
          </cell>
          <cell r="AD135" t="str">
            <v>______</v>
          </cell>
          <cell r="AE135" t="str">
            <v>______</v>
          </cell>
          <cell r="AF135" t="str">
            <v>______</v>
          </cell>
          <cell r="AG135" t="str">
            <v>______</v>
          </cell>
          <cell r="AH135" t="str">
            <v>______</v>
          </cell>
          <cell r="AI135" t="str">
            <v>______</v>
          </cell>
          <cell r="AJ135" t="str">
            <v>______</v>
          </cell>
          <cell r="AK135" t="str">
            <v>______</v>
          </cell>
          <cell r="AL135" t="str">
            <v>______</v>
          </cell>
          <cell r="AM135" t="str">
            <v>______</v>
          </cell>
          <cell r="AN135" t="str">
            <v>______</v>
          </cell>
          <cell r="AO135" t="str">
            <v>______</v>
          </cell>
          <cell r="AP135" t="str">
            <v>______</v>
          </cell>
          <cell r="AQ135" t="str">
            <v>______</v>
          </cell>
          <cell r="AR135" t="str">
            <v>______</v>
          </cell>
          <cell r="AS135" t="str">
            <v>______</v>
          </cell>
          <cell r="AT135" t="str">
            <v>______</v>
          </cell>
          <cell r="AU135" t="str">
            <v>______</v>
          </cell>
          <cell r="AV135" t="str">
            <v>______</v>
          </cell>
          <cell r="AW135" t="str">
            <v>______</v>
          </cell>
          <cell r="AX135" t="str">
            <v>______</v>
          </cell>
          <cell r="AY135" t="str">
            <v>______</v>
          </cell>
          <cell r="AZ135" t="str">
            <v>______</v>
          </cell>
          <cell r="BA135" t="str">
            <v>______</v>
          </cell>
          <cell r="BK135" t="str">
            <v>______</v>
          </cell>
          <cell r="BL135" t="e">
            <v>#VALUE!</v>
          </cell>
        </row>
        <row r="136">
          <cell r="A136" t="str">
            <v>Total VIP Revenue</v>
          </cell>
          <cell r="C136">
            <v>1158.4249182304775</v>
          </cell>
          <cell r="D136">
            <v>1373.1958703116916</v>
          </cell>
          <cell r="E136">
            <v>1311.6412933882118</v>
          </cell>
          <cell r="F136">
            <v>1543.9553513896376</v>
          </cell>
          <cell r="G136">
            <v>1152.1755032529654</v>
          </cell>
          <cell r="H136">
            <v>1070.2080149186154</v>
          </cell>
          <cell r="I136">
            <v>356.7836313191666</v>
          </cell>
          <cell r="J136">
            <v>323.12262262629986</v>
          </cell>
          <cell r="K136">
            <v>347.77375070532207</v>
          </cell>
          <cell r="L136">
            <v>322.42796849630065</v>
          </cell>
          <cell r="M136">
            <v>1350.1079731470891</v>
          </cell>
          <cell r="N136">
            <v>386.33383027944319</v>
          </cell>
          <cell r="O136">
            <v>395.05514867652977</v>
          </cell>
          <cell r="P136">
            <v>398.421535841712</v>
          </cell>
          <cell r="Q136">
            <v>409.2409713503929</v>
          </cell>
          <cell r="R136">
            <v>1589.0514861480779</v>
          </cell>
          <cell r="S136">
            <v>448.8076265927283</v>
          </cell>
          <cell r="T136">
            <v>492.75232872959464</v>
          </cell>
          <cell r="U136">
            <v>491.39934057749974</v>
          </cell>
          <cell r="V136">
            <v>550.84854088916359</v>
          </cell>
          <cell r="W136">
            <v>1983.8078367889864</v>
          </cell>
          <cell r="X136">
            <v>646.14830969658385</v>
          </cell>
          <cell r="Y136">
            <v>501.2437962789877</v>
          </cell>
          <cell r="Z136">
            <v>734.20742432344173</v>
          </cell>
          <cell r="AA136">
            <v>807.25032416093984</v>
          </cell>
          <cell r="AB136">
            <v>2688.8498544599533</v>
          </cell>
          <cell r="AC136">
            <v>851.76682704702944</v>
          </cell>
          <cell r="AD136">
            <v>827.74883397630197</v>
          </cell>
          <cell r="AE136">
            <v>954.29704649257633</v>
          </cell>
          <cell r="AF136">
            <v>973.19097327333657</v>
          </cell>
          <cell r="AG136">
            <v>3607.0036807892443</v>
          </cell>
          <cell r="AH136">
            <v>871.38028739791866</v>
          </cell>
          <cell r="AI136">
            <v>926.51373647604282</v>
          </cell>
          <cell r="AJ136">
            <v>873.66750231017863</v>
          </cell>
          <cell r="AK136">
            <v>826.27410821960802</v>
          </cell>
          <cell r="AL136">
            <v>3497.8356344037484</v>
          </cell>
          <cell r="AM136">
            <v>973.27110396866146</v>
          </cell>
          <cell r="AN136">
            <v>1013.2898875543249</v>
          </cell>
          <cell r="AO136">
            <v>1104.6934295107803</v>
          </cell>
          <cell r="AP136">
            <v>1371.0374881365419</v>
          </cell>
          <cell r="AQ136">
            <v>4462.2919091703088</v>
          </cell>
          <cell r="AR136">
            <v>1449.0493350188763</v>
          </cell>
          <cell r="AS136">
            <v>1317.2768538206224</v>
          </cell>
          <cell r="AT136">
            <v>1270.3974439373974</v>
          </cell>
          <cell r="AU136">
            <v>1508.1412369501963</v>
          </cell>
          <cell r="AV136">
            <v>5544.8648697270919</v>
          </cell>
          <cell r="AW136">
            <v>5988.4540593052607</v>
          </cell>
          <cell r="AX136">
            <v>6347.7613028635769</v>
          </cell>
          <cell r="AY136">
            <v>6601.6717549781206</v>
          </cell>
          <cell r="AZ136">
            <v>6799.7219076274641</v>
          </cell>
          <cell r="BA136">
            <v>7003.713564856288</v>
          </cell>
          <cell r="BK136">
            <v>4009.0761184965568</v>
          </cell>
          <cell r="BL136">
            <v>1535.7887512305351</v>
          </cell>
        </row>
        <row r="137">
          <cell r="A137" t="str">
            <v xml:space="preserve">  Year-over-Year growth</v>
          </cell>
          <cell r="D137">
            <v>0.18539911279643562</v>
          </cell>
          <cell r="E137">
            <v>-4.4825780687432371E-2</v>
          </cell>
          <cell r="F137">
            <v>0.17711706635990065</v>
          </cell>
          <cell r="G137">
            <v>-0.2537507627950838</v>
          </cell>
          <cell r="H137">
            <v>-7.114149546048254E-2</v>
          </cell>
          <cell r="I137" t="str">
            <v>N.M.</v>
          </cell>
          <cell r="J137" t="str">
            <v>N.M.</v>
          </cell>
          <cell r="K137" t="str">
            <v>N.M.</v>
          </cell>
          <cell r="L137" t="str">
            <v>N.M.</v>
          </cell>
          <cell r="M137">
            <v>0.26153790134879418</v>
          </cell>
          <cell r="N137">
            <v>8.2823864006928094E-2</v>
          </cell>
          <cell r="O137">
            <v>0.22261680555069607</v>
          </cell>
          <cell r="P137">
            <v>0.14563429538218697</v>
          </cell>
          <cell r="Q137">
            <v>0.26924774317488609</v>
          </cell>
          <cell r="R137">
            <v>0.17698103985269698</v>
          </cell>
          <cell r="S137">
            <v>0.16170935966983913</v>
          </cell>
          <cell r="T137">
            <v>0.24730010577095163</v>
          </cell>
          <cell r="U137">
            <v>0.23336540917488624</v>
          </cell>
          <cell r="V137">
            <v>0.34602490818918041</v>
          </cell>
          <cell r="W137">
            <v>0.24842263078448967</v>
          </cell>
          <cell r="X137">
            <v>0.43969993246779859</v>
          </cell>
          <cell r="Y137">
            <v>1.723272941456333E-2</v>
          </cell>
          <cell r="Z137">
            <v>0.49411560760458162</v>
          </cell>
          <cell r="AA137">
            <v>0.46546693735069167</v>
          </cell>
          <cell r="AB137">
            <v>0.35539834282142757</v>
          </cell>
          <cell r="AC137">
            <v>0.31822186062360713</v>
          </cell>
          <cell r="AD137">
            <v>0.65138968326619362</v>
          </cell>
          <cell r="AE137">
            <v>0.29976490958524837</v>
          </cell>
          <cell r="AF137">
            <v>0.20556281508449858</v>
          </cell>
          <cell r="AG137">
            <v>0.34146712387319189</v>
          </cell>
          <cell r="AH137">
            <v>2.3026795277865775E-2</v>
          </cell>
          <cell r="AI137">
            <v>0.11931747704831985</v>
          </cell>
          <cell r="AJ137">
            <v>-8.4491033980188424E-2</v>
          </cell>
          <cell r="AK137">
            <v>-0.15096406469901003</v>
          </cell>
          <cell r="AL137">
            <v>-3.0265576652145021E-2</v>
          </cell>
          <cell r="AM137">
            <v>0.11693036673460355</v>
          </cell>
          <cell r="AN137">
            <v>9.3658785252695331E-2</v>
          </cell>
          <cell r="AO137">
            <v>0.2644323230401906</v>
          </cell>
          <cell r="AP137">
            <v>0.65930104126189826</v>
          </cell>
          <cell r="AQ137">
            <v>0.2757294440254523</v>
          </cell>
          <cell r="AR137">
            <v>0.48884450499984688</v>
          </cell>
          <cell r="AS137">
            <v>0.30000000000000004</v>
          </cell>
          <cell r="AT137">
            <v>0.14999999999999991</v>
          </cell>
          <cell r="AU137">
            <v>0.10000000000000009</v>
          </cell>
          <cell r="AV137">
            <v>0.24260469341596025</v>
          </cell>
          <cell r="AW137">
            <v>8.0000000000000293E-2</v>
          </cell>
          <cell r="AX137">
            <v>6.0000000000000053E-2</v>
          </cell>
          <cell r="AY137">
            <v>4.0000000000000036E-2</v>
          </cell>
          <cell r="AZ137">
            <v>3.0000000000000027E-2</v>
          </cell>
          <cell r="BA137">
            <v>3.0000000000000027E-2</v>
          </cell>
          <cell r="BK137">
            <v>0.1</v>
          </cell>
          <cell r="BL137">
            <v>0.14260469341596024</v>
          </cell>
        </row>
        <row r="138">
          <cell r="BL138">
            <v>0</v>
          </cell>
        </row>
        <row r="139">
          <cell r="A139" t="str">
            <v>VIP Casino Revenue Market Share</v>
          </cell>
          <cell r="BL139">
            <v>0</v>
          </cell>
        </row>
        <row r="140">
          <cell r="A140" t="str">
            <v>Sands Macao</v>
          </cell>
          <cell r="C140">
            <v>0</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1.5273022224651077E-3</v>
          </cell>
          <cell r="AF140">
            <v>1.1409374218354367E-2</v>
          </cell>
          <cell r="AG140">
            <v>3.4823917887579041E-3</v>
          </cell>
          <cell r="AH140">
            <v>2.0622109840997677E-2</v>
          </cell>
          <cell r="AI140">
            <v>5.5927934967362328E-2</v>
          </cell>
          <cell r="AJ140">
            <v>8.7850354736842079E-2</v>
          </cell>
          <cell r="AK140">
            <v>0.11432525727272728</v>
          </cell>
          <cell r="AL140">
            <v>6.8900807582138485E-2</v>
          </cell>
          <cell r="AM140">
            <v>9.5040322909842004E-2</v>
          </cell>
          <cell r="AN140">
            <v>0.1261238285012968</v>
          </cell>
          <cell r="AO140">
            <v>0.13344878865196633</v>
          </cell>
          <cell r="AP140">
            <v>0.12774997147456318</v>
          </cell>
          <cell r="AQ140">
            <v>0.12165721361356163</v>
          </cell>
          <cell r="AR140">
            <v>0.13</v>
          </cell>
          <cell r="AS140">
            <v>0.115</v>
          </cell>
          <cell r="AT140">
            <v>7.0000000000000007E-2</v>
          </cell>
          <cell r="AU140">
            <v>7.0000000000000007E-2</v>
          </cell>
          <cell r="AV140">
            <v>9.6370420552783886E-2</v>
          </cell>
          <cell r="AW140">
            <v>0.06</v>
          </cell>
          <cell r="AX140">
            <v>0.05</v>
          </cell>
          <cell r="AY140">
            <v>0.04</v>
          </cell>
          <cell r="AZ140">
            <v>0.04</v>
          </cell>
          <cell r="BA140">
            <v>0.04</v>
          </cell>
          <cell r="BK140">
            <v>7.0000000000000007E-2</v>
          </cell>
          <cell r="BL140">
            <v>2.637042055278388E-2</v>
          </cell>
        </row>
        <row r="141">
          <cell r="A141" t="str">
            <v>Venetian Macao</v>
          </cell>
          <cell r="C141">
            <v>0</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0.1</v>
          </cell>
          <cell r="AU141">
            <v>0.14000000000000001</v>
          </cell>
          <cell r="AV141">
            <v>6.0989677027676929E-2</v>
          </cell>
          <cell r="AW141">
            <v>0.13</v>
          </cell>
          <cell r="AX141">
            <v>0.14000000000000001</v>
          </cell>
          <cell r="AY141">
            <v>0.11000000000000001</v>
          </cell>
          <cell r="AZ141">
            <v>0.09</v>
          </cell>
          <cell r="BA141">
            <v>0.09</v>
          </cell>
          <cell r="BK141">
            <v>0.08</v>
          </cell>
          <cell r="BL141">
            <v>-1.9010322972323072E-2</v>
          </cell>
        </row>
        <row r="142">
          <cell r="A142" t="str">
            <v>Cotai Site 2 - Four Seasons</v>
          </cell>
          <cell r="C142">
            <v>0</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0.02</v>
          </cell>
          <cell r="AX142">
            <v>0.02</v>
          </cell>
          <cell r="AY142">
            <v>0.02</v>
          </cell>
          <cell r="AZ142">
            <v>0.02</v>
          </cell>
          <cell r="BA142">
            <v>0.02</v>
          </cell>
          <cell r="BK142">
            <v>0</v>
          </cell>
          <cell r="BL142">
            <v>0</v>
          </cell>
        </row>
        <row r="143">
          <cell r="A143" t="str">
            <v>Cotai Site 3 - Far East</v>
          </cell>
          <cell r="C143">
            <v>0</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4.0000000000000001E-3</v>
          </cell>
          <cell r="AY143">
            <v>8.0000000000000002E-3</v>
          </cell>
          <cell r="AZ143">
            <v>8.0000000000000002E-3</v>
          </cell>
          <cell r="BA143">
            <v>8.0000000000000002E-3</v>
          </cell>
          <cell r="BK143">
            <v>0</v>
          </cell>
          <cell r="BL143">
            <v>0</v>
          </cell>
        </row>
        <row r="144">
          <cell r="A144" t="str">
            <v>Cotai Site 5 - Shangri-La/St.Regis/Traders</v>
          </cell>
          <cell r="C144">
            <v>0</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5.0000000000000001E-3</v>
          </cell>
          <cell r="AX144">
            <v>1.4999999999999999E-2</v>
          </cell>
          <cell r="AY144">
            <v>1.4999999999999999E-2</v>
          </cell>
          <cell r="AZ144">
            <v>1.4999999999999999E-2</v>
          </cell>
          <cell r="BA144">
            <v>1.4999999999999999E-2</v>
          </cell>
          <cell r="BK144">
            <v>0</v>
          </cell>
          <cell r="BL144">
            <v>0</v>
          </cell>
        </row>
        <row r="145">
          <cell r="A145" t="str">
            <v>Cotai Site 6 - Starwood</v>
          </cell>
          <cell r="C145">
            <v>0</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5.0000000000000001E-3</v>
          </cell>
          <cell r="AX145">
            <v>1.4999999999999999E-2</v>
          </cell>
          <cell r="AY145">
            <v>1.4999999999999999E-2</v>
          </cell>
          <cell r="AZ145">
            <v>1.4999999999999999E-2</v>
          </cell>
          <cell r="BA145">
            <v>1.4999999999999999E-2</v>
          </cell>
          <cell r="BK145">
            <v>0</v>
          </cell>
          <cell r="BL145">
            <v>0</v>
          </cell>
        </row>
        <row r="146">
          <cell r="A146" t="str">
            <v>Cotai Site 7 - Hilton</v>
          </cell>
          <cell r="C146">
            <v>0</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5.0000000000000001E-3</v>
          </cell>
          <cell r="AY146">
            <v>1.4999999999999999E-2</v>
          </cell>
          <cell r="AZ146">
            <v>1.4999999999999999E-2</v>
          </cell>
          <cell r="BA146">
            <v>1.4999999999999999E-2</v>
          </cell>
          <cell r="BK146">
            <v>0</v>
          </cell>
          <cell r="BL146">
            <v>0</v>
          </cell>
        </row>
        <row r="147">
          <cell r="A147" t="str">
            <v>Cotai Site 8 - FHR/Raffles</v>
          </cell>
          <cell r="C147">
            <v>0</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5.0000000000000001E-3</v>
          </cell>
          <cell r="AY147">
            <v>1.4999999999999999E-2</v>
          </cell>
          <cell r="AZ147">
            <v>1.4999999999999999E-2</v>
          </cell>
          <cell r="BA147">
            <v>1.4999999999999999E-2</v>
          </cell>
          <cell r="BK147">
            <v>0</v>
          </cell>
          <cell r="BL147">
            <v>0</v>
          </cell>
        </row>
        <row r="148">
          <cell r="A148" t="str">
            <v>Wynn Macau</v>
          </cell>
          <cell r="C148">
            <v>0</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2.5120091473965989E-2</v>
          </cell>
          <cell r="AP148">
            <v>0.12516069143611214</v>
          </cell>
          <cell r="AQ148">
            <v>4.4674352117198425E-2</v>
          </cell>
          <cell r="AR148">
            <v>0.13</v>
          </cell>
          <cell r="AS148">
            <v>0.115</v>
          </cell>
          <cell r="AT148">
            <v>0.11</v>
          </cell>
          <cell r="AU148">
            <v>0.105</v>
          </cell>
          <cell r="AV148">
            <v>0.11505452620455096</v>
          </cell>
          <cell r="AW148">
            <v>9.505452620455096E-2</v>
          </cell>
          <cell r="AX148">
            <v>0.10505452620455095</v>
          </cell>
          <cell r="AY148">
            <v>7.5054526204550956E-2</v>
          </cell>
          <cell r="AZ148">
            <v>7.5054526204550956E-2</v>
          </cell>
          <cell r="BA148">
            <v>7.5054526204550956E-2</v>
          </cell>
          <cell r="BK148">
            <v>0.05</v>
          </cell>
          <cell r="BL148">
            <v>6.5054526204550961E-2</v>
          </cell>
        </row>
        <row r="149">
          <cell r="A149" t="str">
            <v>Wynn Cotai</v>
          </cell>
          <cell r="C149">
            <v>0</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0.04</v>
          </cell>
          <cell r="AZ149">
            <v>0.04</v>
          </cell>
          <cell r="BA149">
            <v>0.04</v>
          </cell>
          <cell r="BK149">
            <v>0</v>
          </cell>
          <cell r="BL149">
            <v>0</v>
          </cell>
        </row>
        <row r="150">
          <cell r="A150" t="str">
            <v>Wynn Cotai #2</v>
          </cell>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0.04</v>
          </cell>
          <cell r="AZ150">
            <v>0.04</v>
          </cell>
          <cell r="BA150">
            <v>0.04</v>
          </cell>
        </row>
        <row r="151">
          <cell r="A151" t="str">
            <v>MGM Macau</v>
          </cell>
          <cell r="C151">
            <v>0</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0.05</v>
          </cell>
          <cell r="AV151">
            <v>1.3599440855484946E-2</v>
          </cell>
          <cell r="AW151">
            <v>0.09</v>
          </cell>
          <cell r="AX151">
            <v>0.08</v>
          </cell>
          <cell r="AY151">
            <v>0.08</v>
          </cell>
          <cell r="AZ151">
            <v>7.4999999999999997E-2</v>
          </cell>
          <cell r="BA151">
            <v>7.4999999999999997E-2</v>
          </cell>
          <cell r="BK151">
            <v>0.01</v>
          </cell>
          <cell r="BL151">
            <v>3.5994408554849457E-3</v>
          </cell>
        </row>
        <row r="152">
          <cell r="A152" t="str">
            <v>MGM Cotai #1</v>
          </cell>
          <cell r="C152">
            <v>0</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0.04</v>
          </cell>
          <cell r="BA152">
            <v>0.04</v>
          </cell>
        </row>
        <row r="153">
          <cell r="A153" t="str">
            <v>Other</v>
          </cell>
          <cell r="C153">
            <v>1</v>
          </cell>
          <cell r="D153">
            <v>1</v>
          </cell>
          <cell r="E153">
            <v>1</v>
          </cell>
          <cell r="F153">
            <v>1</v>
          </cell>
          <cell r="G153">
            <v>1</v>
          </cell>
          <cell r="H153">
            <v>1</v>
          </cell>
          <cell r="I153">
            <v>1</v>
          </cell>
          <cell r="J153">
            <v>1</v>
          </cell>
          <cell r="K153">
            <v>1</v>
          </cell>
          <cell r="L153">
            <v>1</v>
          </cell>
          <cell r="M153">
            <v>1</v>
          </cell>
          <cell r="N153">
            <v>1</v>
          </cell>
          <cell r="O153">
            <v>1</v>
          </cell>
          <cell r="P153">
            <v>1</v>
          </cell>
          <cell r="Q153">
            <v>1</v>
          </cell>
          <cell r="R153">
            <v>1</v>
          </cell>
          <cell r="S153">
            <v>1</v>
          </cell>
          <cell r="T153">
            <v>1</v>
          </cell>
          <cell r="U153">
            <v>1</v>
          </cell>
          <cell r="V153">
            <v>1</v>
          </cell>
          <cell r="W153">
            <v>1</v>
          </cell>
          <cell r="X153">
            <v>1</v>
          </cell>
          <cell r="Y153">
            <v>1</v>
          </cell>
          <cell r="Z153">
            <v>1</v>
          </cell>
          <cell r="AA153">
            <v>1</v>
          </cell>
          <cell r="AB153">
            <v>1</v>
          </cell>
          <cell r="AC153">
            <v>1</v>
          </cell>
          <cell r="AD153">
            <v>1</v>
          </cell>
          <cell r="AE153">
            <v>0.99847269777753489</v>
          </cell>
          <cell r="AF153">
            <v>0.98859062578164558</v>
          </cell>
          <cell r="AG153">
            <v>0.99651760821124202</v>
          </cell>
          <cell r="AH153">
            <v>0.97937789015900234</v>
          </cell>
          <cell r="AI153">
            <v>0.94407206503263774</v>
          </cell>
          <cell r="AJ153">
            <v>0.912149645263158</v>
          </cell>
          <cell r="AK153">
            <v>0.88567474272727276</v>
          </cell>
          <cell r="AL153">
            <v>0.93109919241786143</v>
          </cell>
          <cell r="AM153">
            <v>0.90495967709015801</v>
          </cell>
          <cell r="AN153">
            <v>0.87387617149870322</v>
          </cell>
          <cell r="AO153">
            <v>0.84143111987406771</v>
          </cell>
          <cell r="AP153">
            <v>0.74708933708932468</v>
          </cell>
          <cell r="AQ153">
            <v>0.83366843426923987</v>
          </cell>
          <cell r="AR153">
            <v>0.7400000000000001</v>
          </cell>
          <cell r="AS153">
            <v>0.76999999999999991</v>
          </cell>
          <cell r="AT153">
            <v>0.72</v>
          </cell>
          <cell r="AU153">
            <v>0.63500000000000001</v>
          </cell>
          <cell r="AV153">
            <v>0.71398593535950328</v>
          </cell>
          <cell r="AW153">
            <v>0.59494547379544904</v>
          </cell>
          <cell r="AX153">
            <v>0.56094547379544901</v>
          </cell>
          <cell r="AY153">
            <v>0.52694547379544898</v>
          </cell>
          <cell r="AZ153">
            <v>0.51194547379544908</v>
          </cell>
          <cell r="BA153">
            <v>0.51194547379544919</v>
          </cell>
          <cell r="BK153">
            <v>0.79</v>
          </cell>
          <cell r="BL153">
            <v>-7.6014064640496759E-2</v>
          </cell>
        </row>
        <row r="154">
          <cell r="B154" t="str">
            <v>______</v>
          </cell>
          <cell r="C154" t="str">
            <v>______</v>
          </cell>
          <cell r="D154" t="str">
            <v>______</v>
          </cell>
          <cell r="E154" t="str">
            <v>______</v>
          </cell>
          <cell r="F154" t="str">
            <v>______</v>
          </cell>
          <cell r="G154" t="str">
            <v>______</v>
          </cell>
          <cell r="H154" t="str">
            <v>______</v>
          </cell>
          <cell r="I154" t="str">
            <v>______</v>
          </cell>
          <cell r="J154" t="str">
            <v>______</v>
          </cell>
          <cell r="K154" t="str">
            <v>______</v>
          </cell>
          <cell r="L154" t="str">
            <v>______</v>
          </cell>
          <cell r="M154" t="str">
            <v>______</v>
          </cell>
          <cell r="N154" t="str">
            <v>______</v>
          </cell>
          <cell r="O154" t="str">
            <v>______</v>
          </cell>
          <cell r="P154" t="str">
            <v>______</v>
          </cell>
          <cell r="Q154" t="str">
            <v>______</v>
          </cell>
          <cell r="R154" t="str">
            <v>______</v>
          </cell>
          <cell r="S154" t="str">
            <v>______</v>
          </cell>
          <cell r="T154" t="str">
            <v>______</v>
          </cell>
          <cell r="U154" t="str">
            <v>______</v>
          </cell>
          <cell r="V154" t="str">
            <v>______</v>
          </cell>
          <cell r="W154" t="str">
            <v>______</v>
          </cell>
          <cell r="X154" t="str">
            <v>______</v>
          </cell>
          <cell r="Y154" t="str">
            <v>______</v>
          </cell>
          <cell r="Z154" t="str">
            <v>______</v>
          </cell>
          <cell r="AA154" t="str">
            <v>______</v>
          </cell>
          <cell r="AB154" t="str">
            <v>______</v>
          </cell>
          <cell r="AC154" t="str">
            <v>______</v>
          </cell>
          <cell r="AD154" t="str">
            <v>______</v>
          </cell>
          <cell r="AE154" t="str">
            <v>______</v>
          </cell>
          <cell r="AF154" t="str">
            <v>______</v>
          </cell>
          <cell r="AG154" t="str">
            <v>______</v>
          </cell>
          <cell r="AH154" t="str">
            <v>______</v>
          </cell>
          <cell r="AI154" t="str">
            <v>______</v>
          </cell>
          <cell r="AJ154" t="str">
            <v>______</v>
          </cell>
          <cell r="AK154" t="str">
            <v>______</v>
          </cell>
          <cell r="AL154" t="str">
            <v>______</v>
          </cell>
          <cell r="AM154" t="str">
            <v>______</v>
          </cell>
          <cell r="AN154" t="str">
            <v>______</v>
          </cell>
          <cell r="AO154" t="str">
            <v>______</v>
          </cell>
          <cell r="AP154" t="str">
            <v>______</v>
          </cell>
          <cell r="AQ154" t="str">
            <v>______</v>
          </cell>
          <cell r="AR154" t="str">
            <v>______</v>
          </cell>
          <cell r="AS154" t="str">
            <v>______</v>
          </cell>
          <cell r="AT154" t="str">
            <v>______</v>
          </cell>
          <cell r="AU154" t="str">
            <v>______</v>
          </cell>
          <cell r="AV154" t="str">
            <v>______</v>
          </cell>
          <cell r="AW154" t="str">
            <v>______</v>
          </cell>
          <cell r="AX154" t="str">
            <v>______</v>
          </cell>
          <cell r="AY154" t="str">
            <v>______</v>
          </cell>
          <cell r="AZ154" t="str">
            <v>______</v>
          </cell>
          <cell r="BA154" t="str">
            <v>______</v>
          </cell>
          <cell r="BK154" t="str">
            <v>______</v>
          </cell>
          <cell r="BL154" t="e">
            <v>#VALUE!</v>
          </cell>
        </row>
        <row r="155">
          <cell r="A155" t="str">
            <v>Total</v>
          </cell>
          <cell r="C155">
            <v>1</v>
          </cell>
          <cell r="D155">
            <v>1</v>
          </cell>
          <cell r="E155">
            <v>1</v>
          </cell>
          <cell r="F155">
            <v>1</v>
          </cell>
          <cell r="G155">
            <v>1</v>
          </cell>
          <cell r="H155">
            <v>1</v>
          </cell>
          <cell r="I155">
            <v>1</v>
          </cell>
          <cell r="J155">
            <v>1</v>
          </cell>
          <cell r="K155">
            <v>1</v>
          </cell>
          <cell r="L155">
            <v>1</v>
          </cell>
          <cell r="M155">
            <v>1</v>
          </cell>
          <cell r="N155">
            <v>1</v>
          </cell>
          <cell r="O155">
            <v>1</v>
          </cell>
          <cell r="P155">
            <v>1</v>
          </cell>
          <cell r="Q155">
            <v>1</v>
          </cell>
          <cell r="R155">
            <v>1</v>
          </cell>
          <cell r="S155">
            <v>1</v>
          </cell>
          <cell r="T155">
            <v>1</v>
          </cell>
          <cell r="U155">
            <v>1</v>
          </cell>
          <cell r="V155">
            <v>1</v>
          </cell>
          <cell r="W155">
            <v>1</v>
          </cell>
          <cell r="X155">
            <v>1</v>
          </cell>
          <cell r="Y155">
            <v>1</v>
          </cell>
          <cell r="Z155">
            <v>1</v>
          </cell>
          <cell r="AA155">
            <v>1</v>
          </cell>
          <cell r="AB155">
            <v>1</v>
          </cell>
          <cell r="AC155">
            <v>1</v>
          </cell>
          <cell r="AD155">
            <v>1</v>
          </cell>
          <cell r="AE155">
            <v>1</v>
          </cell>
          <cell r="AF155">
            <v>1</v>
          </cell>
          <cell r="AG155">
            <v>0.99999999999999989</v>
          </cell>
          <cell r="AH155">
            <v>1</v>
          </cell>
          <cell r="AI155">
            <v>1</v>
          </cell>
          <cell r="AJ155">
            <v>1</v>
          </cell>
          <cell r="AK155">
            <v>1</v>
          </cell>
          <cell r="AL155">
            <v>0.99999999999999989</v>
          </cell>
          <cell r="AM155">
            <v>1</v>
          </cell>
          <cell r="AN155">
            <v>1</v>
          </cell>
          <cell r="AO155">
            <v>1</v>
          </cell>
          <cell r="AP155">
            <v>1</v>
          </cell>
          <cell r="AQ155">
            <v>0.99999999999999989</v>
          </cell>
          <cell r="AR155">
            <v>1</v>
          </cell>
          <cell r="AS155">
            <v>0.99999999999999989</v>
          </cell>
          <cell r="AT155">
            <v>1</v>
          </cell>
          <cell r="AU155">
            <v>1</v>
          </cell>
          <cell r="AV155">
            <v>1</v>
          </cell>
          <cell r="AW155">
            <v>1</v>
          </cell>
          <cell r="AX155">
            <v>1</v>
          </cell>
          <cell r="AY155">
            <v>1</v>
          </cell>
          <cell r="AZ155">
            <v>1</v>
          </cell>
          <cell r="BA155">
            <v>1</v>
          </cell>
          <cell r="BK155">
            <v>1</v>
          </cell>
          <cell r="BL155">
            <v>0</v>
          </cell>
        </row>
        <row r="156">
          <cell r="A156" t="str">
            <v xml:space="preserve">  LVS Plots 5&amp;6 Share</v>
          </cell>
          <cell r="AW156">
            <v>0.01</v>
          </cell>
          <cell r="AX156">
            <v>0.03</v>
          </cell>
          <cell r="AY156">
            <v>0.03</v>
          </cell>
          <cell r="AZ156">
            <v>0.03</v>
          </cell>
          <cell r="BA156">
            <v>0.03</v>
          </cell>
          <cell r="BL156">
            <v>0</v>
          </cell>
        </row>
        <row r="157">
          <cell r="A157" t="str">
            <v xml:space="preserve">  LVS Plots 7&amp;8 Share</v>
          </cell>
          <cell r="AX157">
            <v>0.01</v>
          </cell>
          <cell r="AY157">
            <v>0.03</v>
          </cell>
          <cell r="AZ157">
            <v>0.03</v>
          </cell>
          <cell r="BA157">
            <v>0.03</v>
          </cell>
          <cell r="BL157">
            <v>0</v>
          </cell>
        </row>
        <row r="158">
          <cell r="BL158">
            <v>0</v>
          </cell>
        </row>
        <row r="159">
          <cell r="A159" t="str">
            <v>VIP Casino Revenue Growth</v>
          </cell>
          <cell r="BL159">
            <v>0</v>
          </cell>
        </row>
        <row r="160">
          <cell r="A160" t="str">
            <v>Sands Macao</v>
          </cell>
          <cell r="D160" t="str">
            <v>N.M.</v>
          </cell>
          <cell r="E160" t="str">
            <v>N.M.</v>
          </cell>
          <cell r="F160" t="str">
            <v>N.M.</v>
          </cell>
          <cell r="G160" t="str">
            <v>N.M.</v>
          </cell>
          <cell r="H160" t="str">
            <v>N.M.</v>
          </cell>
          <cell r="I160" t="str">
            <v>N.M.</v>
          </cell>
          <cell r="J160" t="str">
            <v>N.M.</v>
          </cell>
          <cell r="K160" t="str">
            <v>N.M.</v>
          </cell>
          <cell r="L160" t="str">
            <v>N.M.</v>
          </cell>
          <cell r="M160" t="str">
            <v>N.M.</v>
          </cell>
          <cell r="N160" t="str">
            <v>N.M.</v>
          </cell>
          <cell r="O160" t="str">
            <v>N.M.</v>
          </cell>
          <cell r="P160" t="str">
            <v>N.M.</v>
          </cell>
          <cell r="Q160" t="str">
            <v>N.M.</v>
          </cell>
          <cell r="R160" t="str">
            <v>N.M.</v>
          </cell>
          <cell r="S160" t="str">
            <v>N.M.</v>
          </cell>
          <cell r="T160" t="str">
            <v>N.M.</v>
          </cell>
          <cell r="U160" t="str">
            <v>N.M.</v>
          </cell>
          <cell r="V160" t="str">
            <v>N.M.</v>
          </cell>
          <cell r="W160" t="str">
            <v>N.M.</v>
          </cell>
          <cell r="X160" t="str">
            <v>N.M.</v>
          </cell>
          <cell r="Y160" t="str">
            <v>N.M.</v>
          </cell>
          <cell r="Z160" t="str">
            <v>N.M.</v>
          </cell>
          <cell r="AA160" t="str">
            <v>N.M.</v>
          </cell>
          <cell r="AB160" t="str">
            <v>N.M.</v>
          </cell>
          <cell r="AC160" t="str">
            <v>N.M.</v>
          </cell>
          <cell r="AD160" t="str">
            <v>N.M.</v>
          </cell>
          <cell r="AE160" t="str">
            <v>N.M.</v>
          </cell>
          <cell r="AF160" t="str">
            <v>N.M.</v>
          </cell>
          <cell r="AG160" t="str">
            <v>N.M.</v>
          </cell>
          <cell r="AH160" t="str">
            <v>N.M.</v>
          </cell>
          <cell r="AI160" t="str">
            <v>N.M.</v>
          </cell>
          <cell r="AJ160">
            <v>51.660034305317318</v>
          </cell>
          <cell r="AK160">
            <v>7.5075876975728377</v>
          </cell>
          <cell r="AL160">
            <v>18.186665074436746</v>
          </cell>
          <cell r="AM160">
            <v>4.147553938017885</v>
          </cell>
          <cell r="AN160">
            <v>1.4663244432436606</v>
          </cell>
          <cell r="AO160">
            <v>0.9207317073170731</v>
          </cell>
          <cell r="AP160">
            <v>0.85414549457994582</v>
          </cell>
          <cell r="AQ160">
            <v>1.2525380315737893</v>
          </cell>
          <cell r="AR160">
            <v>1.0365017681346371</v>
          </cell>
          <cell r="AS160">
            <v>0.18534302182606877</v>
          </cell>
          <cell r="AT160">
            <v>-0.39677234380940285</v>
          </cell>
          <cell r="AU160">
            <v>-0.39726013938616178</v>
          </cell>
          <cell r="AV160">
            <v>-1.5674177235881381E-2</v>
          </cell>
          <cell r="AW160">
            <v>-0.32759450847775595</v>
          </cell>
          <cell r="AX160">
            <v>-0.11666666666666647</v>
          </cell>
          <cell r="AY160">
            <v>-0.16800000000000004</v>
          </cell>
          <cell r="AZ160">
            <v>3.0000000000000027E-2</v>
          </cell>
          <cell r="BA160">
            <v>3.0000000000000027E-2</v>
          </cell>
          <cell r="BK160">
            <v>-0.38582667162288631</v>
          </cell>
          <cell r="BL160">
            <v>0.37015249438700493</v>
          </cell>
        </row>
        <row r="161">
          <cell r="A161" t="str">
            <v>Venetian Macao</v>
          </cell>
          <cell r="D161" t="str">
            <v>N.M.</v>
          </cell>
          <cell r="E161" t="str">
            <v>N.M.</v>
          </cell>
          <cell r="F161" t="str">
            <v>N.M.</v>
          </cell>
          <cell r="G161" t="str">
            <v>N.M.</v>
          </cell>
          <cell r="H161" t="str">
            <v>N.M.</v>
          </cell>
          <cell r="I161" t="str">
            <v>N.M.</v>
          </cell>
          <cell r="J161" t="str">
            <v>N.M.</v>
          </cell>
          <cell r="K161" t="str">
            <v>N.M.</v>
          </cell>
          <cell r="L161" t="str">
            <v>N.M.</v>
          </cell>
          <cell r="M161" t="str">
            <v>N.M.</v>
          </cell>
          <cell r="N161" t="str">
            <v>N.M.</v>
          </cell>
          <cell r="O161" t="str">
            <v>N.M.</v>
          </cell>
          <cell r="P161" t="str">
            <v>N.M.</v>
          </cell>
          <cell r="Q161" t="str">
            <v>N.M.</v>
          </cell>
          <cell r="R161" t="str">
            <v>N.M.</v>
          </cell>
          <cell r="S161" t="str">
            <v>N.M.</v>
          </cell>
          <cell r="T161" t="str">
            <v>N.M.</v>
          </cell>
          <cell r="U161" t="str">
            <v>N.M.</v>
          </cell>
          <cell r="V161" t="str">
            <v>N.M.</v>
          </cell>
          <cell r="W161" t="str">
            <v>N.M.</v>
          </cell>
          <cell r="X161" t="str">
            <v>N.M.</v>
          </cell>
          <cell r="Y161" t="str">
            <v>N.M.</v>
          </cell>
          <cell r="Z161" t="str">
            <v>N.M.</v>
          </cell>
          <cell r="AA161" t="str">
            <v>N.M.</v>
          </cell>
          <cell r="AB161" t="str">
            <v>N.M.</v>
          </cell>
          <cell r="AC161" t="str">
            <v>N.M.</v>
          </cell>
          <cell r="AD161" t="str">
            <v>N.M.</v>
          </cell>
          <cell r="AE161" t="str">
            <v>N.M.</v>
          </cell>
          <cell r="AF161" t="str">
            <v>N.M.</v>
          </cell>
          <cell r="AG161" t="str">
            <v>N.M.</v>
          </cell>
          <cell r="AH161" t="str">
            <v>N.M.</v>
          </cell>
          <cell r="AI161" t="str">
            <v>N.M.</v>
          </cell>
          <cell r="AJ161" t="str">
            <v>N.M.</v>
          </cell>
          <cell r="AK161" t="str">
            <v>N.M.</v>
          </cell>
          <cell r="AL161" t="str">
            <v>N.M.</v>
          </cell>
          <cell r="AM161" t="str">
            <v>N.M.</v>
          </cell>
          <cell r="AN161" t="str">
            <v>N.M.</v>
          </cell>
          <cell r="AO161" t="str">
            <v>N.M.</v>
          </cell>
          <cell r="AP161" t="str">
            <v>N.M.</v>
          </cell>
          <cell r="AQ161" t="str">
            <v>N.M.</v>
          </cell>
          <cell r="AR161" t="str">
            <v>N.M.</v>
          </cell>
          <cell r="AS161" t="str">
            <v>N.M.</v>
          </cell>
          <cell r="AT161" t="str">
            <v>N.M.</v>
          </cell>
          <cell r="AU161" t="str">
            <v>N.M.</v>
          </cell>
          <cell r="AV161" t="str">
            <v>N.M.</v>
          </cell>
          <cell r="AW161">
            <v>1.3020289144388641</v>
          </cell>
          <cell r="AX161">
            <v>0.14153846153846183</v>
          </cell>
          <cell r="AY161">
            <v>-0.18285714285714272</v>
          </cell>
          <cell r="AZ161">
            <v>-0.15727272727272745</v>
          </cell>
          <cell r="BA161">
            <v>3.0000000000000027E-2</v>
          </cell>
          <cell r="BK161" t="str">
            <v>N.M.</v>
          </cell>
          <cell r="BL161" t="e">
            <v>#VALUE!</v>
          </cell>
        </row>
        <row r="162">
          <cell r="A162" t="str">
            <v>Cotai Site 2 - Four Seasons</v>
          </cell>
          <cell r="D162" t="str">
            <v>N.M.</v>
          </cell>
          <cell r="E162" t="str">
            <v>N.M.</v>
          </cell>
          <cell r="F162" t="str">
            <v>N.M.</v>
          </cell>
          <cell r="G162" t="str">
            <v>N.M.</v>
          </cell>
          <cell r="H162" t="str">
            <v>N.M.</v>
          </cell>
          <cell r="I162" t="str">
            <v>N.M.</v>
          </cell>
          <cell r="J162" t="str">
            <v>N.M.</v>
          </cell>
          <cell r="K162" t="str">
            <v>N.M.</v>
          </cell>
          <cell r="L162" t="str">
            <v>N.M.</v>
          </cell>
          <cell r="M162" t="str">
            <v>N.M.</v>
          </cell>
          <cell r="N162" t="str">
            <v>N.M.</v>
          </cell>
          <cell r="O162" t="str">
            <v>N.M.</v>
          </cell>
          <cell r="P162" t="str">
            <v>N.M.</v>
          </cell>
          <cell r="Q162" t="str">
            <v>N.M.</v>
          </cell>
          <cell r="R162" t="str">
            <v>N.M.</v>
          </cell>
          <cell r="S162" t="str">
            <v>N.M.</v>
          </cell>
          <cell r="T162" t="str">
            <v>N.M.</v>
          </cell>
          <cell r="U162" t="str">
            <v>N.M.</v>
          </cell>
          <cell r="V162" t="str">
            <v>N.M.</v>
          </cell>
          <cell r="W162" t="str">
            <v>N.M.</v>
          </cell>
          <cell r="X162" t="str">
            <v>N.M.</v>
          </cell>
          <cell r="Y162" t="str">
            <v>N.M.</v>
          </cell>
          <cell r="Z162" t="str">
            <v>N.M.</v>
          </cell>
          <cell r="AA162" t="str">
            <v>N.M.</v>
          </cell>
          <cell r="AB162" t="str">
            <v>N.M.</v>
          </cell>
          <cell r="AC162" t="str">
            <v>N.M.</v>
          </cell>
          <cell r="AD162" t="str">
            <v>N.M.</v>
          </cell>
          <cell r="AE162" t="str">
            <v>N.M.</v>
          </cell>
          <cell r="AF162" t="str">
            <v>N.M.</v>
          </cell>
          <cell r="AG162" t="str">
            <v>N.M.</v>
          </cell>
          <cell r="AH162" t="str">
            <v>N.M.</v>
          </cell>
          <cell r="AI162" t="str">
            <v>N.M.</v>
          </cell>
          <cell r="AJ162" t="str">
            <v>N.M.</v>
          </cell>
          <cell r="AK162" t="str">
            <v>N.M.</v>
          </cell>
          <cell r="AL162" t="str">
            <v>N.M.</v>
          </cell>
          <cell r="AM162" t="str">
            <v>N.M.</v>
          </cell>
          <cell r="AN162" t="str">
            <v>N.M.</v>
          </cell>
          <cell r="AO162" t="str">
            <v>N.M.</v>
          </cell>
          <cell r="AP162" t="str">
            <v>N.M.</v>
          </cell>
          <cell r="AQ162" t="str">
            <v>N.M.</v>
          </cell>
          <cell r="AR162" t="str">
            <v>N.M.</v>
          </cell>
          <cell r="AS162" t="str">
            <v>N.M.</v>
          </cell>
          <cell r="AT162" t="str">
            <v>N.M.</v>
          </cell>
          <cell r="AU162" t="str">
            <v>N.M.</v>
          </cell>
          <cell r="AV162" t="str">
            <v>N.M.</v>
          </cell>
          <cell r="AW162" t="str">
            <v>N.M.</v>
          </cell>
          <cell r="AX162">
            <v>6.0000000000000275E-2</v>
          </cell>
          <cell r="AY162">
            <v>4.0000000000000036E-2</v>
          </cell>
          <cell r="AZ162">
            <v>3.0000000000000027E-2</v>
          </cell>
          <cell r="BA162">
            <v>3.0000000000000027E-2</v>
          </cell>
          <cell r="BK162" t="str">
            <v>N.M.</v>
          </cell>
          <cell r="BL162" t="e">
            <v>#VALUE!</v>
          </cell>
        </row>
        <row r="163">
          <cell r="A163" t="str">
            <v>Cotai Site 3 - Far East</v>
          </cell>
          <cell r="D163" t="str">
            <v>N.M.</v>
          </cell>
          <cell r="E163" t="str">
            <v>N.M.</v>
          </cell>
          <cell r="F163" t="str">
            <v>N.M.</v>
          </cell>
          <cell r="G163" t="str">
            <v>N.M.</v>
          </cell>
          <cell r="H163" t="str">
            <v>N.M.</v>
          </cell>
          <cell r="I163" t="str">
            <v>N.M.</v>
          </cell>
          <cell r="J163" t="str">
            <v>N.M.</v>
          </cell>
          <cell r="K163" t="str">
            <v>N.M.</v>
          </cell>
          <cell r="L163" t="str">
            <v>N.M.</v>
          </cell>
          <cell r="M163" t="str">
            <v>N.M.</v>
          </cell>
          <cell r="N163" t="str">
            <v>N.M.</v>
          </cell>
          <cell r="O163" t="str">
            <v>N.M.</v>
          </cell>
          <cell r="P163" t="str">
            <v>N.M.</v>
          </cell>
          <cell r="Q163" t="str">
            <v>N.M.</v>
          </cell>
          <cell r="R163" t="str">
            <v>N.M.</v>
          </cell>
          <cell r="S163" t="str">
            <v>N.M.</v>
          </cell>
          <cell r="T163" t="str">
            <v>N.M.</v>
          </cell>
          <cell r="U163" t="str">
            <v>N.M.</v>
          </cell>
          <cell r="V163" t="str">
            <v>N.M.</v>
          </cell>
          <cell r="W163" t="str">
            <v>N.M.</v>
          </cell>
          <cell r="X163" t="str">
            <v>N.M.</v>
          </cell>
          <cell r="Y163" t="str">
            <v>N.M.</v>
          </cell>
          <cell r="Z163" t="str">
            <v>N.M.</v>
          </cell>
          <cell r="AA163" t="str">
            <v>N.M.</v>
          </cell>
          <cell r="AB163" t="str">
            <v>N.M.</v>
          </cell>
          <cell r="AC163" t="str">
            <v>N.M.</v>
          </cell>
          <cell r="AD163" t="str">
            <v>N.M.</v>
          </cell>
          <cell r="AE163" t="str">
            <v>N.M.</v>
          </cell>
          <cell r="AF163" t="str">
            <v>N.M.</v>
          </cell>
          <cell r="AG163" t="str">
            <v>N.M.</v>
          </cell>
          <cell r="AH163" t="str">
            <v>N.M.</v>
          </cell>
          <cell r="AI163" t="str">
            <v>N.M.</v>
          </cell>
          <cell r="AJ163" t="str">
            <v>N.M.</v>
          </cell>
          <cell r="AK163" t="str">
            <v>N.M.</v>
          </cell>
          <cell r="AL163" t="str">
            <v>N.M.</v>
          </cell>
          <cell r="AM163" t="str">
            <v>N.M.</v>
          </cell>
          <cell r="AN163" t="str">
            <v>N.M.</v>
          </cell>
          <cell r="AO163" t="str">
            <v>N.M.</v>
          </cell>
          <cell r="AP163" t="str">
            <v>N.M.</v>
          </cell>
          <cell r="AQ163" t="str">
            <v>N.M.</v>
          </cell>
          <cell r="AR163" t="str">
            <v>N.M.</v>
          </cell>
          <cell r="AS163" t="str">
            <v>N.M.</v>
          </cell>
          <cell r="AT163" t="str">
            <v>N.M.</v>
          </cell>
          <cell r="AU163" t="str">
            <v>N.M.</v>
          </cell>
          <cell r="AV163" t="str">
            <v>N.M.</v>
          </cell>
          <cell r="AW163" t="str">
            <v>N.M.</v>
          </cell>
          <cell r="AX163" t="str">
            <v>N.M.</v>
          </cell>
          <cell r="AY163">
            <v>1.08</v>
          </cell>
          <cell r="AZ163">
            <v>3.0000000000000027E-2</v>
          </cell>
          <cell r="BA163">
            <v>3.0000000000000027E-2</v>
          </cell>
          <cell r="BK163" t="str">
            <v>N.M.</v>
          </cell>
          <cell r="BL163" t="e">
            <v>#VALUE!</v>
          </cell>
        </row>
        <row r="164">
          <cell r="A164" t="str">
            <v>Cotai Site 5 - Shangri-La/St.Regis/Traders</v>
          </cell>
          <cell r="D164" t="str">
            <v>N.M.</v>
          </cell>
          <cell r="E164" t="str">
            <v>N.M.</v>
          </cell>
          <cell r="F164" t="str">
            <v>N.M.</v>
          </cell>
          <cell r="G164" t="str">
            <v>N.M.</v>
          </cell>
          <cell r="H164" t="str">
            <v>N.M.</v>
          </cell>
          <cell r="I164" t="str">
            <v>N.M.</v>
          </cell>
          <cell r="J164" t="str">
            <v>N.M.</v>
          </cell>
          <cell r="K164" t="str">
            <v>N.M.</v>
          </cell>
          <cell r="L164" t="str">
            <v>N.M.</v>
          </cell>
          <cell r="M164" t="str">
            <v>N.M.</v>
          </cell>
          <cell r="N164" t="str">
            <v>N.M.</v>
          </cell>
          <cell r="O164" t="str">
            <v>N.M.</v>
          </cell>
          <cell r="P164" t="str">
            <v>N.M.</v>
          </cell>
          <cell r="Q164" t="str">
            <v>N.M.</v>
          </cell>
          <cell r="R164" t="str">
            <v>N.M.</v>
          </cell>
          <cell r="S164" t="str">
            <v>N.M.</v>
          </cell>
          <cell r="T164" t="str">
            <v>N.M.</v>
          </cell>
          <cell r="U164" t="str">
            <v>N.M.</v>
          </cell>
          <cell r="V164" t="str">
            <v>N.M.</v>
          </cell>
          <cell r="W164" t="str">
            <v>N.M.</v>
          </cell>
          <cell r="X164" t="str">
            <v>N.M.</v>
          </cell>
          <cell r="Y164" t="str">
            <v>N.M.</v>
          </cell>
          <cell r="Z164" t="str">
            <v>N.M.</v>
          </cell>
          <cell r="AA164" t="str">
            <v>N.M.</v>
          </cell>
          <cell r="AB164" t="str">
            <v>N.M.</v>
          </cell>
          <cell r="AC164" t="str">
            <v>N.M.</v>
          </cell>
          <cell r="AD164" t="str">
            <v>N.M.</v>
          </cell>
          <cell r="AE164" t="str">
            <v>N.M.</v>
          </cell>
          <cell r="AF164" t="str">
            <v>N.M.</v>
          </cell>
          <cell r="AG164" t="str">
            <v>N.M.</v>
          </cell>
          <cell r="AH164" t="str">
            <v>N.M.</v>
          </cell>
          <cell r="AI164" t="str">
            <v>N.M.</v>
          </cell>
          <cell r="AJ164" t="str">
            <v>N.M.</v>
          </cell>
          <cell r="AK164" t="str">
            <v>N.M.</v>
          </cell>
          <cell r="AL164" t="str">
            <v>N.M.</v>
          </cell>
          <cell r="AM164" t="str">
            <v>N.M.</v>
          </cell>
          <cell r="AN164" t="str">
            <v>N.M.</v>
          </cell>
          <cell r="AO164" t="str">
            <v>N.M.</v>
          </cell>
          <cell r="AP164" t="str">
            <v>N.M.</v>
          </cell>
          <cell r="AQ164" t="str">
            <v>N.M.</v>
          </cell>
          <cell r="AR164" t="str">
            <v>N.M.</v>
          </cell>
          <cell r="AS164" t="str">
            <v>N.M.</v>
          </cell>
          <cell r="AT164" t="str">
            <v>N.M.</v>
          </cell>
          <cell r="AU164" t="str">
            <v>N.M.</v>
          </cell>
          <cell r="AV164" t="str">
            <v>N.M.</v>
          </cell>
          <cell r="AW164" t="str">
            <v>N.M.</v>
          </cell>
          <cell r="AX164">
            <v>2.1800000000000002</v>
          </cell>
          <cell r="AY164">
            <v>4.0000000000000036E-2</v>
          </cell>
          <cell r="AZ164">
            <v>3.0000000000000027E-2</v>
          </cell>
          <cell r="BA164">
            <v>3.0000000000000027E-2</v>
          </cell>
          <cell r="BK164" t="str">
            <v>N.M.</v>
          </cell>
          <cell r="BL164" t="e">
            <v>#VALUE!</v>
          </cell>
        </row>
        <row r="165">
          <cell r="A165" t="str">
            <v>Cotai Site 6 - Starwood</v>
          </cell>
          <cell r="D165" t="str">
            <v>N.M.</v>
          </cell>
          <cell r="E165" t="str">
            <v>N.M.</v>
          </cell>
          <cell r="F165" t="str">
            <v>N.M.</v>
          </cell>
          <cell r="G165" t="str">
            <v>N.M.</v>
          </cell>
          <cell r="H165" t="str">
            <v>N.M.</v>
          </cell>
          <cell r="I165" t="str">
            <v>N.M.</v>
          </cell>
          <cell r="J165" t="str">
            <v>N.M.</v>
          </cell>
          <cell r="K165" t="str">
            <v>N.M.</v>
          </cell>
          <cell r="L165" t="str">
            <v>N.M.</v>
          </cell>
          <cell r="M165" t="str">
            <v>N.M.</v>
          </cell>
          <cell r="N165" t="str">
            <v>N.M.</v>
          </cell>
          <cell r="O165" t="str">
            <v>N.M.</v>
          </cell>
          <cell r="P165" t="str">
            <v>N.M.</v>
          </cell>
          <cell r="Q165" t="str">
            <v>N.M.</v>
          </cell>
          <cell r="R165" t="str">
            <v>N.M.</v>
          </cell>
          <cell r="S165" t="str">
            <v>N.M.</v>
          </cell>
          <cell r="T165" t="str">
            <v>N.M.</v>
          </cell>
          <cell r="U165" t="str">
            <v>N.M.</v>
          </cell>
          <cell r="V165" t="str">
            <v>N.M.</v>
          </cell>
          <cell r="W165" t="str">
            <v>N.M.</v>
          </cell>
          <cell r="X165" t="str">
            <v>N.M.</v>
          </cell>
          <cell r="Y165" t="str">
            <v>N.M.</v>
          </cell>
          <cell r="Z165" t="str">
            <v>N.M.</v>
          </cell>
          <cell r="AA165" t="str">
            <v>N.M.</v>
          </cell>
          <cell r="AB165" t="str">
            <v>N.M.</v>
          </cell>
          <cell r="AC165" t="str">
            <v>N.M.</v>
          </cell>
          <cell r="AD165" t="str">
            <v>N.M.</v>
          </cell>
          <cell r="AE165" t="str">
            <v>N.M.</v>
          </cell>
          <cell r="AF165" t="str">
            <v>N.M.</v>
          </cell>
          <cell r="AG165" t="str">
            <v>N.M.</v>
          </cell>
          <cell r="AH165" t="str">
            <v>N.M.</v>
          </cell>
          <cell r="AI165" t="str">
            <v>N.M.</v>
          </cell>
          <cell r="AJ165" t="str">
            <v>N.M.</v>
          </cell>
          <cell r="AK165" t="str">
            <v>N.M.</v>
          </cell>
          <cell r="AL165" t="str">
            <v>N.M.</v>
          </cell>
          <cell r="AM165" t="str">
            <v>N.M.</v>
          </cell>
          <cell r="AN165" t="str">
            <v>N.M.</v>
          </cell>
          <cell r="AO165" t="str">
            <v>N.M.</v>
          </cell>
          <cell r="AP165" t="str">
            <v>N.M.</v>
          </cell>
          <cell r="AQ165" t="str">
            <v>N.M.</v>
          </cell>
          <cell r="AR165" t="str">
            <v>N.M.</v>
          </cell>
          <cell r="AS165" t="str">
            <v>N.M.</v>
          </cell>
          <cell r="AT165" t="str">
            <v>N.M.</v>
          </cell>
          <cell r="AU165" t="str">
            <v>N.M.</v>
          </cell>
          <cell r="AV165" t="str">
            <v>N.M.</v>
          </cell>
          <cell r="AW165" t="str">
            <v>N.M.</v>
          </cell>
          <cell r="AX165">
            <v>2.1800000000000002</v>
          </cell>
          <cell r="AY165">
            <v>4.0000000000000036E-2</v>
          </cell>
          <cell r="AZ165">
            <v>3.0000000000000027E-2</v>
          </cell>
          <cell r="BA165">
            <v>3.0000000000000027E-2</v>
          </cell>
          <cell r="BK165" t="str">
            <v>N.M.</v>
          </cell>
          <cell r="BL165" t="e">
            <v>#VALUE!</v>
          </cell>
        </row>
        <row r="166">
          <cell r="A166" t="str">
            <v>Cotai Site 7 - Hilton</v>
          </cell>
          <cell r="D166" t="str">
            <v>N.M.</v>
          </cell>
          <cell r="E166" t="str">
            <v>N.M.</v>
          </cell>
          <cell r="F166" t="str">
            <v>N.M.</v>
          </cell>
          <cell r="G166" t="str">
            <v>N.M.</v>
          </cell>
          <cell r="H166" t="str">
            <v>N.M.</v>
          </cell>
          <cell r="I166" t="str">
            <v>N.M.</v>
          </cell>
          <cell r="J166" t="str">
            <v>N.M.</v>
          </cell>
          <cell r="K166" t="str">
            <v>N.M.</v>
          </cell>
          <cell r="L166" t="str">
            <v>N.M.</v>
          </cell>
          <cell r="M166" t="str">
            <v>N.M.</v>
          </cell>
          <cell r="N166" t="str">
            <v>N.M.</v>
          </cell>
          <cell r="O166" t="str">
            <v>N.M.</v>
          </cell>
          <cell r="P166" t="str">
            <v>N.M.</v>
          </cell>
          <cell r="Q166" t="str">
            <v>N.M.</v>
          </cell>
          <cell r="R166" t="str">
            <v>N.M.</v>
          </cell>
          <cell r="S166" t="str">
            <v>N.M.</v>
          </cell>
          <cell r="T166" t="str">
            <v>N.M.</v>
          </cell>
          <cell r="U166" t="str">
            <v>N.M.</v>
          </cell>
          <cell r="V166" t="str">
            <v>N.M.</v>
          </cell>
          <cell r="W166" t="str">
            <v>N.M.</v>
          </cell>
          <cell r="X166" t="str">
            <v>N.M.</v>
          </cell>
          <cell r="Y166" t="str">
            <v>N.M.</v>
          </cell>
          <cell r="Z166" t="str">
            <v>N.M.</v>
          </cell>
          <cell r="AA166" t="str">
            <v>N.M.</v>
          </cell>
          <cell r="AB166" t="str">
            <v>N.M.</v>
          </cell>
          <cell r="AC166" t="str">
            <v>N.M.</v>
          </cell>
          <cell r="AD166" t="str">
            <v>N.M.</v>
          </cell>
          <cell r="AE166" t="str">
            <v>N.M.</v>
          </cell>
          <cell r="AF166" t="str">
            <v>N.M.</v>
          </cell>
          <cell r="AG166" t="str">
            <v>N.M.</v>
          </cell>
          <cell r="AH166" t="str">
            <v>N.M.</v>
          </cell>
          <cell r="AI166" t="str">
            <v>N.M.</v>
          </cell>
          <cell r="AJ166" t="str">
            <v>N.M.</v>
          </cell>
          <cell r="AK166" t="str">
            <v>N.M.</v>
          </cell>
          <cell r="AL166" t="str">
            <v>N.M.</v>
          </cell>
          <cell r="AM166" t="str">
            <v>N.M.</v>
          </cell>
          <cell r="AN166" t="str">
            <v>N.M.</v>
          </cell>
          <cell r="AO166" t="str">
            <v>N.M.</v>
          </cell>
          <cell r="AP166" t="str">
            <v>N.M.</v>
          </cell>
          <cell r="AQ166" t="str">
            <v>N.M.</v>
          </cell>
          <cell r="AR166" t="str">
            <v>N.M.</v>
          </cell>
          <cell r="AS166" t="str">
            <v>N.M.</v>
          </cell>
          <cell r="AT166" t="str">
            <v>N.M.</v>
          </cell>
          <cell r="AU166" t="str">
            <v>N.M.</v>
          </cell>
          <cell r="AV166" t="str">
            <v>N.M.</v>
          </cell>
          <cell r="AW166" t="str">
            <v>N.M.</v>
          </cell>
          <cell r="AX166" t="str">
            <v>N.M.</v>
          </cell>
          <cell r="AY166">
            <v>2.1199999999999997</v>
          </cell>
          <cell r="AZ166">
            <v>3.0000000000000027E-2</v>
          </cell>
          <cell r="BA166">
            <v>3.0000000000000027E-2</v>
          </cell>
          <cell r="BK166" t="str">
            <v>N.M.</v>
          </cell>
          <cell r="BL166" t="e">
            <v>#VALUE!</v>
          </cell>
        </row>
        <row r="167">
          <cell r="A167" t="str">
            <v>Cotai Site 8 - FHR/Raffles</v>
          </cell>
          <cell r="D167" t="str">
            <v>N.M.</v>
          </cell>
          <cell r="E167" t="str">
            <v>N.M.</v>
          </cell>
          <cell r="F167" t="str">
            <v>N.M.</v>
          </cell>
          <cell r="G167" t="str">
            <v>N.M.</v>
          </cell>
          <cell r="H167" t="str">
            <v>N.M.</v>
          </cell>
          <cell r="I167" t="str">
            <v>N.M.</v>
          </cell>
          <cell r="J167" t="str">
            <v>N.M.</v>
          </cell>
          <cell r="K167" t="str">
            <v>N.M.</v>
          </cell>
          <cell r="L167" t="str">
            <v>N.M.</v>
          </cell>
          <cell r="M167" t="str">
            <v>N.M.</v>
          </cell>
          <cell r="N167" t="str">
            <v>N.M.</v>
          </cell>
          <cell r="O167" t="str">
            <v>N.M.</v>
          </cell>
          <cell r="P167" t="str">
            <v>N.M.</v>
          </cell>
          <cell r="Q167" t="str">
            <v>N.M.</v>
          </cell>
          <cell r="R167" t="str">
            <v>N.M.</v>
          </cell>
          <cell r="S167" t="str">
            <v>N.M.</v>
          </cell>
          <cell r="T167" t="str">
            <v>N.M.</v>
          </cell>
          <cell r="U167" t="str">
            <v>N.M.</v>
          </cell>
          <cell r="V167" t="str">
            <v>N.M.</v>
          </cell>
          <cell r="W167" t="str">
            <v>N.M.</v>
          </cell>
          <cell r="X167" t="str">
            <v>N.M.</v>
          </cell>
          <cell r="Y167" t="str">
            <v>N.M.</v>
          </cell>
          <cell r="Z167" t="str">
            <v>N.M.</v>
          </cell>
          <cell r="AA167" t="str">
            <v>N.M.</v>
          </cell>
          <cell r="AB167" t="str">
            <v>N.M.</v>
          </cell>
          <cell r="AC167" t="str">
            <v>N.M.</v>
          </cell>
          <cell r="AD167" t="str">
            <v>N.M.</v>
          </cell>
          <cell r="AE167" t="str">
            <v>N.M.</v>
          </cell>
          <cell r="AF167" t="str">
            <v>N.M.</v>
          </cell>
          <cell r="AG167" t="str">
            <v>N.M.</v>
          </cell>
          <cell r="AH167" t="str">
            <v>N.M.</v>
          </cell>
          <cell r="AI167" t="str">
            <v>N.M.</v>
          </cell>
          <cell r="AJ167" t="str">
            <v>N.M.</v>
          </cell>
          <cell r="AK167" t="str">
            <v>N.M.</v>
          </cell>
          <cell r="AL167" t="str">
            <v>N.M.</v>
          </cell>
          <cell r="AM167" t="str">
            <v>N.M.</v>
          </cell>
          <cell r="AN167" t="str">
            <v>N.M.</v>
          </cell>
          <cell r="AO167" t="str">
            <v>N.M.</v>
          </cell>
          <cell r="AP167" t="str">
            <v>N.M.</v>
          </cell>
          <cell r="AQ167" t="str">
            <v>N.M.</v>
          </cell>
          <cell r="AR167" t="str">
            <v>N.M.</v>
          </cell>
          <cell r="AS167" t="str">
            <v>N.M.</v>
          </cell>
          <cell r="AT167" t="str">
            <v>N.M.</v>
          </cell>
          <cell r="AU167" t="str">
            <v>N.M.</v>
          </cell>
          <cell r="AV167" t="str">
            <v>N.M.</v>
          </cell>
          <cell r="AW167" t="str">
            <v>N.M.</v>
          </cell>
          <cell r="AX167" t="str">
            <v>N.M.</v>
          </cell>
          <cell r="AY167">
            <v>2.1199999999999997</v>
          </cell>
          <cell r="AZ167">
            <v>3.0000000000000027E-2</v>
          </cell>
          <cell r="BA167">
            <v>3.0000000000000027E-2</v>
          </cell>
          <cell r="BK167" t="str">
            <v>N.M.</v>
          </cell>
          <cell r="BL167" t="e">
            <v>#VALUE!</v>
          </cell>
        </row>
        <row r="168">
          <cell r="A168" t="str">
            <v>Wynn Macau</v>
          </cell>
          <cell r="D168" t="str">
            <v>N.M.</v>
          </cell>
          <cell r="E168" t="str">
            <v>N.M.</v>
          </cell>
          <cell r="F168" t="str">
            <v>N.M.</v>
          </cell>
          <cell r="G168" t="str">
            <v>N.M.</v>
          </cell>
          <cell r="H168" t="str">
            <v>N.M.</v>
          </cell>
          <cell r="I168" t="str">
            <v>N.M.</v>
          </cell>
          <cell r="J168" t="str">
            <v>N.M.</v>
          </cell>
          <cell r="K168" t="str">
            <v>N.M.</v>
          </cell>
          <cell r="L168" t="str">
            <v>N.M.</v>
          </cell>
          <cell r="M168" t="str">
            <v>N.M.</v>
          </cell>
          <cell r="N168" t="str">
            <v>N.M.</v>
          </cell>
          <cell r="O168" t="str">
            <v>N.M.</v>
          </cell>
          <cell r="P168" t="str">
            <v>N.M.</v>
          </cell>
          <cell r="Q168" t="str">
            <v>N.M.</v>
          </cell>
          <cell r="R168" t="str">
            <v>N.M.</v>
          </cell>
          <cell r="S168" t="str">
            <v>N.M.</v>
          </cell>
          <cell r="T168" t="str">
            <v>N.M.</v>
          </cell>
          <cell r="U168" t="str">
            <v>N.M.</v>
          </cell>
          <cell r="V168" t="str">
            <v>N.M.</v>
          </cell>
          <cell r="W168" t="str">
            <v>N.M.</v>
          </cell>
          <cell r="X168" t="str">
            <v>N.M.</v>
          </cell>
          <cell r="Y168" t="str">
            <v>N.M.</v>
          </cell>
          <cell r="Z168" t="str">
            <v>N.M.</v>
          </cell>
          <cell r="AA168" t="str">
            <v>N.M.</v>
          </cell>
          <cell r="AB168" t="str">
            <v>N.M.</v>
          </cell>
          <cell r="AC168" t="str">
            <v>N.M.</v>
          </cell>
          <cell r="AD168" t="str">
            <v>N.M.</v>
          </cell>
          <cell r="AE168" t="str">
            <v>N.M.</v>
          </cell>
          <cell r="AF168" t="str">
            <v>N.M.</v>
          </cell>
          <cell r="AG168" t="str">
            <v>N.M.</v>
          </cell>
          <cell r="AH168" t="str">
            <v>N.M.</v>
          </cell>
          <cell r="AI168" t="str">
            <v>N.M.</v>
          </cell>
          <cell r="AJ168" t="str">
            <v>N.M.</v>
          </cell>
          <cell r="AK168" t="str">
            <v>N.M.</v>
          </cell>
          <cell r="AL168" t="str">
            <v>N.M.</v>
          </cell>
          <cell r="AM168" t="str">
            <v>N.M.</v>
          </cell>
          <cell r="AN168" t="str">
            <v>N.M.</v>
          </cell>
          <cell r="AO168" t="str">
            <v>N.M.</v>
          </cell>
          <cell r="AP168" t="str">
            <v>N.M.</v>
          </cell>
          <cell r="AQ168" t="str">
            <v>N.M.</v>
          </cell>
          <cell r="AR168" t="str">
            <v>N.M.</v>
          </cell>
          <cell r="AS168" t="str">
            <v>N.M.</v>
          </cell>
          <cell r="AT168" t="str">
            <v>N.M.</v>
          </cell>
          <cell r="AU168" t="str">
            <v>N.M.</v>
          </cell>
          <cell r="AV168" t="str">
            <v>N.M.</v>
          </cell>
          <cell r="AW168">
            <v>-0.10773707312998859</v>
          </cell>
          <cell r="AX168">
            <v>0.17151494224682695</v>
          </cell>
          <cell r="AY168">
            <v>-0.25698863178203946</v>
          </cell>
          <cell r="AZ168">
            <v>3.0000000000000027E-2</v>
          </cell>
          <cell r="BA168">
            <v>3.0000000000000027E-2</v>
          </cell>
          <cell r="BK168">
            <v>6.1460215623309047</v>
          </cell>
          <cell r="BL168" t="e">
            <v>#VALUE!</v>
          </cell>
        </row>
        <row r="169">
          <cell r="A169" t="str">
            <v>Wynn Cotai</v>
          </cell>
          <cell r="D169" t="str">
            <v>N.M.</v>
          </cell>
          <cell r="E169" t="str">
            <v>N.M.</v>
          </cell>
          <cell r="F169" t="str">
            <v>N.M.</v>
          </cell>
          <cell r="G169" t="str">
            <v>N.M.</v>
          </cell>
          <cell r="H169" t="str">
            <v>N.M.</v>
          </cell>
          <cell r="I169" t="str">
            <v>N.M.</v>
          </cell>
          <cell r="J169" t="str">
            <v>N.M.</v>
          </cell>
          <cell r="K169" t="str">
            <v>N.M.</v>
          </cell>
          <cell r="L169" t="str">
            <v>N.M.</v>
          </cell>
          <cell r="M169" t="str">
            <v>N.M.</v>
          </cell>
          <cell r="N169" t="str">
            <v>N.M.</v>
          </cell>
          <cell r="O169" t="str">
            <v>N.M.</v>
          </cell>
          <cell r="P169" t="str">
            <v>N.M.</v>
          </cell>
          <cell r="Q169" t="str">
            <v>N.M.</v>
          </cell>
          <cell r="R169" t="str">
            <v>N.M.</v>
          </cell>
          <cell r="S169" t="str">
            <v>N.M.</v>
          </cell>
          <cell r="T169" t="str">
            <v>N.M.</v>
          </cell>
          <cell r="U169" t="str">
            <v>N.M.</v>
          </cell>
          <cell r="V169" t="str">
            <v>N.M.</v>
          </cell>
          <cell r="W169" t="str">
            <v>N.M.</v>
          </cell>
          <cell r="X169" t="str">
            <v>N.M.</v>
          </cell>
          <cell r="Y169" t="str">
            <v>N.M.</v>
          </cell>
          <cell r="Z169" t="str">
            <v>N.M.</v>
          </cell>
          <cell r="AA169" t="str">
            <v>N.M.</v>
          </cell>
          <cell r="AB169" t="str">
            <v>N.M.</v>
          </cell>
          <cell r="AC169" t="str">
            <v>N.M.</v>
          </cell>
          <cell r="AD169" t="str">
            <v>N.M.</v>
          </cell>
          <cell r="AE169" t="str">
            <v>N.M.</v>
          </cell>
          <cell r="AF169" t="str">
            <v>N.M.</v>
          </cell>
          <cell r="AG169" t="str">
            <v>N.M.</v>
          </cell>
          <cell r="AH169" t="str">
            <v>N.M.</v>
          </cell>
          <cell r="AI169" t="str">
            <v>N.M.</v>
          </cell>
          <cell r="AJ169" t="str">
            <v>N.M.</v>
          </cell>
          <cell r="AK169" t="str">
            <v>N.M.</v>
          </cell>
          <cell r="AL169" t="str">
            <v>N.M.</v>
          </cell>
          <cell r="AM169" t="str">
            <v>N.M.</v>
          </cell>
          <cell r="AN169" t="str">
            <v>N.M.</v>
          </cell>
          <cell r="AO169" t="str">
            <v>N.M.</v>
          </cell>
          <cell r="AP169" t="str">
            <v>N.M.</v>
          </cell>
          <cell r="AQ169" t="str">
            <v>N.M.</v>
          </cell>
          <cell r="AR169" t="str">
            <v>N.M.</v>
          </cell>
          <cell r="AS169" t="str">
            <v>N.M.</v>
          </cell>
          <cell r="AT169" t="str">
            <v>N.M.</v>
          </cell>
          <cell r="AU169" t="str">
            <v>N.M.</v>
          </cell>
          <cell r="AV169" t="str">
            <v>N.M.</v>
          </cell>
          <cell r="AW169" t="str">
            <v>N.M.</v>
          </cell>
          <cell r="AX169" t="str">
            <v>N.M.</v>
          </cell>
          <cell r="AY169" t="str">
            <v>N.M.</v>
          </cell>
          <cell r="AZ169">
            <v>3.0000000000000027E-2</v>
          </cell>
          <cell r="BA169">
            <v>3.0000000000000027E-2</v>
          </cell>
          <cell r="BK169" t="str">
            <v>N.M.</v>
          </cell>
          <cell r="BL169" t="e">
            <v>#VALUE!</v>
          </cell>
        </row>
        <row r="170">
          <cell r="A170" t="str">
            <v>Wynn Cotai #2</v>
          </cell>
          <cell r="D170" t="str">
            <v>N.M.</v>
          </cell>
          <cell r="E170" t="str">
            <v>N.M.</v>
          </cell>
          <cell r="F170" t="str">
            <v>N.M.</v>
          </cell>
          <cell r="G170" t="str">
            <v>N.M.</v>
          </cell>
          <cell r="H170" t="str">
            <v>N.M.</v>
          </cell>
          <cell r="I170" t="str">
            <v>N.M.</v>
          </cell>
          <cell r="J170" t="str">
            <v>N.M.</v>
          </cell>
          <cell r="K170" t="str">
            <v>N.M.</v>
          </cell>
          <cell r="L170" t="str">
            <v>N.M.</v>
          </cell>
          <cell r="M170" t="str">
            <v>N.M.</v>
          </cell>
          <cell r="N170" t="str">
            <v>N.M.</v>
          </cell>
          <cell r="O170" t="str">
            <v>N.M.</v>
          </cell>
          <cell r="P170" t="str">
            <v>N.M.</v>
          </cell>
          <cell r="Q170" t="str">
            <v>N.M.</v>
          </cell>
          <cell r="R170" t="str">
            <v>N.M.</v>
          </cell>
          <cell r="S170" t="str">
            <v>N.M.</v>
          </cell>
          <cell r="T170" t="str">
            <v>N.M.</v>
          </cell>
          <cell r="U170" t="str">
            <v>N.M.</v>
          </cell>
          <cell r="V170" t="str">
            <v>N.M.</v>
          </cell>
          <cell r="W170" t="str">
            <v>N.M.</v>
          </cell>
          <cell r="X170" t="str">
            <v>N.M.</v>
          </cell>
          <cell r="Y170" t="str">
            <v>N.M.</v>
          </cell>
          <cell r="Z170" t="str">
            <v>N.M.</v>
          </cell>
          <cell r="AA170" t="str">
            <v>N.M.</v>
          </cell>
          <cell r="AB170" t="str">
            <v>N.M.</v>
          </cell>
          <cell r="AC170" t="str">
            <v>N.M.</v>
          </cell>
          <cell r="AD170" t="str">
            <v>N.M.</v>
          </cell>
          <cell r="AE170" t="str">
            <v>N.M.</v>
          </cell>
          <cell r="AF170" t="str">
            <v>N.M.</v>
          </cell>
          <cell r="AG170" t="str">
            <v>N.M.</v>
          </cell>
          <cell r="AH170" t="str">
            <v>N.M.</v>
          </cell>
          <cell r="AI170" t="str">
            <v>N.M.</v>
          </cell>
          <cell r="AJ170" t="str">
            <v>N.M.</v>
          </cell>
          <cell r="AK170" t="str">
            <v>N.M.</v>
          </cell>
          <cell r="AL170" t="str">
            <v>N.M.</v>
          </cell>
          <cell r="AM170" t="str">
            <v>N.M.</v>
          </cell>
          <cell r="AN170" t="str">
            <v>N.M.</v>
          </cell>
          <cell r="AO170" t="str">
            <v>N.M.</v>
          </cell>
          <cell r="AP170" t="str">
            <v>N.M.</v>
          </cell>
          <cell r="AQ170" t="str">
            <v>N.M.</v>
          </cell>
          <cell r="AR170" t="str">
            <v>N.M.</v>
          </cell>
          <cell r="AS170" t="str">
            <v>N.M.</v>
          </cell>
          <cell r="AT170" t="str">
            <v>N.M.</v>
          </cell>
          <cell r="AU170" t="str">
            <v>N.M.</v>
          </cell>
          <cell r="AV170" t="str">
            <v>N.M.</v>
          </cell>
          <cell r="AW170" t="str">
            <v>N.M.</v>
          </cell>
          <cell r="AX170" t="str">
            <v>N.M.</v>
          </cell>
          <cell r="AY170" t="str">
            <v>N.M.</v>
          </cell>
          <cell r="AZ170">
            <v>3.0000000000000027E-2</v>
          </cell>
          <cell r="BA170">
            <v>3.0000000000000027E-2</v>
          </cell>
        </row>
        <row r="171">
          <cell r="A171" t="str">
            <v>MGM Macau</v>
          </cell>
          <cell r="D171" t="str">
            <v>N.M.</v>
          </cell>
          <cell r="E171" t="str">
            <v>N.M.</v>
          </cell>
          <cell r="F171" t="str">
            <v>N.M.</v>
          </cell>
          <cell r="G171" t="str">
            <v>N.M.</v>
          </cell>
          <cell r="H171" t="str">
            <v>N.M.</v>
          </cell>
          <cell r="I171" t="str">
            <v>N.M.</v>
          </cell>
          <cell r="J171" t="str">
            <v>N.M.</v>
          </cell>
          <cell r="K171" t="str">
            <v>N.M.</v>
          </cell>
          <cell r="L171" t="str">
            <v>N.M.</v>
          </cell>
          <cell r="M171" t="str">
            <v>N.M.</v>
          </cell>
          <cell r="N171" t="str">
            <v>N.M.</v>
          </cell>
          <cell r="O171" t="str">
            <v>N.M.</v>
          </cell>
          <cell r="P171" t="str">
            <v>N.M.</v>
          </cell>
          <cell r="Q171" t="str">
            <v>N.M.</v>
          </cell>
          <cell r="R171" t="str">
            <v>N.M.</v>
          </cell>
          <cell r="S171" t="str">
            <v>N.M.</v>
          </cell>
          <cell r="T171" t="str">
            <v>N.M.</v>
          </cell>
          <cell r="U171" t="str">
            <v>N.M.</v>
          </cell>
          <cell r="V171" t="str">
            <v>N.M.</v>
          </cell>
          <cell r="W171" t="str">
            <v>N.M.</v>
          </cell>
          <cell r="X171" t="str">
            <v>N.M.</v>
          </cell>
          <cell r="Y171" t="str">
            <v>N.M.</v>
          </cell>
          <cell r="Z171" t="str">
            <v>N.M.</v>
          </cell>
          <cell r="AA171" t="str">
            <v>N.M.</v>
          </cell>
          <cell r="AB171" t="str">
            <v>N.M.</v>
          </cell>
          <cell r="AC171" t="str">
            <v>N.M.</v>
          </cell>
          <cell r="AD171" t="str">
            <v>N.M.</v>
          </cell>
          <cell r="AE171" t="str">
            <v>N.M.</v>
          </cell>
          <cell r="AF171" t="str">
            <v>N.M.</v>
          </cell>
          <cell r="AG171" t="str">
            <v>N.M.</v>
          </cell>
          <cell r="AH171" t="str">
            <v>N.M.</v>
          </cell>
          <cell r="AI171" t="str">
            <v>N.M.</v>
          </cell>
          <cell r="AJ171" t="str">
            <v>N.M.</v>
          </cell>
          <cell r="AK171" t="str">
            <v>N.M.</v>
          </cell>
          <cell r="AL171" t="str">
            <v>N.M.</v>
          </cell>
          <cell r="AM171" t="str">
            <v>N.M.</v>
          </cell>
          <cell r="AN171" t="str">
            <v>N.M.</v>
          </cell>
          <cell r="AO171" t="str">
            <v>N.M.</v>
          </cell>
          <cell r="AP171" t="str">
            <v>N.M.</v>
          </cell>
          <cell r="AQ171" t="str">
            <v>N.M.</v>
          </cell>
          <cell r="AR171" t="str">
            <v>N.M.</v>
          </cell>
          <cell r="AS171" t="str">
            <v>N.M.</v>
          </cell>
          <cell r="AT171" t="str">
            <v>N.M.</v>
          </cell>
          <cell r="AU171" t="str">
            <v>N.M.</v>
          </cell>
          <cell r="AV171" t="str">
            <v>N.M.</v>
          </cell>
          <cell r="AW171">
            <v>6.1473526766945854</v>
          </cell>
          <cell r="AX171">
            <v>-5.7777777777777706E-2</v>
          </cell>
          <cell r="AY171">
            <v>4.0000000000000036E-2</v>
          </cell>
          <cell r="AZ171">
            <v>-3.4375000000000044E-2</v>
          </cell>
          <cell r="BA171">
            <v>3.0000000000000027E-2</v>
          </cell>
          <cell r="BK171" t="str">
            <v>N.M.</v>
          </cell>
          <cell r="BL171" t="e">
            <v>#VALUE!</v>
          </cell>
        </row>
        <row r="172">
          <cell r="A172" t="str">
            <v>MGM Cotai #1</v>
          </cell>
          <cell r="D172" t="str">
            <v>N.M.</v>
          </cell>
          <cell r="E172" t="str">
            <v>N.M.</v>
          </cell>
          <cell r="F172" t="str">
            <v>N.M.</v>
          </cell>
          <cell r="G172" t="str">
            <v>N.M.</v>
          </cell>
          <cell r="H172" t="str">
            <v>N.M.</v>
          </cell>
          <cell r="I172" t="str">
            <v>N.M.</v>
          </cell>
          <cell r="J172" t="str">
            <v>N.M.</v>
          </cell>
          <cell r="K172" t="str">
            <v>N.M.</v>
          </cell>
          <cell r="L172" t="str">
            <v>N.M.</v>
          </cell>
          <cell r="M172" t="str">
            <v>N.M.</v>
          </cell>
          <cell r="N172" t="str">
            <v>N.M.</v>
          </cell>
          <cell r="O172" t="str">
            <v>N.M.</v>
          </cell>
          <cell r="P172" t="str">
            <v>N.M.</v>
          </cell>
          <cell r="Q172" t="str">
            <v>N.M.</v>
          </cell>
          <cell r="R172" t="str">
            <v>N.M.</v>
          </cell>
          <cell r="S172" t="str">
            <v>N.M.</v>
          </cell>
          <cell r="T172" t="str">
            <v>N.M.</v>
          </cell>
          <cell r="U172" t="str">
            <v>N.M.</v>
          </cell>
          <cell r="V172" t="str">
            <v>N.M.</v>
          </cell>
          <cell r="W172" t="str">
            <v>N.M.</v>
          </cell>
          <cell r="X172" t="str">
            <v>N.M.</v>
          </cell>
          <cell r="Y172" t="str">
            <v>N.M.</v>
          </cell>
          <cell r="Z172" t="str">
            <v>N.M.</v>
          </cell>
          <cell r="AA172" t="str">
            <v>N.M.</v>
          </cell>
          <cell r="AB172" t="str">
            <v>N.M.</v>
          </cell>
          <cell r="AC172" t="str">
            <v>N.M.</v>
          </cell>
          <cell r="AD172" t="str">
            <v>N.M.</v>
          </cell>
          <cell r="AE172" t="str">
            <v>N.M.</v>
          </cell>
          <cell r="AF172" t="str">
            <v>N.M.</v>
          </cell>
          <cell r="AG172" t="str">
            <v>N.M.</v>
          </cell>
          <cell r="AH172" t="str">
            <v>N.M.</v>
          </cell>
          <cell r="AI172" t="str">
            <v>N.M.</v>
          </cell>
          <cell r="AJ172" t="str">
            <v>N.M.</v>
          </cell>
          <cell r="AK172" t="str">
            <v>N.M.</v>
          </cell>
          <cell r="AL172" t="str">
            <v>N.M.</v>
          </cell>
          <cell r="AM172" t="str">
            <v>N.M.</v>
          </cell>
          <cell r="AN172" t="str">
            <v>N.M.</v>
          </cell>
          <cell r="AO172" t="str">
            <v>N.M.</v>
          </cell>
          <cell r="AP172" t="str">
            <v>N.M.</v>
          </cell>
          <cell r="AQ172" t="str">
            <v>N.M.</v>
          </cell>
          <cell r="AR172" t="str">
            <v>N.M.</v>
          </cell>
          <cell r="AS172" t="str">
            <v>N.M.</v>
          </cell>
          <cell r="AT172" t="str">
            <v>N.M.</v>
          </cell>
          <cell r="AU172" t="str">
            <v>N.M.</v>
          </cell>
          <cell r="AV172" t="str">
            <v>N.M.</v>
          </cell>
          <cell r="AW172" t="str">
            <v>N.M.</v>
          </cell>
          <cell r="AX172" t="str">
            <v>N.M.</v>
          </cell>
          <cell r="AY172" t="str">
            <v>N.M.</v>
          </cell>
          <cell r="AZ172" t="str">
            <v>N.M.</v>
          </cell>
          <cell r="BA172">
            <v>3.0000000000000027E-2</v>
          </cell>
        </row>
        <row r="173">
          <cell r="A173" t="str">
            <v>Other</v>
          </cell>
          <cell r="D173">
            <v>0.18539911279643562</v>
          </cell>
          <cell r="E173">
            <v>-4.4825780687432371E-2</v>
          </cell>
          <cell r="F173">
            <v>0.17711706635990065</v>
          </cell>
          <cell r="G173">
            <v>-0.2537507627950838</v>
          </cell>
          <cell r="H173">
            <v>-7.114149546048254E-2</v>
          </cell>
          <cell r="I173" t="str">
            <v>N.M.</v>
          </cell>
          <cell r="J173" t="str">
            <v>N.M.</v>
          </cell>
          <cell r="K173" t="str">
            <v>N.M.</v>
          </cell>
          <cell r="L173" t="str">
            <v>N.M.</v>
          </cell>
          <cell r="M173">
            <v>0.26153790134879418</v>
          </cell>
          <cell r="N173">
            <v>8.2823864006928094E-2</v>
          </cell>
          <cell r="O173">
            <v>0.22261680555069607</v>
          </cell>
          <cell r="P173">
            <v>0.14563429538218697</v>
          </cell>
          <cell r="Q173">
            <v>0.26924774317488609</v>
          </cell>
          <cell r="R173">
            <v>0.17698103985269698</v>
          </cell>
          <cell r="S173">
            <v>0.16170935966983913</v>
          </cell>
          <cell r="T173">
            <v>0.24730010577095163</v>
          </cell>
          <cell r="U173">
            <v>0.23336540917488624</v>
          </cell>
          <cell r="V173">
            <v>0.34602490818918041</v>
          </cell>
          <cell r="W173">
            <v>0.24842263078448967</v>
          </cell>
          <cell r="X173">
            <v>0.43969993246779859</v>
          </cell>
          <cell r="Y173">
            <v>1.723272941456333E-2</v>
          </cell>
          <cell r="Z173">
            <v>0.49411560760458162</v>
          </cell>
          <cell r="AA173">
            <v>0.46546693735069167</v>
          </cell>
          <cell r="AB173">
            <v>0.35539834282142757</v>
          </cell>
          <cell r="AC173">
            <v>0.31822186062360713</v>
          </cell>
          <cell r="AD173">
            <v>0.65138968326619362</v>
          </cell>
          <cell r="AE173">
            <v>0.29777977575015679</v>
          </cell>
          <cell r="AF173">
            <v>0.19180809778346664</v>
          </cell>
          <cell r="AG173">
            <v>0.3367956097761271</v>
          </cell>
          <cell r="AH173">
            <v>1.9298243353618183E-3</v>
          </cell>
          <cell r="AI173">
            <v>5.6716361984129327E-2</v>
          </cell>
          <cell r="AJ173">
            <v>-0.16364144913627643</v>
          </cell>
          <cell r="AK173">
            <v>-0.23935179643307225</v>
          </cell>
          <cell r="AL173">
            <v>-9.3925756053888643E-2</v>
          </cell>
          <cell r="AM173">
            <v>3.2060202878623878E-2</v>
          </cell>
          <cell r="AN173">
            <v>1.2340463807185564E-2</v>
          </cell>
          <cell r="AO173">
            <v>0.16640149026613793</v>
          </cell>
          <cell r="AP173">
            <v>0.39966294074359054</v>
          </cell>
          <cell r="AQ173">
            <v>0.14223637697515068</v>
          </cell>
          <cell r="AR173">
            <v>0.21745196122160904</v>
          </cell>
          <cell r="AS173">
            <v>0.1454712150844879</v>
          </cell>
          <cell r="AT173">
            <v>-1.5962233338930876E-2</v>
          </cell>
          <cell r="AU173">
            <v>-6.5038188442937295E-2</v>
          </cell>
          <cell r="AV173">
            <v>6.4214785927919849E-2</v>
          </cell>
          <cell r="AW173">
            <v>-0.1000647493489415</v>
          </cell>
          <cell r="AX173">
            <v>-5.7697988705263104E-4</v>
          </cell>
          <cell r="AY173">
            <v>-2.3036429834701111E-2</v>
          </cell>
          <cell r="AZ173">
            <v>6.8007836044658987E-4</v>
          </cell>
          <cell r="BA173">
            <v>3.0000000000000027E-2</v>
          </cell>
          <cell r="BK173">
            <v>2.3858452439018407E-3</v>
          </cell>
          <cell r="BL173">
            <v>6.1828940684018008E-2</v>
          </cell>
        </row>
        <row r="174">
          <cell r="B174" t="str">
            <v>______</v>
          </cell>
          <cell r="C174" t="str">
            <v>______</v>
          </cell>
          <cell r="D174" t="str">
            <v>______</v>
          </cell>
          <cell r="E174" t="str">
            <v>______</v>
          </cell>
          <cell r="F174" t="str">
            <v>______</v>
          </cell>
          <cell r="G174" t="str">
            <v>______</v>
          </cell>
          <cell r="H174" t="str">
            <v>______</v>
          </cell>
          <cell r="I174" t="str">
            <v>______</v>
          </cell>
          <cell r="J174" t="str">
            <v>______</v>
          </cell>
          <cell r="K174" t="str">
            <v>______</v>
          </cell>
          <cell r="L174" t="str">
            <v>______</v>
          </cell>
          <cell r="M174" t="str">
            <v>______</v>
          </cell>
          <cell r="N174" t="str">
            <v>______</v>
          </cell>
          <cell r="O174" t="str">
            <v>______</v>
          </cell>
          <cell r="P174" t="str">
            <v>______</v>
          </cell>
          <cell r="Q174" t="str">
            <v>______</v>
          </cell>
          <cell r="R174" t="str">
            <v>______</v>
          </cell>
          <cell r="S174" t="str">
            <v>______</v>
          </cell>
          <cell r="T174" t="str">
            <v>______</v>
          </cell>
          <cell r="U174" t="str">
            <v>______</v>
          </cell>
          <cell r="V174" t="str">
            <v>______</v>
          </cell>
          <cell r="W174" t="str">
            <v>______</v>
          </cell>
          <cell r="X174" t="str">
            <v>______</v>
          </cell>
          <cell r="Y174" t="str">
            <v>______</v>
          </cell>
          <cell r="Z174" t="str">
            <v>______</v>
          </cell>
          <cell r="AA174" t="str">
            <v>______</v>
          </cell>
          <cell r="AB174" t="str">
            <v>______</v>
          </cell>
          <cell r="AC174" t="str">
            <v>______</v>
          </cell>
          <cell r="AD174" t="str">
            <v>______</v>
          </cell>
          <cell r="AE174" t="str">
            <v>______</v>
          </cell>
          <cell r="AF174" t="str">
            <v>______</v>
          </cell>
          <cell r="AG174" t="str">
            <v>______</v>
          </cell>
          <cell r="AH174" t="str">
            <v>______</v>
          </cell>
          <cell r="AI174" t="str">
            <v>______</v>
          </cell>
          <cell r="AJ174" t="str">
            <v>______</v>
          </cell>
          <cell r="AK174" t="str">
            <v>______</v>
          </cell>
          <cell r="AL174" t="str">
            <v>______</v>
          </cell>
          <cell r="AM174" t="str">
            <v>______</v>
          </cell>
          <cell r="AN174" t="str">
            <v>______</v>
          </cell>
          <cell r="AO174" t="str">
            <v>______</v>
          </cell>
          <cell r="AP174" t="str">
            <v>______</v>
          </cell>
          <cell r="AQ174" t="str">
            <v>______</v>
          </cell>
          <cell r="AR174" t="str">
            <v>______</v>
          </cell>
          <cell r="AS174" t="str">
            <v>______</v>
          </cell>
          <cell r="AT174" t="str">
            <v>______</v>
          </cell>
          <cell r="AU174" t="str">
            <v>______</v>
          </cell>
          <cell r="AV174" t="str">
            <v>______</v>
          </cell>
          <cell r="AW174" t="str">
            <v>______</v>
          </cell>
          <cell r="AX174" t="str">
            <v>______</v>
          </cell>
          <cell r="AY174" t="str">
            <v>______</v>
          </cell>
          <cell r="AZ174" t="str">
            <v>______</v>
          </cell>
          <cell r="BA174" t="str">
            <v>______</v>
          </cell>
          <cell r="BK174" t="str">
            <v>______</v>
          </cell>
          <cell r="BL174" t="e">
            <v>#VALUE!</v>
          </cell>
        </row>
        <row r="175">
          <cell r="A175" t="str">
            <v>Total VIP</v>
          </cell>
          <cell r="D175">
            <v>0.18539911279643562</v>
          </cell>
          <cell r="E175">
            <v>-4.4825780687432371E-2</v>
          </cell>
          <cell r="F175">
            <v>0.17711706635990065</v>
          </cell>
          <cell r="G175">
            <v>-0.2537507627950838</v>
          </cell>
          <cell r="H175">
            <v>-7.114149546048254E-2</v>
          </cell>
          <cell r="I175" t="str">
            <v>N.M.</v>
          </cell>
          <cell r="J175" t="str">
            <v>N.M.</v>
          </cell>
          <cell r="K175" t="str">
            <v>N.M.</v>
          </cell>
          <cell r="L175" t="str">
            <v>N.M.</v>
          </cell>
          <cell r="M175">
            <v>0.26153790134879418</v>
          </cell>
          <cell r="N175">
            <v>8.2823864006928094E-2</v>
          </cell>
          <cell r="O175">
            <v>0.22261680555069607</v>
          </cell>
          <cell r="P175">
            <v>0.14563429538218697</v>
          </cell>
          <cell r="Q175">
            <v>0.26924774317488609</v>
          </cell>
          <cell r="R175">
            <v>0.17698103985269698</v>
          </cell>
          <cell r="S175">
            <v>0.16170935966983913</v>
          </cell>
          <cell r="T175">
            <v>0.24730010577095163</v>
          </cell>
          <cell r="U175">
            <v>0.23336540917488624</v>
          </cell>
          <cell r="V175">
            <v>0.34602490818918041</v>
          </cell>
          <cell r="W175">
            <v>0.24842263078448967</v>
          </cell>
          <cell r="X175">
            <v>0.43969993246779859</v>
          </cell>
          <cell r="Y175">
            <v>1.723272941456333E-2</v>
          </cell>
          <cell r="Z175">
            <v>0.49411560760458162</v>
          </cell>
          <cell r="AA175">
            <v>0.46546693735069167</v>
          </cell>
          <cell r="AB175">
            <v>0.35539834282142757</v>
          </cell>
          <cell r="AC175">
            <v>0.31822186062360713</v>
          </cell>
          <cell r="AD175">
            <v>0.65138968326619362</v>
          </cell>
          <cell r="AE175">
            <v>0.29976490958524837</v>
          </cell>
          <cell r="AF175">
            <v>0.20556281508449858</v>
          </cell>
          <cell r="AG175">
            <v>0.34146712387319189</v>
          </cell>
          <cell r="AH175">
            <v>2.3026795277865775E-2</v>
          </cell>
          <cell r="AI175">
            <v>0.11931747704831985</v>
          </cell>
          <cell r="AJ175">
            <v>-8.4491033980188424E-2</v>
          </cell>
          <cell r="AK175">
            <v>-0.15096406469901003</v>
          </cell>
          <cell r="AL175">
            <v>-3.0265576652145021E-2</v>
          </cell>
          <cell r="AM175">
            <v>0.11693036673460355</v>
          </cell>
          <cell r="AN175">
            <v>9.3658785252695331E-2</v>
          </cell>
          <cell r="AO175">
            <v>0.2644323230401906</v>
          </cell>
          <cell r="AP175">
            <v>0.65930104126189826</v>
          </cell>
          <cell r="AQ175">
            <v>0.2757294440254523</v>
          </cell>
          <cell r="AR175">
            <v>0.48884450499984688</v>
          </cell>
          <cell r="AS175">
            <v>0.30000000000000004</v>
          </cell>
          <cell r="AT175">
            <v>0.14999999999999991</v>
          </cell>
          <cell r="AU175">
            <v>0.10000000000000009</v>
          </cell>
          <cell r="AV175">
            <v>0.24260469341596025</v>
          </cell>
          <cell r="AW175">
            <v>8.0000000000000293E-2</v>
          </cell>
          <cell r="AX175">
            <v>6.0000000000000053E-2</v>
          </cell>
          <cell r="AY175">
            <v>4.0000000000000036E-2</v>
          </cell>
          <cell r="AZ175">
            <v>3.0000000000000027E-2</v>
          </cell>
          <cell r="BA175">
            <v>3.0000000000000027E-2</v>
          </cell>
          <cell r="BK175">
            <v>0.1</v>
          </cell>
          <cell r="BL175">
            <v>0.14260469341596024</v>
          </cell>
        </row>
        <row r="176">
          <cell r="BL176">
            <v>0</v>
          </cell>
        </row>
        <row r="177">
          <cell r="A177" t="str">
            <v>Mass Market Casino Revenue</v>
          </cell>
          <cell r="BL177">
            <v>0</v>
          </cell>
        </row>
        <row r="178">
          <cell r="A178" t="str">
            <v>Sands Macao</v>
          </cell>
          <cell r="C178">
            <v>0</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57.6</v>
          </cell>
          <cell r="AE178">
            <v>161.45427947878929</v>
          </cell>
          <cell r="AF178">
            <v>159.43351093841301</v>
          </cell>
          <cell r="AG178">
            <v>378.48779041720229</v>
          </cell>
          <cell r="AH178">
            <v>159.43683999999999</v>
          </cell>
          <cell r="AI178">
            <v>168.69997400000003</v>
          </cell>
          <cell r="AJ178">
            <v>187.61291200000002</v>
          </cell>
          <cell r="AK178">
            <v>205.48660799999999</v>
          </cell>
          <cell r="AL178">
            <v>721.23633399999994</v>
          </cell>
          <cell r="AM178">
            <v>216.42468</v>
          </cell>
          <cell r="AN178">
            <v>213.556915</v>
          </cell>
          <cell r="AO178">
            <v>214.49235999999999</v>
          </cell>
          <cell r="AP178">
            <v>211.08191600000001</v>
          </cell>
          <cell r="AQ178">
            <v>855.55587099999991</v>
          </cell>
          <cell r="AR178">
            <v>229.15605269639022</v>
          </cell>
          <cell r="AS178">
            <v>189.08410955798803</v>
          </cell>
          <cell r="AT178">
            <v>164.57290321828026</v>
          </cell>
          <cell r="AU178">
            <v>141.33669099233745</v>
          </cell>
          <cell r="AV178">
            <v>724.14975646499602</v>
          </cell>
          <cell r="AW178">
            <v>654.28465076227974</v>
          </cell>
          <cell r="AX178">
            <v>566.04384286561344</v>
          </cell>
          <cell r="AY178">
            <v>562.04743001083773</v>
          </cell>
          <cell r="AZ178">
            <v>527.14601078104374</v>
          </cell>
          <cell r="BA178">
            <v>592.46546112039437</v>
          </cell>
          <cell r="BK178">
            <v>769.71944991091209</v>
          </cell>
          <cell r="BL178">
            <v>-45.569693445916073</v>
          </cell>
          <cell r="BN178" t="str">
            <v>gt:lvs:sandsMacao:casinoRev</v>
          </cell>
        </row>
        <row r="179">
          <cell r="A179" t="str">
            <v>Venetian Macao</v>
          </cell>
          <cell r="C179">
            <v>0</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150.2592351407414</v>
          </cell>
          <cell r="AU179">
            <v>157.28352617609249</v>
          </cell>
          <cell r="AV179">
            <v>307.54276131683389</v>
          </cell>
          <cell r="AW179">
            <v>701.80469855375372</v>
          </cell>
          <cell r="AX179">
            <v>636.06719309686355</v>
          </cell>
          <cell r="AY179">
            <v>631.57639765931481</v>
          </cell>
          <cell r="AZ179">
            <v>815.6904737011788</v>
          </cell>
          <cell r="BA179">
            <v>916.76389984787909</v>
          </cell>
          <cell r="BK179">
            <v>444.6776490060862</v>
          </cell>
          <cell r="BL179">
            <v>-137.13488768925231</v>
          </cell>
          <cell r="BN179" t="str">
            <v>gt:lvs:venetianMacao:casinoRev</v>
          </cell>
        </row>
        <row r="180">
          <cell r="A180" t="str">
            <v>Cotai Site 2 - Four Seasons (LVS)</v>
          </cell>
          <cell r="C180">
            <v>0</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106.72606014872754</v>
          </cell>
          <cell r="AX180">
            <v>92.332334481802775</v>
          </cell>
          <cell r="AY180">
            <v>91.680444821513461</v>
          </cell>
          <cell r="AZ180">
            <v>89.725952107129672</v>
          </cell>
          <cell r="BA180">
            <v>100.84402898326672</v>
          </cell>
          <cell r="BK180">
            <v>0</v>
          </cell>
          <cell r="BL180">
            <v>0</v>
          </cell>
        </row>
        <row r="181">
          <cell r="A181" t="str">
            <v>Cotai Site 3 - Far East (LVS)</v>
          </cell>
          <cell r="C181">
            <v>0</v>
          </cell>
          <cell r="D181">
            <v>0</v>
          </cell>
          <cell r="E181">
            <v>0</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98.433418873066657</v>
          </cell>
          <cell r="AY181">
            <v>195.47690802432118</v>
          </cell>
          <cell r="AZ181">
            <v>202.56313430245939</v>
          </cell>
          <cell r="BA181">
            <v>227.66303512888999</v>
          </cell>
          <cell r="BK181">
            <v>0</v>
          </cell>
          <cell r="BL181">
            <v>0</v>
          </cell>
        </row>
        <row r="182">
          <cell r="A182" t="str">
            <v>Cotai Site 5 - Shangri-La/St.Regis/Traders (LVS)</v>
          </cell>
          <cell r="C182">
            <v>0</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121.27961380537219</v>
          </cell>
          <cell r="AX182">
            <v>233.16246081263324</v>
          </cell>
          <cell r="AY182">
            <v>208.36464732162145</v>
          </cell>
          <cell r="AZ182">
            <v>203.9226184252947</v>
          </cell>
          <cell r="BA182">
            <v>229.19097496196977</v>
          </cell>
          <cell r="BK182">
            <v>0</v>
          </cell>
          <cell r="BL182">
            <v>0</v>
          </cell>
        </row>
        <row r="183">
          <cell r="A183" t="str">
            <v>Cotai Site 6 - Starwood (LVS)</v>
          </cell>
          <cell r="C183">
            <v>0</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121.27961380537219</v>
          </cell>
          <cell r="AX183">
            <v>233.16246081263324</v>
          </cell>
          <cell r="AY183">
            <v>208.36464732162145</v>
          </cell>
          <cell r="AZ183">
            <v>203.9226184252947</v>
          </cell>
          <cell r="BA183">
            <v>229.19097496196977</v>
          </cell>
          <cell r="BK183">
            <v>0</v>
          </cell>
          <cell r="BL183">
            <v>0</v>
          </cell>
        </row>
        <row r="184">
          <cell r="A184" t="str">
            <v>Cotai Site 7 - Hilton (LVS)</v>
          </cell>
          <cell r="C184">
            <v>0</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104.92310736568496</v>
          </cell>
          <cell r="AY184">
            <v>231.51627480180159</v>
          </cell>
          <cell r="AZ184">
            <v>203.9226184252947</v>
          </cell>
          <cell r="BA184">
            <v>229.19097496196977</v>
          </cell>
          <cell r="BK184">
            <v>0</v>
          </cell>
          <cell r="BL184">
            <v>0</v>
          </cell>
        </row>
        <row r="185">
          <cell r="A185" t="str">
            <v>Cotai Site 8 - FHR/Raffles (LVS)</v>
          </cell>
          <cell r="C185">
            <v>0</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104.92310736568496</v>
          </cell>
          <cell r="AY185">
            <v>231.51627480180159</v>
          </cell>
          <cell r="AZ185">
            <v>203.9226184252947</v>
          </cell>
          <cell r="BA185">
            <v>229.19097496196977</v>
          </cell>
          <cell r="BK185">
            <v>0</v>
          </cell>
          <cell r="BL185">
            <v>0</v>
          </cell>
        </row>
        <row r="186">
          <cell r="A186" t="str">
            <v>Wynn Macau</v>
          </cell>
          <cell r="C186">
            <v>0</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24.603640000000002</v>
          </cell>
          <cell r="AP186">
            <v>103.98989599999999</v>
          </cell>
          <cell r="AQ186">
            <v>128.593536</v>
          </cell>
          <cell r="AR186">
            <v>131.21534834732279</v>
          </cell>
          <cell r="AS186">
            <v>110.69248952644686</v>
          </cell>
          <cell r="AT186">
            <v>146.57266675405845</v>
          </cell>
          <cell r="AU186">
            <v>141.70468261378372</v>
          </cell>
          <cell r="AV186">
            <v>530.18518724161186</v>
          </cell>
          <cell r="AW186">
            <v>572.1522995582626</v>
          </cell>
          <cell r="AX186">
            <v>552.30280184172238</v>
          </cell>
          <cell r="AY186">
            <v>553.57702123675585</v>
          </cell>
          <cell r="AZ186">
            <v>556.96553974647895</v>
          </cell>
          <cell r="BA186">
            <v>625.97997250353694</v>
          </cell>
          <cell r="BK186">
            <v>600.14488565541137</v>
          </cell>
          <cell r="BL186">
            <v>-69.959698413799515</v>
          </cell>
        </row>
        <row r="187">
          <cell r="A187" t="str">
            <v>Wynn Cotai</v>
          </cell>
          <cell r="C187">
            <v>0</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370.42603968288262</v>
          </cell>
          <cell r="AZ187">
            <v>380.65555439388345</v>
          </cell>
          <cell r="BA187">
            <v>427.82315326234357</v>
          </cell>
          <cell r="BK187">
            <v>0</v>
          </cell>
          <cell r="BL187">
            <v>0</v>
          </cell>
        </row>
        <row r="188">
          <cell r="A188" t="str">
            <v>Wynn Cotai #2</v>
          </cell>
          <cell r="C188">
            <v>0</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370.42603968288262</v>
          </cell>
          <cell r="AZ188">
            <v>380.65555439388345</v>
          </cell>
          <cell r="BA188">
            <v>427.82315326234357</v>
          </cell>
        </row>
        <row r="189">
          <cell r="A189" t="str">
            <v>MGM Grand</v>
          </cell>
          <cell r="C189">
            <v>0</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82.165392503367684</v>
          </cell>
          <cell r="AV189">
            <v>82.165392503367684</v>
          </cell>
          <cell r="AW189">
            <v>457.75777434699677</v>
          </cell>
          <cell r="AX189">
            <v>440.0241960456014</v>
          </cell>
          <cell r="AY189">
            <v>436.91751380596003</v>
          </cell>
          <cell r="AZ189">
            <v>427.60307276912903</v>
          </cell>
          <cell r="BA189">
            <v>480.58800883136593</v>
          </cell>
          <cell r="BK189">
            <v>140.92316195094151</v>
          </cell>
          <cell r="BL189">
            <v>-58.757769447573821</v>
          </cell>
        </row>
        <row r="190">
          <cell r="A190" t="str">
            <v>MGM Cotai</v>
          </cell>
          <cell r="C190">
            <v>0</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348.93425819439318</v>
          </cell>
          <cell r="BA190">
            <v>392.17122382381496</v>
          </cell>
        </row>
        <row r="191">
          <cell r="A191" t="str">
            <v>Crown Macau - PBL/Melco</v>
          </cell>
          <cell r="C191">
            <v>0</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14.573533573191717</v>
          </cell>
          <cell r="AT191">
            <v>19.545427824991378</v>
          </cell>
          <cell r="AU191">
            <v>19.43617718906086</v>
          </cell>
          <cell r="AV191">
            <v>53.55513858724396</v>
          </cell>
          <cell r="AW191">
            <v>66.479195715537344</v>
          </cell>
          <cell r="AX191">
            <v>63.264747700494489</v>
          </cell>
          <cell r="AY191">
            <v>62.818082562888847</v>
          </cell>
          <cell r="AZ191">
            <v>67.067883393208035</v>
          </cell>
          <cell r="BA191">
            <v>75.378365098603396</v>
          </cell>
          <cell r="BK191">
            <v>50.982150841462108</v>
          </cell>
          <cell r="BL191">
            <v>2.5729877457818517</v>
          </cell>
        </row>
        <row r="192">
          <cell r="A192" t="str">
            <v>Penninsula Project - PBL/Melco ("Trinity")</v>
          </cell>
          <cell r="C192">
            <v>0</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67.617113635663628</v>
          </cell>
          <cell r="AY192">
            <v>171.32204335333321</v>
          </cell>
          <cell r="AZ192">
            <v>167.66970848302009</v>
          </cell>
          <cell r="BA192">
            <v>188.44591274650847</v>
          </cell>
          <cell r="BK192">
            <v>0</v>
          </cell>
          <cell r="BL192">
            <v>0</v>
          </cell>
        </row>
        <row r="193">
          <cell r="A193" t="str">
            <v>City of Dreams - PBL/Melco</v>
          </cell>
          <cell r="C193">
            <v>0</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326.42744513768656</v>
          </cell>
          <cell r="AY193">
            <v>324.12278472252228</v>
          </cell>
          <cell r="AZ193">
            <v>317.21296199490286</v>
          </cell>
          <cell r="BA193">
            <v>356.51929438528634</v>
          </cell>
          <cell r="BK193">
            <v>0</v>
          </cell>
          <cell r="BL193">
            <v>0</v>
          </cell>
        </row>
        <row r="194">
          <cell r="A194" t="str">
            <v>Galaxy Cotai Mega Resort</v>
          </cell>
          <cell r="C194">
            <v>0</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140.50467851229786</v>
          </cell>
          <cell r="AX194">
            <v>243.11072580730558</v>
          </cell>
          <cell r="AY194">
            <v>236.14660029783764</v>
          </cell>
          <cell r="AZ194">
            <v>231.11230088200062</v>
          </cell>
          <cell r="BA194">
            <v>259.74977162356578</v>
          </cell>
          <cell r="BK194">
            <v>0</v>
          </cell>
          <cell r="BL194">
            <v>0</v>
          </cell>
        </row>
        <row r="195">
          <cell r="A195" t="str">
            <v>Galaxy StarWorld</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46.075357202572775</v>
          </cell>
          <cell r="AQ195">
            <v>46.075357202572775</v>
          </cell>
          <cell r="AR195">
            <v>68.515564811678161</v>
          </cell>
          <cell r="AS195">
            <v>52.531983326135695</v>
          </cell>
          <cell r="AT195">
            <v>49.104128674170653</v>
          </cell>
          <cell r="AU195">
            <v>48.829657461132896</v>
          </cell>
          <cell r="AV195">
            <v>218.9813342731174</v>
          </cell>
          <cell r="AW195">
            <v>217.83615374464185</v>
          </cell>
          <cell r="AX195">
            <v>201.9186910637404</v>
          </cell>
          <cell r="AY195">
            <v>200.49309397836021</v>
          </cell>
          <cell r="AZ195">
            <v>196.21887506256132</v>
          </cell>
          <cell r="BA195">
            <v>220.53264924118423</v>
          </cell>
          <cell r="BK195">
            <v>279.91013510659275</v>
          </cell>
          <cell r="BL195">
            <v>-60.92880083347535</v>
          </cell>
        </row>
        <row r="196">
          <cell r="A196" t="str">
            <v>Galaxy City Clubs</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15.584662049969774</v>
          </cell>
          <cell r="AN196">
            <v>48.370736851855163</v>
          </cell>
          <cell r="AO196">
            <v>48.588518956769327</v>
          </cell>
          <cell r="AP196">
            <v>47.983051173170118</v>
          </cell>
          <cell r="AQ196">
            <v>160.52696903176437</v>
          </cell>
          <cell r="AR196">
            <v>43.804927774902964</v>
          </cell>
          <cell r="AS196">
            <v>33.585941264568824</v>
          </cell>
          <cell r="AT196">
            <v>27.299449858536679</v>
          </cell>
          <cell r="AU196">
            <v>27.146857534423667</v>
          </cell>
          <cell r="AV196">
            <v>131.83717643243213</v>
          </cell>
          <cell r="AW196">
            <v>99.880499725046533</v>
          </cell>
          <cell r="AX196">
            <v>86.410007977161868</v>
          </cell>
          <cell r="AY196">
            <v>85.79993144154767</v>
          </cell>
          <cell r="AZ196">
            <v>83.970802653793569</v>
          </cell>
          <cell r="BA196">
            <v>94.375750356562207</v>
          </cell>
          <cell r="BK196">
            <v>169.71164959442979</v>
          </cell>
          <cell r="BL196">
            <v>-37.874473161997656</v>
          </cell>
        </row>
        <row r="197">
          <cell r="A197" t="str">
            <v>Macau Studio City</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267.67050501290294</v>
          </cell>
          <cell r="AY197">
            <v>265.78068347246824</v>
          </cell>
          <cell r="AZ197">
            <v>421.89323945322076</v>
          </cell>
          <cell r="BA197">
            <v>474.17066153243076</v>
          </cell>
          <cell r="BK197">
            <v>169.71164959442979</v>
          </cell>
          <cell r="BL197">
            <v>-169.71164959442979</v>
          </cell>
        </row>
        <row r="198">
          <cell r="A198" t="str">
            <v>New SJM</v>
          </cell>
          <cell r="C198">
            <v>0</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2.5627961534465076</v>
          </cell>
          <cell r="AQ198">
            <v>2.5627961534465076</v>
          </cell>
          <cell r="AR198">
            <v>64.696472722730164</v>
          </cell>
          <cell r="AS198">
            <v>59.009358478897354</v>
          </cell>
          <cell r="AT198">
            <v>77.11723723072754</v>
          </cell>
          <cell r="AU198">
            <v>99.408371523874223</v>
          </cell>
          <cell r="AV198">
            <v>300.23143995622928</v>
          </cell>
          <cell r="AW198">
            <v>392.07273551000719</v>
          </cell>
          <cell r="AX198">
            <v>646.96986976446226</v>
          </cell>
          <cell r="AY198">
            <v>734.08254349056051</v>
          </cell>
          <cell r="AZ198">
            <v>1017.5194865773074</v>
          </cell>
          <cell r="BA198">
            <v>1207.1352834372897</v>
          </cell>
          <cell r="BK198">
            <v>520.92428793120621</v>
          </cell>
          <cell r="BL198">
            <v>-220.69284797497693</v>
          </cell>
        </row>
        <row r="199">
          <cell r="A199" t="str">
            <v>Old SJM</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340.48443981418973</v>
          </cell>
          <cell r="AN199">
            <v>309.08591569865285</v>
          </cell>
          <cell r="AO199">
            <v>299.05512605404181</v>
          </cell>
          <cell r="AP199">
            <v>268.1871050337221</v>
          </cell>
          <cell r="AQ199">
            <v>1216.8125866006064</v>
          </cell>
          <cell r="AR199">
            <v>236.68973460745829</v>
          </cell>
          <cell r="AS199">
            <v>208.00939838784359</v>
          </cell>
          <cell r="AT199">
            <v>194.05555484876777</v>
          </cell>
          <cell r="AU199">
            <v>179.04220447629757</v>
          </cell>
          <cell r="AV199">
            <v>817.79689232036719</v>
          </cell>
          <cell r="AW199">
            <v>334.98504770091671</v>
          </cell>
          <cell r="AX199">
            <v>182.76204075559838</v>
          </cell>
          <cell r="AY199">
            <v>163.44892419951725</v>
          </cell>
          <cell r="AZ199">
            <v>197.82908658731301</v>
          </cell>
          <cell r="BA199">
            <v>179.1814796207598</v>
          </cell>
          <cell r="BK199">
            <v>956.76057293187182</v>
          </cell>
          <cell r="BL199">
            <v>-138.96368061150463</v>
          </cell>
        </row>
        <row r="200">
          <cell r="A200" t="str">
            <v>Other Mass Market</v>
          </cell>
          <cell r="C200">
            <v>774.18348351978238</v>
          </cell>
          <cell r="D200">
            <v>812.62684792133757</v>
          </cell>
          <cell r="E200">
            <v>743.50329546010403</v>
          </cell>
          <cell r="F200">
            <v>680.70481053873436</v>
          </cell>
          <cell r="G200">
            <v>662.81947826698092</v>
          </cell>
          <cell r="H200">
            <v>551.5480923777086</v>
          </cell>
          <cell r="I200">
            <v>168.24051122816675</v>
          </cell>
          <cell r="J200">
            <v>152.36773901043691</v>
          </cell>
          <cell r="K200">
            <v>163.99192248273209</v>
          </cell>
          <cell r="L200">
            <v>152.04017643273204</v>
          </cell>
          <cell r="M200">
            <v>636.64034915406774</v>
          </cell>
          <cell r="N200">
            <v>162.13602457748809</v>
          </cell>
          <cell r="O200">
            <v>165.7961749012515</v>
          </cell>
          <cell r="P200">
            <v>167.20897541048095</v>
          </cell>
          <cell r="Q200">
            <v>171.74966049695442</v>
          </cell>
          <cell r="R200">
            <v>666.8908353861749</v>
          </cell>
          <cell r="S200">
            <v>160.7774673428186</v>
          </cell>
          <cell r="T200">
            <v>176.51988679842961</v>
          </cell>
          <cell r="U200">
            <v>176.03520250264322</v>
          </cell>
          <cell r="V200">
            <v>197.33183672926856</v>
          </cell>
          <cell r="W200">
            <v>710.66439337316001</v>
          </cell>
          <cell r="X200">
            <v>189.65527202686269</v>
          </cell>
          <cell r="Y200">
            <v>147.12338809600604</v>
          </cell>
          <cell r="Z200">
            <v>215.50208627736168</v>
          </cell>
          <cell r="AA200">
            <v>236.94139182134211</v>
          </cell>
          <cell r="AB200">
            <v>789.22213822157244</v>
          </cell>
          <cell r="AC200">
            <v>280.95231671690618</v>
          </cell>
          <cell r="AD200">
            <v>279.76918401170786</v>
          </cell>
          <cell r="AE200">
            <v>242.02204245125913</v>
          </cell>
          <cell r="AF200">
            <v>224.3256026284642</v>
          </cell>
          <cell r="AG200">
            <v>1027.0691458083375</v>
          </cell>
          <cell r="AH200">
            <v>289.0339420550722</v>
          </cell>
          <cell r="AI200">
            <v>318.31136805015683</v>
          </cell>
          <cell r="AJ200">
            <v>362.65254466562669</v>
          </cell>
          <cell r="AK200">
            <v>393.98189274480097</v>
          </cell>
          <cell r="AL200">
            <v>1363.9797475156568</v>
          </cell>
          <cell r="AR200">
            <v>0</v>
          </cell>
          <cell r="AS200">
            <v>0</v>
          </cell>
          <cell r="AT200">
            <v>0</v>
          </cell>
          <cell r="AU200">
            <v>0</v>
          </cell>
          <cell r="AV200">
            <v>0</v>
          </cell>
          <cell r="AW200">
            <v>0</v>
          </cell>
          <cell r="AX200">
            <v>0</v>
          </cell>
          <cell r="AY200">
            <v>0</v>
          </cell>
          <cell r="AZ200">
            <v>0</v>
          </cell>
          <cell r="BA200">
            <v>0</v>
          </cell>
          <cell r="BL200">
            <v>0</v>
          </cell>
        </row>
        <row r="201">
          <cell r="B201" t="str">
            <v>______</v>
          </cell>
          <cell r="C201" t="str">
            <v>______</v>
          </cell>
          <cell r="D201" t="str">
            <v>______</v>
          </cell>
          <cell r="E201" t="str">
            <v>______</v>
          </cell>
          <cell r="F201" t="str">
            <v>______</v>
          </cell>
          <cell r="G201" t="str">
            <v>______</v>
          </cell>
          <cell r="H201" t="str">
            <v>______</v>
          </cell>
          <cell r="I201" t="str">
            <v>______</v>
          </cell>
          <cell r="J201" t="str">
            <v>______</v>
          </cell>
          <cell r="K201" t="str">
            <v>______</v>
          </cell>
          <cell r="L201" t="str">
            <v>______</v>
          </cell>
          <cell r="M201" t="str">
            <v>______</v>
          </cell>
          <cell r="N201" t="str">
            <v>______</v>
          </cell>
          <cell r="O201" t="str">
            <v>______</v>
          </cell>
          <cell r="P201" t="str">
            <v>______</v>
          </cell>
          <cell r="Q201" t="str">
            <v>______</v>
          </cell>
          <cell r="R201" t="str">
            <v>______</v>
          </cell>
          <cell r="S201" t="str">
            <v>______</v>
          </cell>
          <cell r="T201" t="str">
            <v>______</v>
          </cell>
          <cell r="U201" t="str">
            <v>______</v>
          </cell>
          <cell r="V201" t="str">
            <v>______</v>
          </cell>
          <cell r="W201" t="str">
            <v>______</v>
          </cell>
          <cell r="X201" t="str">
            <v>______</v>
          </cell>
          <cell r="Y201" t="str">
            <v>______</v>
          </cell>
          <cell r="Z201" t="str">
            <v>______</v>
          </cell>
          <cell r="AA201" t="str">
            <v>______</v>
          </cell>
          <cell r="AB201" t="str">
            <v>______</v>
          </cell>
          <cell r="AC201" t="str">
            <v>______</v>
          </cell>
          <cell r="AD201" t="str">
            <v>______</v>
          </cell>
          <cell r="AE201" t="str">
            <v>______</v>
          </cell>
          <cell r="AF201" t="str">
            <v>______</v>
          </cell>
          <cell r="AG201" t="str">
            <v>______</v>
          </cell>
          <cell r="AH201" t="str">
            <v>______</v>
          </cell>
          <cell r="AI201" t="str">
            <v>______</v>
          </cell>
          <cell r="AJ201" t="str">
            <v>______</v>
          </cell>
          <cell r="AK201" t="str">
            <v>______</v>
          </cell>
          <cell r="AL201" t="str">
            <v>______</v>
          </cell>
          <cell r="AM201" t="str">
            <v>______</v>
          </cell>
          <cell r="AN201" t="str">
            <v>______</v>
          </cell>
          <cell r="AO201" t="str">
            <v>______</v>
          </cell>
          <cell r="AP201" t="str">
            <v>______</v>
          </cell>
          <cell r="AQ201" t="str">
            <v>______</v>
          </cell>
          <cell r="AR201" t="str">
            <v>______</v>
          </cell>
          <cell r="AS201" t="str">
            <v>______</v>
          </cell>
          <cell r="AT201" t="str">
            <v>______</v>
          </cell>
          <cell r="AU201" t="str">
            <v>______</v>
          </cell>
          <cell r="AV201" t="str">
            <v>______</v>
          </cell>
          <cell r="AW201" t="str">
            <v>______</v>
          </cell>
          <cell r="AX201" t="str">
            <v>______</v>
          </cell>
          <cell r="AY201" t="str">
            <v>______</v>
          </cell>
          <cell r="AZ201" t="str">
            <v>______</v>
          </cell>
          <cell r="BA201" t="str">
            <v>______</v>
          </cell>
          <cell r="BK201" t="str">
            <v>______</v>
          </cell>
          <cell r="BL201" t="e">
            <v>#VALUE!</v>
          </cell>
        </row>
        <row r="202">
          <cell r="A202" t="str">
            <v>Total Mass Market Revenue</v>
          </cell>
          <cell r="C202">
            <v>774.18348351978238</v>
          </cell>
          <cell r="D202">
            <v>812.62684792133757</v>
          </cell>
          <cell r="E202">
            <v>743.50329546010403</v>
          </cell>
          <cell r="F202">
            <v>680.70481053873436</v>
          </cell>
          <cell r="G202">
            <v>662.81947826698092</v>
          </cell>
          <cell r="H202">
            <v>551.5480923777086</v>
          </cell>
          <cell r="I202">
            <v>168.24051122816675</v>
          </cell>
          <cell r="J202">
            <v>152.36773901043691</v>
          </cell>
          <cell r="K202">
            <v>163.99192248273209</v>
          </cell>
          <cell r="L202">
            <v>152.04017643273204</v>
          </cell>
          <cell r="M202">
            <v>636.64034915406774</v>
          </cell>
          <cell r="N202">
            <v>162.13602457748809</v>
          </cell>
          <cell r="O202">
            <v>165.7961749012515</v>
          </cell>
          <cell r="P202">
            <v>167.20897541048095</v>
          </cell>
          <cell r="Q202">
            <v>171.74966049695442</v>
          </cell>
          <cell r="R202">
            <v>666.8908353861749</v>
          </cell>
          <cell r="S202">
            <v>160.7774673428186</v>
          </cell>
          <cell r="T202">
            <v>176.51988679842961</v>
          </cell>
          <cell r="U202">
            <v>176.03520250264322</v>
          </cell>
          <cell r="V202">
            <v>197.33183672926856</v>
          </cell>
          <cell r="W202">
            <v>710.66439337316001</v>
          </cell>
          <cell r="X202">
            <v>189.65527202686269</v>
          </cell>
          <cell r="Y202">
            <v>147.12338809600604</v>
          </cell>
          <cell r="Z202">
            <v>215.50208627736168</v>
          </cell>
          <cell r="AA202">
            <v>236.94139182134211</v>
          </cell>
          <cell r="AB202">
            <v>789.22213822157244</v>
          </cell>
          <cell r="AC202">
            <v>280.95231671690618</v>
          </cell>
          <cell r="AD202">
            <v>337.36918401170789</v>
          </cell>
          <cell r="AE202">
            <v>403.47632193004841</v>
          </cell>
          <cell r="AF202">
            <v>383.7591135668772</v>
          </cell>
          <cell r="AG202">
            <v>1405.5569362255396</v>
          </cell>
          <cell r="AH202">
            <v>448.47078205507216</v>
          </cell>
          <cell r="AI202">
            <v>487.01134205015683</v>
          </cell>
          <cell r="AJ202">
            <v>550.26545666562674</v>
          </cell>
          <cell r="AK202">
            <v>599.46850074480096</v>
          </cell>
          <cell r="AL202">
            <v>2085.2160815156567</v>
          </cell>
          <cell r="AM202">
            <v>572.49378186415947</v>
          </cell>
          <cell r="AN202">
            <v>571.01356755050801</v>
          </cell>
          <cell r="AO202">
            <v>586.73964501081116</v>
          </cell>
          <cell r="AP202">
            <v>679.88012156291154</v>
          </cell>
          <cell r="AQ202">
            <v>2410.12711598839</v>
          </cell>
          <cell r="AR202">
            <v>774.07810096048263</v>
          </cell>
          <cell r="AS202">
            <v>667.48681411507209</v>
          </cell>
          <cell r="AT202">
            <v>828.52660355027422</v>
          </cell>
          <cell r="AU202">
            <v>896.35356047037067</v>
          </cell>
          <cell r="AV202">
            <v>3166.4450790961992</v>
          </cell>
          <cell r="AW202">
            <v>3987.0430218892116</v>
          </cell>
          <cell r="AX202">
            <v>5147.5260704163238</v>
          </cell>
          <cell r="AY202">
            <v>6335.90432669035</v>
          </cell>
          <cell r="AZ202">
            <v>7246.1243691780837</v>
          </cell>
          <cell r="BA202">
            <v>8164.3750046539071</v>
          </cell>
          <cell r="BK202">
            <v>3933.7539429289141</v>
          </cell>
          <cell r="BL202">
            <v>-767.30886383271491</v>
          </cell>
        </row>
        <row r="203">
          <cell r="A203" t="str">
            <v xml:space="preserve">  Year-over-Year growth</v>
          </cell>
          <cell r="D203">
            <v>4.9656657911086644E-2</v>
          </cell>
          <cell r="E203">
            <v>-8.5061861588807242E-2</v>
          </cell>
          <cell r="F203">
            <v>-8.446295437400575E-2</v>
          </cell>
          <cell r="G203">
            <v>-2.6274725835415125E-2</v>
          </cell>
          <cell r="H203">
            <v>-0.16787585389042037</v>
          </cell>
          <cell r="I203" t="str">
            <v>N.M.</v>
          </cell>
          <cell r="J203" t="str">
            <v>N.M.</v>
          </cell>
          <cell r="K203" t="str">
            <v>N.M.</v>
          </cell>
          <cell r="L203" t="str">
            <v>N.M.</v>
          </cell>
          <cell r="M203">
            <v>0.15427894312811197</v>
          </cell>
          <cell r="N203">
            <v>-3.6284284956789037E-2</v>
          </cell>
          <cell r="O203">
            <v>8.8131752679579956E-2</v>
          </cell>
          <cell r="P203">
            <v>1.9617142594859249E-2</v>
          </cell>
          <cell r="Q203">
            <v>0.12963339379537331</v>
          </cell>
          <cell r="R203">
            <v>4.7515816853742177E-2</v>
          </cell>
          <cell r="S203">
            <v>-8.3791201752341227E-3</v>
          </cell>
          <cell r="T203">
            <v>6.4680092309518988E-2</v>
          </cell>
          <cell r="U203">
            <v>5.2785605978953987E-2</v>
          </cell>
          <cell r="V203">
            <v>0.14895037438963543</v>
          </cell>
          <cell r="W203">
            <v>6.5638265911447391E-2</v>
          </cell>
          <cell r="X203">
            <v>0.17961350655231589</v>
          </cell>
          <cell r="Y203">
            <v>-0.16653363672271004</v>
          </cell>
          <cell r="Z203">
            <v>0.22419881485991899</v>
          </cell>
          <cell r="AA203">
            <v>0.20072561908201503</v>
          </cell>
          <cell r="AB203">
            <v>0.11054127036749239</v>
          </cell>
          <cell r="AC203">
            <v>0.4813841646179613</v>
          </cell>
          <cell r="AD203">
            <v>1.2931036892078374</v>
          </cell>
          <cell r="AE203">
            <v>0.87226179059238773</v>
          </cell>
          <cell r="AF203">
            <v>0.61963728927632111</v>
          </cell>
          <cell r="AG203">
            <v>0.78093957094616173</v>
          </cell>
          <cell r="AH203">
            <v>0.59625230108695382</v>
          </cell>
          <cell r="AI203">
            <v>0.44355609560728526</v>
          </cell>
          <cell r="AJ203">
            <v>0.36381102621686812</v>
          </cell>
          <cell r="AK203">
            <v>0.56209580320581076</v>
          </cell>
          <cell r="AL203">
            <v>0.48355148608583787</v>
          </cell>
          <cell r="AM203">
            <v>0.27654644354034486</v>
          </cell>
          <cell r="AN203">
            <v>0.17248515228973837</v>
          </cell>
          <cell r="AO203">
            <v>6.6284713865562894E-2</v>
          </cell>
          <cell r="AP203">
            <v>0.13413819194537213</v>
          </cell>
          <cell r="AQ203">
            <v>0.15581648221155531</v>
          </cell>
          <cell r="AR203">
            <v>0.35211617223146496</v>
          </cell>
          <cell r="AS203">
            <v>0.16895088321352492</v>
          </cell>
          <cell r="AT203">
            <v>0.41208559979785919</v>
          </cell>
          <cell r="AU203">
            <v>0.31839942372462504</v>
          </cell>
          <cell r="AV203">
            <v>0.31380832906717626</v>
          </cell>
          <cell r="AW203">
            <v>0.25915432679073547</v>
          </cell>
          <cell r="AX203">
            <v>0.29106358826728473</v>
          </cell>
          <cell r="AY203">
            <v>0.23086396067109427</v>
          </cell>
          <cell r="AZ203">
            <v>0.14366063557073949</v>
          </cell>
          <cell r="BA203">
            <v>0.12672300235166656</v>
          </cell>
          <cell r="BK203">
            <v>0.34732741003516732</v>
          </cell>
          <cell r="BL203">
            <v>-3.3519080967991055E-2</v>
          </cell>
        </row>
        <row r="204">
          <cell r="A204" t="str">
            <v xml:space="preserve">  check</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K204">
            <v>0</v>
          </cell>
          <cell r="BL204">
            <v>0</v>
          </cell>
        </row>
        <row r="205">
          <cell r="BL205">
            <v>0</v>
          </cell>
        </row>
        <row r="206">
          <cell r="A206" t="str">
            <v>Mass Market Casino Revenue Market Share</v>
          </cell>
          <cell r="BL206">
            <v>0</v>
          </cell>
        </row>
        <row r="207">
          <cell r="A207" t="str">
            <v>Sands Macao</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0.1707328432166498</v>
          </cell>
          <cell r="AE207">
            <v>0.40015800358857484</v>
          </cell>
          <cell r="AF207">
            <v>0.41545205130517049</v>
          </cell>
          <cell r="AG207">
            <v>0.26927958637775812</v>
          </cell>
          <cell r="AH207">
            <v>0.35551221256688503</v>
          </cell>
          <cell r="AI207">
            <v>0.34639844996181995</v>
          </cell>
          <cell r="AJ207">
            <v>0.34094982653800221</v>
          </cell>
          <cell r="AK207">
            <v>0.34278132669972838</v>
          </cell>
          <cell r="AL207">
            <v>0.34588086116991928</v>
          </cell>
          <cell r="AM207">
            <v>0.37803848156267478</v>
          </cell>
          <cell r="AN207">
            <v>0.37399621854188286</v>
          </cell>
          <cell r="AO207">
            <v>0.36556650266243351</v>
          </cell>
          <cell r="AP207">
            <v>0.31046931555340068</v>
          </cell>
          <cell r="AQ207">
            <v>0.35498371240437149</v>
          </cell>
          <cell r="AR207">
            <v>0.2960373797063261</v>
          </cell>
          <cell r="AS207">
            <v>0.28327767014943711</v>
          </cell>
          <cell r="AT207">
            <v>0.19863321529215583</v>
          </cell>
          <cell r="AU207">
            <v>0.15767962244515388</v>
          </cell>
          <cell r="AV207">
            <v>0.228694873391485</v>
          </cell>
          <cell r="AW207">
            <v>0.16410273156577451</v>
          </cell>
          <cell r="AX207">
            <v>0.10996424984008536</v>
          </cell>
          <cell r="AY207">
            <v>8.8708320238230498E-2</v>
          </cell>
          <cell r="AZ207">
            <v>7.2748683837569439E-2</v>
          </cell>
          <cell r="BA207">
            <v>7.2567154348333288E-2</v>
          </cell>
          <cell r="BK207">
            <v>0.19567046161962284</v>
          </cell>
          <cell r="BL207">
            <v>3.3024411771862161E-2</v>
          </cell>
        </row>
        <row r="208">
          <cell r="A208" t="str">
            <v>Venetian Macao</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0.18135716402692892</v>
          </cell>
          <cell r="AU208">
            <v>0.1754704093477984</v>
          </cell>
          <cell r="AV208">
            <v>9.7125563095070658E-2</v>
          </cell>
          <cell r="AW208">
            <v>0.17602135083589143</v>
          </cell>
          <cell r="AX208">
            <v>0.12356755155694032</v>
          </cell>
          <cell r="AY208">
            <v>9.9682123512939425E-2</v>
          </cell>
          <cell r="AZ208">
            <v>0.11256920695023914</v>
          </cell>
          <cell r="BA208">
            <v>0.11228831347473624</v>
          </cell>
          <cell r="BK208">
            <v>0.11304155151986889</v>
          </cell>
          <cell r="BL208">
            <v>-1.591598842479823E-2</v>
          </cell>
        </row>
        <row r="209">
          <cell r="A209" t="str">
            <v>Cotai Site 2 - Four Seasons (LVS)</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2.6768223859836029E-2</v>
          </cell>
          <cell r="AX209">
            <v>1.7937225226007467E-2</v>
          </cell>
          <cell r="AY209">
            <v>1.4469985671233147E-2</v>
          </cell>
          <cell r="AZ209">
            <v>1.2382612764526306E-2</v>
          </cell>
          <cell r="BA209">
            <v>1.235171448222099E-2</v>
          </cell>
          <cell r="BK209">
            <v>0</v>
          </cell>
          <cell r="BL209">
            <v>0</v>
          </cell>
        </row>
        <row r="210">
          <cell r="A210" t="str">
            <v>Cotai Site 3 - Far East (LVS)</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1.9122471168971762E-2</v>
          </cell>
          <cell r="AY210">
            <v>3.0852250593630937E-2</v>
          </cell>
          <cell r="AZ210">
            <v>2.795468639264272E-2</v>
          </cell>
          <cell r="BA210">
            <v>2.7884931179559501E-2</v>
          </cell>
          <cell r="BK210">
            <v>0</v>
          </cell>
          <cell r="BL210">
            <v>0</v>
          </cell>
        </row>
        <row r="211">
          <cell r="A211" t="str">
            <v>Cotai Site 5 - Shangri-La/St.Regis/Traders (LVS)</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3.0418436204359123E-2</v>
          </cell>
          <cell r="AX211">
            <v>4.5296023297998651E-2</v>
          </cell>
          <cell r="AY211">
            <v>3.2886331070984418E-2</v>
          </cell>
          <cell r="AZ211">
            <v>2.8142301737559786E-2</v>
          </cell>
          <cell r="BA211">
            <v>2.8072078368684059E-2</v>
          </cell>
          <cell r="BK211">
            <v>0</v>
          </cell>
          <cell r="BL211">
            <v>0</v>
          </cell>
        </row>
        <row r="212">
          <cell r="A212" t="str">
            <v>Cotai Site 6 - Starwood (LVS)</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3.0418436204359123E-2</v>
          </cell>
          <cell r="AX212">
            <v>4.5296023297998651E-2</v>
          </cell>
          <cell r="AY212">
            <v>3.2886331070984418E-2</v>
          </cell>
          <cell r="AZ212">
            <v>2.8142301737559786E-2</v>
          </cell>
          <cell r="BA212">
            <v>2.8072078368684059E-2</v>
          </cell>
          <cell r="BK212">
            <v>0</v>
          </cell>
          <cell r="BL212">
            <v>0</v>
          </cell>
        </row>
        <row r="213">
          <cell r="A213" t="str">
            <v>Cotai Site 7 - Hilton (LVS)</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2.0383210484099391E-2</v>
          </cell>
          <cell r="AY213">
            <v>3.6540367856649346E-2</v>
          </cell>
          <cell r="AZ213">
            <v>2.8142301737559786E-2</v>
          </cell>
          <cell r="BA213">
            <v>2.8072078368684059E-2</v>
          </cell>
          <cell r="BK213">
            <v>0</v>
          </cell>
          <cell r="BL213">
            <v>0</v>
          </cell>
        </row>
        <row r="214">
          <cell r="A214" t="str">
            <v>Cotai Site 8 - FHR/Raffles (LVS)</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2.0383210484099391E-2</v>
          </cell>
          <cell r="AY214">
            <v>3.6540367856649346E-2</v>
          </cell>
          <cell r="AZ214">
            <v>2.8142301737559786E-2</v>
          </cell>
          <cell r="BA214">
            <v>2.8072078368684059E-2</v>
          </cell>
          <cell r="BK214">
            <v>0</v>
          </cell>
          <cell r="BL214">
            <v>0</v>
          </cell>
        </row>
        <row r="215">
          <cell r="A215" t="str">
            <v>Wynn Macau</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4.1932806499800537E-2</v>
          </cell>
          <cell r="AP215">
            <v>0.15295328205941297</v>
          </cell>
          <cell r="AQ215">
            <v>5.3355499445208295E-2</v>
          </cell>
          <cell r="AR215">
            <v>0.16951176914126581</v>
          </cell>
          <cell r="AS215">
            <v>0.16583472090485957</v>
          </cell>
          <cell r="AT215">
            <v>0.17690761663655447</v>
          </cell>
          <cell r="AU215">
            <v>0.1580901653800792</v>
          </cell>
          <cell r="AV215">
            <v>0.16743861775519664</v>
          </cell>
          <cell r="AW215">
            <v>0.14350291592468326</v>
          </cell>
          <cell r="AX215">
            <v>0.10729480420038999</v>
          </cell>
          <cell r="AY215">
            <v>8.7371429979581888E-2</v>
          </cell>
          <cell r="AZ215">
            <v>7.6863922197578108E-2</v>
          </cell>
          <cell r="BA215">
            <v>7.6672123971119902E-2</v>
          </cell>
          <cell r="BK215">
            <v>0.15256289395888542</v>
          </cell>
          <cell r="BL215">
            <v>1.4875723796311219E-2</v>
          </cell>
        </row>
        <row r="216">
          <cell r="A216" t="str">
            <v>Wynn Cotai</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5.8464588570638965E-2</v>
          </cell>
          <cell r="AZ216">
            <v>5.253229657677827E-2</v>
          </cell>
          <cell r="BA216">
            <v>5.2401212954876909E-2</v>
          </cell>
          <cell r="BK216">
            <v>0</v>
          </cell>
          <cell r="BL216">
            <v>0</v>
          </cell>
        </row>
        <row r="217">
          <cell r="A217" t="str">
            <v>Wynn Cotai #2</v>
          </cell>
          <cell r="C217">
            <v>0</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5.8464588570638965E-2</v>
          </cell>
          <cell r="AZ217">
            <v>5.253229657677827E-2</v>
          </cell>
          <cell r="BA217">
            <v>5.2401212954876909E-2</v>
          </cell>
        </row>
        <row r="218">
          <cell r="A218" t="str">
            <v>MGM Grand</v>
          </cell>
          <cell r="C218">
            <v>0</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9.1666275593584479E-2</v>
          </cell>
          <cell r="AV218">
            <v>2.5948781820280369E-2</v>
          </cell>
          <cell r="AW218">
            <v>0.11481134560973306</v>
          </cell>
          <cell r="AX218">
            <v>8.5482655167983035E-2</v>
          </cell>
          <cell r="AY218">
            <v>6.8958982219068654E-2</v>
          </cell>
          <cell r="AZ218">
            <v>5.9011279821247584E-2</v>
          </cell>
          <cell r="BA218">
            <v>5.8864029219311727E-2</v>
          </cell>
          <cell r="BK218">
            <v>3.5824091693446344E-2</v>
          </cell>
          <cell r="BL218">
            <v>-9.8753098731659758E-3</v>
          </cell>
        </row>
        <row r="219">
          <cell r="A219" t="str">
            <v>MGM Cotai</v>
          </cell>
          <cell r="C219">
            <v>0</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4.8154605195380083E-2</v>
          </cell>
          <cell r="BA219">
            <v>4.8034445208637172E-2</v>
          </cell>
        </row>
        <row r="220">
          <cell r="A220" t="str">
            <v>Crown Macau - PBL/Melco</v>
          </cell>
          <cell r="C220">
            <v>0</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2.183344039913768E-2</v>
          </cell>
          <cell r="AT220">
            <v>2.3590585674905705E-2</v>
          </cell>
          <cell r="AU220">
            <v>2.168360571788383E-2</v>
          </cell>
          <cell r="AV220">
            <v>1.6913332538371469E-2</v>
          </cell>
          <cell r="AW220">
            <v>1.6673809474982034E-2</v>
          </cell>
          <cell r="AX220">
            <v>1.2290320988190301E-2</v>
          </cell>
          <cell r="AY220">
            <v>9.9146198117708584E-3</v>
          </cell>
          <cell r="AZ220">
            <v>9.2556903492418859E-3</v>
          </cell>
          <cell r="BA220">
            <v>9.2325946634783142E-3</v>
          </cell>
          <cell r="BK220">
            <v>1.2960177881258852E-2</v>
          </cell>
          <cell r="BL220">
            <v>3.9531546571126164E-3</v>
          </cell>
        </row>
        <row r="221">
          <cell r="A221" t="str">
            <v>Penninsula Project - PBL/Melco ("Trinity")</v>
          </cell>
          <cell r="C221">
            <v>0</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1.3135846756419605E-2</v>
          </cell>
          <cell r="AY221">
            <v>2.7039872213920523E-2</v>
          </cell>
          <cell r="AZ221">
            <v>2.3139225873104713E-2</v>
          </cell>
          <cell r="BA221">
            <v>2.308148665869578E-2</v>
          </cell>
          <cell r="BK221">
            <v>0</v>
          </cell>
          <cell r="BL221">
            <v>0</v>
          </cell>
        </row>
        <row r="222">
          <cell r="A222" t="str">
            <v>City of Dreams - PBL/Melco</v>
          </cell>
          <cell r="C222">
            <v>0</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6.3414432617198119E-2</v>
          </cell>
          <cell r="AY222">
            <v>5.1156514999309094E-2</v>
          </cell>
          <cell r="AZ222">
            <v>4.3776913813981889E-2</v>
          </cell>
          <cell r="BA222">
            <v>4.3667677462397428E-2</v>
          </cell>
          <cell r="BK222">
            <v>0</v>
          </cell>
          <cell r="BL222">
            <v>0</v>
          </cell>
        </row>
        <row r="223">
          <cell r="A223" t="str">
            <v>Galaxy Cotai Mega Resort</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3.52403216471242E-2</v>
          </cell>
          <cell r="AX223">
            <v>4.7228653625379924E-2</v>
          </cell>
          <cell r="AY223">
            <v>3.7271175213782336E-2</v>
          </cell>
          <cell r="AZ223">
            <v>3.1894608635901087E-2</v>
          </cell>
          <cell r="BA223">
            <v>3.1815022151175272E-2</v>
          </cell>
          <cell r="BK223">
            <v>0</v>
          </cell>
          <cell r="BL223">
            <v>0</v>
          </cell>
        </row>
        <row r="224">
          <cell r="A224" t="str">
            <v>Galaxy StarWorld</v>
          </cell>
          <cell r="C224">
            <v>0</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6.776982550490597E-2</v>
          </cell>
          <cell r="AQ224">
            <v>1.9117397126863715E-2</v>
          </cell>
          <cell r="AR224">
            <v>8.8512470158584086E-2</v>
          </cell>
          <cell r="AS224">
            <v>7.8701155161814765E-2</v>
          </cell>
          <cell r="AT224">
            <v>5.9266809857109269E-2</v>
          </cell>
          <cell r="AU224">
            <v>5.4475889442006604E-2</v>
          </cell>
          <cell r="AV224">
            <v>6.9156839548160237E-2</v>
          </cell>
          <cell r="AW224">
            <v>5.4636017858022225E-2</v>
          </cell>
          <cell r="AX224">
            <v>3.9226356176066832E-2</v>
          </cell>
          <cell r="AY224">
            <v>3.1643958563858342E-2</v>
          </cell>
          <cell r="AZ224">
            <v>2.707914811636308E-2</v>
          </cell>
          <cell r="BA224">
            <v>2.7011577630311548E-2</v>
          </cell>
          <cell r="BK224">
            <v>7.1155984631357749E-2</v>
          </cell>
          <cell r="BL224">
            <v>-1.9991450831975122E-3</v>
          </cell>
        </row>
        <row r="225">
          <cell r="A225" t="str">
            <v>Galaxy City Clubs</v>
          </cell>
          <cell r="C225">
            <v>0</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2.722241279062081E-2</v>
          </cell>
          <cell r="AN225">
            <v>8.4710310928954619E-2</v>
          </cell>
          <cell r="AO225">
            <v>8.2811037859686548E-2</v>
          </cell>
          <cell r="AP225">
            <v>7.0575752476578463E-2</v>
          </cell>
          <cell r="AQ225">
            <v>6.6605187737549046E-2</v>
          </cell>
          <cell r="AR225">
            <v>5.6589803691060939E-2</v>
          </cell>
          <cell r="AS225">
            <v>5.0317010844769645E-2</v>
          </cell>
          <cell r="AT225">
            <v>3.2949394432909326E-2</v>
          </cell>
          <cell r="AU225">
            <v>3.0285881299091485E-2</v>
          </cell>
          <cell r="AV225">
            <v>4.1635706017065205E-2</v>
          </cell>
          <cell r="AW225">
            <v>2.5051272127412205E-2</v>
          </cell>
          <cell r="AX225">
            <v>1.6786706234238297E-2</v>
          </cell>
          <cell r="AY225">
            <v>1.3541860327674248E-2</v>
          </cell>
          <cell r="AZ225">
            <v>1.1588374471044063E-2</v>
          </cell>
          <cell r="BA225">
            <v>1.1559458048260345E-2</v>
          </cell>
          <cell r="BK225">
            <v>4.3142416139040296E-2</v>
          </cell>
          <cell r="BL225">
            <v>-1.5067101219750911E-3</v>
          </cell>
        </row>
        <row r="226">
          <cell r="A226" t="str">
            <v>Macau Studio City</v>
          </cell>
          <cell r="C226">
            <v>0</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5.1999834746102445E-2</v>
          </cell>
          <cell r="AY226">
            <v>4.194834229943345E-2</v>
          </cell>
          <cell r="AZ226">
            <v>5.8223295372595907E-2</v>
          </cell>
          <cell r="BA226">
            <v>5.8078011024988573E-2</v>
          </cell>
          <cell r="BK226">
            <v>4.3142416139040296E-2</v>
          </cell>
          <cell r="BL226">
            <v>-4.3142416139040296E-2</v>
          </cell>
        </row>
        <row r="227">
          <cell r="A227" t="str">
            <v>New SJM</v>
          </cell>
          <cell r="C227">
            <v>0</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3.7694824016256574E-3</v>
          </cell>
          <cell r="AQ227">
            <v>1.0633448071868641E-3</v>
          </cell>
          <cell r="AR227">
            <v>8.3578740494601553E-2</v>
          </cell>
          <cell r="AS227">
            <v>8.8405279671523784E-2</v>
          </cell>
          <cell r="AT227">
            <v>9.3077563110558759E-2</v>
          </cell>
          <cell r="AU227">
            <v>0.1109030810026667</v>
          </cell>
          <cell r="AV227">
            <v>9.4816563198350051E-2</v>
          </cell>
          <cell r="AW227">
            <v>9.8336720561452165E-2</v>
          </cell>
          <cell r="AX227">
            <v>0.12568559360635473</v>
          </cell>
          <cell r="AY227">
            <v>0.11586073678514951</v>
          </cell>
          <cell r="AZ227">
            <v>0.14042258105662669</v>
          </cell>
          <cell r="BA227">
            <v>0.14785397323728897</v>
          </cell>
          <cell r="BK227">
            <v>0.13242421755117378</v>
          </cell>
          <cell r="BL227">
            <v>-3.7607654352823733E-2</v>
          </cell>
        </row>
        <row r="228">
          <cell r="A228" t="str">
            <v>Old SJM</v>
          </cell>
          <cell r="C228">
            <v>0</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0.59473910564670451</v>
          </cell>
          <cell r="AN228">
            <v>0.54129347052916255</v>
          </cell>
          <cell r="AO228">
            <v>0.50968965297807933</v>
          </cell>
          <cell r="AP228">
            <v>0.39446234200407621</v>
          </cell>
          <cell r="AQ228">
            <v>0.50487485847882063</v>
          </cell>
          <cell r="AR228">
            <v>0.30576983680816144</v>
          </cell>
          <cell r="AS228">
            <v>0.31163072286845744</v>
          </cell>
          <cell r="AT228">
            <v>0.23421765096887762</v>
          </cell>
          <cell r="AU228">
            <v>0.19974506977173534</v>
          </cell>
          <cell r="AV228">
            <v>0.25826972263602044</v>
          </cell>
          <cell r="AW228">
            <v>8.4018418126370786E-2</v>
          </cell>
          <cell r="AX228">
            <v>3.5504830525475491E-2</v>
          </cell>
          <cell r="AY228">
            <v>2.5797252573871665E-2</v>
          </cell>
          <cell r="AZ228">
            <v>2.7301365048161941E-2</v>
          </cell>
          <cell r="BA228">
            <v>2.1946747854994616E-2</v>
          </cell>
          <cell r="BK228">
            <v>0.24321820500534577</v>
          </cell>
          <cell r="BL228">
            <v>1.5051517630674666E-2</v>
          </cell>
        </row>
        <row r="229">
          <cell r="A229" t="str">
            <v>Other Mass Market</v>
          </cell>
          <cell r="C229">
            <v>1</v>
          </cell>
          <cell r="D229">
            <v>1</v>
          </cell>
          <cell r="E229">
            <v>1</v>
          </cell>
          <cell r="F229">
            <v>1</v>
          </cell>
          <cell r="G229">
            <v>1</v>
          </cell>
          <cell r="H229">
            <v>1</v>
          </cell>
          <cell r="I229">
            <v>1</v>
          </cell>
          <cell r="J229">
            <v>1</v>
          </cell>
          <cell r="K229">
            <v>1</v>
          </cell>
          <cell r="L229">
            <v>1</v>
          </cell>
          <cell r="M229">
            <v>1</v>
          </cell>
          <cell r="N229">
            <v>1</v>
          </cell>
          <cell r="O229">
            <v>1</v>
          </cell>
          <cell r="P229">
            <v>1</v>
          </cell>
          <cell r="Q229">
            <v>1</v>
          </cell>
          <cell r="R229">
            <v>1</v>
          </cell>
          <cell r="S229">
            <v>1</v>
          </cell>
          <cell r="T229">
            <v>1</v>
          </cell>
          <cell r="U229">
            <v>1</v>
          </cell>
          <cell r="V229">
            <v>1</v>
          </cell>
          <cell r="W229">
            <v>1</v>
          </cell>
          <cell r="X229">
            <v>1</v>
          </cell>
          <cell r="Y229">
            <v>1</v>
          </cell>
          <cell r="Z229">
            <v>1</v>
          </cell>
          <cell r="AA229">
            <v>1</v>
          </cell>
          <cell r="AB229">
            <v>1</v>
          </cell>
          <cell r="AC229">
            <v>1</v>
          </cell>
          <cell r="AD229">
            <v>0.82926715678335017</v>
          </cell>
          <cell r="AE229">
            <v>0.59984199641142522</v>
          </cell>
          <cell r="AF229">
            <v>0.58454794869482951</v>
          </cell>
          <cell r="AG229">
            <v>0.73072041362224194</v>
          </cell>
          <cell r="AH229">
            <v>0.64448778743311497</v>
          </cell>
          <cell r="AI229">
            <v>0.6536015500381801</v>
          </cell>
          <cell r="AJ229">
            <v>0.65905017346199768</v>
          </cell>
          <cell r="AK229">
            <v>0.65721867330027162</v>
          </cell>
          <cell r="AL229">
            <v>0.65411913883008077</v>
          </cell>
          <cell r="BL229">
            <v>0</v>
          </cell>
        </row>
        <row r="230">
          <cell r="B230" t="str">
            <v>______</v>
          </cell>
          <cell r="C230" t="str">
            <v>______</v>
          </cell>
          <cell r="D230" t="str">
            <v>______</v>
          </cell>
          <cell r="E230" t="str">
            <v>______</v>
          </cell>
          <cell r="F230" t="str">
            <v>______</v>
          </cell>
          <cell r="G230" t="str">
            <v>______</v>
          </cell>
          <cell r="H230" t="str">
            <v>______</v>
          </cell>
          <cell r="I230" t="str">
            <v>______</v>
          </cell>
          <cell r="J230" t="str">
            <v>______</v>
          </cell>
          <cell r="K230" t="str">
            <v>______</v>
          </cell>
          <cell r="L230" t="str">
            <v>______</v>
          </cell>
          <cell r="M230" t="str">
            <v>______</v>
          </cell>
          <cell r="N230" t="str">
            <v>______</v>
          </cell>
          <cell r="O230" t="str">
            <v>______</v>
          </cell>
          <cell r="P230" t="str">
            <v>______</v>
          </cell>
          <cell r="Q230" t="str">
            <v>______</v>
          </cell>
          <cell r="R230" t="str">
            <v>______</v>
          </cell>
          <cell r="S230" t="str">
            <v>______</v>
          </cell>
          <cell r="T230" t="str">
            <v>______</v>
          </cell>
          <cell r="U230" t="str">
            <v>______</v>
          </cell>
          <cell r="V230" t="str">
            <v>______</v>
          </cell>
          <cell r="W230" t="str">
            <v>______</v>
          </cell>
          <cell r="X230" t="str">
            <v>______</v>
          </cell>
          <cell r="Y230" t="str">
            <v>______</v>
          </cell>
          <cell r="Z230" t="str">
            <v>______</v>
          </cell>
          <cell r="AA230" t="str">
            <v>______</v>
          </cell>
          <cell r="AB230" t="str">
            <v>______</v>
          </cell>
          <cell r="AC230" t="str">
            <v>______</v>
          </cell>
          <cell r="AD230" t="str">
            <v>______</v>
          </cell>
          <cell r="AE230" t="str">
            <v>______</v>
          </cell>
          <cell r="AF230" t="str">
            <v>______</v>
          </cell>
          <cell r="AG230" t="str">
            <v>______</v>
          </cell>
          <cell r="AH230" t="str">
            <v>______</v>
          </cell>
          <cell r="AI230" t="str">
            <v>______</v>
          </cell>
          <cell r="AJ230" t="str">
            <v>______</v>
          </cell>
          <cell r="AK230" t="str">
            <v>______</v>
          </cell>
          <cell r="AL230" t="str">
            <v>______</v>
          </cell>
          <cell r="AM230" t="str">
            <v>______</v>
          </cell>
          <cell r="AN230" t="str">
            <v>______</v>
          </cell>
          <cell r="AO230" t="str">
            <v>______</v>
          </cell>
          <cell r="AP230" t="str">
            <v>______</v>
          </cell>
          <cell r="AQ230" t="str">
            <v>______</v>
          </cell>
          <cell r="AR230" t="str">
            <v>______</v>
          </cell>
          <cell r="AS230" t="str">
            <v>______</v>
          </cell>
          <cell r="AT230" t="str">
            <v>______</v>
          </cell>
          <cell r="AU230" t="str">
            <v>______</v>
          </cell>
          <cell r="AV230" t="str">
            <v>______</v>
          </cell>
          <cell r="AW230" t="str">
            <v>______</v>
          </cell>
          <cell r="AX230" t="str">
            <v>______</v>
          </cell>
          <cell r="AY230" t="str">
            <v>______</v>
          </cell>
          <cell r="AZ230" t="str">
            <v>______</v>
          </cell>
          <cell r="BA230" t="str">
            <v>______</v>
          </cell>
          <cell r="BK230" t="str">
            <v>______</v>
          </cell>
          <cell r="BL230" t="e">
            <v>#VALUE!</v>
          </cell>
        </row>
        <row r="231">
          <cell r="A231" t="str">
            <v>Total</v>
          </cell>
          <cell r="C231">
            <v>1</v>
          </cell>
          <cell r="D231">
            <v>1</v>
          </cell>
          <cell r="E231">
            <v>1</v>
          </cell>
          <cell r="F231">
            <v>1</v>
          </cell>
          <cell r="G231">
            <v>1</v>
          </cell>
          <cell r="H231">
            <v>1</v>
          </cell>
          <cell r="I231">
            <v>1</v>
          </cell>
          <cell r="J231">
            <v>1</v>
          </cell>
          <cell r="K231">
            <v>1</v>
          </cell>
          <cell r="L231">
            <v>1</v>
          </cell>
          <cell r="M231">
            <v>1</v>
          </cell>
          <cell r="N231">
            <v>1</v>
          </cell>
          <cell r="O231">
            <v>1</v>
          </cell>
          <cell r="P231">
            <v>1</v>
          </cell>
          <cell r="Q231">
            <v>1</v>
          </cell>
          <cell r="R231">
            <v>1</v>
          </cell>
          <cell r="S231">
            <v>1</v>
          </cell>
          <cell r="T231">
            <v>1</v>
          </cell>
          <cell r="U231">
            <v>1</v>
          </cell>
          <cell r="V231">
            <v>1</v>
          </cell>
          <cell r="W231">
            <v>1</v>
          </cell>
          <cell r="X231">
            <v>1</v>
          </cell>
          <cell r="Y231">
            <v>1</v>
          </cell>
          <cell r="Z231">
            <v>1</v>
          </cell>
          <cell r="AA231">
            <v>1</v>
          </cell>
          <cell r="AB231">
            <v>1</v>
          </cell>
          <cell r="AC231">
            <v>1</v>
          </cell>
          <cell r="AD231">
            <v>1</v>
          </cell>
          <cell r="AE231">
            <v>1</v>
          </cell>
          <cell r="AF231">
            <v>1</v>
          </cell>
          <cell r="AG231">
            <v>1</v>
          </cell>
          <cell r="AH231">
            <v>1</v>
          </cell>
          <cell r="AI231">
            <v>1</v>
          </cell>
          <cell r="AJ231">
            <v>0.99999999999999989</v>
          </cell>
          <cell r="AK231">
            <v>1</v>
          </cell>
          <cell r="AL231">
            <v>1</v>
          </cell>
          <cell r="AM231">
            <v>1</v>
          </cell>
          <cell r="AN231">
            <v>1</v>
          </cell>
          <cell r="AO231">
            <v>0.99999999999999989</v>
          </cell>
          <cell r="AP231">
            <v>1</v>
          </cell>
          <cell r="AQ231">
            <v>1</v>
          </cell>
          <cell r="AR231">
            <v>1</v>
          </cell>
          <cell r="AS231">
            <v>1</v>
          </cell>
          <cell r="AT231">
            <v>1</v>
          </cell>
          <cell r="AU231">
            <v>1</v>
          </cell>
          <cell r="AV231">
            <v>1</v>
          </cell>
          <cell r="AW231">
            <v>1</v>
          </cell>
          <cell r="AX231">
            <v>1</v>
          </cell>
          <cell r="AY231">
            <v>1</v>
          </cell>
          <cell r="AZ231">
            <v>1</v>
          </cell>
          <cell r="BA231">
            <v>1</v>
          </cell>
          <cell r="BK231">
            <v>1</v>
          </cell>
          <cell r="BL231">
            <v>0</v>
          </cell>
        </row>
        <row r="232">
          <cell r="A232" t="str">
            <v xml:space="preserve">  LVS Plots 5&amp;6 Share</v>
          </cell>
          <cell r="AW232">
            <v>6.0836872408718247E-2</v>
          </cell>
          <cell r="AX232">
            <v>9.0592046595997303E-2</v>
          </cell>
          <cell r="AY232">
            <v>6.5772662141968835E-2</v>
          </cell>
          <cell r="AZ232">
            <v>5.6284603475119571E-2</v>
          </cell>
          <cell r="BA232">
            <v>5.6144156737368119E-2</v>
          </cell>
          <cell r="BL232">
            <v>0</v>
          </cell>
        </row>
        <row r="233">
          <cell r="A233" t="str">
            <v xml:space="preserve">  LVS Plots 7&amp;8 Share</v>
          </cell>
          <cell r="AX233">
            <v>4.0766420968198783E-2</v>
          </cell>
          <cell r="AY233">
            <v>7.3080735713298692E-2</v>
          </cell>
          <cell r="AZ233">
            <v>5.6284603475119571E-2</v>
          </cell>
          <cell r="BA233">
            <v>5.6144156737368119E-2</v>
          </cell>
          <cell r="BL233">
            <v>0</v>
          </cell>
        </row>
        <row r="234">
          <cell r="BL234">
            <v>0</v>
          </cell>
        </row>
        <row r="235">
          <cell r="A235" t="str">
            <v>Mass Market Casino Revenue Fair Share</v>
          </cell>
          <cell r="BL235">
            <v>0</v>
          </cell>
        </row>
        <row r="236">
          <cell r="A236" t="str">
            <v>Sands Macao</v>
          </cell>
          <cell r="X236">
            <v>0</v>
          </cell>
          <cell r="Y236">
            <v>0</v>
          </cell>
          <cell r="Z236">
            <v>0</v>
          </cell>
          <cell r="AA236">
            <v>0</v>
          </cell>
          <cell r="AB236" t="str">
            <v>N.M.</v>
          </cell>
          <cell r="AC236">
            <v>0</v>
          </cell>
          <cell r="AD236">
            <v>0.63504584140228115</v>
          </cell>
          <cell r="AE236">
            <v>0.81916350244243064</v>
          </cell>
          <cell r="AF236">
            <v>1.1581742867739755</v>
          </cell>
          <cell r="AG236">
            <v>0.82782484775869758</v>
          </cell>
          <cell r="AH236">
            <v>1.1025445632541968</v>
          </cell>
          <cell r="AI236">
            <v>1.0924376862975698</v>
          </cell>
          <cell r="AJ236">
            <v>1.0968483200441173</v>
          </cell>
          <cell r="AK236">
            <v>1.0977518170763882</v>
          </cell>
          <cell r="AL236">
            <v>1.0965861639373129</v>
          </cell>
          <cell r="AM236">
            <v>1.2193334537883502</v>
          </cell>
          <cell r="AN236">
            <v>1.3658786253092388</v>
          </cell>
          <cell r="AO236">
            <v>1.2097749086447045</v>
          </cell>
          <cell r="AP236">
            <v>0.96063656449488799</v>
          </cell>
          <cell r="AQ236">
            <v>1.166517758723717</v>
          </cell>
          <cell r="AR236">
            <v>1.05</v>
          </cell>
          <cell r="AS236">
            <v>1.1299999999999999</v>
          </cell>
          <cell r="AT236">
            <v>1.1000000000000001</v>
          </cell>
          <cell r="AU236">
            <v>0.95</v>
          </cell>
          <cell r="AV236">
            <v>1.0919373183163483</v>
          </cell>
          <cell r="AW236">
            <v>1.2</v>
          </cell>
          <cell r="AX236">
            <v>1.2</v>
          </cell>
          <cell r="AY236">
            <v>1.2</v>
          </cell>
          <cell r="AZ236">
            <v>1.1499999999999999</v>
          </cell>
          <cell r="BA236">
            <v>1.1499999999999999</v>
          </cell>
          <cell r="BK236">
            <v>0.95</v>
          </cell>
          <cell r="BL236">
            <v>0.14193731831634837</v>
          </cell>
          <cell r="BN236" t="str">
            <v>gt:lvs:sandsMacao:fairShare</v>
          </cell>
        </row>
        <row r="237">
          <cell r="A237" t="str">
            <v>Venetian Macao</v>
          </cell>
          <cell r="X237">
            <v>0</v>
          </cell>
          <cell r="Y237">
            <v>0</v>
          </cell>
          <cell r="Z237">
            <v>0</v>
          </cell>
          <cell r="AA237">
            <v>0</v>
          </cell>
          <cell r="AB237" t="str">
            <v>N.M.</v>
          </cell>
          <cell r="AC237">
            <v>0</v>
          </cell>
          <cell r="AD237">
            <v>0</v>
          </cell>
          <cell r="AE237">
            <v>0</v>
          </cell>
          <cell r="AF237">
            <v>0</v>
          </cell>
          <cell r="AG237" t="str">
            <v>N.M.</v>
          </cell>
          <cell r="AH237">
            <v>0</v>
          </cell>
          <cell r="AI237">
            <v>0</v>
          </cell>
          <cell r="AJ237">
            <v>0</v>
          </cell>
          <cell r="AK237">
            <v>0</v>
          </cell>
          <cell r="AL237" t="str">
            <v>N.M.</v>
          </cell>
          <cell r="AM237">
            <v>0</v>
          </cell>
          <cell r="AN237">
            <v>0</v>
          </cell>
          <cell r="AO237">
            <v>0</v>
          </cell>
          <cell r="AP237">
            <v>0</v>
          </cell>
          <cell r="AQ237" t="str">
            <v>N.M.</v>
          </cell>
          <cell r="AR237">
            <v>0</v>
          </cell>
          <cell r="AS237">
            <v>0</v>
          </cell>
          <cell r="AT237">
            <v>0.95</v>
          </cell>
          <cell r="AU237">
            <v>1</v>
          </cell>
          <cell r="AV237">
            <v>0.87730964062357364</v>
          </cell>
          <cell r="AW237">
            <v>1.05</v>
          </cell>
          <cell r="AX237">
            <v>1.1000000000000001</v>
          </cell>
          <cell r="AY237">
            <v>1.1000000000000001</v>
          </cell>
          <cell r="AZ237">
            <v>1</v>
          </cell>
          <cell r="BA237">
            <v>1</v>
          </cell>
          <cell r="BK237">
            <v>1</v>
          </cell>
          <cell r="BL237">
            <v>-0.12269035937642636</v>
          </cell>
          <cell r="BN237" t="str">
            <v>gt:lvs:venetianMacao:fairShare</v>
          </cell>
        </row>
        <row r="238">
          <cell r="A238" t="str">
            <v>Cotai Site 2 - Four Seasons (LVS)</v>
          </cell>
          <cell r="X238">
            <v>0</v>
          </cell>
          <cell r="Y238">
            <v>0</v>
          </cell>
          <cell r="Z238">
            <v>0</v>
          </cell>
          <cell r="AA238">
            <v>0</v>
          </cell>
          <cell r="AB238" t="str">
            <v>N.M.</v>
          </cell>
          <cell r="AC238">
            <v>0</v>
          </cell>
          <cell r="AD238">
            <v>0</v>
          </cell>
          <cell r="AE238">
            <v>0</v>
          </cell>
          <cell r="AF238">
            <v>0</v>
          </cell>
          <cell r="AG238" t="str">
            <v>N.M.</v>
          </cell>
          <cell r="AH238">
            <v>0</v>
          </cell>
          <cell r="AI238">
            <v>0</v>
          </cell>
          <cell r="AJ238">
            <v>0</v>
          </cell>
          <cell r="AK238">
            <v>0</v>
          </cell>
          <cell r="AL238" t="str">
            <v>N.M.</v>
          </cell>
          <cell r="AM238">
            <v>0</v>
          </cell>
          <cell r="AN238">
            <v>0</v>
          </cell>
          <cell r="AO238">
            <v>0</v>
          </cell>
          <cell r="AP238">
            <v>0</v>
          </cell>
          <cell r="AQ238" t="str">
            <v>N.M.</v>
          </cell>
          <cell r="AR238">
            <v>0</v>
          </cell>
          <cell r="AS238">
            <v>0</v>
          </cell>
          <cell r="AT238">
            <v>0</v>
          </cell>
          <cell r="AU238">
            <v>0</v>
          </cell>
          <cell r="AV238" t="str">
            <v>N.M.</v>
          </cell>
          <cell r="AW238">
            <v>1.1000000000000001</v>
          </cell>
          <cell r="AX238">
            <v>1.1000000000000001</v>
          </cell>
          <cell r="AY238">
            <v>1.1000000000000001</v>
          </cell>
          <cell r="AZ238">
            <v>1.1000000000000001</v>
          </cell>
          <cell r="BA238">
            <v>1.1000000000000001</v>
          </cell>
          <cell r="BK238">
            <v>0.95</v>
          </cell>
          <cell r="BL238" t="e">
            <v>#VALUE!</v>
          </cell>
        </row>
        <row r="239">
          <cell r="A239" t="str">
            <v>Cotai Site 3 - Far East (LVS)</v>
          </cell>
          <cell r="X239">
            <v>0</v>
          </cell>
          <cell r="Y239">
            <v>0</v>
          </cell>
          <cell r="Z239">
            <v>0</v>
          </cell>
          <cell r="AA239">
            <v>0</v>
          </cell>
          <cell r="AB239" t="str">
            <v>N.M.</v>
          </cell>
          <cell r="AC239">
            <v>0</v>
          </cell>
          <cell r="AD239">
            <v>0</v>
          </cell>
          <cell r="AE239">
            <v>0</v>
          </cell>
          <cell r="AF239">
            <v>0</v>
          </cell>
          <cell r="AG239" t="str">
            <v>N.M.</v>
          </cell>
          <cell r="AH239">
            <v>0</v>
          </cell>
          <cell r="AI239">
            <v>0</v>
          </cell>
          <cell r="AJ239">
            <v>0</v>
          </cell>
          <cell r="AK239">
            <v>0</v>
          </cell>
          <cell r="AL239" t="str">
            <v>N.M.</v>
          </cell>
          <cell r="AM239">
            <v>0</v>
          </cell>
          <cell r="AN239">
            <v>0</v>
          </cell>
          <cell r="AO239">
            <v>0</v>
          </cell>
          <cell r="AP239">
            <v>0</v>
          </cell>
          <cell r="AQ239" t="str">
            <v>N.M.</v>
          </cell>
          <cell r="AR239">
            <v>0</v>
          </cell>
          <cell r="AS239">
            <v>0</v>
          </cell>
          <cell r="AT239">
            <v>0</v>
          </cell>
          <cell r="AU239">
            <v>0</v>
          </cell>
          <cell r="AV239" t="str">
            <v>N.M.</v>
          </cell>
          <cell r="AW239">
            <v>0</v>
          </cell>
          <cell r="AX239">
            <v>0.85</v>
          </cell>
          <cell r="AY239">
            <v>0.85</v>
          </cell>
          <cell r="AZ239">
            <v>0.9</v>
          </cell>
          <cell r="BA239">
            <v>0.9</v>
          </cell>
          <cell r="BK239">
            <v>0</v>
          </cell>
          <cell r="BL239" t="e">
            <v>#VALUE!</v>
          </cell>
        </row>
        <row r="240">
          <cell r="A240" t="str">
            <v>Cotai Site 5 - Shangri-La/St.Regis/Traders (LVS)</v>
          </cell>
          <cell r="X240">
            <v>0</v>
          </cell>
          <cell r="Y240">
            <v>0</v>
          </cell>
          <cell r="Z240">
            <v>0</v>
          </cell>
          <cell r="AA240">
            <v>0</v>
          </cell>
          <cell r="AB240" t="str">
            <v>N.M.</v>
          </cell>
          <cell r="AC240">
            <v>0</v>
          </cell>
          <cell r="AD240">
            <v>0</v>
          </cell>
          <cell r="AE240">
            <v>0</v>
          </cell>
          <cell r="AF240">
            <v>0</v>
          </cell>
          <cell r="AG240" t="str">
            <v>N.M.</v>
          </cell>
          <cell r="AH240">
            <v>0</v>
          </cell>
          <cell r="AI240">
            <v>0</v>
          </cell>
          <cell r="AJ240">
            <v>0</v>
          </cell>
          <cell r="AK240">
            <v>0</v>
          </cell>
          <cell r="AL240" t="str">
            <v>N.M.</v>
          </cell>
          <cell r="AM240">
            <v>0</v>
          </cell>
          <cell r="AN240">
            <v>0</v>
          </cell>
          <cell r="AO240">
            <v>0</v>
          </cell>
          <cell r="AP240">
            <v>0</v>
          </cell>
          <cell r="AQ240" t="str">
            <v>N.M.</v>
          </cell>
          <cell r="AR240">
            <v>0</v>
          </cell>
          <cell r="AS240">
            <v>0</v>
          </cell>
          <cell r="AT240">
            <v>0</v>
          </cell>
          <cell r="AU240">
            <v>0</v>
          </cell>
          <cell r="AV240" t="str">
            <v>N.M.</v>
          </cell>
          <cell r="AW240">
            <v>0.9</v>
          </cell>
          <cell r="AX240">
            <v>1</v>
          </cell>
          <cell r="AY240">
            <v>1</v>
          </cell>
          <cell r="AZ240">
            <v>1</v>
          </cell>
          <cell r="BA240">
            <v>1</v>
          </cell>
          <cell r="BK240">
            <v>0</v>
          </cell>
          <cell r="BL240" t="e">
            <v>#VALUE!</v>
          </cell>
        </row>
        <row r="241">
          <cell r="A241" t="str">
            <v>Cotai Site 6 - Starwood (LVS)</v>
          </cell>
          <cell r="X241">
            <v>0</v>
          </cell>
          <cell r="Y241">
            <v>0</v>
          </cell>
          <cell r="Z241">
            <v>0</v>
          </cell>
          <cell r="AA241">
            <v>0</v>
          </cell>
          <cell r="AB241" t="str">
            <v>N.M.</v>
          </cell>
          <cell r="AC241">
            <v>0</v>
          </cell>
          <cell r="AD241">
            <v>0</v>
          </cell>
          <cell r="AE241">
            <v>0</v>
          </cell>
          <cell r="AF241">
            <v>0</v>
          </cell>
          <cell r="AG241" t="str">
            <v>N.M.</v>
          </cell>
          <cell r="AH241">
            <v>0</v>
          </cell>
          <cell r="AI241">
            <v>0</v>
          </cell>
          <cell r="AJ241">
            <v>0</v>
          </cell>
          <cell r="AK241">
            <v>0</v>
          </cell>
          <cell r="AL241" t="str">
            <v>N.M.</v>
          </cell>
          <cell r="AM241">
            <v>0</v>
          </cell>
          <cell r="AN241">
            <v>0</v>
          </cell>
          <cell r="AO241">
            <v>0</v>
          </cell>
          <cell r="AP241">
            <v>0</v>
          </cell>
          <cell r="AQ241" t="str">
            <v>N.M.</v>
          </cell>
          <cell r="AR241">
            <v>0</v>
          </cell>
          <cell r="AS241">
            <v>0</v>
          </cell>
          <cell r="AT241">
            <v>0</v>
          </cell>
          <cell r="AU241">
            <v>0</v>
          </cell>
          <cell r="AV241" t="str">
            <v>N.M.</v>
          </cell>
          <cell r="AW241">
            <v>0.9</v>
          </cell>
          <cell r="AX241">
            <v>1</v>
          </cell>
          <cell r="AY241">
            <v>1</v>
          </cell>
          <cell r="AZ241">
            <v>1</v>
          </cell>
          <cell r="BA241">
            <v>1</v>
          </cell>
          <cell r="BK241">
            <v>0</v>
          </cell>
          <cell r="BL241" t="e">
            <v>#VALUE!</v>
          </cell>
        </row>
        <row r="242">
          <cell r="A242" t="str">
            <v>Cotai Site 7 - Hilton (LVS)</v>
          </cell>
          <cell r="X242">
            <v>0</v>
          </cell>
          <cell r="Y242">
            <v>0</v>
          </cell>
          <cell r="Z242">
            <v>0</v>
          </cell>
          <cell r="AA242">
            <v>0</v>
          </cell>
          <cell r="AB242" t="str">
            <v>N.M.</v>
          </cell>
          <cell r="AC242">
            <v>0</v>
          </cell>
          <cell r="AD242">
            <v>0</v>
          </cell>
          <cell r="AE242">
            <v>0</v>
          </cell>
          <cell r="AF242">
            <v>0</v>
          </cell>
          <cell r="AG242" t="str">
            <v>N.M.</v>
          </cell>
          <cell r="AH242">
            <v>0</v>
          </cell>
          <cell r="AI242">
            <v>0</v>
          </cell>
          <cell r="AJ242">
            <v>0</v>
          </cell>
          <cell r="AK242">
            <v>0</v>
          </cell>
          <cell r="AL242" t="str">
            <v>N.M.</v>
          </cell>
          <cell r="AM242">
            <v>0</v>
          </cell>
          <cell r="AN242">
            <v>0</v>
          </cell>
          <cell r="AO242">
            <v>0</v>
          </cell>
          <cell r="AP242">
            <v>0</v>
          </cell>
          <cell r="AQ242" t="str">
            <v>N.M.</v>
          </cell>
          <cell r="AR242">
            <v>0</v>
          </cell>
          <cell r="AS242">
            <v>0</v>
          </cell>
          <cell r="AT242">
            <v>0</v>
          </cell>
          <cell r="AU242">
            <v>0</v>
          </cell>
          <cell r="AV242" t="str">
            <v>N.M.</v>
          </cell>
          <cell r="AW242">
            <v>0</v>
          </cell>
          <cell r="AX242">
            <v>0.9</v>
          </cell>
          <cell r="AY242">
            <v>1</v>
          </cell>
          <cell r="AZ242">
            <v>1</v>
          </cell>
          <cell r="BA242">
            <v>1</v>
          </cell>
          <cell r="BK242">
            <v>0</v>
          </cell>
          <cell r="BL242" t="e">
            <v>#VALUE!</v>
          </cell>
        </row>
        <row r="243">
          <cell r="A243" t="str">
            <v>Cotai Site 8 - FHR/Raffles (LVS)</v>
          </cell>
          <cell r="X243">
            <v>0</v>
          </cell>
          <cell r="Y243">
            <v>0</v>
          </cell>
          <cell r="Z243">
            <v>0</v>
          </cell>
          <cell r="AA243">
            <v>0</v>
          </cell>
          <cell r="AB243" t="str">
            <v>N.M.</v>
          </cell>
          <cell r="AC243">
            <v>0</v>
          </cell>
          <cell r="AD243">
            <v>0</v>
          </cell>
          <cell r="AE243">
            <v>0</v>
          </cell>
          <cell r="AF243">
            <v>0</v>
          </cell>
          <cell r="AG243" t="str">
            <v>N.M.</v>
          </cell>
          <cell r="AH243">
            <v>0</v>
          </cell>
          <cell r="AI243">
            <v>0</v>
          </cell>
          <cell r="AJ243">
            <v>0</v>
          </cell>
          <cell r="AK243">
            <v>0</v>
          </cell>
          <cell r="AL243" t="str">
            <v>N.M.</v>
          </cell>
          <cell r="AM243">
            <v>0</v>
          </cell>
          <cell r="AN243">
            <v>0</v>
          </cell>
          <cell r="AO243">
            <v>0</v>
          </cell>
          <cell r="AP243">
            <v>0</v>
          </cell>
          <cell r="AQ243" t="str">
            <v>N.M.</v>
          </cell>
          <cell r="AR243">
            <v>0</v>
          </cell>
          <cell r="AS243">
            <v>0</v>
          </cell>
          <cell r="AT243">
            <v>0</v>
          </cell>
          <cell r="AU243">
            <v>0</v>
          </cell>
          <cell r="AV243" t="str">
            <v>N.M.</v>
          </cell>
          <cell r="AW243">
            <v>0</v>
          </cell>
          <cell r="AX243">
            <v>0.9</v>
          </cell>
          <cell r="AY243">
            <v>1</v>
          </cell>
          <cell r="AZ243">
            <v>1</v>
          </cell>
          <cell r="BA243">
            <v>1</v>
          </cell>
          <cell r="BK243">
            <v>0</v>
          </cell>
          <cell r="BL243" t="e">
            <v>#VALUE!</v>
          </cell>
        </row>
        <row r="244">
          <cell r="A244" t="str">
            <v>Wynn Macau</v>
          </cell>
          <cell r="X244">
            <v>0</v>
          </cell>
          <cell r="Y244">
            <v>0</v>
          </cell>
          <cell r="Z244">
            <v>0</v>
          </cell>
          <cell r="AA244">
            <v>0</v>
          </cell>
          <cell r="AB244" t="str">
            <v>N.M.</v>
          </cell>
          <cell r="AC244">
            <v>0</v>
          </cell>
          <cell r="AD244">
            <v>0</v>
          </cell>
          <cell r="AE244">
            <v>0</v>
          </cell>
          <cell r="AF244">
            <v>0</v>
          </cell>
          <cell r="AG244" t="str">
            <v>N.M.</v>
          </cell>
          <cell r="AH244">
            <v>0</v>
          </cell>
          <cell r="AI244">
            <v>0</v>
          </cell>
          <cell r="AJ244">
            <v>0</v>
          </cell>
          <cell r="AK244">
            <v>0</v>
          </cell>
          <cell r="AL244" t="str">
            <v>N.M.</v>
          </cell>
          <cell r="AM244">
            <v>0</v>
          </cell>
          <cell r="AN244">
            <v>0</v>
          </cell>
          <cell r="AO244">
            <v>1.5085970108002904</v>
          </cell>
          <cell r="AP244">
            <v>1.7803911695704138</v>
          </cell>
          <cell r="AQ244">
            <v>1.5032113619893295</v>
          </cell>
          <cell r="AR244">
            <v>2.2000000000000002</v>
          </cell>
          <cell r="AS244">
            <v>1.8</v>
          </cell>
          <cell r="AT244">
            <v>1.8</v>
          </cell>
          <cell r="AU244">
            <v>1.75</v>
          </cell>
          <cell r="AV244">
            <v>1.8491700905658222</v>
          </cell>
          <cell r="AW244">
            <v>1.9</v>
          </cell>
          <cell r="AX244">
            <v>2.12</v>
          </cell>
          <cell r="AY244">
            <v>2.14</v>
          </cell>
          <cell r="AZ244">
            <v>2.2000000000000002</v>
          </cell>
          <cell r="BA244">
            <v>2.2000000000000002</v>
          </cell>
          <cell r="BK244">
            <v>1.75</v>
          </cell>
          <cell r="BL244">
            <v>9.9170090565822155E-2</v>
          </cell>
        </row>
        <row r="245">
          <cell r="A245" t="str">
            <v>Wynn Cotai</v>
          </cell>
          <cell r="X245">
            <v>0</v>
          </cell>
          <cell r="Y245">
            <v>0</v>
          </cell>
          <cell r="Z245">
            <v>0</v>
          </cell>
          <cell r="AA245">
            <v>0</v>
          </cell>
          <cell r="AB245" t="str">
            <v>N.M.</v>
          </cell>
          <cell r="AC245">
            <v>0</v>
          </cell>
          <cell r="AD245">
            <v>0</v>
          </cell>
          <cell r="AE245">
            <v>0</v>
          </cell>
          <cell r="AF245">
            <v>0</v>
          </cell>
          <cell r="AG245" t="str">
            <v>N.M.</v>
          </cell>
          <cell r="AH245">
            <v>0</v>
          </cell>
          <cell r="AI245">
            <v>0</v>
          </cell>
          <cell r="AJ245">
            <v>0</v>
          </cell>
          <cell r="AK245">
            <v>0</v>
          </cell>
          <cell r="AL245" t="str">
            <v>N.M.</v>
          </cell>
          <cell r="AM245">
            <v>0</v>
          </cell>
          <cell r="AN245">
            <v>0</v>
          </cell>
          <cell r="AO245">
            <v>0</v>
          </cell>
          <cell r="AP245">
            <v>0</v>
          </cell>
          <cell r="AQ245" t="str">
            <v>N.M.</v>
          </cell>
          <cell r="AR245">
            <v>0</v>
          </cell>
          <cell r="AS245">
            <v>0</v>
          </cell>
          <cell r="AT245">
            <v>0</v>
          </cell>
          <cell r="AU245">
            <v>0</v>
          </cell>
          <cell r="AV245" t="str">
            <v>N.M.</v>
          </cell>
          <cell r="AW245">
            <v>0</v>
          </cell>
          <cell r="AX245">
            <v>0</v>
          </cell>
          <cell r="AY245">
            <v>1</v>
          </cell>
          <cell r="AZ245">
            <v>1.05</v>
          </cell>
          <cell r="BA245">
            <v>1.05</v>
          </cell>
          <cell r="BK245">
            <v>0</v>
          </cell>
          <cell r="BL245" t="e">
            <v>#VALUE!</v>
          </cell>
        </row>
        <row r="246">
          <cell r="A246" t="str">
            <v>Wynn Cotai #2</v>
          </cell>
          <cell r="X246">
            <v>0</v>
          </cell>
          <cell r="Y246">
            <v>0</v>
          </cell>
          <cell r="Z246">
            <v>0</v>
          </cell>
          <cell r="AA246">
            <v>0</v>
          </cell>
          <cell r="AB246" t="str">
            <v>N.M.</v>
          </cell>
          <cell r="AC246">
            <v>0</v>
          </cell>
          <cell r="AD246">
            <v>0</v>
          </cell>
          <cell r="AE246">
            <v>0</v>
          </cell>
          <cell r="AF246">
            <v>0</v>
          </cell>
          <cell r="AG246" t="str">
            <v>N.M.</v>
          </cell>
          <cell r="AH246">
            <v>0</v>
          </cell>
          <cell r="AI246">
            <v>0</v>
          </cell>
          <cell r="AJ246">
            <v>0</v>
          </cell>
          <cell r="AK246">
            <v>0</v>
          </cell>
          <cell r="AL246" t="str">
            <v>N.M.</v>
          </cell>
          <cell r="AM246">
            <v>0</v>
          </cell>
          <cell r="AN246">
            <v>0</v>
          </cell>
          <cell r="AO246">
            <v>0</v>
          </cell>
          <cell r="AP246">
            <v>0</v>
          </cell>
          <cell r="AQ246" t="str">
            <v>N.M.</v>
          </cell>
          <cell r="AR246">
            <v>0</v>
          </cell>
          <cell r="AS246">
            <v>0</v>
          </cell>
          <cell r="AT246">
            <v>0</v>
          </cell>
          <cell r="AU246">
            <v>0</v>
          </cell>
          <cell r="AV246" t="str">
            <v>N.M.</v>
          </cell>
          <cell r="AW246">
            <v>0</v>
          </cell>
          <cell r="AX246">
            <v>0</v>
          </cell>
          <cell r="AY246">
            <v>1</v>
          </cell>
          <cell r="AZ246">
            <v>1.05</v>
          </cell>
          <cell r="BA246">
            <v>1.05</v>
          </cell>
        </row>
        <row r="247">
          <cell r="A247" t="str">
            <v>MGM Grand</v>
          </cell>
          <cell r="X247">
            <v>0</v>
          </cell>
          <cell r="Y247">
            <v>0</v>
          </cell>
          <cell r="Z247">
            <v>0</v>
          </cell>
          <cell r="AA247">
            <v>0</v>
          </cell>
          <cell r="AB247" t="str">
            <v>N.M.</v>
          </cell>
          <cell r="AC247">
            <v>0</v>
          </cell>
          <cell r="AD247">
            <v>0</v>
          </cell>
          <cell r="AE247">
            <v>0</v>
          </cell>
          <cell r="AF247">
            <v>0</v>
          </cell>
          <cell r="AG247" t="str">
            <v>N.M.</v>
          </cell>
          <cell r="AH247">
            <v>0</v>
          </cell>
          <cell r="AI247">
            <v>0</v>
          </cell>
          <cell r="AJ247">
            <v>0</v>
          </cell>
          <cell r="AK247">
            <v>0</v>
          </cell>
          <cell r="AL247" t="str">
            <v>N.M.</v>
          </cell>
          <cell r="AM247">
            <v>0</v>
          </cell>
          <cell r="AN247">
            <v>0</v>
          </cell>
          <cell r="AO247">
            <v>0</v>
          </cell>
          <cell r="AP247">
            <v>0</v>
          </cell>
          <cell r="AQ247" t="str">
            <v>N.M.</v>
          </cell>
          <cell r="AR247">
            <v>0</v>
          </cell>
          <cell r="AS247">
            <v>0</v>
          </cell>
          <cell r="AT247">
            <v>0</v>
          </cell>
          <cell r="AU247">
            <v>1.2</v>
          </cell>
          <cell r="AV247">
            <v>1.0768169205587728</v>
          </cell>
          <cell r="AW247">
            <v>1.8</v>
          </cell>
          <cell r="AX247">
            <v>2</v>
          </cell>
          <cell r="AY247">
            <v>2</v>
          </cell>
          <cell r="AZ247">
            <v>2</v>
          </cell>
          <cell r="BA247">
            <v>2</v>
          </cell>
          <cell r="BK247">
            <v>1.55</v>
          </cell>
          <cell r="BL247">
            <v>-0.47318307944122728</v>
          </cell>
        </row>
        <row r="248">
          <cell r="A248" t="str">
            <v>MGM Cotai #1</v>
          </cell>
          <cell r="X248">
            <v>0</v>
          </cell>
          <cell r="Y248">
            <v>0</v>
          </cell>
          <cell r="Z248">
            <v>0</v>
          </cell>
          <cell r="AA248">
            <v>0</v>
          </cell>
          <cell r="AB248" t="str">
            <v>N.M.</v>
          </cell>
          <cell r="AC248">
            <v>0</v>
          </cell>
          <cell r="AD248">
            <v>0</v>
          </cell>
          <cell r="AE248">
            <v>0</v>
          </cell>
          <cell r="AF248">
            <v>0</v>
          </cell>
          <cell r="AG248" t="str">
            <v>N.M.</v>
          </cell>
          <cell r="AH248">
            <v>0</v>
          </cell>
          <cell r="AI248">
            <v>0</v>
          </cell>
          <cell r="AJ248">
            <v>0</v>
          </cell>
          <cell r="AK248">
            <v>0</v>
          </cell>
          <cell r="AL248" t="str">
            <v>N.M.</v>
          </cell>
          <cell r="AM248">
            <v>0</v>
          </cell>
          <cell r="AN248">
            <v>0</v>
          </cell>
          <cell r="AO248">
            <v>0</v>
          </cell>
          <cell r="AP248">
            <v>0</v>
          </cell>
          <cell r="AQ248" t="str">
            <v>N.M.</v>
          </cell>
          <cell r="AR248">
            <v>0</v>
          </cell>
          <cell r="AS248">
            <v>0</v>
          </cell>
          <cell r="AT248">
            <v>0</v>
          </cell>
          <cell r="AU248">
            <v>0</v>
          </cell>
          <cell r="AV248" t="str">
            <v>N.M.</v>
          </cell>
          <cell r="AW248">
            <v>0</v>
          </cell>
          <cell r="AX248">
            <v>0</v>
          </cell>
          <cell r="AY248">
            <v>0</v>
          </cell>
          <cell r="AZ248">
            <v>1.05</v>
          </cell>
          <cell r="BA248">
            <v>1.05</v>
          </cell>
        </row>
        <row r="249">
          <cell r="A249" t="str">
            <v>Crown Macau - PBL/Melco</v>
          </cell>
          <cell r="X249">
            <v>0</v>
          </cell>
          <cell r="Y249">
            <v>0</v>
          </cell>
          <cell r="Z249">
            <v>0</v>
          </cell>
          <cell r="AA249">
            <v>0</v>
          </cell>
          <cell r="AB249" t="str">
            <v>N.M.</v>
          </cell>
          <cell r="AC249">
            <v>0</v>
          </cell>
          <cell r="AD249">
            <v>0</v>
          </cell>
          <cell r="AE249">
            <v>0</v>
          </cell>
          <cell r="AF249">
            <v>0</v>
          </cell>
          <cell r="AG249" t="str">
            <v>N.M.</v>
          </cell>
          <cell r="AH249">
            <v>0</v>
          </cell>
          <cell r="AI249">
            <v>0</v>
          </cell>
          <cell r="AJ249">
            <v>0</v>
          </cell>
          <cell r="AK249">
            <v>0</v>
          </cell>
          <cell r="AL249" t="str">
            <v>N.M.</v>
          </cell>
          <cell r="AM249">
            <v>0</v>
          </cell>
          <cell r="AN249">
            <v>0</v>
          </cell>
          <cell r="AO249">
            <v>0</v>
          </cell>
          <cell r="AP249">
            <v>0</v>
          </cell>
          <cell r="AQ249" t="str">
            <v>N.M.</v>
          </cell>
          <cell r="AR249">
            <v>0</v>
          </cell>
          <cell r="AS249">
            <v>0.5</v>
          </cell>
          <cell r="AT249">
            <v>0.5</v>
          </cell>
          <cell r="AU249">
            <v>0.5</v>
          </cell>
          <cell r="AV249">
            <v>0.46360935953232263</v>
          </cell>
          <cell r="AW249">
            <v>0.5</v>
          </cell>
          <cell r="AX249">
            <v>0.55000000000000004</v>
          </cell>
          <cell r="AY249">
            <v>0.55000000000000004</v>
          </cell>
          <cell r="AZ249">
            <v>0.6</v>
          </cell>
          <cell r="BA249">
            <v>0.6</v>
          </cell>
          <cell r="BK249">
            <v>0.75</v>
          </cell>
          <cell r="BL249">
            <v>-0.28639064046767737</v>
          </cell>
        </row>
        <row r="250">
          <cell r="A250" t="str">
            <v>Penninsula Project - PBL/Melco ("Trinity")</v>
          </cell>
          <cell r="X250">
            <v>0</v>
          </cell>
          <cell r="Y250">
            <v>0</v>
          </cell>
          <cell r="Z250">
            <v>0</v>
          </cell>
          <cell r="AA250">
            <v>0</v>
          </cell>
          <cell r="AB250" t="str">
            <v>N.M.</v>
          </cell>
          <cell r="AC250">
            <v>0</v>
          </cell>
          <cell r="AD250">
            <v>0</v>
          </cell>
          <cell r="AE250">
            <v>0</v>
          </cell>
          <cell r="AF250">
            <v>0</v>
          </cell>
          <cell r="AG250" t="str">
            <v>N.M.</v>
          </cell>
          <cell r="AH250">
            <v>0</v>
          </cell>
          <cell r="AI250">
            <v>0</v>
          </cell>
          <cell r="AJ250">
            <v>0</v>
          </cell>
          <cell r="AK250">
            <v>0</v>
          </cell>
          <cell r="AL250" t="str">
            <v>N.M.</v>
          </cell>
          <cell r="AM250">
            <v>0</v>
          </cell>
          <cell r="AN250">
            <v>0</v>
          </cell>
          <cell r="AO250">
            <v>0</v>
          </cell>
          <cell r="AP250">
            <v>0</v>
          </cell>
          <cell r="AQ250" t="str">
            <v>N.M.</v>
          </cell>
          <cell r="AR250">
            <v>0</v>
          </cell>
          <cell r="AS250">
            <v>0</v>
          </cell>
          <cell r="AT250">
            <v>0</v>
          </cell>
          <cell r="AU250">
            <v>0</v>
          </cell>
          <cell r="AV250" t="str">
            <v>N.M.</v>
          </cell>
          <cell r="AW250">
            <v>0</v>
          </cell>
          <cell r="AX250">
            <v>1.5</v>
          </cell>
          <cell r="AY250">
            <v>1.5</v>
          </cell>
          <cell r="AZ250">
            <v>1.5</v>
          </cell>
          <cell r="BA250">
            <v>1.5</v>
          </cell>
          <cell r="BK250">
            <v>0</v>
          </cell>
          <cell r="BL250" t="e">
            <v>#VALUE!</v>
          </cell>
        </row>
        <row r="251">
          <cell r="A251" t="str">
            <v>City of Dreams - PBL/Melco</v>
          </cell>
          <cell r="X251">
            <v>0</v>
          </cell>
          <cell r="Y251">
            <v>0</v>
          </cell>
          <cell r="Z251">
            <v>0</v>
          </cell>
          <cell r="AA251">
            <v>0</v>
          </cell>
          <cell r="AB251" t="str">
            <v>N.M.</v>
          </cell>
          <cell r="AC251">
            <v>0</v>
          </cell>
          <cell r="AD251">
            <v>0</v>
          </cell>
          <cell r="AE251">
            <v>0</v>
          </cell>
          <cell r="AF251">
            <v>0</v>
          </cell>
          <cell r="AG251" t="str">
            <v>N.M.</v>
          </cell>
          <cell r="AH251">
            <v>0</v>
          </cell>
          <cell r="AI251">
            <v>0</v>
          </cell>
          <cell r="AJ251">
            <v>0</v>
          </cell>
          <cell r="AK251">
            <v>0</v>
          </cell>
          <cell r="AL251" t="str">
            <v>N.M.</v>
          </cell>
          <cell r="AM251">
            <v>0</v>
          </cell>
          <cell r="AN251">
            <v>0</v>
          </cell>
          <cell r="AO251">
            <v>0</v>
          </cell>
          <cell r="AP251">
            <v>0</v>
          </cell>
          <cell r="AQ251" t="str">
            <v>N.M.</v>
          </cell>
          <cell r="AR251">
            <v>0</v>
          </cell>
          <cell r="AS251">
            <v>0</v>
          </cell>
          <cell r="AT251">
            <v>0</v>
          </cell>
          <cell r="AU251">
            <v>0</v>
          </cell>
          <cell r="AV251" t="str">
            <v>N.M.</v>
          </cell>
          <cell r="AW251">
            <v>0</v>
          </cell>
          <cell r="AX251">
            <v>1</v>
          </cell>
          <cell r="AY251">
            <v>1</v>
          </cell>
          <cell r="AZ251">
            <v>1</v>
          </cell>
          <cell r="BA251">
            <v>1</v>
          </cell>
          <cell r="BK251">
            <v>0</v>
          </cell>
          <cell r="BL251" t="e">
            <v>#VALUE!</v>
          </cell>
        </row>
        <row r="252">
          <cell r="A252" t="str">
            <v>Galaxy Cotai Mega Resort</v>
          </cell>
          <cell r="X252">
            <v>0</v>
          </cell>
          <cell r="Y252">
            <v>0</v>
          </cell>
          <cell r="Z252">
            <v>0</v>
          </cell>
          <cell r="AA252">
            <v>0</v>
          </cell>
          <cell r="AB252" t="str">
            <v>N.M.</v>
          </cell>
          <cell r="AC252">
            <v>0</v>
          </cell>
          <cell r="AD252">
            <v>0</v>
          </cell>
          <cell r="AE252">
            <v>0</v>
          </cell>
          <cell r="AF252">
            <v>0</v>
          </cell>
          <cell r="AG252" t="str">
            <v>N.M.</v>
          </cell>
          <cell r="AH252">
            <v>0</v>
          </cell>
          <cell r="AI252">
            <v>0</v>
          </cell>
          <cell r="AJ252">
            <v>0</v>
          </cell>
          <cell r="AK252">
            <v>0</v>
          </cell>
          <cell r="AL252" t="str">
            <v>N.M.</v>
          </cell>
          <cell r="AM252">
            <v>0</v>
          </cell>
          <cell r="AN252">
            <v>0</v>
          </cell>
          <cell r="AO252">
            <v>0</v>
          </cell>
          <cell r="AP252">
            <v>0</v>
          </cell>
          <cell r="AQ252" t="str">
            <v>N.M.</v>
          </cell>
          <cell r="AR252">
            <v>0</v>
          </cell>
          <cell r="AS252">
            <v>0</v>
          </cell>
          <cell r="AT252">
            <v>0</v>
          </cell>
          <cell r="AU252">
            <v>0</v>
          </cell>
          <cell r="AV252" t="str">
            <v>N.M.</v>
          </cell>
          <cell r="AW252">
            <v>0.85</v>
          </cell>
          <cell r="AX252">
            <v>0.85</v>
          </cell>
          <cell r="AY252">
            <v>0.85</v>
          </cell>
          <cell r="AZ252">
            <v>0.85</v>
          </cell>
          <cell r="BA252">
            <v>0.85</v>
          </cell>
          <cell r="BK252">
            <v>0.75</v>
          </cell>
          <cell r="BL252" t="e">
            <v>#VALUE!</v>
          </cell>
        </row>
        <row r="253">
          <cell r="A253" t="str">
            <v>Galaxy StarWorld</v>
          </cell>
          <cell r="X253">
            <v>0</v>
          </cell>
          <cell r="Y253">
            <v>0</v>
          </cell>
          <cell r="Z253">
            <v>0</v>
          </cell>
          <cell r="AA253">
            <v>0</v>
          </cell>
          <cell r="AB253" t="str">
            <v>N.M.</v>
          </cell>
          <cell r="AC253">
            <v>0</v>
          </cell>
          <cell r="AD253">
            <v>0</v>
          </cell>
          <cell r="AE253">
            <v>0</v>
          </cell>
          <cell r="AF253">
            <v>0</v>
          </cell>
          <cell r="AG253" t="str">
            <v>N.M.</v>
          </cell>
          <cell r="AH253">
            <v>0</v>
          </cell>
          <cell r="AI253">
            <v>0</v>
          </cell>
          <cell r="AJ253">
            <v>0</v>
          </cell>
          <cell r="AK253">
            <v>0</v>
          </cell>
          <cell r="AL253" t="str">
            <v>N.M.</v>
          </cell>
          <cell r="AM253">
            <v>0</v>
          </cell>
          <cell r="AN253">
            <v>0</v>
          </cell>
          <cell r="AO253">
            <v>0</v>
          </cell>
          <cell r="AP253">
            <v>1.1000000000000001</v>
          </cell>
          <cell r="AQ253">
            <v>0.94088975663695162</v>
          </cell>
          <cell r="AR253">
            <v>1.1000000000000001</v>
          </cell>
          <cell r="AS253">
            <v>1.1000000000000001</v>
          </cell>
          <cell r="AT253">
            <v>1.1499999999999999</v>
          </cell>
          <cell r="AU253">
            <v>1.1499999999999999</v>
          </cell>
          <cell r="AV253">
            <v>1.1569694570031994</v>
          </cell>
          <cell r="AW253">
            <v>1.4</v>
          </cell>
          <cell r="AX253">
            <v>1.5</v>
          </cell>
          <cell r="AY253">
            <v>1.5</v>
          </cell>
          <cell r="AZ253">
            <v>1.5</v>
          </cell>
          <cell r="BA253">
            <v>1.5</v>
          </cell>
          <cell r="BK253">
            <v>1.1499999999999999</v>
          </cell>
          <cell r="BL253">
            <v>6.9694570031995084E-3</v>
          </cell>
        </row>
        <row r="254">
          <cell r="A254" t="str">
            <v>Galaxy City Clubs</v>
          </cell>
          <cell r="X254">
            <v>0</v>
          </cell>
          <cell r="Y254">
            <v>0</v>
          </cell>
          <cell r="Z254">
            <v>0</v>
          </cell>
          <cell r="AA254">
            <v>0</v>
          </cell>
          <cell r="AB254" t="str">
            <v>N.M.</v>
          </cell>
          <cell r="AC254">
            <v>0</v>
          </cell>
          <cell r="AD254">
            <v>0</v>
          </cell>
          <cell r="AE254">
            <v>0</v>
          </cell>
          <cell r="AF254">
            <v>0</v>
          </cell>
          <cell r="AG254" t="str">
            <v>N.M.</v>
          </cell>
          <cell r="AH254">
            <v>0</v>
          </cell>
          <cell r="AI254">
            <v>0</v>
          </cell>
          <cell r="AJ254">
            <v>0</v>
          </cell>
          <cell r="AK254">
            <v>0</v>
          </cell>
          <cell r="AL254" t="str">
            <v>N.M.</v>
          </cell>
          <cell r="AM254">
            <v>0.57491558020767908</v>
          </cell>
          <cell r="AN254">
            <v>0.66857634651014053</v>
          </cell>
          <cell r="AO254">
            <v>0.55000000000000004</v>
          </cell>
          <cell r="AP254">
            <v>0.6</v>
          </cell>
          <cell r="AQ254">
            <v>0.58052837261357459</v>
          </cell>
          <cell r="AR254">
            <v>0.55000000000000004</v>
          </cell>
          <cell r="AS254">
            <v>0.55000000000000004</v>
          </cell>
          <cell r="AT254">
            <v>0.5</v>
          </cell>
          <cell r="AU254">
            <v>0.5</v>
          </cell>
          <cell r="AV254">
            <v>0.54473962502349715</v>
          </cell>
          <cell r="AW254">
            <v>0.5</v>
          </cell>
          <cell r="AX254">
            <v>0.5</v>
          </cell>
          <cell r="AY254">
            <v>0.5</v>
          </cell>
          <cell r="AZ254">
            <v>0.5</v>
          </cell>
          <cell r="BA254">
            <v>0.5</v>
          </cell>
          <cell r="BK254">
            <v>0.55000000000000004</v>
          </cell>
          <cell r="BL254">
            <v>-5.2603749765028907E-3</v>
          </cell>
        </row>
        <row r="255">
          <cell r="A255" t="str">
            <v>Macau Studio City</v>
          </cell>
          <cell r="X255">
            <v>0</v>
          </cell>
          <cell r="Y255">
            <v>0</v>
          </cell>
          <cell r="Z255">
            <v>0</v>
          </cell>
          <cell r="AA255">
            <v>0</v>
          </cell>
          <cell r="AB255" t="str">
            <v>N.M.</v>
          </cell>
          <cell r="AC255">
            <v>0</v>
          </cell>
          <cell r="AD255">
            <v>0</v>
          </cell>
          <cell r="AE255">
            <v>0</v>
          </cell>
          <cell r="AF255">
            <v>0</v>
          </cell>
          <cell r="AG255" t="str">
            <v>N.M.</v>
          </cell>
          <cell r="AH255">
            <v>0</v>
          </cell>
          <cell r="AI255">
            <v>0</v>
          </cell>
          <cell r="AJ255">
            <v>0</v>
          </cell>
          <cell r="AK255">
            <v>0</v>
          </cell>
          <cell r="AL255" t="str">
            <v>N.M.</v>
          </cell>
          <cell r="AM255">
            <v>0</v>
          </cell>
          <cell r="AN255">
            <v>0</v>
          </cell>
          <cell r="AO255">
            <v>0</v>
          </cell>
          <cell r="AP255">
            <v>0</v>
          </cell>
          <cell r="AQ255" t="str">
            <v>N.M.</v>
          </cell>
          <cell r="AR255">
            <v>0</v>
          </cell>
          <cell r="AS255">
            <v>0</v>
          </cell>
          <cell r="AT255">
            <v>0</v>
          </cell>
          <cell r="AU255">
            <v>0</v>
          </cell>
          <cell r="AV255" t="str">
            <v>N.M.</v>
          </cell>
          <cell r="AW255">
            <v>0</v>
          </cell>
          <cell r="AX255">
            <v>1.05</v>
          </cell>
          <cell r="AY255">
            <v>1.05</v>
          </cell>
          <cell r="AZ255">
            <v>1.05</v>
          </cell>
          <cell r="BA255">
            <v>1.05</v>
          </cell>
          <cell r="BK255">
            <v>0</v>
          </cell>
          <cell r="BL255" t="e">
            <v>#VALUE!</v>
          </cell>
        </row>
        <row r="256">
          <cell r="A256" t="str">
            <v>New SJM</v>
          </cell>
          <cell r="X256">
            <v>0</v>
          </cell>
          <cell r="Y256">
            <v>0</v>
          </cell>
          <cell r="Z256">
            <v>0</v>
          </cell>
          <cell r="AA256">
            <v>0</v>
          </cell>
          <cell r="AB256" t="str">
            <v>N.M.</v>
          </cell>
          <cell r="AC256">
            <v>0</v>
          </cell>
          <cell r="AD256">
            <v>0</v>
          </cell>
          <cell r="AE256">
            <v>0</v>
          </cell>
          <cell r="AF256">
            <v>0</v>
          </cell>
          <cell r="AG256" t="str">
            <v>N.M.</v>
          </cell>
          <cell r="AH256">
            <v>0</v>
          </cell>
          <cell r="AI256">
            <v>0</v>
          </cell>
          <cell r="AJ256">
            <v>0</v>
          </cell>
          <cell r="AK256">
            <v>0</v>
          </cell>
          <cell r="AL256" t="str">
            <v>N.M.</v>
          </cell>
          <cell r="AM256">
            <v>0</v>
          </cell>
          <cell r="AN256">
            <v>0</v>
          </cell>
          <cell r="AO256">
            <v>0</v>
          </cell>
          <cell r="AP256">
            <v>1.1000000000000001</v>
          </cell>
          <cell r="AQ256">
            <v>0.94088975663695151</v>
          </cell>
          <cell r="AR256">
            <v>1</v>
          </cell>
          <cell r="AS256">
            <v>0.75</v>
          </cell>
          <cell r="AT256">
            <v>0.75</v>
          </cell>
          <cell r="AU256">
            <v>0.95</v>
          </cell>
          <cell r="AV256">
            <v>0.8394303830947113</v>
          </cell>
          <cell r="AW256">
            <v>0.9</v>
          </cell>
          <cell r="AX256">
            <v>0.9</v>
          </cell>
          <cell r="AY256">
            <v>0.9</v>
          </cell>
          <cell r="AZ256">
            <v>0.9</v>
          </cell>
          <cell r="BA256">
            <v>0.95</v>
          </cell>
          <cell r="BK256">
            <v>0.95</v>
          </cell>
          <cell r="BL256">
            <v>-0.11056961690528866</v>
          </cell>
        </row>
        <row r="257">
          <cell r="A257" t="str">
            <v>Old SJM</v>
          </cell>
          <cell r="X257">
            <v>0</v>
          </cell>
          <cell r="Y257">
            <v>0</v>
          </cell>
          <cell r="Z257">
            <v>0</v>
          </cell>
          <cell r="AA257">
            <v>0</v>
          </cell>
          <cell r="AB257" t="str">
            <v>N.M.</v>
          </cell>
          <cell r="AC257">
            <v>0</v>
          </cell>
          <cell r="AD257">
            <v>0</v>
          </cell>
          <cell r="AE257">
            <v>0</v>
          </cell>
          <cell r="AF257">
            <v>0</v>
          </cell>
          <cell r="AG257" t="str">
            <v>N.M.</v>
          </cell>
          <cell r="AH257">
            <v>0</v>
          </cell>
          <cell r="AI257">
            <v>0</v>
          </cell>
          <cell r="AJ257">
            <v>0</v>
          </cell>
          <cell r="AK257">
            <v>0</v>
          </cell>
          <cell r="AL257" t="str">
            <v>N.M.</v>
          </cell>
          <cell r="AM257">
            <v>0.92550160041463581</v>
          </cell>
          <cell r="AN257">
            <v>0.90293257621499312</v>
          </cell>
          <cell r="AO257">
            <v>0.98118890118406865</v>
          </cell>
          <cell r="AP257">
            <v>0.96625854343459661</v>
          </cell>
          <cell r="AQ257">
            <v>0.96347501509491673</v>
          </cell>
          <cell r="AR257">
            <v>0.81740541993076521</v>
          </cell>
          <cell r="AS257">
            <v>0.93692859271367102</v>
          </cell>
          <cell r="AT257">
            <v>0.96976371491309177</v>
          </cell>
          <cell r="AU257">
            <v>0.89261230175899886</v>
          </cell>
          <cell r="AV257">
            <v>0.92382837350893987</v>
          </cell>
          <cell r="AW257">
            <v>0.43950267881362903</v>
          </cell>
          <cell r="AX257">
            <v>0.27521889636202584</v>
          </cell>
          <cell r="AY257">
            <v>0.2411129758307253</v>
          </cell>
          <cell r="AZ257">
            <v>0.29025571235026953</v>
          </cell>
          <cell r="BA257">
            <v>0.22785176628572573</v>
          </cell>
          <cell r="BK257">
            <v>0.8886022228998155</v>
          </cell>
          <cell r="BL257">
            <v>3.5226150609124374E-2</v>
          </cell>
        </row>
        <row r="258">
          <cell r="A258" t="str">
            <v>Other Mass Market</v>
          </cell>
          <cell r="X258">
            <v>1</v>
          </cell>
          <cell r="Y258">
            <v>1</v>
          </cell>
          <cell r="Z258">
            <v>1</v>
          </cell>
          <cell r="AA258">
            <v>1</v>
          </cell>
          <cell r="AB258">
            <v>1</v>
          </cell>
          <cell r="AC258">
            <v>1</v>
          </cell>
          <cell r="AD258">
            <v>1.1341975378346341</v>
          </cell>
          <cell r="AE258">
            <v>1.172702200893613</v>
          </cell>
          <cell r="AF258">
            <v>0.91152300447488022</v>
          </cell>
          <cell r="AG258">
            <v>1.0830071562426964</v>
          </cell>
          <cell r="AH258">
            <v>0.95119910866555779</v>
          </cell>
          <cell r="AI258">
            <v>0.95707964180435601</v>
          </cell>
          <cell r="AJ258">
            <v>0.95631633320714948</v>
          </cell>
          <cell r="AK258">
            <v>0.95561747383260465</v>
          </cell>
          <cell r="AL258">
            <v>0.95549877503650993</v>
          </cell>
          <cell r="BL258">
            <v>0</v>
          </cell>
        </row>
        <row r="259">
          <cell r="BL259">
            <v>0</v>
          </cell>
        </row>
        <row r="260">
          <cell r="A260" t="str">
            <v>Mass Market Casino Revenue Growth</v>
          </cell>
          <cell r="BL260">
            <v>0</v>
          </cell>
        </row>
        <row r="261">
          <cell r="A261" t="str">
            <v>Sands Macao</v>
          </cell>
          <cell r="D261" t="str">
            <v>N.M.</v>
          </cell>
          <cell r="E261" t="str">
            <v>N.M.</v>
          </cell>
          <cell r="F261" t="str">
            <v>N.M.</v>
          </cell>
          <cell r="G261" t="str">
            <v>N.M.</v>
          </cell>
          <cell r="H261" t="str">
            <v>N.M.</v>
          </cell>
          <cell r="I261" t="str">
            <v>N.M.</v>
          </cell>
          <cell r="J261" t="str">
            <v>N.M.</v>
          </cell>
          <cell r="K261" t="str">
            <v>N.M.</v>
          </cell>
          <cell r="L261" t="str">
            <v>N.M.</v>
          </cell>
          <cell r="M261" t="str">
            <v>N.M.</v>
          </cell>
          <cell r="N261" t="str">
            <v>N.M.</v>
          </cell>
          <cell r="O261" t="str">
            <v>N.M.</v>
          </cell>
          <cell r="P261" t="str">
            <v>N.M.</v>
          </cell>
          <cell r="Q261" t="str">
            <v>N.M.</v>
          </cell>
          <cell r="R261" t="str">
            <v>N.M.</v>
          </cell>
          <cell r="S261" t="str">
            <v>N.M.</v>
          </cell>
          <cell r="T261" t="str">
            <v>N.M.</v>
          </cell>
          <cell r="U261" t="str">
            <v>N.M.</v>
          </cell>
          <cell r="V261" t="str">
            <v>N.M.</v>
          </cell>
          <cell r="W261" t="str">
            <v>N.M.</v>
          </cell>
          <cell r="X261" t="str">
            <v>N.M.</v>
          </cell>
          <cell r="Y261" t="str">
            <v>N.M.</v>
          </cell>
          <cell r="Z261" t="str">
            <v>N.M.</v>
          </cell>
          <cell r="AA261" t="str">
            <v>N.M.</v>
          </cell>
          <cell r="AB261" t="str">
            <v>N.M.</v>
          </cell>
          <cell r="AC261" t="str">
            <v>N.M.</v>
          </cell>
          <cell r="AD261" t="str">
            <v>N.M.</v>
          </cell>
          <cell r="AE261" t="str">
            <v>N.M.</v>
          </cell>
          <cell r="AF261" t="str">
            <v>N.M.</v>
          </cell>
          <cell r="AG261" t="str">
            <v>N.M.</v>
          </cell>
          <cell r="AH261" t="str">
            <v>N.M.</v>
          </cell>
          <cell r="AI261">
            <v>1.9288189930555562</v>
          </cell>
          <cell r="AJ261">
            <v>0.16201882418760705</v>
          </cell>
          <cell r="AK261">
            <v>0.28885456257296283</v>
          </cell>
          <cell r="AL261">
            <v>0.90557358060345949</v>
          </cell>
          <cell r="AM261">
            <v>0.35743207153378109</v>
          </cell>
          <cell r="AN261">
            <v>0.26589773511168402</v>
          </cell>
          <cell r="AO261">
            <v>0.14327077871911054</v>
          </cell>
          <cell r="AP261">
            <v>2.7229550647894341E-2</v>
          </cell>
          <cell r="AQ261">
            <v>0.18623512248067087</v>
          </cell>
          <cell r="AR261">
            <v>5.8825882040764554E-2</v>
          </cell>
          <cell r="AS261">
            <v>-0.11459617424241197</v>
          </cell>
          <cell r="AT261">
            <v>-0.23273302965998288</v>
          </cell>
          <cell r="AU261">
            <v>-0.33041781280620242</v>
          </cell>
          <cell r="AV261">
            <v>-0.1535915058141234</v>
          </cell>
          <cell r="AW261">
            <v>-9.6478808532325155E-2</v>
          </cell>
          <cell r="AX261">
            <v>-0.13486608281863344</v>
          </cell>
          <cell r="AY261">
            <v>-7.0602532032567611E-3</v>
          </cell>
          <cell r="AZ261">
            <v>-6.2096928775425608E-2</v>
          </cell>
          <cell r="BA261">
            <v>0.12391149511417221</v>
          </cell>
          <cell r="BK261">
            <v>-8.2019875567194367E-2</v>
          </cell>
          <cell r="BL261">
            <v>-7.157163024692903E-2</v>
          </cell>
        </row>
        <row r="262">
          <cell r="A262" t="str">
            <v>Venetian Macao</v>
          </cell>
          <cell r="D262" t="str">
            <v>N.M.</v>
          </cell>
          <cell r="E262" t="str">
            <v>N.M.</v>
          </cell>
          <cell r="F262" t="str">
            <v>N.M.</v>
          </cell>
          <cell r="G262" t="str">
            <v>N.M.</v>
          </cell>
          <cell r="H262" t="str">
            <v>N.M.</v>
          </cell>
          <cell r="I262" t="str">
            <v>N.M.</v>
          </cell>
          <cell r="J262" t="str">
            <v>N.M.</v>
          </cell>
          <cell r="K262" t="str">
            <v>N.M.</v>
          </cell>
          <cell r="L262" t="str">
            <v>N.M.</v>
          </cell>
          <cell r="M262" t="str">
            <v>N.M.</v>
          </cell>
          <cell r="N262" t="str">
            <v>N.M.</v>
          </cell>
          <cell r="O262" t="str">
            <v>N.M.</v>
          </cell>
          <cell r="P262" t="str">
            <v>N.M.</v>
          </cell>
          <cell r="Q262" t="str">
            <v>N.M.</v>
          </cell>
          <cell r="R262" t="str">
            <v>N.M.</v>
          </cell>
          <cell r="S262" t="str">
            <v>N.M.</v>
          </cell>
          <cell r="T262" t="str">
            <v>N.M.</v>
          </cell>
          <cell r="U262" t="str">
            <v>N.M.</v>
          </cell>
          <cell r="V262" t="str">
            <v>N.M.</v>
          </cell>
          <cell r="W262" t="str">
            <v>N.M.</v>
          </cell>
          <cell r="X262" t="str">
            <v>N.M.</v>
          </cell>
          <cell r="Y262" t="str">
            <v>N.M.</v>
          </cell>
          <cell r="Z262" t="str">
            <v>N.M.</v>
          </cell>
          <cell r="AA262" t="str">
            <v>N.M.</v>
          </cell>
          <cell r="AB262" t="str">
            <v>N.M.</v>
          </cell>
          <cell r="AC262" t="str">
            <v>N.M.</v>
          </cell>
          <cell r="AD262" t="str">
            <v>N.M.</v>
          </cell>
          <cell r="AE262" t="str">
            <v>N.M.</v>
          </cell>
          <cell r="AF262" t="str">
            <v>N.M.</v>
          </cell>
          <cell r="AG262" t="str">
            <v>N.M.</v>
          </cell>
          <cell r="AH262" t="str">
            <v>N.M.</v>
          </cell>
          <cell r="AI262" t="str">
            <v>N.M.</v>
          </cell>
          <cell r="AJ262" t="str">
            <v>N.M.</v>
          </cell>
          <cell r="AK262" t="str">
            <v>N.M.</v>
          </cell>
          <cell r="AL262" t="str">
            <v>N.M.</v>
          </cell>
          <cell r="AM262" t="str">
            <v>N.M.</v>
          </cell>
          <cell r="AN262" t="str">
            <v>N.M.</v>
          </cell>
          <cell r="AO262" t="str">
            <v>N.M.</v>
          </cell>
          <cell r="AP262" t="str">
            <v>N.M.</v>
          </cell>
          <cell r="AQ262" t="str">
            <v>N.M.</v>
          </cell>
          <cell r="AR262" t="str">
            <v>N.M.</v>
          </cell>
          <cell r="AS262" t="str">
            <v>N.M.</v>
          </cell>
          <cell r="AT262" t="str">
            <v>N.M.</v>
          </cell>
          <cell r="AU262" t="str">
            <v>N.M.</v>
          </cell>
          <cell r="AV262" t="str">
            <v>N.M.</v>
          </cell>
          <cell r="AW262">
            <v>1.2819743685358502</v>
          </cell>
          <cell r="AX262">
            <v>-9.3669229619520844E-2</v>
          </cell>
          <cell r="AY262">
            <v>-7.0602532032568721E-3</v>
          </cell>
          <cell r="AZ262">
            <v>0.29151513059102463</v>
          </cell>
          <cell r="BA262">
            <v>0.12391149511417199</v>
          </cell>
          <cell r="BK262" t="str">
            <v>N.M.</v>
          </cell>
          <cell r="BL262" t="e">
            <v>#VALUE!</v>
          </cell>
        </row>
        <row r="263">
          <cell r="A263" t="str">
            <v>Cotai Site 2 - Four Seasons (LVS)</v>
          </cell>
          <cell r="D263" t="str">
            <v>N.M.</v>
          </cell>
          <cell r="E263" t="str">
            <v>N.M.</v>
          </cell>
          <cell r="F263" t="str">
            <v>N.M.</v>
          </cell>
          <cell r="G263" t="str">
            <v>N.M.</v>
          </cell>
          <cell r="H263" t="str">
            <v>N.M.</v>
          </cell>
          <cell r="I263" t="str">
            <v>N.M.</v>
          </cell>
          <cell r="J263" t="str">
            <v>N.M.</v>
          </cell>
          <cell r="K263" t="str">
            <v>N.M.</v>
          </cell>
          <cell r="L263" t="str">
            <v>N.M.</v>
          </cell>
          <cell r="M263" t="str">
            <v>N.M.</v>
          </cell>
          <cell r="N263" t="str">
            <v>N.M.</v>
          </cell>
          <cell r="O263" t="str">
            <v>N.M.</v>
          </cell>
          <cell r="P263" t="str">
            <v>N.M.</v>
          </cell>
          <cell r="Q263" t="str">
            <v>N.M.</v>
          </cell>
          <cell r="R263" t="str">
            <v>N.M.</v>
          </cell>
          <cell r="S263" t="str">
            <v>N.M.</v>
          </cell>
          <cell r="T263" t="str">
            <v>N.M.</v>
          </cell>
          <cell r="U263" t="str">
            <v>N.M.</v>
          </cell>
          <cell r="V263" t="str">
            <v>N.M.</v>
          </cell>
          <cell r="W263" t="str">
            <v>N.M.</v>
          </cell>
          <cell r="X263" t="str">
            <v>N.M.</v>
          </cell>
          <cell r="Y263" t="str">
            <v>N.M.</v>
          </cell>
          <cell r="Z263" t="str">
            <v>N.M.</v>
          </cell>
          <cell r="AA263" t="str">
            <v>N.M.</v>
          </cell>
          <cell r="AB263" t="str">
            <v>N.M.</v>
          </cell>
          <cell r="AC263" t="str">
            <v>N.M.</v>
          </cell>
          <cell r="AD263" t="str">
            <v>N.M.</v>
          </cell>
          <cell r="AE263" t="str">
            <v>N.M.</v>
          </cell>
          <cell r="AF263" t="str">
            <v>N.M.</v>
          </cell>
          <cell r="AG263" t="str">
            <v>N.M.</v>
          </cell>
          <cell r="AH263" t="str">
            <v>N.M.</v>
          </cell>
          <cell r="AI263" t="str">
            <v>N.M.</v>
          </cell>
          <cell r="AJ263" t="str">
            <v>N.M.</v>
          </cell>
          <cell r="AK263" t="str">
            <v>N.M.</v>
          </cell>
          <cell r="AL263" t="str">
            <v>N.M.</v>
          </cell>
          <cell r="AM263" t="str">
            <v>N.M.</v>
          </cell>
          <cell r="AN263" t="str">
            <v>N.M.</v>
          </cell>
          <cell r="AO263" t="str">
            <v>N.M.</v>
          </cell>
          <cell r="AP263" t="str">
            <v>N.M.</v>
          </cell>
          <cell r="AQ263" t="str">
            <v>N.M.</v>
          </cell>
          <cell r="AR263" t="str">
            <v>N.M.</v>
          </cell>
          <cell r="AS263" t="str">
            <v>N.M.</v>
          </cell>
          <cell r="AT263" t="str">
            <v>N.M.</v>
          </cell>
          <cell r="AU263" t="str">
            <v>N.M.</v>
          </cell>
          <cell r="AV263" t="str">
            <v>N.M.</v>
          </cell>
          <cell r="AW263" t="str">
            <v>N.M.</v>
          </cell>
          <cell r="AX263">
            <v>-0.13486608281863366</v>
          </cell>
          <cell r="AY263">
            <v>-7.0602532032566501E-3</v>
          </cell>
          <cell r="AZ263">
            <v>-2.1318534374357156E-2</v>
          </cell>
          <cell r="BA263">
            <v>0.12391149511417221</v>
          </cell>
          <cell r="BK263" t="str">
            <v>N.M.</v>
          </cell>
          <cell r="BL263" t="e">
            <v>#VALUE!</v>
          </cell>
        </row>
        <row r="264">
          <cell r="A264" t="str">
            <v>Cotai Site 3 - Far East (LVS)</v>
          </cell>
          <cell r="D264" t="str">
            <v>N.M.</v>
          </cell>
          <cell r="E264" t="str">
            <v>N.M.</v>
          </cell>
          <cell r="F264" t="str">
            <v>N.M.</v>
          </cell>
          <cell r="G264" t="str">
            <v>N.M.</v>
          </cell>
          <cell r="H264" t="str">
            <v>N.M.</v>
          </cell>
          <cell r="I264" t="str">
            <v>N.M.</v>
          </cell>
          <cell r="J264" t="str">
            <v>N.M.</v>
          </cell>
          <cell r="K264" t="str">
            <v>N.M.</v>
          </cell>
          <cell r="L264" t="str">
            <v>N.M.</v>
          </cell>
          <cell r="M264" t="str">
            <v>N.M.</v>
          </cell>
          <cell r="N264" t="str">
            <v>N.M.</v>
          </cell>
          <cell r="O264" t="str">
            <v>N.M.</v>
          </cell>
          <cell r="P264" t="str">
            <v>N.M.</v>
          </cell>
          <cell r="Q264" t="str">
            <v>N.M.</v>
          </cell>
          <cell r="R264" t="str">
            <v>N.M.</v>
          </cell>
          <cell r="S264" t="str">
            <v>N.M.</v>
          </cell>
          <cell r="T264" t="str">
            <v>N.M.</v>
          </cell>
          <cell r="U264" t="str">
            <v>N.M.</v>
          </cell>
          <cell r="V264" t="str">
            <v>N.M.</v>
          </cell>
          <cell r="W264" t="str">
            <v>N.M.</v>
          </cell>
          <cell r="X264" t="str">
            <v>N.M.</v>
          </cell>
          <cell r="Y264" t="str">
            <v>N.M.</v>
          </cell>
          <cell r="Z264" t="str">
            <v>N.M.</v>
          </cell>
          <cell r="AA264" t="str">
            <v>N.M.</v>
          </cell>
          <cell r="AB264" t="str">
            <v>N.M.</v>
          </cell>
          <cell r="AC264" t="str">
            <v>N.M.</v>
          </cell>
          <cell r="AD264" t="str">
            <v>N.M.</v>
          </cell>
          <cell r="AE264" t="str">
            <v>N.M.</v>
          </cell>
          <cell r="AF264" t="str">
            <v>N.M.</v>
          </cell>
          <cell r="AG264" t="str">
            <v>N.M.</v>
          </cell>
          <cell r="AH264" t="str">
            <v>N.M.</v>
          </cell>
          <cell r="AI264" t="str">
            <v>N.M.</v>
          </cell>
          <cell r="AJ264" t="str">
            <v>N.M.</v>
          </cell>
          <cell r="AK264" t="str">
            <v>N.M.</v>
          </cell>
          <cell r="AL264" t="str">
            <v>N.M.</v>
          </cell>
          <cell r="AM264" t="str">
            <v>N.M.</v>
          </cell>
          <cell r="AN264" t="str">
            <v>N.M.</v>
          </cell>
          <cell r="AO264" t="str">
            <v>N.M.</v>
          </cell>
          <cell r="AP264" t="str">
            <v>N.M.</v>
          </cell>
          <cell r="AQ264" t="str">
            <v>N.M.</v>
          </cell>
          <cell r="AR264" t="str">
            <v>N.M.</v>
          </cell>
          <cell r="AS264" t="str">
            <v>N.M.</v>
          </cell>
          <cell r="AT264" t="str">
            <v>N.M.</v>
          </cell>
          <cell r="AU264" t="str">
            <v>N.M.</v>
          </cell>
          <cell r="AV264" t="str">
            <v>N.M.</v>
          </cell>
          <cell r="AW264" t="str">
            <v>N.M.</v>
          </cell>
          <cell r="AX264" t="str">
            <v>N.M.</v>
          </cell>
          <cell r="AY264">
            <v>0.9858794935934867</v>
          </cell>
          <cell r="AZ264">
            <v>3.62509636036219E-2</v>
          </cell>
          <cell r="BA264">
            <v>0.12391149511417221</v>
          </cell>
          <cell r="BK264" t="str">
            <v>N.M.</v>
          </cell>
          <cell r="BL264" t="e">
            <v>#VALUE!</v>
          </cell>
        </row>
        <row r="265">
          <cell r="A265" t="str">
            <v>Cotai Site 5 - Shangri-La/St.Regis/Traders (LVS)</v>
          </cell>
          <cell r="D265" t="str">
            <v>N.M.</v>
          </cell>
          <cell r="E265" t="str">
            <v>N.M.</v>
          </cell>
          <cell r="F265" t="str">
            <v>N.M.</v>
          </cell>
          <cell r="G265" t="str">
            <v>N.M.</v>
          </cell>
          <cell r="H265" t="str">
            <v>N.M.</v>
          </cell>
          <cell r="I265" t="str">
            <v>N.M.</v>
          </cell>
          <cell r="J265" t="str">
            <v>N.M.</v>
          </cell>
          <cell r="K265" t="str">
            <v>N.M.</v>
          </cell>
          <cell r="L265" t="str">
            <v>N.M.</v>
          </cell>
          <cell r="M265" t="str">
            <v>N.M.</v>
          </cell>
          <cell r="N265" t="str">
            <v>N.M.</v>
          </cell>
          <cell r="O265" t="str">
            <v>N.M.</v>
          </cell>
          <cell r="P265" t="str">
            <v>N.M.</v>
          </cell>
          <cell r="Q265" t="str">
            <v>N.M.</v>
          </cell>
          <cell r="R265" t="str">
            <v>N.M.</v>
          </cell>
          <cell r="S265" t="str">
            <v>N.M.</v>
          </cell>
          <cell r="T265" t="str">
            <v>N.M.</v>
          </cell>
          <cell r="U265" t="str">
            <v>N.M.</v>
          </cell>
          <cell r="V265" t="str">
            <v>N.M.</v>
          </cell>
          <cell r="W265" t="str">
            <v>N.M.</v>
          </cell>
          <cell r="X265" t="str">
            <v>N.M.</v>
          </cell>
          <cell r="Y265" t="str">
            <v>N.M.</v>
          </cell>
          <cell r="Z265" t="str">
            <v>N.M.</v>
          </cell>
          <cell r="AA265" t="str">
            <v>N.M.</v>
          </cell>
          <cell r="AB265" t="str">
            <v>N.M.</v>
          </cell>
          <cell r="AC265" t="str">
            <v>N.M.</v>
          </cell>
          <cell r="AD265" t="str">
            <v>N.M.</v>
          </cell>
          <cell r="AE265" t="str">
            <v>N.M.</v>
          </cell>
          <cell r="AF265" t="str">
            <v>N.M.</v>
          </cell>
          <cell r="AG265" t="str">
            <v>N.M.</v>
          </cell>
          <cell r="AH265" t="str">
            <v>N.M.</v>
          </cell>
          <cell r="AI265" t="str">
            <v>N.M.</v>
          </cell>
          <cell r="AJ265" t="str">
            <v>N.M.</v>
          </cell>
          <cell r="AK265" t="str">
            <v>N.M.</v>
          </cell>
          <cell r="AL265" t="str">
            <v>N.M.</v>
          </cell>
          <cell r="AM265" t="str">
            <v>N.M.</v>
          </cell>
          <cell r="AN265" t="str">
            <v>N.M.</v>
          </cell>
          <cell r="AO265" t="str">
            <v>N.M.</v>
          </cell>
          <cell r="AP265" t="str">
            <v>N.M.</v>
          </cell>
          <cell r="AQ265" t="str">
            <v>N.M.</v>
          </cell>
          <cell r="AR265" t="str">
            <v>N.M.</v>
          </cell>
          <cell r="AS265" t="str">
            <v>N.M.</v>
          </cell>
          <cell r="AT265" t="str">
            <v>N.M.</v>
          </cell>
          <cell r="AU265" t="str">
            <v>N.M.</v>
          </cell>
          <cell r="AV265" t="str">
            <v>N.M.</v>
          </cell>
          <cell r="AW265" t="str">
            <v>N.M.</v>
          </cell>
          <cell r="AX265">
            <v>0.92251981595859189</v>
          </cell>
          <cell r="AY265">
            <v>-0.10635422788293114</v>
          </cell>
          <cell r="AZ265">
            <v>-2.1318534374356934E-2</v>
          </cell>
          <cell r="BA265">
            <v>0.12391149511417199</v>
          </cell>
          <cell r="BK265" t="str">
            <v>N.M.</v>
          </cell>
          <cell r="BL265" t="e">
            <v>#VALUE!</v>
          </cell>
        </row>
        <row r="266">
          <cell r="A266" t="str">
            <v>Cotai Site 6 - Starwood (LVS)</v>
          </cell>
          <cell r="D266" t="str">
            <v>N.M.</v>
          </cell>
          <cell r="E266" t="str">
            <v>N.M.</v>
          </cell>
          <cell r="F266" t="str">
            <v>N.M.</v>
          </cell>
          <cell r="G266" t="str">
            <v>N.M.</v>
          </cell>
          <cell r="H266" t="str">
            <v>N.M.</v>
          </cell>
          <cell r="I266" t="str">
            <v>N.M.</v>
          </cell>
          <cell r="J266" t="str">
            <v>N.M.</v>
          </cell>
          <cell r="K266" t="str">
            <v>N.M.</v>
          </cell>
          <cell r="L266" t="str">
            <v>N.M.</v>
          </cell>
          <cell r="M266" t="str">
            <v>N.M.</v>
          </cell>
          <cell r="N266" t="str">
            <v>N.M.</v>
          </cell>
          <cell r="O266" t="str">
            <v>N.M.</v>
          </cell>
          <cell r="P266" t="str">
            <v>N.M.</v>
          </cell>
          <cell r="Q266" t="str">
            <v>N.M.</v>
          </cell>
          <cell r="R266" t="str">
            <v>N.M.</v>
          </cell>
          <cell r="S266" t="str">
            <v>N.M.</v>
          </cell>
          <cell r="T266" t="str">
            <v>N.M.</v>
          </cell>
          <cell r="U266" t="str">
            <v>N.M.</v>
          </cell>
          <cell r="V266" t="str">
            <v>N.M.</v>
          </cell>
          <cell r="W266" t="str">
            <v>N.M.</v>
          </cell>
          <cell r="X266" t="str">
            <v>N.M.</v>
          </cell>
          <cell r="Y266" t="str">
            <v>N.M.</v>
          </cell>
          <cell r="Z266" t="str">
            <v>N.M.</v>
          </cell>
          <cell r="AA266" t="str">
            <v>N.M.</v>
          </cell>
          <cell r="AB266" t="str">
            <v>N.M.</v>
          </cell>
          <cell r="AC266" t="str">
            <v>N.M.</v>
          </cell>
          <cell r="AD266" t="str">
            <v>N.M.</v>
          </cell>
          <cell r="AE266" t="str">
            <v>N.M.</v>
          </cell>
          <cell r="AF266" t="str">
            <v>N.M.</v>
          </cell>
          <cell r="AG266" t="str">
            <v>N.M.</v>
          </cell>
          <cell r="AH266" t="str">
            <v>N.M.</v>
          </cell>
          <cell r="AI266" t="str">
            <v>N.M.</v>
          </cell>
          <cell r="AJ266" t="str">
            <v>N.M.</v>
          </cell>
          <cell r="AK266" t="str">
            <v>N.M.</v>
          </cell>
          <cell r="AL266" t="str">
            <v>N.M.</v>
          </cell>
          <cell r="AM266" t="str">
            <v>N.M.</v>
          </cell>
          <cell r="AN266" t="str">
            <v>N.M.</v>
          </cell>
          <cell r="AO266" t="str">
            <v>N.M.</v>
          </cell>
          <cell r="AP266" t="str">
            <v>N.M.</v>
          </cell>
          <cell r="AQ266" t="str">
            <v>N.M.</v>
          </cell>
          <cell r="AR266" t="str">
            <v>N.M.</v>
          </cell>
          <cell r="AS266" t="str">
            <v>N.M.</v>
          </cell>
          <cell r="AT266" t="str">
            <v>N.M.</v>
          </cell>
          <cell r="AU266" t="str">
            <v>N.M.</v>
          </cell>
          <cell r="AV266" t="str">
            <v>N.M.</v>
          </cell>
          <cell r="AW266" t="str">
            <v>N.M.</v>
          </cell>
          <cell r="AX266">
            <v>0.92251981595859189</v>
          </cell>
          <cell r="AY266">
            <v>-0.10635422788293114</v>
          </cell>
          <cell r="AZ266">
            <v>-2.1318534374356934E-2</v>
          </cell>
          <cell r="BA266">
            <v>0.12391149511417199</v>
          </cell>
          <cell r="BK266" t="str">
            <v>N.M.</v>
          </cell>
          <cell r="BL266" t="e">
            <v>#VALUE!</v>
          </cell>
        </row>
        <row r="267">
          <cell r="A267" t="str">
            <v>Cotai Site 7 - Hilton (LVS)</v>
          </cell>
          <cell r="D267" t="str">
            <v>N.M.</v>
          </cell>
          <cell r="E267" t="str">
            <v>N.M.</v>
          </cell>
          <cell r="F267" t="str">
            <v>N.M.</v>
          </cell>
          <cell r="G267" t="str">
            <v>N.M.</v>
          </cell>
          <cell r="H267" t="str">
            <v>N.M.</v>
          </cell>
          <cell r="I267" t="str">
            <v>N.M.</v>
          </cell>
          <cell r="J267" t="str">
            <v>N.M.</v>
          </cell>
          <cell r="K267" t="str">
            <v>N.M.</v>
          </cell>
          <cell r="L267" t="str">
            <v>N.M.</v>
          </cell>
          <cell r="M267" t="str">
            <v>N.M.</v>
          </cell>
          <cell r="N267" t="str">
            <v>N.M.</v>
          </cell>
          <cell r="O267" t="str">
            <v>N.M.</v>
          </cell>
          <cell r="P267" t="str">
            <v>N.M.</v>
          </cell>
          <cell r="Q267" t="str">
            <v>N.M.</v>
          </cell>
          <cell r="R267" t="str">
            <v>N.M.</v>
          </cell>
          <cell r="S267" t="str">
            <v>N.M.</v>
          </cell>
          <cell r="T267" t="str">
            <v>N.M.</v>
          </cell>
          <cell r="U267" t="str">
            <v>N.M.</v>
          </cell>
          <cell r="V267" t="str">
            <v>N.M.</v>
          </cell>
          <cell r="W267" t="str">
            <v>N.M.</v>
          </cell>
          <cell r="X267" t="str">
            <v>N.M.</v>
          </cell>
          <cell r="Y267" t="str">
            <v>N.M.</v>
          </cell>
          <cell r="Z267" t="str">
            <v>N.M.</v>
          </cell>
          <cell r="AA267" t="str">
            <v>N.M.</v>
          </cell>
          <cell r="AB267" t="str">
            <v>N.M.</v>
          </cell>
          <cell r="AC267" t="str">
            <v>N.M.</v>
          </cell>
          <cell r="AD267" t="str">
            <v>N.M.</v>
          </cell>
          <cell r="AE267" t="str">
            <v>N.M.</v>
          </cell>
          <cell r="AF267" t="str">
            <v>N.M.</v>
          </cell>
          <cell r="AG267" t="str">
            <v>N.M.</v>
          </cell>
          <cell r="AH267" t="str">
            <v>N.M.</v>
          </cell>
          <cell r="AI267" t="str">
            <v>N.M.</v>
          </cell>
          <cell r="AJ267" t="str">
            <v>N.M.</v>
          </cell>
          <cell r="AK267" t="str">
            <v>N.M.</v>
          </cell>
          <cell r="AL267" t="str">
            <v>N.M.</v>
          </cell>
          <cell r="AM267" t="str">
            <v>N.M.</v>
          </cell>
          <cell r="AN267" t="str">
            <v>N.M.</v>
          </cell>
          <cell r="AO267" t="str">
            <v>N.M.</v>
          </cell>
          <cell r="AP267" t="str">
            <v>N.M.</v>
          </cell>
          <cell r="AQ267" t="str">
            <v>N.M.</v>
          </cell>
          <cell r="AR267" t="str">
            <v>N.M.</v>
          </cell>
          <cell r="AS267" t="str">
            <v>N.M.</v>
          </cell>
          <cell r="AT267" t="str">
            <v>N.M.</v>
          </cell>
          <cell r="AU267" t="str">
            <v>N.M.</v>
          </cell>
          <cell r="AV267" t="str">
            <v>N.M.</v>
          </cell>
          <cell r="AW267" t="str">
            <v>N.M.</v>
          </cell>
          <cell r="AX267" t="str">
            <v>N.M.</v>
          </cell>
          <cell r="AY267">
            <v>1.2065327706594293</v>
          </cell>
          <cell r="AZ267">
            <v>-0.1191866809369212</v>
          </cell>
          <cell r="BA267">
            <v>0.12391149511417199</v>
          </cell>
          <cell r="BK267" t="str">
            <v>N.M.</v>
          </cell>
          <cell r="BL267" t="e">
            <v>#VALUE!</v>
          </cell>
        </row>
        <row r="268">
          <cell r="A268" t="str">
            <v>Cotai Site 8 - FHR/Raffles (LVS)</v>
          </cell>
          <cell r="D268" t="str">
            <v>N.M.</v>
          </cell>
          <cell r="E268" t="str">
            <v>N.M.</v>
          </cell>
          <cell r="F268" t="str">
            <v>N.M.</v>
          </cell>
          <cell r="G268" t="str">
            <v>N.M.</v>
          </cell>
          <cell r="H268" t="str">
            <v>N.M.</v>
          </cell>
          <cell r="I268" t="str">
            <v>N.M.</v>
          </cell>
          <cell r="J268" t="str">
            <v>N.M.</v>
          </cell>
          <cell r="K268" t="str">
            <v>N.M.</v>
          </cell>
          <cell r="L268" t="str">
            <v>N.M.</v>
          </cell>
          <cell r="M268" t="str">
            <v>N.M.</v>
          </cell>
          <cell r="N268" t="str">
            <v>N.M.</v>
          </cell>
          <cell r="O268" t="str">
            <v>N.M.</v>
          </cell>
          <cell r="P268" t="str">
            <v>N.M.</v>
          </cell>
          <cell r="Q268" t="str">
            <v>N.M.</v>
          </cell>
          <cell r="R268" t="str">
            <v>N.M.</v>
          </cell>
          <cell r="S268" t="str">
            <v>N.M.</v>
          </cell>
          <cell r="T268" t="str">
            <v>N.M.</v>
          </cell>
          <cell r="U268" t="str">
            <v>N.M.</v>
          </cell>
          <cell r="V268" t="str">
            <v>N.M.</v>
          </cell>
          <cell r="W268" t="str">
            <v>N.M.</v>
          </cell>
          <cell r="X268" t="str">
            <v>N.M.</v>
          </cell>
          <cell r="Y268" t="str">
            <v>N.M.</v>
          </cell>
          <cell r="Z268" t="str">
            <v>N.M.</v>
          </cell>
          <cell r="AA268" t="str">
            <v>N.M.</v>
          </cell>
          <cell r="AB268" t="str">
            <v>N.M.</v>
          </cell>
          <cell r="AC268" t="str">
            <v>N.M.</v>
          </cell>
          <cell r="AD268" t="str">
            <v>N.M.</v>
          </cell>
          <cell r="AE268" t="str">
            <v>N.M.</v>
          </cell>
          <cell r="AF268" t="str">
            <v>N.M.</v>
          </cell>
          <cell r="AG268" t="str">
            <v>N.M.</v>
          </cell>
          <cell r="AH268" t="str">
            <v>N.M.</v>
          </cell>
          <cell r="AI268" t="str">
            <v>N.M.</v>
          </cell>
          <cell r="AJ268" t="str">
            <v>N.M.</v>
          </cell>
          <cell r="AK268" t="str">
            <v>N.M.</v>
          </cell>
          <cell r="AL268" t="str">
            <v>N.M.</v>
          </cell>
          <cell r="AM268" t="str">
            <v>N.M.</v>
          </cell>
          <cell r="AN268" t="str">
            <v>N.M.</v>
          </cell>
          <cell r="AO268" t="str">
            <v>N.M.</v>
          </cell>
          <cell r="AP268" t="str">
            <v>N.M.</v>
          </cell>
          <cell r="AQ268" t="str">
            <v>N.M.</v>
          </cell>
          <cell r="AR268" t="str">
            <v>N.M.</v>
          </cell>
          <cell r="AS268" t="str">
            <v>N.M.</v>
          </cell>
          <cell r="AT268" t="str">
            <v>N.M.</v>
          </cell>
          <cell r="AU268" t="str">
            <v>N.M.</v>
          </cell>
          <cell r="AV268" t="str">
            <v>N.M.</v>
          </cell>
          <cell r="AW268" t="str">
            <v>N.M.</v>
          </cell>
          <cell r="AX268" t="str">
            <v>N.M.</v>
          </cell>
          <cell r="AY268">
            <v>1.2065327706594293</v>
          </cell>
          <cell r="AZ268">
            <v>-0.1191866809369212</v>
          </cell>
          <cell r="BA268">
            <v>0.12391149511417199</v>
          </cell>
          <cell r="BK268" t="str">
            <v>N.M.</v>
          </cell>
          <cell r="BL268" t="e">
            <v>#VALUE!</v>
          </cell>
        </row>
        <row r="269">
          <cell r="A269" t="str">
            <v>Wynn Macau</v>
          </cell>
          <cell r="D269" t="str">
            <v>N.M.</v>
          </cell>
          <cell r="E269" t="str">
            <v>N.M.</v>
          </cell>
          <cell r="F269" t="str">
            <v>N.M.</v>
          </cell>
          <cell r="G269" t="str">
            <v>N.M.</v>
          </cell>
          <cell r="H269" t="str">
            <v>N.M.</v>
          </cell>
          <cell r="I269" t="str">
            <v>N.M.</v>
          </cell>
          <cell r="J269" t="str">
            <v>N.M.</v>
          </cell>
          <cell r="K269" t="str">
            <v>N.M.</v>
          </cell>
          <cell r="L269" t="str">
            <v>N.M.</v>
          </cell>
          <cell r="M269" t="str">
            <v>N.M.</v>
          </cell>
          <cell r="N269" t="str">
            <v>N.M.</v>
          </cell>
          <cell r="O269" t="str">
            <v>N.M.</v>
          </cell>
          <cell r="P269" t="str">
            <v>N.M.</v>
          </cell>
          <cell r="Q269" t="str">
            <v>N.M.</v>
          </cell>
          <cell r="R269" t="str">
            <v>N.M.</v>
          </cell>
          <cell r="S269" t="str">
            <v>N.M.</v>
          </cell>
          <cell r="T269" t="str">
            <v>N.M.</v>
          </cell>
          <cell r="U269" t="str">
            <v>N.M.</v>
          </cell>
          <cell r="V269" t="str">
            <v>N.M.</v>
          </cell>
          <cell r="W269" t="str">
            <v>N.M.</v>
          </cell>
          <cell r="X269" t="str">
            <v>N.M.</v>
          </cell>
          <cell r="Y269" t="str">
            <v>N.M.</v>
          </cell>
          <cell r="Z269" t="str">
            <v>N.M.</v>
          </cell>
          <cell r="AA269" t="str">
            <v>N.M.</v>
          </cell>
          <cell r="AB269" t="str">
            <v>N.M.</v>
          </cell>
          <cell r="AC269" t="str">
            <v>N.M.</v>
          </cell>
          <cell r="AD269" t="str">
            <v>N.M.</v>
          </cell>
          <cell r="AE269" t="str">
            <v>N.M.</v>
          </cell>
          <cell r="AF269" t="str">
            <v>N.M.</v>
          </cell>
          <cell r="AG269" t="str">
            <v>N.M.</v>
          </cell>
          <cell r="AH269" t="str">
            <v>N.M.</v>
          </cell>
          <cell r="AI269" t="str">
            <v>N.M.</v>
          </cell>
          <cell r="AJ269" t="str">
            <v>N.M.</v>
          </cell>
          <cell r="AK269" t="str">
            <v>N.M.</v>
          </cell>
          <cell r="AL269" t="str">
            <v>N.M.</v>
          </cell>
          <cell r="AM269" t="str">
            <v>N.M.</v>
          </cell>
          <cell r="AN269" t="str">
            <v>N.M.</v>
          </cell>
          <cell r="AO269" t="str">
            <v>N.M.</v>
          </cell>
          <cell r="AP269" t="str">
            <v>N.M.</v>
          </cell>
          <cell r="AQ269" t="str">
            <v>N.M.</v>
          </cell>
          <cell r="AR269" t="str">
            <v>N.M.</v>
          </cell>
          <cell r="AS269" t="str">
            <v>N.M.</v>
          </cell>
          <cell r="AT269" t="str">
            <v>N.M.</v>
          </cell>
          <cell r="AU269" t="str">
            <v>N.M.</v>
          </cell>
          <cell r="AV269" t="str">
            <v>N.M.</v>
          </cell>
          <cell r="AW269">
            <v>7.9155573046075789E-2</v>
          </cell>
          <cell r="AX269">
            <v>-3.4692681881843823E-2</v>
          </cell>
          <cell r="AY269">
            <v>2.3071028985992559E-3</v>
          </cell>
          <cell r="AZ269">
            <v>6.1211328861749958E-3</v>
          </cell>
          <cell r="BA269">
            <v>0.12391149511417199</v>
          </cell>
          <cell r="BK269">
            <v>2.8998221033914597</v>
          </cell>
          <cell r="BL269" t="e">
            <v>#VALUE!</v>
          </cell>
        </row>
        <row r="270">
          <cell r="A270" t="str">
            <v>Wynn Cotai</v>
          </cell>
          <cell r="D270" t="str">
            <v>N.M.</v>
          </cell>
          <cell r="E270" t="str">
            <v>N.M.</v>
          </cell>
          <cell r="F270" t="str">
            <v>N.M.</v>
          </cell>
          <cell r="G270" t="str">
            <v>N.M.</v>
          </cell>
          <cell r="H270" t="str">
            <v>N.M.</v>
          </cell>
          <cell r="I270" t="str">
            <v>N.M.</v>
          </cell>
          <cell r="J270" t="str">
            <v>N.M.</v>
          </cell>
          <cell r="K270" t="str">
            <v>N.M.</v>
          </cell>
          <cell r="L270" t="str">
            <v>N.M.</v>
          </cell>
          <cell r="M270" t="str">
            <v>N.M.</v>
          </cell>
          <cell r="N270" t="str">
            <v>N.M.</v>
          </cell>
          <cell r="O270" t="str">
            <v>N.M.</v>
          </cell>
          <cell r="P270" t="str">
            <v>N.M.</v>
          </cell>
          <cell r="Q270" t="str">
            <v>N.M.</v>
          </cell>
          <cell r="R270" t="str">
            <v>N.M.</v>
          </cell>
          <cell r="S270" t="str">
            <v>N.M.</v>
          </cell>
          <cell r="T270" t="str">
            <v>N.M.</v>
          </cell>
          <cell r="U270" t="str">
            <v>N.M.</v>
          </cell>
          <cell r="V270" t="str">
            <v>N.M.</v>
          </cell>
          <cell r="W270" t="str">
            <v>N.M.</v>
          </cell>
          <cell r="X270" t="str">
            <v>N.M.</v>
          </cell>
          <cell r="Y270" t="str">
            <v>N.M.</v>
          </cell>
          <cell r="Z270" t="str">
            <v>N.M.</v>
          </cell>
          <cell r="AA270" t="str">
            <v>N.M.</v>
          </cell>
          <cell r="AB270" t="str">
            <v>N.M.</v>
          </cell>
          <cell r="AC270" t="str">
            <v>N.M.</v>
          </cell>
          <cell r="AD270" t="str">
            <v>N.M.</v>
          </cell>
          <cell r="AE270" t="str">
            <v>N.M.</v>
          </cell>
          <cell r="AF270" t="str">
            <v>N.M.</v>
          </cell>
          <cell r="AG270" t="str">
            <v>N.M.</v>
          </cell>
          <cell r="AH270" t="str">
            <v>N.M.</v>
          </cell>
          <cell r="AI270" t="str">
            <v>N.M.</v>
          </cell>
          <cell r="AJ270" t="str">
            <v>N.M.</v>
          </cell>
          <cell r="AK270" t="str">
            <v>N.M.</v>
          </cell>
          <cell r="AL270" t="str">
            <v>N.M.</v>
          </cell>
          <cell r="AM270" t="str">
            <v>N.M.</v>
          </cell>
          <cell r="AN270" t="str">
            <v>N.M.</v>
          </cell>
          <cell r="AO270" t="str">
            <v>N.M.</v>
          </cell>
          <cell r="AP270" t="str">
            <v>N.M.</v>
          </cell>
          <cell r="AQ270" t="str">
            <v>N.M.</v>
          </cell>
          <cell r="AR270" t="str">
            <v>N.M.</v>
          </cell>
          <cell r="AS270" t="str">
            <v>N.M.</v>
          </cell>
          <cell r="AT270" t="str">
            <v>N.M.</v>
          </cell>
          <cell r="AU270" t="str">
            <v>N.M.</v>
          </cell>
          <cell r="AV270" t="str">
            <v>N.M.</v>
          </cell>
          <cell r="AW270" t="str">
            <v>N.M.</v>
          </cell>
          <cell r="AX270" t="str">
            <v>N.M.</v>
          </cell>
          <cell r="AY270" t="str">
            <v>N.M.</v>
          </cell>
          <cell r="AZ270">
            <v>2.761553890692503E-2</v>
          </cell>
          <cell r="BA270">
            <v>0.12391149511417199</v>
          </cell>
          <cell r="BK270" t="str">
            <v>N.M.</v>
          </cell>
          <cell r="BL270" t="e">
            <v>#VALUE!</v>
          </cell>
        </row>
        <row r="271">
          <cell r="A271" t="str">
            <v>Wynn Cotai #2</v>
          </cell>
          <cell r="D271" t="str">
            <v>N.M.</v>
          </cell>
          <cell r="E271" t="str">
            <v>N.M.</v>
          </cell>
          <cell r="F271" t="str">
            <v>N.M.</v>
          </cell>
          <cell r="G271" t="str">
            <v>N.M.</v>
          </cell>
          <cell r="H271" t="str">
            <v>N.M.</v>
          </cell>
          <cell r="I271" t="str">
            <v>N.M.</v>
          </cell>
          <cell r="J271" t="str">
            <v>N.M.</v>
          </cell>
          <cell r="K271" t="str">
            <v>N.M.</v>
          </cell>
          <cell r="L271" t="str">
            <v>N.M.</v>
          </cell>
          <cell r="M271" t="str">
            <v>N.M.</v>
          </cell>
          <cell r="N271" t="str">
            <v>N.M.</v>
          </cell>
          <cell r="O271" t="str">
            <v>N.M.</v>
          </cell>
          <cell r="P271" t="str">
            <v>N.M.</v>
          </cell>
          <cell r="Q271" t="str">
            <v>N.M.</v>
          </cell>
          <cell r="R271" t="str">
            <v>N.M.</v>
          </cell>
          <cell r="S271" t="str">
            <v>N.M.</v>
          </cell>
          <cell r="T271" t="str">
            <v>N.M.</v>
          </cell>
          <cell r="U271" t="str">
            <v>N.M.</v>
          </cell>
          <cell r="V271" t="str">
            <v>N.M.</v>
          </cell>
          <cell r="W271" t="str">
            <v>N.M.</v>
          </cell>
          <cell r="X271" t="str">
            <v>N.M.</v>
          </cell>
          <cell r="Y271" t="str">
            <v>N.M.</v>
          </cell>
          <cell r="Z271" t="str">
            <v>N.M.</v>
          </cell>
          <cell r="AA271" t="str">
            <v>N.M.</v>
          </cell>
          <cell r="AB271" t="str">
            <v>N.M.</v>
          </cell>
          <cell r="AC271" t="str">
            <v>N.M.</v>
          </cell>
          <cell r="AD271" t="str">
            <v>N.M.</v>
          </cell>
          <cell r="AE271" t="str">
            <v>N.M.</v>
          </cell>
          <cell r="AF271" t="str">
            <v>N.M.</v>
          </cell>
          <cell r="AG271" t="str">
            <v>N.M.</v>
          </cell>
          <cell r="AH271" t="str">
            <v>N.M.</v>
          </cell>
          <cell r="AI271" t="str">
            <v>N.M.</v>
          </cell>
          <cell r="AJ271" t="str">
            <v>N.M.</v>
          </cell>
          <cell r="AK271" t="str">
            <v>N.M.</v>
          </cell>
          <cell r="AL271" t="str">
            <v>N.M.</v>
          </cell>
          <cell r="AM271" t="str">
            <v>N.M.</v>
          </cell>
          <cell r="AN271" t="str">
            <v>N.M.</v>
          </cell>
          <cell r="AO271" t="str">
            <v>N.M.</v>
          </cell>
          <cell r="AP271" t="str">
            <v>N.M.</v>
          </cell>
          <cell r="AQ271" t="str">
            <v>N.M.</v>
          </cell>
          <cell r="AR271" t="str">
            <v>N.M.</v>
          </cell>
          <cell r="AS271" t="str">
            <v>N.M.</v>
          </cell>
          <cell r="AT271" t="str">
            <v>N.M.</v>
          </cell>
          <cell r="AU271" t="str">
            <v>N.M.</v>
          </cell>
          <cell r="AV271" t="str">
            <v>N.M.</v>
          </cell>
          <cell r="AW271" t="str">
            <v>N.M.</v>
          </cell>
          <cell r="AX271" t="str">
            <v>N.M.</v>
          </cell>
          <cell r="AY271" t="str">
            <v>N.M.</v>
          </cell>
          <cell r="AZ271" t="str">
            <v>N.M.</v>
          </cell>
          <cell r="BA271">
            <v>0.12391149511417199</v>
          </cell>
        </row>
        <row r="272">
          <cell r="A272" t="str">
            <v>MGM Grand</v>
          </cell>
          <cell r="D272" t="str">
            <v>N.M.</v>
          </cell>
          <cell r="E272" t="str">
            <v>N.M.</v>
          </cell>
          <cell r="F272" t="str">
            <v>N.M.</v>
          </cell>
          <cell r="G272" t="str">
            <v>N.M.</v>
          </cell>
          <cell r="H272" t="str">
            <v>N.M.</v>
          </cell>
          <cell r="I272" t="str">
            <v>N.M.</v>
          </cell>
          <cell r="J272" t="str">
            <v>N.M.</v>
          </cell>
          <cell r="K272" t="str">
            <v>N.M.</v>
          </cell>
          <cell r="L272" t="str">
            <v>N.M.</v>
          </cell>
          <cell r="M272" t="str">
            <v>N.M.</v>
          </cell>
          <cell r="N272" t="str">
            <v>N.M.</v>
          </cell>
          <cell r="O272" t="str">
            <v>N.M.</v>
          </cell>
          <cell r="P272" t="str">
            <v>N.M.</v>
          </cell>
          <cell r="Q272" t="str">
            <v>N.M.</v>
          </cell>
          <cell r="R272" t="str">
            <v>N.M.</v>
          </cell>
          <cell r="S272" t="str">
            <v>N.M.</v>
          </cell>
          <cell r="T272" t="str">
            <v>N.M.</v>
          </cell>
          <cell r="U272" t="str">
            <v>N.M.</v>
          </cell>
          <cell r="V272" t="str">
            <v>N.M.</v>
          </cell>
          <cell r="W272" t="str">
            <v>N.M.</v>
          </cell>
          <cell r="X272" t="str">
            <v>N.M.</v>
          </cell>
          <cell r="Y272" t="str">
            <v>N.M.</v>
          </cell>
          <cell r="Z272" t="str">
            <v>N.M.</v>
          </cell>
          <cell r="AA272" t="str">
            <v>N.M.</v>
          </cell>
          <cell r="AB272" t="str">
            <v>N.M.</v>
          </cell>
          <cell r="AC272" t="str">
            <v>N.M.</v>
          </cell>
          <cell r="AD272" t="str">
            <v>N.M.</v>
          </cell>
          <cell r="AE272" t="str">
            <v>N.M.</v>
          </cell>
          <cell r="AF272" t="str">
            <v>N.M.</v>
          </cell>
          <cell r="AG272" t="str">
            <v>N.M.</v>
          </cell>
          <cell r="AH272" t="str">
            <v>N.M.</v>
          </cell>
          <cell r="AI272" t="str">
            <v>N.M.</v>
          </cell>
          <cell r="AJ272" t="str">
            <v>N.M.</v>
          </cell>
          <cell r="AK272" t="str">
            <v>N.M.</v>
          </cell>
          <cell r="AL272" t="str">
            <v>N.M.</v>
          </cell>
          <cell r="AM272" t="str">
            <v>N.M.</v>
          </cell>
          <cell r="AN272" t="str">
            <v>N.M.</v>
          </cell>
          <cell r="AO272" t="str">
            <v>N.M.</v>
          </cell>
          <cell r="AP272" t="str">
            <v>N.M.</v>
          </cell>
          <cell r="AQ272" t="str">
            <v>N.M.</v>
          </cell>
          <cell r="AR272" t="str">
            <v>N.M.</v>
          </cell>
          <cell r="AS272" t="str">
            <v>N.M.</v>
          </cell>
          <cell r="AT272" t="str">
            <v>N.M.</v>
          </cell>
          <cell r="AU272" t="str">
            <v>N.M.</v>
          </cell>
          <cell r="AV272" t="str">
            <v>N.M.</v>
          </cell>
          <cell r="AW272">
            <v>4.5711749241413875</v>
          </cell>
          <cell r="AX272">
            <v>-3.8740092020704164E-2</v>
          </cell>
          <cell r="AY272">
            <v>-7.0602532032566501E-3</v>
          </cell>
          <cell r="AZ272">
            <v>-2.1318534374357045E-2</v>
          </cell>
          <cell r="BA272">
            <v>0.12391149511417199</v>
          </cell>
          <cell r="BK272" t="str">
            <v>N.M.</v>
          </cell>
          <cell r="BL272" t="e">
            <v>#VALUE!</v>
          </cell>
        </row>
        <row r="273">
          <cell r="A273" t="str">
            <v>MGM Cotai #1</v>
          </cell>
          <cell r="D273" t="str">
            <v>N.M.</v>
          </cell>
          <cell r="E273" t="str">
            <v>N.M.</v>
          </cell>
          <cell r="F273" t="str">
            <v>N.M.</v>
          </cell>
          <cell r="G273" t="str">
            <v>N.M.</v>
          </cell>
          <cell r="H273" t="str">
            <v>N.M.</v>
          </cell>
          <cell r="I273" t="str">
            <v>N.M.</v>
          </cell>
          <cell r="J273" t="str">
            <v>N.M.</v>
          </cell>
          <cell r="K273" t="str">
            <v>N.M.</v>
          </cell>
          <cell r="L273" t="str">
            <v>N.M.</v>
          </cell>
          <cell r="M273" t="str">
            <v>N.M.</v>
          </cell>
          <cell r="N273" t="str">
            <v>N.M.</v>
          </cell>
          <cell r="O273" t="str">
            <v>N.M.</v>
          </cell>
          <cell r="P273" t="str">
            <v>N.M.</v>
          </cell>
          <cell r="Q273" t="str">
            <v>N.M.</v>
          </cell>
          <cell r="R273" t="str">
            <v>N.M.</v>
          </cell>
          <cell r="S273" t="str">
            <v>N.M.</v>
          </cell>
          <cell r="T273" t="str">
            <v>N.M.</v>
          </cell>
          <cell r="U273" t="str">
            <v>N.M.</v>
          </cell>
          <cell r="V273" t="str">
            <v>N.M.</v>
          </cell>
          <cell r="W273" t="str">
            <v>N.M.</v>
          </cell>
          <cell r="X273" t="str">
            <v>N.M.</v>
          </cell>
          <cell r="Y273" t="str">
            <v>N.M.</v>
          </cell>
          <cell r="Z273" t="str">
            <v>N.M.</v>
          </cell>
          <cell r="AA273" t="str">
            <v>N.M.</v>
          </cell>
          <cell r="AB273" t="str">
            <v>N.M.</v>
          </cell>
          <cell r="AC273" t="str">
            <v>N.M.</v>
          </cell>
          <cell r="AD273" t="str">
            <v>N.M.</v>
          </cell>
          <cell r="AE273" t="str">
            <v>N.M.</v>
          </cell>
          <cell r="AF273" t="str">
            <v>N.M.</v>
          </cell>
          <cell r="AG273" t="str">
            <v>N.M.</v>
          </cell>
          <cell r="AH273" t="str">
            <v>N.M.</v>
          </cell>
          <cell r="AI273" t="str">
            <v>N.M.</v>
          </cell>
          <cell r="AJ273" t="str">
            <v>N.M.</v>
          </cell>
          <cell r="AK273" t="str">
            <v>N.M.</v>
          </cell>
          <cell r="AL273" t="str">
            <v>N.M.</v>
          </cell>
          <cell r="AM273" t="str">
            <v>N.M.</v>
          </cell>
          <cell r="AN273" t="str">
            <v>N.M.</v>
          </cell>
          <cell r="AO273" t="str">
            <v>N.M.</v>
          </cell>
          <cell r="AP273" t="str">
            <v>N.M.</v>
          </cell>
          <cell r="AQ273" t="str">
            <v>N.M.</v>
          </cell>
          <cell r="AR273" t="str">
            <v>N.M.</v>
          </cell>
          <cell r="AS273" t="str">
            <v>N.M.</v>
          </cell>
          <cell r="AT273" t="str">
            <v>N.M.</v>
          </cell>
          <cell r="AU273" t="str">
            <v>N.M.</v>
          </cell>
          <cell r="AV273" t="str">
            <v>N.M.</v>
          </cell>
          <cell r="AW273" t="str">
            <v>N.M.</v>
          </cell>
          <cell r="AX273" t="str">
            <v>N.M.</v>
          </cell>
          <cell r="AY273" t="str">
            <v>N.M.</v>
          </cell>
          <cell r="AZ273" t="str">
            <v>N.M.</v>
          </cell>
          <cell r="BA273">
            <v>0.12391149511417199</v>
          </cell>
        </row>
        <row r="274">
          <cell r="A274" t="str">
            <v>Crown Macau - PBL/Melco</v>
          </cell>
          <cell r="D274" t="str">
            <v>N.M.</v>
          </cell>
          <cell r="E274" t="str">
            <v>N.M.</v>
          </cell>
          <cell r="F274" t="str">
            <v>N.M.</v>
          </cell>
          <cell r="G274" t="str">
            <v>N.M.</v>
          </cell>
          <cell r="H274" t="str">
            <v>N.M.</v>
          </cell>
          <cell r="I274" t="str">
            <v>N.M.</v>
          </cell>
          <cell r="J274" t="str">
            <v>N.M.</v>
          </cell>
          <cell r="K274" t="str">
            <v>N.M.</v>
          </cell>
          <cell r="L274" t="str">
            <v>N.M.</v>
          </cell>
          <cell r="M274" t="str">
            <v>N.M.</v>
          </cell>
          <cell r="N274" t="str">
            <v>N.M.</v>
          </cell>
          <cell r="O274" t="str">
            <v>N.M.</v>
          </cell>
          <cell r="P274" t="str">
            <v>N.M.</v>
          </cell>
          <cell r="Q274" t="str">
            <v>N.M.</v>
          </cell>
          <cell r="R274" t="str">
            <v>N.M.</v>
          </cell>
          <cell r="S274" t="str">
            <v>N.M.</v>
          </cell>
          <cell r="T274" t="str">
            <v>N.M.</v>
          </cell>
          <cell r="U274" t="str">
            <v>N.M.</v>
          </cell>
          <cell r="V274" t="str">
            <v>N.M.</v>
          </cell>
          <cell r="W274" t="str">
            <v>N.M.</v>
          </cell>
          <cell r="X274" t="str">
            <v>N.M.</v>
          </cell>
          <cell r="Y274" t="str">
            <v>N.M.</v>
          </cell>
          <cell r="Z274" t="str">
            <v>N.M.</v>
          </cell>
          <cell r="AA274" t="str">
            <v>N.M.</v>
          </cell>
          <cell r="AB274" t="str">
            <v>N.M.</v>
          </cell>
          <cell r="AC274" t="str">
            <v>N.M.</v>
          </cell>
          <cell r="AD274" t="str">
            <v>N.M.</v>
          </cell>
          <cell r="AE274" t="str">
            <v>N.M.</v>
          </cell>
          <cell r="AF274" t="str">
            <v>N.M.</v>
          </cell>
          <cell r="AG274" t="str">
            <v>N.M.</v>
          </cell>
          <cell r="AH274" t="str">
            <v>N.M.</v>
          </cell>
          <cell r="AI274" t="str">
            <v>N.M.</v>
          </cell>
          <cell r="AJ274" t="str">
            <v>N.M.</v>
          </cell>
          <cell r="AK274" t="str">
            <v>N.M.</v>
          </cell>
          <cell r="AL274" t="str">
            <v>N.M.</v>
          </cell>
          <cell r="AM274" t="str">
            <v>N.M.</v>
          </cell>
          <cell r="AN274" t="str">
            <v>N.M.</v>
          </cell>
          <cell r="AO274" t="str">
            <v>N.M.</v>
          </cell>
          <cell r="AP274" t="str">
            <v>N.M.</v>
          </cell>
          <cell r="AQ274" t="str">
            <v>N.M.</v>
          </cell>
          <cell r="AR274" t="str">
            <v>N.M.</v>
          </cell>
          <cell r="AS274" t="str">
            <v>N.M.</v>
          </cell>
          <cell r="AT274" t="str">
            <v>N.M.</v>
          </cell>
          <cell r="AU274" t="str">
            <v>N.M.</v>
          </cell>
          <cell r="AV274" t="str">
            <v>N.M.</v>
          </cell>
          <cell r="AW274">
            <v>0.24132244765344901</v>
          </cell>
          <cell r="AX274">
            <v>-4.8352691100496892E-2</v>
          </cell>
          <cell r="AY274">
            <v>-7.0602532032566501E-3</v>
          </cell>
          <cell r="AZ274">
            <v>6.7652507955246799E-2</v>
          </cell>
          <cell r="BA274">
            <v>0.12391149511417199</v>
          </cell>
          <cell r="BK274" t="str">
            <v>N.M.</v>
          </cell>
          <cell r="BL274" t="e">
            <v>#VALUE!</v>
          </cell>
        </row>
        <row r="275">
          <cell r="A275" t="str">
            <v>Penninsula Project - PBL/Melco ("Trinity")</v>
          </cell>
          <cell r="D275" t="str">
            <v>N.M.</v>
          </cell>
          <cell r="E275" t="str">
            <v>N.M.</v>
          </cell>
          <cell r="F275" t="str">
            <v>N.M.</v>
          </cell>
          <cell r="G275" t="str">
            <v>N.M.</v>
          </cell>
          <cell r="H275" t="str">
            <v>N.M.</v>
          </cell>
          <cell r="I275" t="str">
            <v>N.M.</v>
          </cell>
          <cell r="J275" t="str">
            <v>N.M.</v>
          </cell>
          <cell r="K275" t="str">
            <v>N.M.</v>
          </cell>
          <cell r="L275" t="str">
            <v>N.M.</v>
          </cell>
          <cell r="M275" t="str">
            <v>N.M.</v>
          </cell>
          <cell r="N275" t="str">
            <v>N.M.</v>
          </cell>
          <cell r="O275" t="str">
            <v>N.M.</v>
          </cell>
          <cell r="P275" t="str">
            <v>N.M.</v>
          </cell>
          <cell r="Q275" t="str">
            <v>N.M.</v>
          </cell>
          <cell r="R275" t="str">
            <v>N.M.</v>
          </cell>
          <cell r="S275" t="str">
            <v>N.M.</v>
          </cell>
          <cell r="T275" t="str">
            <v>N.M.</v>
          </cell>
          <cell r="U275" t="str">
            <v>N.M.</v>
          </cell>
          <cell r="V275" t="str">
            <v>N.M.</v>
          </cell>
          <cell r="W275" t="str">
            <v>N.M.</v>
          </cell>
          <cell r="X275" t="str">
            <v>N.M.</v>
          </cell>
          <cell r="Y275" t="str">
            <v>N.M.</v>
          </cell>
          <cell r="Z275" t="str">
            <v>N.M.</v>
          </cell>
          <cell r="AA275" t="str">
            <v>N.M.</v>
          </cell>
          <cell r="AB275" t="str">
            <v>N.M.</v>
          </cell>
          <cell r="AC275" t="str">
            <v>N.M.</v>
          </cell>
          <cell r="AD275" t="str">
            <v>N.M.</v>
          </cell>
          <cell r="AE275" t="str">
            <v>N.M.</v>
          </cell>
          <cell r="AF275" t="str">
            <v>N.M.</v>
          </cell>
          <cell r="AG275" t="str">
            <v>N.M.</v>
          </cell>
          <cell r="AH275" t="str">
            <v>N.M.</v>
          </cell>
          <cell r="AI275" t="str">
            <v>N.M.</v>
          </cell>
          <cell r="AJ275" t="str">
            <v>N.M.</v>
          </cell>
          <cell r="AK275" t="str">
            <v>N.M.</v>
          </cell>
          <cell r="AL275" t="str">
            <v>N.M.</v>
          </cell>
          <cell r="AM275" t="str">
            <v>N.M.</v>
          </cell>
          <cell r="AN275" t="str">
            <v>N.M.</v>
          </cell>
          <cell r="AO275" t="str">
            <v>N.M.</v>
          </cell>
          <cell r="AP275" t="str">
            <v>N.M.</v>
          </cell>
          <cell r="AQ275" t="str">
            <v>N.M.</v>
          </cell>
          <cell r="AR275" t="str">
            <v>N.M.</v>
          </cell>
          <cell r="AS275" t="str">
            <v>N.M.</v>
          </cell>
          <cell r="AT275" t="str">
            <v>N.M.</v>
          </cell>
          <cell r="AU275" t="str">
            <v>N.M.</v>
          </cell>
          <cell r="AV275" t="str">
            <v>N.M.</v>
          </cell>
          <cell r="AW275" t="str">
            <v>N.M.</v>
          </cell>
          <cell r="AX275" t="str">
            <v>N.M.</v>
          </cell>
          <cell r="AY275">
            <v>1.53370831941238</v>
          </cell>
          <cell r="AZ275">
            <v>-2.1318534374357045E-2</v>
          </cell>
          <cell r="BA275">
            <v>0.12391149511417199</v>
          </cell>
          <cell r="BK275" t="str">
            <v>N.M.</v>
          </cell>
          <cell r="BL275" t="e">
            <v>#VALUE!</v>
          </cell>
        </row>
        <row r="276">
          <cell r="A276" t="str">
            <v>City of Dreams - PBL/Melco</v>
          </cell>
          <cell r="D276" t="str">
            <v>N.M.</v>
          </cell>
          <cell r="E276" t="str">
            <v>N.M.</v>
          </cell>
          <cell r="F276" t="str">
            <v>N.M.</v>
          </cell>
          <cell r="G276" t="str">
            <v>N.M.</v>
          </cell>
          <cell r="H276" t="str">
            <v>N.M.</v>
          </cell>
          <cell r="I276" t="str">
            <v>N.M.</v>
          </cell>
          <cell r="J276" t="str">
            <v>N.M.</v>
          </cell>
          <cell r="K276" t="str">
            <v>N.M.</v>
          </cell>
          <cell r="L276" t="str">
            <v>N.M.</v>
          </cell>
          <cell r="M276" t="str">
            <v>N.M.</v>
          </cell>
          <cell r="N276" t="str">
            <v>N.M.</v>
          </cell>
          <cell r="O276" t="str">
            <v>N.M.</v>
          </cell>
          <cell r="P276" t="str">
            <v>N.M.</v>
          </cell>
          <cell r="Q276" t="str">
            <v>N.M.</v>
          </cell>
          <cell r="R276" t="str">
            <v>N.M.</v>
          </cell>
          <cell r="S276" t="str">
            <v>N.M.</v>
          </cell>
          <cell r="T276" t="str">
            <v>N.M.</v>
          </cell>
          <cell r="U276" t="str">
            <v>N.M.</v>
          </cell>
          <cell r="V276" t="str">
            <v>N.M.</v>
          </cell>
          <cell r="W276" t="str">
            <v>N.M.</v>
          </cell>
          <cell r="X276" t="str">
            <v>N.M.</v>
          </cell>
          <cell r="Y276" t="str">
            <v>N.M.</v>
          </cell>
          <cell r="Z276" t="str">
            <v>N.M.</v>
          </cell>
          <cell r="AA276" t="str">
            <v>N.M.</v>
          </cell>
          <cell r="AB276" t="str">
            <v>N.M.</v>
          </cell>
          <cell r="AC276" t="str">
            <v>N.M.</v>
          </cell>
          <cell r="AD276" t="str">
            <v>N.M.</v>
          </cell>
          <cell r="AE276" t="str">
            <v>N.M.</v>
          </cell>
          <cell r="AF276" t="str">
            <v>N.M.</v>
          </cell>
          <cell r="AG276" t="str">
            <v>N.M.</v>
          </cell>
          <cell r="AH276" t="str">
            <v>N.M.</v>
          </cell>
          <cell r="AI276" t="str">
            <v>N.M.</v>
          </cell>
          <cell r="AJ276" t="str">
            <v>N.M.</v>
          </cell>
          <cell r="AK276" t="str">
            <v>N.M.</v>
          </cell>
          <cell r="AL276" t="str">
            <v>N.M.</v>
          </cell>
          <cell r="AM276" t="str">
            <v>N.M.</v>
          </cell>
          <cell r="AN276" t="str">
            <v>N.M.</v>
          </cell>
          <cell r="AO276" t="str">
            <v>N.M.</v>
          </cell>
          <cell r="AP276" t="str">
            <v>N.M.</v>
          </cell>
          <cell r="AQ276" t="str">
            <v>N.M.</v>
          </cell>
          <cell r="AR276" t="str">
            <v>N.M.</v>
          </cell>
          <cell r="AS276" t="str">
            <v>N.M.</v>
          </cell>
          <cell r="AT276" t="str">
            <v>N.M.</v>
          </cell>
          <cell r="AU276" t="str">
            <v>N.M.</v>
          </cell>
          <cell r="AV276" t="str">
            <v>N.M.</v>
          </cell>
          <cell r="AW276" t="str">
            <v>N.M.</v>
          </cell>
          <cell r="AX276" t="str">
            <v>N.M.</v>
          </cell>
          <cell r="AY276">
            <v>-7.0602532032567611E-3</v>
          </cell>
          <cell r="AZ276">
            <v>-2.1318534374357045E-2</v>
          </cell>
          <cell r="BA276">
            <v>0.12391149511417221</v>
          </cell>
          <cell r="BK276" t="str">
            <v>N.M.</v>
          </cell>
          <cell r="BL276" t="e">
            <v>#VALUE!</v>
          </cell>
        </row>
        <row r="277">
          <cell r="A277" t="str">
            <v>Galaxy Cotai Mega Resort</v>
          </cell>
          <cell r="D277" t="str">
            <v>N.M.</v>
          </cell>
          <cell r="E277" t="str">
            <v>N.M.</v>
          </cell>
          <cell r="F277" t="str">
            <v>N.M.</v>
          </cell>
          <cell r="G277" t="str">
            <v>N.M.</v>
          </cell>
          <cell r="H277" t="str">
            <v>N.M.</v>
          </cell>
          <cell r="I277" t="str">
            <v>N.M.</v>
          </cell>
          <cell r="J277" t="str">
            <v>N.M.</v>
          </cell>
          <cell r="K277" t="str">
            <v>N.M.</v>
          </cell>
          <cell r="L277" t="str">
            <v>N.M.</v>
          </cell>
          <cell r="M277" t="str">
            <v>N.M.</v>
          </cell>
          <cell r="N277" t="str">
            <v>N.M.</v>
          </cell>
          <cell r="O277" t="str">
            <v>N.M.</v>
          </cell>
          <cell r="P277" t="str">
            <v>N.M.</v>
          </cell>
          <cell r="Q277" t="str">
            <v>N.M.</v>
          </cell>
          <cell r="R277" t="str">
            <v>N.M.</v>
          </cell>
          <cell r="S277" t="str">
            <v>N.M.</v>
          </cell>
          <cell r="T277" t="str">
            <v>N.M.</v>
          </cell>
          <cell r="U277" t="str">
            <v>N.M.</v>
          </cell>
          <cell r="V277" t="str">
            <v>N.M.</v>
          </cell>
          <cell r="W277" t="str">
            <v>N.M.</v>
          </cell>
          <cell r="X277" t="str">
            <v>N.M.</v>
          </cell>
          <cell r="Y277" t="str">
            <v>N.M.</v>
          </cell>
          <cell r="Z277" t="str">
            <v>N.M.</v>
          </cell>
          <cell r="AA277" t="str">
            <v>N.M.</v>
          </cell>
          <cell r="AB277" t="str">
            <v>N.M.</v>
          </cell>
          <cell r="AC277" t="str">
            <v>N.M.</v>
          </cell>
          <cell r="AD277" t="str">
            <v>N.M.</v>
          </cell>
          <cell r="AE277" t="str">
            <v>N.M.</v>
          </cell>
          <cell r="AF277" t="str">
            <v>N.M.</v>
          </cell>
          <cell r="AG277" t="str">
            <v>N.M.</v>
          </cell>
          <cell r="AH277" t="str">
            <v>N.M.</v>
          </cell>
          <cell r="AI277" t="str">
            <v>N.M.</v>
          </cell>
          <cell r="AJ277" t="str">
            <v>N.M.</v>
          </cell>
          <cell r="AK277" t="str">
            <v>N.M.</v>
          </cell>
          <cell r="AL277" t="str">
            <v>N.M.</v>
          </cell>
          <cell r="AM277" t="str">
            <v>N.M.</v>
          </cell>
          <cell r="AN277" t="str">
            <v>N.M.</v>
          </cell>
          <cell r="AO277" t="str">
            <v>N.M.</v>
          </cell>
          <cell r="AP277" t="str">
            <v>N.M.</v>
          </cell>
          <cell r="AQ277" t="str">
            <v>N.M.</v>
          </cell>
          <cell r="AR277" t="str">
            <v>N.M.</v>
          </cell>
          <cell r="AS277" t="str">
            <v>N.M.</v>
          </cell>
          <cell r="AT277" t="str">
            <v>N.M.</v>
          </cell>
          <cell r="AU277" t="str">
            <v>N.M.</v>
          </cell>
          <cell r="AV277" t="str">
            <v>N.M.</v>
          </cell>
          <cell r="AW277" t="str">
            <v>N.M.</v>
          </cell>
          <cell r="AX277">
            <v>0.73026783436273268</v>
          </cell>
          <cell r="AY277">
            <v>-2.8645899872751235E-2</v>
          </cell>
          <cell r="AZ277">
            <v>-2.1318534374357045E-2</v>
          </cell>
          <cell r="BA277">
            <v>0.12391149511417243</v>
          </cell>
          <cell r="BK277" t="str">
            <v>N.M.</v>
          </cell>
          <cell r="BL277" t="e">
            <v>#VALUE!</v>
          </cell>
        </row>
        <row r="278">
          <cell r="A278" t="str">
            <v>Galaxy StarWorld</v>
          </cell>
          <cell r="D278" t="str">
            <v>N.M.</v>
          </cell>
          <cell r="E278" t="str">
            <v>N.M.</v>
          </cell>
          <cell r="F278" t="str">
            <v>N.M.</v>
          </cell>
          <cell r="G278" t="str">
            <v>N.M.</v>
          </cell>
          <cell r="H278" t="str">
            <v>N.M.</v>
          </cell>
          <cell r="I278" t="str">
            <v>N.M.</v>
          </cell>
          <cell r="J278" t="str">
            <v>N.M.</v>
          </cell>
          <cell r="K278" t="str">
            <v>N.M.</v>
          </cell>
          <cell r="L278" t="str">
            <v>N.M.</v>
          </cell>
          <cell r="M278" t="str">
            <v>N.M.</v>
          </cell>
          <cell r="N278" t="str">
            <v>N.M.</v>
          </cell>
          <cell r="O278" t="str">
            <v>N.M.</v>
          </cell>
          <cell r="P278" t="str">
            <v>N.M.</v>
          </cell>
          <cell r="Q278" t="str">
            <v>N.M.</v>
          </cell>
          <cell r="R278" t="str">
            <v>N.M.</v>
          </cell>
          <cell r="S278" t="str">
            <v>N.M.</v>
          </cell>
          <cell r="T278" t="str">
            <v>N.M.</v>
          </cell>
          <cell r="U278" t="str">
            <v>N.M.</v>
          </cell>
          <cell r="V278" t="str">
            <v>N.M.</v>
          </cell>
          <cell r="W278" t="str">
            <v>N.M.</v>
          </cell>
          <cell r="X278" t="str">
            <v>N.M.</v>
          </cell>
          <cell r="Y278" t="str">
            <v>N.M.</v>
          </cell>
          <cell r="Z278" t="str">
            <v>N.M.</v>
          </cell>
          <cell r="AA278" t="str">
            <v>N.M.</v>
          </cell>
          <cell r="AB278" t="str">
            <v>N.M.</v>
          </cell>
          <cell r="AC278" t="str">
            <v>N.M.</v>
          </cell>
          <cell r="AD278" t="str">
            <v>N.M.</v>
          </cell>
          <cell r="AE278" t="str">
            <v>N.M.</v>
          </cell>
          <cell r="AF278" t="str">
            <v>N.M.</v>
          </cell>
          <cell r="AG278" t="str">
            <v>N.M.</v>
          </cell>
          <cell r="AH278" t="str">
            <v>N.M.</v>
          </cell>
          <cell r="AI278" t="str">
            <v>N.M.</v>
          </cell>
          <cell r="AJ278" t="str">
            <v>N.M.</v>
          </cell>
          <cell r="AK278" t="str">
            <v>N.M.</v>
          </cell>
          <cell r="AL278" t="str">
            <v>N.M.</v>
          </cell>
          <cell r="AM278" t="str">
            <v>N.M.</v>
          </cell>
          <cell r="AN278" t="str">
            <v>N.M.</v>
          </cell>
          <cell r="AO278" t="str">
            <v>N.M.</v>
          </cell>
          <cell r="AP278" t="str">
            <v>N.M.</v>
          </cell>
          <cell r="AQ278" t="str">
            <v>N.M.</v>
          </cell>
          <cell r="AR278" t="str">
            <v>N.M.</v>
          </cell>
          <cell r="AS278" t="str">
            <v>N.M.</v>
          </cell>
          <cell r="AT278" t="str">
            <v>N.M.</v>
          </cell>
          <cell r="AU278" t="str">
            <v>N.M.</v>
          </cell>
          <cell r="AV278" t="str">
            <v>N.M.</v>
          </cell>
          <cell r="AW278">
            <v>-5.2295805588948863E-3</v>
          </cell>
          <cell r="AX278">
            <v>-7.3070803019964603E-2</v>
          </cell>
          <cell r="AY278">
            <v>-7.0602532032567611E-3</v>
          </cell>
          <cell r="AZ278">
            <v>-2.1318534374357156E-2</v>
          </cell>
          <cell r="BA278">
            <v>0.12391149511417199</v>
          </cell>
          <cell r="BK278">
            <v>3.1177633087213277</v>
          </cell>
          <cell r="BL278" t="e">
            <v>#VALUE!</v>
          </cell>
        </row>
        <row r="279">
          <cell r="A279" t="str">
            <v>Galaxy City Clubs</v>
          </cell>
          <cell r="D279" t="str">
            <v>N.M.</v>
          </cell>
          <cell r="E279" t="str">
            <v>N.M.</v>
          </cell>
          <cell r="F279" t="str">
            <v>N.M.</v>
          </cell>
          <cell r="G279" t="str">
            <v>N.M.</v>
          </cell>
          <cell r="H279" t="str">
            <v>N.M.</v>
          </cell>
          <cell r="I279" t="str">
            <v>N.M.</v>
          </cell>
          <cell r="J279" t="str">
            <v>N.M.</v>
          </cell>
          <cell r="K279" t="str">
            <v>N.M.</v>
          </cell>
          <cell r="L279" t="str">
            <v>N.M.</v>
          </cell>
          <cell r="M279" t="str">
            <v>N.M.</v>
          </cell>
          <cell r="N279" t="str">
            <v>N.M.</v>
          </cell>
          <cell r="O279" t="str">
            <v>N.M.</v>
          </cell>
          <cell r="P279" t="str">
            <v>N.M.</v>
          </cell>
          <cell r="Q279" t="str">
            <v>N.M.</v>
          </cell>
          <cell r="R279" t="str">
            <v>N.M.</v>
          </cell>
          <cell r="S279" t="str">
            <v>N.M.</v>
          </cell>
          <cell r="T279" t="str">
            <v>N.M.</v>
          </cell>
          <cell r="U279" t="str">
            <v>N.M.</v>
          </cell>
          <cell r="V279" t="str">
            <v>N.M.</v>
          </cell>
          <cell r="W279" t="str">
            <v>N.M.</v>
          </cell>
          <cell r="X279" t="str">
            <v>N.M.</v>
          </cell>
          <cell r="Y279" t="str">
            <v>N.M.</v>
          </cell>
          <cell r="Z279" t="str">
            <v>N.M.</v>
          </cell>
          <cell r="AA279" t="str">
            <v>N.M.</v>
          </cell>
          <cell r="AB279" t="str">
            <v>N.M.</v>
          </cell>
          <cell r="AC279" t="str">
            <v>N.M.</v>
          </cell>
          <cell r="AD279" t="str">
            <v>N.M.</v>
          </cell>
          <cell r="AE279" t="str">
            <v>N.M.</v>
          </cell>
          <cell r="AF279" t="str">
            <v>N.M.</v>
          </cell>
          <cell r="AG279" t="str">
            <v>N.M.</v>
          </cell>
          <cell r="AH279" t="str">
            <v>N.M.</v>
          </cell>
          <cell r="AI279" t="str">
            <v>N.M.</v>
          </cell>
          <cell r="AJ279" t="str">
            <v>N.M.</v>
          </cell>
          <cell r="AK279" t="str">
            <v>N.M.</v>
          </cell>
          <cell r="AL279" t="str">
            <v>N.M.</v>
          </cell>
          <cell r="AM279" t="str">
            <v>N.M.</v>
          </cell>
          <cell r="AN279" t="str">
            <v>N.M.</v>
          </cell>
          <cell r="AO279" t="str">
            <v>N.M.</v>
          </cell>
          <cell r="AP279" t="str">
            <v>N.M.</v>
          </cell>
          <cell r="AQ279" t="str">
            <v>N.M.</v>
          </cell>
          <cell r="AR279">
            <v>1.8107717468912279</v>
          </cell>
          <cell r="AS279">
            <v>-0.30565578590559139</v>
          </cell>
          <cell r="AT279">
            <v>-0.43815019587598825</v>
          </cell>
          <cell r="AU279">
            <v>-0.43424069810710741</v>
          </cell>
          <cell r="AV279">
            <v>-0.17872257087004007</v>
          </cell>
          <cell r="AW279">
            <v>-0.24239503281355324</v>
          </cell>
          <cell r="AX279">
            <v>-0.13486608281863388</v>
          </cell>
          <cell r="AY279">
            <v>-7.0602532032567611E-3</v>
          </cell>
          <cell r="AZ279">
            <v>-2.1318534374356934E-2</v>
          </cell>
          <cell r="BA279">
            <v>0.12391149511417199</v>
          </cell>
          <cell r="BK279">
            <v>-6.3819661019634544E-2</v>
          </cell>
          <cell r="BL279">
            <v>-0.11490290985040552</v>
          </cell>
        </row>
        <row r="280">
          <cell r="A280" t="str">
            <v>Macau Studio City</v>
          </cell>
          <cell r="D280" t="str">
            <v>N.M.</v>
          </cell>
          <cell r="E280" t="str">
            <v>N.M.</v>
          </cell>
          <cell r="F280" t="str">
            <v>N.M.</v>
          </cell>
          <cell r="G280" t="str">
            <v>N.M.</v>
          </cell>
          <cell r="H280" t="str">
            <v>N.M.</v>
          </cell>
          <cell r="I280" t="str">
            <v>N.M.</v>
          </cell>
          <cell r="J280" t="str">
            <v>N.M.</v>
          </cell>
          <cell r="K280" t="str">
            <v>N.M.</v>
          </cell>
          <cell r="L280" t="str">
            <v>N.M.</v>
          </cell>
          <cell r="M280" t="str">
            <v>N.M.</v>
          </cell>
          <cell r="N280" t="str">
            <v>N.M.</v>
          </cell>
          <cell r="O280" t="str">
            <v>N.M.</v>
          </cell>
          <cell r="P280" t="str">
            <v>N.M.</v>
          </cell>
          <cell r="Q280" t="str">
            <v>N.M.</v>
          </cell>
          <cell r="R280" t="str">
            <v>N.M.</v>
          </cell>
          <cell r="S280" t="str">
            <v>N.M.</v>
          </cell>
          <cell r="T280" t="str">
            <v>N.M.</v>
          </cell>
          <cell r="U280" t="str">
            <v>N.M.</v>
          </cell>
          <cell r="V280" t="str">
            <v>N.M.</v>
          </cell>
          <cell r="W280" t="str">
            <v>N.M.</v>
          </cell>
          <cell r="X280" t="str">
            <v>N.M.</v>
          </cell>
          <cell r="Y280" t="str">
            <v>N.M.</v>
          </cell>
          <cell r="Z280" t="str">
            <v>N.M.</v>
          </cell>
          <cell r="AA280" t="str">
            <v>N.M.</v>
          </cell>
          <cell r="AB280" t="str">
            <v>N.M.</v>
          </cell>
          <cell r="AC280" t="str">
            <v>N.M.</v>
          </cell>
          <cell r="AD280" t="str">
            <v>N.M.</v>
          </cell>
          <cell r="AE280" t="str">
            <v>N.M.</v>
          </cell>
          <cell r="AF280" t="str">
            <v>N.M.</v>
          </cell>
          <cell r="AG280" t="str">
            <v>N.M.</v>
          </cell>
          <cell r="AH280" t="str">
            <v>N.M.</v>
          </cell>
          <cell r="AI280" t="str">
            <v>N.M.</v>
          </cell>
          <cell r="AJ280" t="str">
            <v>N.M.</v>
          </cell>
          <cell r="AK280" t="str">
            <v>N.M.</v>
          </cell>
          <cell r="AL280" t="str">
            <v>N.M.</v>
          </cell>
          <cell r="AM280" t="str">
            <v>N.M.</v>
          </cell>
          <cell r="AN280" t="str">
            <v>N.M.</v>
          </cell>
          <cell r="AO280" t="str">
            <v>N.M.</v>
          </cell>
          <cell r="AP280" t="str">
            <v>N.M.</v>
          </cell>
          <cell r="AQ280" t="str">
            <v>N.M.</v>
          </cell>
          <cell r="AR280" t="str">
            <v>N.M.</v>
          </cell>
          <cell r="AS280" t="str">
            <v>N.M.</v>
          </cell>
          <cell r="AT280" t="str">
            <v>N.M.</v>
          </cell>
          <cell r="AU280" t="str">
            <v>N.M.</v>
          </cell>
          <cell r="AV280" t="str">
            <v>N.M.</v>
          </cell>
          <cell r="AW280" t="str">
            <v>N.M.</v>
          </cell>
          <cell r="AX280" t="str">
            <v>N.M.</v>
          </cell>
          <cell r="AY280">
            <v>-7.0602532032567611E-3</v>
          </cell>
          <cell r="AZ280">
            <v>0.58737359668549405</v>
          </cell>
          <cell r="BA280">
            <v>0.12391149511417199</v>
          </cell>
          <cell r="BK280">
            <v>-6.3819661019634544E-2</v>
          </cell>
          <cell r="BL280" t="e">
            <v>#VALUE!</v>
          </cell>
        </row>
        <row r="281">
          <cell r="A281" t="str">
            <v>New SJM</v>
          </cell>
          <cell r="D281" t="str">
            <v>N.M.</v>
          </cell>
          <cell r="E281" t="str">
            <v>N.M.</v>
          </cell>
          <cell r="F281" t="str">
            <v>N.M.</v>
          </cell>
          <cell r="G281" t="str">
            <v>N.M.</v>
          </cell>
          <cell r="H281" t="str">
            <v>N.M.</v>
          </cell>
          <cell r="I281" t="str">
            <v>N.M.</v>
          </cell>
          <cell r="J281" t="str">
            <v>N.M.</v>
          </cell>
          <cell r="K281" t="str">
            <v>N.M.</v>
          </cell>
          <cell r="L281" t="str">
            <v>N.M.</v>
          </cell>
          <cell r="M281" t="str">
            <v>N.M.</v>
          </cell>
          <cell r="N281" t="str">
            <v>N.M.</v>
          </cell>
          <cell r="O281" t="str">
            <v>N.M.</v>
          </cell>
          <cell r="P281" t="str">
            <v>N.M.</v>
          </cell>
          <cell r="Q281" t="str">
            <v>N.M.</v>
          </cell>
          <cell r="R281" t="str">
            <v>N.M.</v>
          </cell>
          <cell r="S281" t="str">
            <v>N.M.</v>
          </cell>
          <cell r="T281" t="str">
            <v>N.M.</v>
          </cell>
          <cell r="U281" t="str">
            <v>N.M.</v>
          </cell>
          <cell r="V281" t="str">
            <v>N.M.</v>
          </cell>
          <cell r="W281" t="str">
            <v>N.M.</v>
          </cell>
          <cell r="X281" t="str">
            <v>N.M.</v>
          </cell>
          <cell r="Y281" t="str">
            <v>N.M.</v>
          </cell>
          <cell r="Z281" t="str">
            <v>N.M.</v>
          </cell>
          <cell r="AA281" t="str">
            <v>N.M.</v>
          </cell>
          <cell r="AB281" t="str">
            <v>N.M.</v>
          </cell>
          <cell r="AC281" t="str">
            <v>N.M.</v>
          </cell>
          <cell r="AD281" t="str">
            <v>N.M.</v>
          </cell>
          <cell r="AE281" t="str">
            <v>N.M.</v>
          </cell>
          <cell r="AF281" t="str">
            <v>N.M.</v>
          </cell>
          <cell r="AG281" t="str">
            <v>N.M.</v>
          </cell>
          <cell r="AH281" t="str">
            <v>N.M.</v>
          </cell>
          <cell r="AI281" t="str">
            <v>N.M.</v>
          </cell>
          <cell r="AJ281" t="str">
            <v>N.M.</v>
          </cell>
          <cell r="AK281" t="str">
            <v>N.M.</v>
          </cell>
          <cell r="AL281" t="str">
            <v>N.M.</v>
          </cell>
          <cell r="AM281" t="str">
            <v>N.M.</v>
          </cell>
          <cell r="AN281" t="str">
            <v>N.M.</v>
          </cell>
          <cell r="AO281" t="str">
            <v>N.M.</v>
          </cell>
          <cell r="AP281" t="str">
            <v>N.M.</v>
          </cell>
          <cell r="AQ281" t="str">
            <v>N.M.</v>
          </cell>
          <cell r="AR281" t="str">
            <v>N.M.</v>
          </cell>
          <cell r="AS281" t="str">
            <v>N.M.</v>
          </cell>
          <cell r="AT281" t="str">
            <v>N.M.</v>
          </cell>
          <cell r="AU281" t="str">
            <v>N.M.</v>
          </cell>
          <cell r="AV281" t="str">
            <v>N.M.</v>
          </cell>
          <cell r="AW281">
            <v>0.30590165895739441</v>
          </cell>
          <cell r="AX281">
            <v>0.65012716052006403</v>
          </cell>
          <cell r="AY281">
            <v>0.13464718806427989</v>
          </cell>
          <cell r="AZ281">
            <v>0.38611045256437371</v>
          </cell>
          <cell r="BA281">
            <v>0.18635102262051473</v>
          </cell>
          <cell r="BK281">
            <v>6.6765812661224047</v>
          </cell>
          <cell r="BL281" t="e">
            <v>#VALUE!</v>
          </cell>
        </row>
        <row r="282">
          <cell r="A282" t="str">
            <v>Old SJM</v>
          </cell>
          <cell r="D282" t="str">
            <v>N.M.</v>
          </cell>
          <cell r="E282" t="str">
            <v>N.M.</v>
          </cell>
          <cell r="F282" t="str">
            <v>N.M.</v>
          </cell>
          <cell r="G282" t="str">
            <v>N.M.</v>
          </cell>
          <cell r="H282" t="str">
            <v>N.M.</v>
          </cell>
          <cell r="I282" t="str">
            <v>N.M.</v>
          </cell>
          <cell r="J282" t="str">
            <v>N.M.</v>
          </cell>
          <cell r="K282" t="str">
            <v>N.M.</v>
          </cell>
          <cell r="L282" t="str">
            <v>N.M.</v>
          </cell>
          <cell r="M282" t="str">
            <v>N.M.</v>
          </cell>
          <cell r="N282" t="str">
            <v>N.M.</v>
          </cell>
          <cell r="O282" t="str">
            <v>N.M.</v>
          </cell>
          <cell r="P282" t="str">
            <v>N.M.</v>
          </cell>
          <cell r="Q282" t="str">
            <v>N.M.</v>
          </cell>
          <cell r="R282" t="str">
            <v>N.M.</v>
          </cell>
          <cell r="S282" t="str">
            <v>N.M.</v>
          </cell>
          <cell r="T282" t="str">
            <v>N.M.</v>
          </cell>
          <cell r="U282" t="str">
            <v>N.M.</v>
          </cell>
          <cell r="V282" t="str">
            <v>N.M.</v>
          </cell>
          <cell r="W282" t="str">
            <v>N.M.</v>
          </cell>
          <cell r="X282" t="str">
            <v>N.M.</v>
          </cell>
          <cell r="Y282" t="str">
            <v>N.M.</v>
          </cell>
          <cell r="Z282" t="str">
            <v>N.M.</v>
          </cell>
          <cell r="AA282" t="str">
            <v>N.M.</v>
          </cell>
          <cell r="AB282" t="str">
            <v>N.M.</v>
          </cell>
          <cell r="AC282" t="str">
            <v>N.M.</v>
          </cell>
          <cell r="AD282" t="str">
            <v>N.M.</v>
          </cell>
          <cell r="AE282" t="str">
            <v>N.M.</v>
          </cell>
          <cell r="AF282" t="str">
            <v>N.M.</v>
          </cell>
          <cell r="AG282" t="str">
            <v>N.M.</v>
          </cell>
          <cell r="AH282" t="str">
            <v>N.M.</v>
          </cell>
          <cell r="AI282" t="str">
            <v>N.M.</v>
          </cell>
          <cell r="AJ282" t="str">
            <v>N.M.</v>
          </cell>
          <cell r="AK282" t="str">
            <v>N.M.</v>
          </cell>
          <cell r="AL282" t="str">
            <v>N.M.</v>
          </cell>
          <cell r="AM282" t="str">
            <v>N.M.</v>
          </cell>
          <cell r="AN282" t="str">
            <v>N.M.</v>
          </cell>
          <cell r="AO282" t="str">
            <v>N.M.</v>
          </cell>
          <cell r="AP282" t="str">
            <v>N.M.</v>
          </cell>
          <cell r="AQ282" t="str">
            <v>N.M.</v>
          </cell>
          <cell r="AR282">
            <v>-0.30484419570942689</v>
          </cell>
          <cell r="AS282">
            <v>-0.32701754488662971</v>
          </cell>
          <cell r="AT282">
            <v>-0.35110440202352433</v>
          </cell>
          <cell r="AU282">
            <v>-0.33239816115027365</v>
          </cell>
          <cell r="AV282">
            <v>-0.32791877621430943</v>
          </cell>
          <cell r="AW282">
            <v>-0.59038111926489412</v>
          </cell>
          <cell r="AX282">
            <v>-0.45441731799691243</v>
          </cell>
          <cell r="AY282">
            <v>-0.10567356589056653</v>
          </cell>
          <cell r="AZ282">
            <v>0.21034193131689816</v>
          </cell>
          <cell r="BA282">
            <v>-9.4261199342509094E-2</v>
          </cell>
          <cell r="BK282">
            <v>-0.405802609940355</v>
          </cell>
          <cell r="BL282">
            <v>7.788383372604557E-2</v>
          </cell>
        </row>
        <row r="283">
          <cell r="A283" t="str">
            <v>Other Mass Market</v>
          </cell>
          <cell r="D283">
            <v>4.9656657911086644E-2</v>
          </cell>
          <cell r="E283">
            <v>-8.5061861588807242E-2</v>
          </cell>
          <cell r="F283">
            <v>-8.446295437400575E-2</v>
          </cell>
          <cell r="G283">
            <v>-2.6274725835415125E-2</v>
          </cell>
          <cell r="H283">
            <v>-0.16787585389042037</v>
          </cell>
          <cell r="I283" t="str">
            <v>N.M.</v>
          </cell>
          <cell r="J283" t="str">
            <v>N.M.</v>
          </cell>
          <cell r="K283" t="str">
            <v>N.M.</v>
          </cell>
          <cell r="L283" t="str">
            <v>N.M.</v>
          </cell>
          <cell r="M283">
            <v>0.15427894312811197</v>
          </cell>
          <cell r="N283">
            <v>-3.6284284956789037E-2</v>
          </cell>
          <cell r="O283">
            <v>8.8131752679579956E-2</v>
          </cell>
          <cell r="P283">
            <v>1.9617142594859249E-2</v>
          </cell>
          <cell r="Q283">
            <v>0.12963339379537331</v>
          </cell>
          <cell r="R283">
            <v>4.7515816853742177E-2</v>
          </cell>
          <cell r="S283">
            <v>-8.3791201752341227E-3</v>
          </cell>
          <cell r="T283">
            <v>6.4680092309518988E-2</v>
          </cell>
          <cell r="U283">
            <v>5.2785605978953987E-2</v>
          </cell>
          <cell r="V283">
            <v>0.14895037438963543</v>
          </cell>
          <cell r="W283">
            <v>6.5638265911447391E-2</v>
          </cell>
          <cell r="X283">
            <v>0.17961350655231589</v>
          </cell>
          <cell r="Y283">
            <v>-0.16653363672271004</v>
          </cell>
          <cell r="Z283">
            <v>0.22419881485991899</v>
          </cell>
          <cell r="AA283">
            <v>0.20072561908201503</v>
          </cell>
          <cell r="AB283">
            <v>0.11054127036749239</v>
          </cell>
          <cell r="AC283">
            <v>0.4813841646179613</v>
          </cell>
          <cell r="AD283">
            <v>0.90159557655879441</v>
          </cell>
          <cell r="AE283">
            <v>0.12306125027376758</v>
          </cell>
          <cell r="AF283">
            <v>-5.3244344923872311E-2</v>
          </cell>
          <cell r="AG283">
            <v>0.30136889991799753</v>
          </cell>
          <cell r="AH283">
            <v>2.8765113712549528E-2</v>
          </cell>
          <cell r="AI283">
            <v>0.13776422222697704</v>
          </cell>
          <cell r="AJ283">
            <v>0.49842775059904465</v>
          </cell>
          <cell r="AK283">
            <v>0.75629481489603911</v>
          </cell>
          <cell r="AL283">
            <v>0.32803108055802754</v>
          </cell>
          <cell r="BL283">
            <v>0</v>
          </cell>
        </row>
        <row r="284">
          <cell r="B284" t="str">
            <v>______</v>
          </cell>
          <cell r="C284" t="str">
            <v>______</v>
          </cell>
          <cell r="D284" t="str">
            <v>______</v>
          </cell>
          <cell r="E284" t="str">
            <v>______</v>
          </cell>
          <cell r="F284" t="str">
            <v>______</v>
          </cell>
          <cell r="G284" t="str">
            <v>______</v>
          </cell>
          <cell r="H284" t="str">
            <v>______</v>
          </cell>
          <cell r="I284" t="str">
            <v>______</v>
          </cell>
          <cell r="J284" t="str">
            <v>______</v>
          </cell>
          <cell r="K284" t="str">
            <v>______</v>
          </cell>
          <cell r="L284" t="str">
            <v>______</v>
          </cell>
          <cell r="M284" t="str">
            <v>______</v>
          </cell>
          <cell r="N284" t="str">
            <v>______</v>
          </cell>
          <cell r="O284" t="str">
            <v>______</v>
          </cell>
          <cell r="P284" t="str">
            <v>______</v>
          </cell>
          <cell r="Q284" t="str">
            <v>______</v>
          </cell>
          <cell r="R284" t="str">
            <v>______</v>
          </cell>
          <cell r="S284" t="str">
            <v>______</v>
          </cell>
          <cell r="T284" t="str">
            <v>______</v>
          </cell>
          <cell r="U284" t="str">
            <v>______</v>
          </cell>
          <cell r="V284" t="str">
            <v>______</v>
          </cell>
          <cell r="W284" t="str">
            <v>______</v>
          </cell>
          <cell r="X284" t="str">
            <v>______</v>
          </cell>
          <cell r="Y284" t="str">
            <v>______</v>
          </cell>
          <cell r="Z284" t="str">
            <v>______</v>
          </cell>
          <cell r="AA284" t="str">
            <v>______</v>
          </cell>
          <cell r="AB284" t="str">
            <v>______</v>
          </cell>
          <cell r="AC284" t="str">
            <v>______</v>
          </cell>
          <cell r="AD284" t="str">
            <v>______</v>
          </cell>
          <cell r="AE284" t="str">
            <v>______</v>
          </cell>
          <cell r="AF284" t="str">
            <v>______</v>
          </cell>
          <cell r="AG284" t="str">
            <v>______</v>
          </cell>
          <cell r="AH284" t="str">
            <v>______</v>
          </cell>
          <cell r="AI284" t="str">
            <v>______</v>
          </cell>
          <cell r="AJ284" t="str">
            <v>______</v>
          </cell>
          <cell r="AK284" t="str">
            <v>______</v>
          </cell>
          <cell r="AL284" t="str">
            <v>______</v>
          </cell>
          <cell r="AM284" t="str">
            <v>______</v>
          </cell>
          <cell r="AN284" t="str">
            <v>______</v>
          </cell>
          <cell r="AO284" t="str">
            <v>______</v>
          </cell>
          <cell r="AP284" t="str">
            <v>______</v>
          </cell>
          <cell r="AQ284" t="str">
            <v>______</v>
          </cell>
          <cell r="AR284" t="str">
            <v>______</v>
          </cell>
          <cell r="AS284" t="str">
            <v>______</v>
          </cell>
          <cell r="AT284" t="str">
            <v>______</v>
          </cell>
          <cell r="AU284" t="str">
            <v>______</v>
          </cell>
          <cell r="AV284" t="str">
            <v>______</v>
          </cell>
          <cell r="AW284" t="str">
            <v>______</v>
          </cell>
          <cell r="AX284" t="str">
            <v>______</v>
          </cell>
          <cell r="AY284" t="str">
            <v>______</v>
          </cell>
          <cell r="AZ284" t="str">
            <v>______</v>
          </cell>
          <cell r="BA284" t="str">
            <v>______</v>
          </cell>
          <cell r="BK284" t="str">
            <v>______</v>
          </cell>
          <cell r="BL284" t="e">
            <v>#VALUE!</v>
          </cell>
        </row>
        <row r="285">
          <cell r="A285" t="str">
            <v>Total Mass Market</v>
          </cell>
          <cell r="D285">
            <v>4.9656657911086644E-2</v>
          </cell>
          <cell r="E285">
            <v>-8.5061861588807242E-2</v>
          </cell>
          <cell r="F285">
            <v>-8.446295437400575E-2</v>
          </cell>
          <cell r="G285">
            <v>-2.6274725835415125E-2</v>
          </cell>
          <cell r="H285">
            <v>-0.16787585389042037</v>
          </cell>
          <cell r="I285" t="str">
            <v>N.M.</v>
          </cell>
          <cell r="J285" t="str">
            <v>N.M.</v>
          </cell>
          <cell r="K285" t="str">
            <v>N.M.</v>
          </cell>
          <cell r="L285" t="str">
            <v>N.M.</v>
          </cell>
          <cell r="M285">
            <v>0.15427894312811197</v>
          </cell>
          <cell r="N285">
            <v>-3.6284284956789037E-2</v>
          </cell>
          <cell r="O285">
            <v>8.8131752679579956E-2</v>
          </cell>
          <cell r="P285">
            <v>1.9617142594859249E-2</v>
          </cell>
          <cell r="Q285">
            <v>0.12963339379537331</v>
          </cell>
          <cell r="R285">
            <v>4.7515816853742177E-2</v>
          </cell>
          <cell r="S285">
            <v>-8.3791201752341227E-3</v>
          </cell>
          <cell r="T285">
            <v>6.4680092309518988E-2</v>
          </cell>
          <cell r="U285">
            <v>5.2785605978953987E-2</v>
          </cell>
          <cell r="V285">
            <v>0.14895037438963543</v>
          </cell>
          <cell r="W285">
            <v>6.5638265911447391E-2</v>
          </cell>
          <cell r="X285">
            <v>0.17961350655231589</v>
          </cell>
          <cell r="Y285">
            <v>-0.16653363672271004</v>
          </cell>
          <cell r="Z285">
            <v>0.22419881485991899</v>
          </cell>
          <cell r="AA285">
            <v>0.20072561908201503</v>
          </cell>
          <cell r="AB285">
            <v>0.11054127036749239</v>
          </cell>
          <cell r="AC285">
            <v>0.4813841646179613</v>
          </cell>
          <cell r="AD285">
            <v>1.2931036892078374</v>
          </cell>
          <cell r="AE285">
            <v>0.87226179059238773</v>
          </cell>
          <cell r="AF285">
            <v>0.61963728927632111</v>
          </cell>
          <cell r="AG285">
            <v>0.78093957094616173</v>
          </cell>
          <cell r="AH285">
            <v>0.59625230108695404</v>
          </cell>
          <cell r="AI285">
            <v>0.44355609560728526</v>
          </cell>
          <cell r="AJ285">
            <v>0.36381102621686812</v>
          </cell>
          <cell r="AK285">
            <v>0.56209580320581076</v>
          </cell>
          <cell r="AL285">
            <v>0.48355148608583787</v>
          </cell>
          <cell r="AM285">
            <v>0.27654644354034463</v>
          </cell>
          <cell r="AN285">
            <v>0.17248515228973837</v>
          </cell>
          <cell r="AO285">
            <v>6.6284713865562894E-2</v>
          </cell>
          <cell r="AP285">
            <v>0.13413819194537213</v>
          </cell>
          <cell r="AQ285">
            <v>0.15581648221155531</v>
          </cell>
          <cell r="AR285">
            <v>0.35211617223146474</v>
          </cell>
          <cell r="AS285">
            <v>0.16895088321352492</v>
          </cell>
          <cell r="AT285">
            <v>0.41208559979785919</v>
          </cell>
          <cell r="AU285">
            <v>0.31839942372462504</v>
          </cell>
          <cell r="AV285">
            <v>0.31380832906717648</v>
          </cell>
          <cell r="AW285">
            <v>0.25915432679073525</v>
          </cell>
          <cell r="AX285">
            <v>0.29106358826728473</v>
          </cell>
          <cell r="AY285">
            <v>0.23086396067109427</v>
          </cell>
          <cell r="AZ285">
            <v>0.14366063557073927</v>
          </cell>
          <cell r="BA285">
            <v>0.12672300235166678</v>
          </cell>
          <cell r="BK285">
            <v>0.34732741003516732</v>
          </cell>
          <cell r="BL285">
            <v>-3.3519080967990833E-2</v>
          </cell>
        </row>
        <row r="286">
          <cell r="BL286">
            <v>0</v>
          </cell>
        </row>
        <row r="287">
          <cell r="A287" t="str">
            <v>Key Revenue Components</v>
          </cell>
          <cell r="BL287">
            <v>0</v>
          </cell>
        </row>
        <row r="288">
          <cell r="A288" t="str">
            <v>Total Table Revenue</v>
          </cell>
          <cell r="C288">
            <v>1895.8932845995764</v>
          </cell>
          <cell r="D288">
            <v>2144.2134168124958</v>
          </cell>
          <cell r="E288">
            <v>2018.1792057423277</v>
          </cell>
          <cell r="F288">
            <v>2194.2883417659837</v>
          </cell>
          <cell r="G288">
            <v>1788.0614110235351</v>
          </cell>
          <cell r="H288">
            <v>1600.2127752616966</v>
          </cell>
          <cell r="I288">
            <v>517.73439125212087</v>
          </cell>
          <cell r="J288">
            <v>468.88836717837728</v>
          </cell>
          <cell r="K288">
            <v>504.66001046392228</v>
          </cell>
          <cell r="L288">
            <v>467.88034354288664</v>
          </cell>
          <cell r="M288">
            <v>1959.1631124373068</v>
          </cell>
          <cell r="N288">
            <v>541.80882802576639</v>
          </cell>
          <cell r="O288">
            <v>554.0399269594194</v>
          </cell>
          <cell r="P288">
            <v>558.76107261557149</v>
          </cell>
          <cell r="Q288">
            <v>573.93464845442213</v>
          </cell>
          <cell r="R288">
            <v>2228.5444760551795</v>
          </cell>
          <cell r="S288">
            <v>603.17374632115923</v>
          </cell>
          <cell r="T288">
            <v>662.23310504929054</v>
          </cell>
          <cell r="U288">
            <v>660.414760431079</v>
          </cell>
          <cell r="V288">
            <v>740.31134583452376</v>
          </cell>
          <cell r="W288">
            <v>2666.1329576360527</v>
          </cell>
          <cell r="X288">
            <v>828.66257279070874</v>
          </cell>
          <cell r="Y288">
            <v>642.82761029735127</v>
          </cell>
          <cell r="Z288">
            <v>941.59530261341718</v>
          </cell>
          <cell r="AA288">
            <v>1035.2702629825894</v>
          </cell>
          <cell r="AB288">
            <v>3448.3557486840668</v>
          </cell>
          <cell r="AC288">
            <v>1121.3474474926816</v>
          </cell>
          <cell r="AD288">
            <v>1145.40730823325</v>
          </cell>
          <cell r="AE288">
            <v>1334.2003657555961</v>
          </cell>
          <cell r="AF288">
            <v>1334.5290571145167</v>
          </cell>
          <cell r="AG288">
            <v>4935.4841785960443</v>
          </cell>
          <cell r="AH288">
            <v>1289.4886404087426</v>
          </cell>
          <cell r="AI288">
            <v>1376.7339070187459</v>
          </cell>
          <cell r="AJ288">
            <v>1383.1984615854853</v>
          </cell>
          <cell r="AK288">
            <v>1382.0502356661298</v>
          </cell>
          <cell r="AL288">
            <v>5431.4712446791036</v>
          </cell>
          <cell r="AM288">
            <v>1492.5772531741247</v>
          </cell>
          <cell r="AN288">
            <v>1528.7395783512056</v>
          </cell>
          <cell r="AO288">
            <v>1626.642037125717</v>
          </cell>
          <cell r="AP288">
            <v>1975.0538680916068</v>
          </cell>
          <cell r="AQ288">
            <v>6623.0127367426549</v>
          </cell>
          <cell r="AR288">
            <v>2120.857316290118</v>
          </cell>
          <cell r="AS288">
            <v>1878.2599983684229</v>
          </cell>
          <cell r="AT288">
            <v>1913.0006504801811</v>
          </cell>
          <cell r="AU288">
            <v>2207.8702014593828</v>
          </cell>
          <cell r="AV288">
            <v>8119.9881665981047</v>
          </cell>
          <cell r="AW288">
            <v>9001.2384207385985</v>
          </cell>
          <cell r="AX288">
            <v>9958.1353886705128</v>
          </cell>
          <cell r="AY288">
            <v>10758.701284174629</v>
          </cell>
          <cell r="AZ288">
            <v>11354.910003211991</v>
          </cell>
          <cell r="BA288">
            <v>12380.320149448944</v>
          </cell>
          <cell r="BK288">
            <v>7433.1848391300427</v>
          </cell>
          <cell r="BL288">
            <v>686.80332746806198</v>
          </cell>
        </row>
        <row r="289">
          <cell r="A289" t="str">
            <v>VIP Table Revenue</v>
          </cell>
          <cell r="C289">
            <v>1158.4249182304775</v>
          </cell>
          <cell r="D289">
            <v>1373.1958703116916</v>
          </cell>
          <cell r="E289">
            <v>1311.6412933882118</v>
          </cell>
          <cell r="F289">
            <v>1543.9553513896376</v>
          </cell>
          <cell r="G289">
            <v>1152.1755032529654</v>
          </cell>
          <cell r="H289">
            <v>1070.2080149186154</v>
          </cell>
          <cell r="I289">
            <v>356.7836313191666</v>
          </cell>
          <cell r="J289">
            <v>323.12262262629986</v>
          </cell>
          <cell r="K289">
            <v>347.77375070532207</v>
          </cell>
          <cell r="L289">
            <v>322.42796849630065</v>
          </cell>
          <cell r="M289">
            <v>1350.1079731470891</v>
          </cell>
          <cell r="N289">
            <v>386.33383027944319</v>
          </cell>
          <cell r="O289">
            <v>395.05514867652977</v>
          </cell>
          <cell r="P289">
            <v>398.421535841712</v>
          </cell>
          <cell r="Q289">
            <v>409.2409713503929</v>
          </cell>
          <cell r="R289">
            <v>1589.0514861480779</v>
          </cell>
          <cell r="S289">
            <v>448.8076265927283</v>
          </cell>
          <cell r="T289">
            <v>492.75232872959464</v>
          </cell>
          <cell r="U289">
            <v>491.39934057749974</v>
          </cell>
          <cell r="V289">
            <v>550.84854088916359</v>
          </cell>
          <cell r="W289">
            <v>1983.8078367889864</v>
          </cell>
          <cell r="X289">
            <v>646.14830969658385</v>
          </cell>
          <cell r="Y289">
            <v>501.2437962789877</v>
          </cell>
          <cell r="Z289">
            <v>734.20742432344173</v>
          </cell>
          <cell r="AA289">
            <v>807.25032416093984</v>
          </cell>
          <cell r="AB289">
            <v>2688.8498544599533</v>
          </cell>
          <cell r="AC289">
            <v>851.76682704702944</v>
          </cell>
          <cell r="AD289">
            <v>827.74883397630197</v>
          </cell>
          <cell r="AE289">
            <v>954.29704649257633</v>
          </cell>
          <cell r="AF289">
            <v>973.19097327333657</v>
          </cell>
          <cell r="AG289">
            <v>3607.0036807892443</v>
          </cell>
          <cell r="AH289">
            <v>871.38028739791866</v>
          </cell>
          <cell r="AI289">
            <v>926.51373647604282</v>
          </cell>
          <cell r="AJ289">
            <v>873.66750231017863</v>
          </cell>
          <cell r="AK289">
            <v>826.27410821960814</v>
          </cell>
          <cell r="AL289">
            <v>3497.8356344037484</v>
          </cell>
          <cell r="AM289">
            <v>973.27110396866146</v>
          </cell>
          <cell r="AN289">
            <v>1013.2898875543249</v>
          </cell>
          <cell r="AO289">
            <v>1104.6934295107803</v>
          </cell>
          <cell r="AP289">
            <v>1371.0374881365419</v>
          </cell>
          <cell r="AQ289">
            <v>4462.2919091703079</v>
          </cell>
          <cell r="AR289">
            <v>1449.0493350188763</v>
          </cell>
          <cell r="AS289">
            <v>1317.2768538206224</v>
          </cell>
          <cell r="AT289">
            <v>1270.3974439373974</v>
          </cell>
          <cell r="AU289">
            <v>1508.1412369501963</v>
          </cell>
          <cell r="AV289">
            <v>5544.8648697270928</v>
          </cell>
          <cell r="AW289">
            <v>5988.4540593052607</v>
          </cell>
          <cell r="AX289">
            <v>6347.7613028635769</v>
          </cell>
          <cell r="AY289">
            <v>6601.6717549781206</v>
          </cell>
          <cell r="AZ289">
            <v>6799.7219076274641</v>
          </cell>
          <cell r="BA289">
            <v>7003.713564856288</v>
          </cell>
          <cell r="BK289">
            <v>4009.0761184965568</v>
          </cell>
          <cell r="BL289">
            <v>1535.788751230536</v>
          </cell>
        </row>
        <row r="290">
          <cell r="A290" t="str">
            <v>Mass Market Table Revenue</v>
          </cell>
          <cell r="C290">
            <v>737.46836636909893</v>
          </cell>
          <cell r="D290">
            <v>771.0175465008042</v>
          </cell>
          <cell r="E290">
            <v>706.53791235411586</v>
          </cell>
          <cell r="F290">
            <v>650.33299037634606</v>
          </cell>
          <cell r="G290">
            <v>635.8859077705697</v>
          </cell>
          <cell r="H290">
            <v>530.00476034308122</v>
          </cell>
          <cell r="I290">
            <v>160.95075993295427</v>
          </cell>
          <cell r="J290">
            <v>145.76574455207739</v>
          </cell>
          <cell r="K290">
            <v>156.8862597586002</v>
          </cell>
          <cell r="L290">
            <v>145.45237504658596</v>
          </cell>
          <cell r="M290">
            <v>609.05513929021777</v>
          </cell>
          <cell r="N290">
            <v>155.47499774632325</v>
          </cell>
          <cell r="O290">
            <v>158.98477828288966</v>
          </cell>
          <cell r="P290">
            <v>160.33953677385955</v>
          </cell>
          <cell r="Q290">
            <v>164.69367710402926</v>
          </cell>
          <cell r="R290">
            <v>639.49298990710167</v>
          </cell>
          <cell r="S290">
            <v>154.3661197284309</v>
          </cell>
          <cell r="T290">
            <v>169.48077631969596</v>
          </cell>
          <cell r="U290">
            <v>169.0154198535792</v>
          </cell>
          <cell r="V290">
            <v>189.46280494536018</v>
          </cell>
          <cell r="W290">
            <v>682.32512084706627</v>
          </cell>
          <cell r="X290">
            <v>182.51426309412486</v>
          </cell>
          <cell r="Y290">
            <v>141.5838140183636</v>
          </cell>
          <cell r="Z290">
            <v>207.38787828997545</v>
          </cell>
          <cell r="AA290">
            <v>228.0199388216497</v>
          </cell>
          <cell r="AB290">
            <v>759.50589422411349</v>
          </cell>
          <cell r="AC290">
            <v>269.58062044565219</v>
          </cell>
          <cell r="AD290">
            <v>317.65847425694795</v>
          </cell>
          <cell r="AE290">
            <v>379.9033192630198</v>
          </cell>
          <cell r="AF290">
            <v>361.33808384118015</v>
          </cell>
          <cell r="AG290">
            <v>1328.4804978068</v>
          </cell>
          <cell r="AH290">
            <v>418.10835301082398</v>
          </cell>
          <cell r="AI290">
            <v>450.22017054270304</v>
          </cell>
          <cell r="AJ290">
            <v>509.53095927530671</v>
          </cell>
          <cell r="AK290">
            <v>555.77612744652163</v>
          </cell>
          <cell r="AL290">
            <v>1933.6356102753552</v>
          </cell>
          <cell r="AM290">
            <v>519.30614920546327</v>
          </cell>
          <cell r="AN290">
            <v>515.44969079688076</v>
          </cell>
          <cell r="AO290">
            <v>521.94860761493669</v>
          </cell>
          <cell r="AP290">
            <v>604.01637995506485</v>
          </cell>
          <cell r="AQ290">
            <v>2160.7208275723456</v>
          </cell>
          <cell r="AR290">
            <v>671.80798127124172</v>
          </cell>
          <cell r="AS290">
            <v>560.98314454780052</v>
          </cell>
          <cell r="AT290">
            <v>642.60320654278371</v>
          </cell>
          <cell r="AU290">
            <v>699.72896450918643</v>
          </cell>
          <cell r="AV290">
            <v>2575.1232968710124</v>
          </cell>
          <cell r="AW290">
            <v>3012.7843614333378</v>
          </cell>
          <cell r="AX290">
            <v>3610.3740858069359</v>
          </cell>
          <cell r="AY290">
            <v>4157.0295291965085</v>
          </cell>
          <cell r="AZ290">
            <v>4555.1880955845272</v>
          </cell>
          <cell r="BA290">
            <v>5376.606584592656</v>
          </cell>
          <cell r="BK290">
            <v>3424.108720633486</v>
          </cell>
          <cell r="BL290">
            <v>-848.9854237624736</v>
          </cell>
        </row>
        <row r="291">
          <cell r="A291" t="str">
            <v>Total Slot Revenue</v>
          </cell>
          <cell r="C291">
            <v>36.715117150683447</v>
          </cell>
          <cell r="D291">
            <v>41.609301420533271</v>
          </cell>
          <cell r="E291">
            <v>36.965383105988082</v>
          </cell>
          <cell r="F291">
            <v>30.371820162388602</v>
          </cell>
          <cell r="G291">
            <v>26.933570496411342</v>
          </cell>
          <cell r="H291">
            <v>21.543332034627358</v>
          </cell>
          <cell r="I291">
            <v>7.2897512952124828</v>
          </cell>
          <cell r="J291">
            <v>6.6019944583595134</v>
          </cell>
          <cell r="K291">
            <v>7.1056627241318893</v>
          </cell>
          <cell r="L291">
            <v>6.5878013861460829</v>
          </cell>
          <cell r="M291">
            <v>27.146312202215412</v>
          </cell>
          <cell r="N291">
            <v>6.6610268311648326</v>
          </cell>
          <cell r="O291">
            <v>6.8113966183618402</v>
          </cell>
          <cell r="P291">
            <v>6.8694386366213962</v>
          </cell>
          <cell r="Q291">
            <v>7.0559833929251567</v>
          </cell>
          <cell r="R291">
            <v>27.408306391555204</v>
          </cell>
          <cell r="S291">
            <v>6.4113476143876937</v>
          </cell>
          <cell r="T291">
            <v>7.0391104787336474</v>
          </cell>
          <cell r="U291">
            <v>7.0197826490640125</v>
          </cell>
          <cell r="V291">
            <v>7.8690317839083832</v>
          </cell>
          <cell r="W291">
            <v>28.134317393683137</v>
          </cell>
          <cell r="X291">
            <v>7.141008932737833</v>
          </cell>
          <cell r="Y291">
            <v>5.5395740776424418</v>
          </cell>
          <cell r="Z291">
            <v>8.1142079873862372</v>
          </cell>
          <cell r="AA291">
            <v>8.9214529996924057</v>
          </cell>
          <cell r="AB291">
            <v>28.71341040465337</v>
          </cell>
          <cell r="AC291">
            <v>11.371696271254004</v>
          </cell>
          <cell r="AD291">
            <v>19.710709754759932</v>
          </cell>
          <cell r="AE291">
            <v>23.573002667028618</v>
          </cell>
          <cell r="AF291">
            <v>22.421029725697053</v>
          </cell>
          <cell r="AG291">
            <v>77.592537637416328</v>
          </cell>
          <cell r="AH291">
            <v>30.362429044248191</v>
          </cell>
          <cell r="AI291">
            <v>36.791171507453747</v>
          </cell>
          <cell r="AJ291">
            <v>40.734497390320115</v>
          </cell>
          <cell r="AK291">
            <v>43.692373298279279</v>
          </cell>
          <cell r="AL291">
            <v>151.58047124030134</v>
          </cell>
          <cell r="AM291">
            <v>53.187632658696295</v>
          </cell>
          <cell r="AN291">
            <v>55.563876753627298</v>
          </cell>
          <cell r="AO291">
            <v>64.791037395874682</v>
          </cell>
          <cell r="AP291">
            <v>75.863741607846507</v>
          </cell>
          <cell r="AQ291">
            <v>249.40628841604479</v>
          </cell>
          <cell r="AR291">
            <v>102.27011968924069</v>
          </cell>
          <cell r="AS291">
            <v>106.5036695672716</v>
          </cell>
          <cell r="AT291">
            <v>185.92339700749039</v>
          </cell>
          <cell r="AU291">
            <v>196.62459596118438</v>
          </cell>
          <cell r="AV291">
            <v>591.32178222518701</v>
          </cell>
          <cell r="AW291">
            <v>974.25866045587532</v>
          </cell>
          <cell r="AX291">
            <v>1537.1519846093893</v>
          </cell>
          <cell r="AY291">
            <v>2178.8747974938415</v>
          </cell>
          <cell r="AZ291">
            <v>2690.9362735935561</v>
          </cell>
          <cell r="BA291">
            <v>2787.7684200612503</v>
          </cell>
          <cell r="BK291">
            <v>509.64522229542894</v>
          </cell>
          <cell r="BL291">
            <v>81.676559929758071</v>
          </cell>
        </row>
        <row r="292">
          <cell r="BL292">
            <v>0</v>
          </cell>
        </row>
        <row r="293">
          <cell r="A293" t="str">
            <v>Key Revenue Component Growth</v>
          </cell>
          <cell r="BL293">
            <v>0</v>
          </cell>
        </row>
        <row r="294">
          <cell r="A294" t="str">
            <v>Total Table Revenue</v>
          </cell>
          <cell r="D294">
            <v>0.13097790589271807</v>
          </cell>
          <cell r="E294">
            <v>-5.8778762450580002E-2</v>
          </cell>
          <cell r="F294">
            <v>8.7261396571014282E-2</v>
          </cell>
          <cell r="G294">
            <v>-0.1851292389474728</v>
          </cell>
          <cell r="H294">
            <v>-0.10505714994112469</v>
          </cell>
          <cell r="I294" t="str">
            <v>N.M.</v>
          </cell>
          <cell r="J294" t="str">
            <v>N.M.</v>
          </cell>
          <cell r="K294" t="str">
            <v>N.M.</v>
          </cell>
          <cell r="L294" t="str">
            <v>N.M.</v>
          </cell>
          <cell r="M294">
            <v>0.22431413042362935</v>
          </cell>
          <cell r="N294">
            <v>4.6499589713216549E-2</v>
          </cell>
          <cell r="O294">
            <v>0.18160305467473514</v>
          </cell>
          <cell r="P294">
            <v>0.10720299019118906</v>
          </cell>
          <cell r="Q294">
            <v>0.22666971668112912</v>
          </cell>
          <cell r="R294">
            <v>0.13749818068121322</v>
          </cell>
          <cell r="S294">
            <v>0.11325935481522742</v>
          </cell>
          <cell r="T294">
            <v>0.19528047136176108</v>
          </cell>
          <cell r="U294">
            <v>0.18192693227476386</v>
          </cell>
          <cell r="V294">
            <v>0.28988787805048166</v>
          </cell>
          <cell r="W294">
            <v>0.19635618058449666</v>
          </cell>
          <cell r="X294">
            <v>0.3738372696836314</v>
          </cell>
          <cell r="Y294">
            <v>-2.9303117896069097E-2</v>
          </cell>
          <cell r="Z294">
            <v>0.42576356409538829</v>
          </cell>
          <cell r="AA294">
            <v>0.39842549868740718</v>
          </cell>
          <cell r="AB294">
            <v>0.29339226643129535</v>
          </cell>
          <cell r="AC294">
            <v>0.3532015132725137</v>
          </cell>
          <cell r="AD294">
            <v>0.78182655798406286</v>
          </cell>
          <cell r="AE294">
            <v>0.41695732981302625</v>
          </cell>
          <cell r="AF294">
            <v>0.28906345022387647</v>
          </cell>
          <cell r="AG294">
            <v>0.43125725368662526</v>
          </cell>
          <cell r="AH294">
            <v>0.14994566875059334</v>
          </cell>
          <cell r="AI294">
            <v>0.201960121192442</v>
          </cell>
          <cell r="AJ294">
            <v>3.6724690749234012E-2</v>
          </cell>
          <cell r="AK294">
            <v>3.5608950062400391E-2</v>
          </cell>
          <cell r="AL294">
            <v>0.1004941051648045</v>
          </cell>
          <cell r="AM294">
            <v>0.15749546479215737</v>
          </cell>
          <cell r="AN294">
            <v>0.11041034912957226</v>
          </cell>
          <cell r="AO294">
            <v>0.17600046725123275</v>
          </cell>
          <cell r="AP294">
            <v>0.4290753093643207</v>
          </cell>
          <cell r="AQ294">
            <v>0.21937729914907211</v>
          </cell>
          <cell r="AR294">
            <v>0.42093637818738605</v>
          </cell>
          <cell r="AS294">
            <v>0.22863306802992978</v>
          </cell>
          <cell r="AT294">
            <v>0.17604279664409805</v>
          </cell>
          <cell r="AU294">
            <v>0.11787847264780393</v>
          </cell>
          <cell r="AV294">
            <v>0.2260263552794699</v>
          </cell>
          <cell r="AW294">
            <v>0.10852851458153001</v>
          </cell>
          <cell r="AX294">
            <v>0.10630725720221457</v>
          </cell>
          <cell r="AY294">
            <v>8.0393152358114062E-2</v>
          </cell>
          <cell r="AZ294">
            <v>5.5416420931246435E-2</v>
          </cell>
          <cell r="BA294">
            <v>9.0305440196962516E-2</v>
          </cell>
          <cell r="BK294">
            <v>0.17742275055351331</v>
          </cell>
          <cell r="BL294">
            <v>4.8603604725956595E-2</v>
          </cell>
        </row>
        <row r="295">
          <cell r="A295" t="str">
            <v>VIP Table Revenue</v>
          </cell>
          <cell r="D295">
            <v>0.18539911279643562</v>
          </cell>
          <cell r="E295">
            <v>-4.4825780687432371E-2</v>
          </cell>
          <cell r="F295">
            <v>0.17711706635990065</v>
          </cell>
          <cell r="G295">
            <v>-0.2537507627950838</v>
          </cell>
          <cell r="H295">
            <v>-7.114149546048254E-2</v>
          </cell>
          <cell r="I295" t="str">
            <v>N.M.</v>
          </cell>
          <cell r="J295" t="str">
            <v>N.M.</v>
          </cell>
          <cell r="K295" t="str">
            <v>N.M.</v>
          </cell>
          <cell r="L295" t="str">
            <v>N.M.</v>
          </cell>
          <cell r="M295">
            <v>0.26153790134879418</v>
          </cell>
          <cell r="N295">
            <v>8.2823864006928094E-2</v>
          </cell>
          <cell r="O295">
            <v>0.22261680555069607</v>
          </cell>
          <cell r="P295">
            <v>0.14563429538218697</v>
          </cell>
          <cell r="Q295">
            <v>0.26924774317488609</v>
          </cell>
          <cell r="R295">
            <v>0.17698103985269698</v>
          </cell>
          <cell r="S295">
            <v>0.16170935966983913</v>
          </cell>
          <cell r="T295">
            <v>0.24730010577095163</v>
          </cell>
          <cell r="U295">
            <v>0.23336540917488624</v>
          </cell>
          <cell r="V295">
            <v>0.34602490818918041</v>
          </cell>
          <cell r="W295">
            <v>0.24842263078448967</v>
          </cell>
          <cell r="X295">
            <v>0.43969993246779859</v>
          </cell>
          <cell r="Y295">
            <v>1.723272941456333E-2</v>
          </cell>
          <cell r="Z295">
            <v>0.49411560760458162</v>
          </cell>
          <cell r="AA295">
            <v>0.46546693735069167</v>
          </cell>
          <cell r="AB295">
            <v>0.35539834282142757</v>
          </cell>
          <cell r="AC295">
            <v>0.31822186062360713</v>
          </cell>
          <cell r="AD295">
            <v>0.65138968326619362</v>
          </cell>
          <cell r="AE295">
            <v>0.29976490958524837</v>
          </cell>
          <cell r="AF295">
            <v>0.20556281508449858</v>
          </cell>
          <cell r="AG295">
            <v>0.34146712387319189</v>
          </cell>
          <cell r="AH295">
            <v>2.3026795277865775E-2</v>
          </cell>
          <cell r="AI295">
            <v>0.11931747704831985</v>
          </cell>
          <cell r="AJ295">
            <v>-8.4491033980188424E-2</v>
          </cell>
          <cell r="AK295">
            <v>-0.15096406469900991</v>
          </cell>
          <cell r="AL295">
            <v>-3.0265576652145021E-2</v>
          </cell>
          <cell r="AM295">
            <v>0.11693036673460355</v>
          </cell>
          <cell r="AN295">
            <v>9.3658785252695331E-2</v>
          </cell>
          <cell r="AO295">
            <v>0.2644323230401906</v>
          </cell>
          <cell r="AP295">
            <v>0.65930104126189804</v>
          </cell>
          <cell r="AQ295">
            <v>0.27572944402545185</v>
          </cell>
          <cell r="AR295">
            <v>0.48884450499984688</v>
          </cell>
          <cell r="AS295">
            <v>0.30000000000000004</v>
          </cell>
          <cell r="AT295">
            <v>0.14999999999999991</v>
          </cell>
          <cell r="AU295">
            <v>0.10000000000000009</v>
          </cell>
          <cell r="AV295">
            <v>0.24260469341596069</v>
          </cell>
          <cell r="AW295">
            <v>8.0000000000000071E-2</v>
          </cell>
          <cell r="AX295">
            <v>6.0000000000000053E-2</v>
          </cell>
          <cell r="AY295">
            <v>4.0000000000000036E-2</v>
          </cell>
          <cell r="AZ295">
            <v>3.0000000000000027E-2</v>
          </cell>
          <cell r="BA295">
            <v>3.0000000000000027E-2</v>
          </cell>
          <cell r="BK295">
            <v>0.1</v>
          </cell>
          <cell r="BL295">
            <v>0.14260469341596069</v>
          </cell>
        </row>
        <row r="296">
          <cell r="A296" t="str">
            <v>Mass Market Table Revenue</v>
          </cell>
          <cell r="D296">
            <v>4.5492365044596417E-2</v>
          </cell>
          <cell r="E296">
            <v>-8.3629269449604027E-2</v>
          </cell>
          <cell r="F296">
            <v>-7.9549760876242881E-2</v>
          </cell>
          <cell r="G296">
            <v>-2.2214900396512083E-2</v>
          </cell>
          <cell r="H296">
            <v>-0.1665096617704741</v>
          </cell>
          <cell r="I296" t="str">
            <v>N.M.</v>
          </cell>
          <cell r="J296" t="str">
            <v>N.M.</v>
          </cell>
          <cell r="K296" t="str">
            <v>N.M.</v>
          </cell>
          <cell r="L296" t="str">
            <v>N.M.</v>
          </cell>
          <cell r="M296">
            <v>0.14915031875556339</v>
          </cell>
          <cell r="N296">
            <v>-3.4021350311809639E-2</v>
          </cell>
          <cell r="O296">
            <v>9.06868329828312E-2</v>
          </cell>
          <cell r="P296">
            <v>2.2011341341000135E-2</v>
          </cell>
          <cell r="Q296">
            <v>0.13228592555659979</v>
          </cell>
          <cell r="R296">
            <v>4.9975525454650338E-2</v>
          </cell>
          <cell r="S296">
            <v>-7.1321951051037669E-3</v>
          </cell>
          <cell r="T296">
            <v>6.6018886525917919E-2</v>
          </cell>
          <cell r="U296">
            <v>5.4109443336835872E-2</v>
          </cell>
          <cell r="V296">
            <v>0.15039513524059234</v>
          </cell>
          <cell r="W296">
            <v>6.6978264994252301E-2</v>
          </cell>
          <cell r="X296">
            <v>0.18234664066968631</v>
          </cell>
          <cell r="Y296">
            <v>-0.16460251662235492</v>
          </cell>
          <cell r="Z296">
            <v>0.22703525198848085</v>
          </cell>
          <cell r="AA296">
            <v>0.20350766942043919</v>
          </cell>
          <cell r="AB296">
            <v>0.11311436589236501</v>
          </cell>
          <cell r="AC296">
            <v>0.47703864824321229</v>
          </cell>
          <cell r="AD296">
            <v>1.2436072686652393</v>
          </cell>
          <cell r="AE296">
            <v>0.83184920158076214</v>
          </cell>
          <cell r="AF296">
            <v>0.58467757560363109</v>
          </cell>
          <cell r="AG296">
            <v>0.74913783804657963</v>
          </cell>
          <cell r="AH296">
            <v>0.5509584936767189</v>
          </cell>
          <cell r="AI296">
            <v>0.41730886165035352</v>
          </cell>
          <cell r="AJ296">
            <v>0.34121218067731962</v>
          </cell>
          <cell r="AK296">
            <v>0.53810559224308974</v>
          </cell>
          <cell r="AL296">
            <v>0.45552427263148454</v>
          </cell>
          <cell r="AM296">
            <v>0.24203725054978631</v>
          </cell>
          <cell r="AN296">
            <v>0.14488360256171773</v>
          </cell>
          <cell r="AO296">
            <v>2.437074355067903E-2</v>
          </cell>
          <cell r="AP296">
            <v>8.6797993159907882E-2</v>
          </cell>
          <cell r="AQ296">
            <v>0.11743950933167424</v>
          </cell>
          <cell r="AR296">
            <v>0.29366459900216046</v>
          </cell>
          <cell r="AS296">
            <v>8.8337338374430807E-2</v>
          </cell>
          <cell r="AT296">
            <v>0.23116183694632819</v>
          </cell>
          <cell r="AU296">
            <v>0.15846024665960545</v>
          </cell>
          <cell r="AV296">
            <v>0.19178899190057064</v>
          </cell>
          <cell r="AW296">
            <v>0.16995732402177399</v>
          </cell>
          <cell r="AX296">
            <v>0.19835130984591731</v>
          </cell>
          <cell r="AY296">
            <v>0.15141241056946941</v>
          </cell>
          <cell r="AZ296">
            <v>9.5779585781527121E-2</v>
          </cell>
          <cell r="BA296">
            <v>0.18032592107543333</v>
          </cell>
          <cell r="BK296">
            <v>0.28316675864369611</v>
          </cell>
          <cell r="BL296">
            <v>-9.1377766743125477E-2</v>
          </cell>
        </row>
        <row r="297">
          <cell r="A297" t="str">
            <v>Total Slot Revenue</v>
          </cell>
          <cell r="D297">
            <v>0.13330161115279782</v>
          </cell>
          <cell r="E297">
            <v>-0.11160769722160047</v>
          </cell>
          <cell r="F297">
            <v>-0.17837128658167156</v>
          </cell>
          <cell r="G297">
            <v>-0.11320525564796635</v>
          </cell>
          <cell r="H297">
            <v>-0.20013085389113872</v>
          </cell>
          <cell r="I297" t="str">
            <v>N.M.</v>
          </cell>
          <cell r="J297" t="str">
            <v>N.M.</v>
          </cell>
          <cell r="K297" t="str">
            <v>N.M.</v>
          </cell>
          <cell r="L297" t="str">
            <v>N.M.</v>
          </cell>
          <cell r="M297">
            <v>0.26007955308780395</v>
          </cell>
          <cell r="N297">
            <v>-8.6247724865533115E-2</v>
          </cell>
          <cell r="O297">
            <v>3.171801511241501E-2</v>
          </cell>
          <cell r="P297">
            <v>-3.3244483545249226E-2</v>
          </cell>
          <cell r="Q297">
            <v>7.1068020927838482E-2</v>
          </cell>
          <cell r="R297">
            <v>9.6511889861197186E-3</v>
          </cell>
          <cell r="S297">
            <v>-3.7483592711107128E-2</v>
          </cell>
          <cell r="T297">
            <v>3.3431302437733068E-2</v>
          </cell>
          <cell r="U297">
            <v>2.1885924075531138E-2</v>
          </cell>
          <cell r="V297">
            <v>0.11522821777024705</v>
          </cell>
          <cell r="W297">
            <v>2.6488721767632617E-2</v>
          </cell>
          <cell r="X297">
            <v>0.11380779240743522</v>
          </cell>
          <cell r="Y297">
            <v>-0.21302924646822363</v>
          </cell>
          <cell r="Z297">
            <v>0.15590587245149967</v>
          </cell>
          <cell r="AA297">
            <v>0.13374214829531494</v>
          </cell>
          <cell r="AB297">
            <v>2.0583154830699835E-2</v>
          </cell>
          <cell r="AC297">
            <v>0.59244952336085976</v>
          </cell>
          <cell r="AD297">
            <v>2.5581634036291305</v>
          </cell>
          <cell r="AE297">
            <v>1.9051513966210267</v>
          </cell>
          <cell r="AF297">
            <v>1.5131589805461156</v>
          </cell>
          <cell r="AG297">
            <v>1.7023100545674463</v>
          </cell>
          <cell r="AH297">
            <v>1.67</v>
          </cell>
          <cell r="AI297">
            <v>0.86655741803356734</v>
          </cell>
          <cell r="AJ297">
            <v>0.72801479581110606</v>
          </cell>
          <cell r="AK297">
            <v>0.94872286566762098</v>
          </cell>
          <cell r="AL297">
            <v>0.95354444970758223</v>
          </cell>
          <cell r="AM297">
            <v>0.75175815417087222</v>
          </cell>
          <cell r="AN297">
            <v>0.51025027138291246</v>
          </cell>
          <cell r="AO297">
            <v>0.59056921152220254</v>
          </cell>
          <cell r="AP297">
            <v>0.73631542260109328</v>
          </cell>
          <cell r="AQ297">
            <v>0.6453721668450263</v>
          </cell>
          <cell r="AR297">
            <v>0.92281766600716142</v>
          </cell>
          <cell r="AS297">
            <v>0.91677895405883225</v>
          </cell>
          <cell r="AT297">
            <v>1.869585122885042</v>
          </cell>
          <cell r="AU297">
            <v>1.5918125285406131</v>
          </cell>
          <cell r="AV297">
            <v>1.3709176940991119</v>
          </cell>
          <cell r="AW297">
            <v>0.6475947440827714</v>
          </cell>
          <cell r="AX297">
            <v>0.57776578951848867</v>
          </cell>
          <cell r="AY297">
            <v>0.4174751874308138</v>
          </cell>
          <cell r="AZ297">
            <v>0.23501188626748615</v>
          </cell>
          <cell r="BA297">
            <v>3.5984555791201078E-2</v>
          </cell>
          <cell r="BK297">
            <v>1.0289325626855028</v>
          </cell>
          <cell r="BL297">
            <v>0.34198513141360909</v>
          </cell>
        </row>
        <row r="298">
          <cell r="BL298">
            <v>0</v>
          </cell>
        </row>
        <row r="299">
          <cell r="A299" t="str">
            <v>Key Revenue Component Market Share</v>
          </cell>
          <cell r="BL299">
            <v>0</v>
          </cell>
        </row>
        <row r="300">
          <cell r="A300" t="str">
            <v>Total Table Revenue</v>
          </cell>
          <cell r="D300">
            <v>0.98096400907838965</v>
          </cell>
          <cell r="E300">
            <v>0.9820132445636327</v>
          </cell>
          <cell r="F300">
            <v>0.98634765854032214</v>
          </cell>
          <cell r="G300">
            <v>0.98516052618842176</v>
          </cell>
          <cell r="H300">
            <v>0.98671604692117187</v>
          </cell>
          <cell r="I300">
            <v>0.98611539793228609</v>
          </cell>
          <cell r="J300">
            <v>0.98611539793228598</v>
          </cell>
          <cell r="K300">
            <v>0.98611539793228598</v>
          </cell>
          <cell r="L300">
            <v>0.98611539793228609</v>
          </cell>
          <cell r="M300">
            <v>0.98611539793228586</v>
          </cell>
          <cell r="N300">
            <v>0.98785525444620392</v>
          </cell>
          <cell r="O300">
            <v>0.98785525444620403</v>
          </cell>
          <cell r="P300">
            <v>0.98785525444620392</v>
          </cell>
          <cell r="Q300">
            <v>0.98785525444620392</v>
          </cell>
          <cell r="R300">
            <v>0.98785525444620392</v>
          </cell>
          <cell r="S300">
            <v>0.9894824403054292</v>
          </cell>
          <cell r="T300">
            <v>0.98948244030542909</v>
          </cell>
          <cell r="U300">
            <v>0.98948244030542931</v>
          </cell>
          <cell r="V300">
            <v>0.98948244030542909</v>
          </cell>
          <cell r="W300">
            <v>0.9894824403054292</v>
          </cell>
          <cell r="X300">
            <v>0.99145611589984706</v>
          </cell>
          <cell r="Y300">
            <v>0.99145611589984706</v>
          </cell>
          <cell r="Z300">
            <v>0.99145611589984695</v>
          </cell>
          <cell r="AA300">
            <v>0.99145611589984695</v>
          </cell>
          <cell r="AB300">
            <v>0.99145611589984706</v>
          </cell>
          <cell r="AC300">
            <v>0.98996070973651351</v>
          </cell>
          <cell r="AD300">
            <v>0.98308264961106917</v>
          </cell>
          <cell r="AE300">
            <v>0.9826384850261024</v>
          </cell>
          <cell r="AF300">
            <v>0.98347689429173735</v>
          </cell>
          <cell r="AG300">
            <v>0.98462334038273591</v>
          </cell>
          <cell r="AH300">
            <v>0.97699556431254631</v>
          </cell>
          <cell r="AI300">
            <v>0.97397204190688025</v>
          </cell>
          <cell r="AJ300">
            <v>0.97139296682926757</v>
          </cell>
          <cell r="AK300">
            <v>0.96935465558540379</v>
          </cell>
          <cell r="AL300">
            <v>0.97284988945954287</v>
          </cell>
          <cell r="AM300">
            <v>0.96559138252772514</v>
          </cell>
          <cell r="AN300">
            <v>0.96492851380548772</v>
          </cell>
          <cell r="AO300">
            <v>0.96169459000664259</v>
          </cell>
          <cell r="AP300">
            <v>0.96300985410186035</v>
          </cell>
          <cell r="AQ300">
            <v>0.96370909755313061</v>
          </cell>
          <cell r="AR300">
            <v>0.95399718521120791</v>
          </cell>
          <cell r="AS300">
            <v>0.94633936962477583</v>
          </cell>
          <cell r="AT300">
            <v>0.9114196641703004</v>
          </cell>
          <cell r="AU300">
            <v>0.91822623356385957</v>
          </cell>
          <cell r="AV300">
            <v>0.93212022236620551</v>
          </cell>
          <cell r="AW300">
            <v>0.90233482577098645</v>
          </cell>
          <cell r="AX300">
            <v>0.86627981235315565</v>
          </cell>
          <cell r="AY300">
            <v>0.83158554711178578</v>
          </cell>
          <cell r="AZ300">
            <v>0.8084176474266842</v>
          </cell>
          <cell r="BA300">
            <v>0.81620832398981225</v>
          </cell>
          <cell r="BK300">
            <v>0.93583581439435148</v>
          </cell>
          <cell r="BL300">
            <v>-3.7155920281459753E-3</v>
          </cell>
        </row>
        <row r="301">
          <cell r="A301" t="str">
            <v>VIP Table Revenue</v>
          </cell>
          <cell r="D301">
            <v>0.62822838231901657</v>
          </cell>
          <cell r="E301">
            <v>0.6382233641883287</v>
          </cell>
          <cell r="F301">
            <v>0.69401851923815261</v>
          </cell>
          <cell r="G301">
            <v>0.63480919505798827</v>
          </cell>
          <cell r="H301">
            <v>0.6599068812528105</v>
          </cell>
          <cell r="I301">
            <v>0.67955661922156452</v>
          </cell>
          <cell r="J301">
            <v>0.6795566192215643</v>
          </cell>
          <cell r="K301">
            <v>0.67955661922156441</v>
          </cell>
          <cell r="L301">
            <v>0.6795566192215643</v>
          </cell>
          <cell r="M301">
            <v>0.6795566192215643</v>
          </cell>
          <cell r="N301">
            <v>0.70438480229732703</v>
          </cell>
          <cell r="O301">
            <v>0.70438480229732725</v>
          </cell>
          <cell r="P301">
            <v>0.70438480229732714</v>
          </cell>
          <cell r="Q301">
            <v>0.70438480229732703</v>
          </cell>
          <cell r="R301">
            <v>0.70438480229732703</v>
          </cell>
          <cell r="S301">
            <v>0.73625098621617868</v>
          </cell>
          <cell r="T301">
            <v>0.73625098621617846</v>
          </cell>
          <cell r="U301">
            <v>0.73625098621617857</v>
          </cell>
          <cell r="V301">
            <v>0.73625098621617857</v>
          </cell>
          <cell r="W301">
            <v>0.73625098621617857</v>
          </cell>
          <cell r="X301">
            <v>0.77308631337067368</v>
          </cell>
          <cell r="Y301">
            <v>0.77308631337067357</v>
          </cell>
          <cell r="Z301">
            <v>0.77308631337067346</v>
          </cell>
          <cell r="AA301">
            <v>0.77308631337067357</v>
          </cell>
          <cell r="AB301">
            <v>0.77308631337067357</v>
          </cell>
          <cell r="AC301">
            <v>0.75196647971947927</v>
          </cell>
          <cell r="AD301">
            <v>0.71044205067372013</v>
          </cell>
          <cell r="AE301">
            <v>0.70283971440772786</v>
          </cell>
          <cell r="AF301">
            <v>0.7171899561460684</v>
          </cell>
          <cell r="AG301">
            <v>0.71959302966741678</v>
          </cell>
          <cell r="AH301">
            <v>0.66021107044983496</v>
          </cell>
          <cell r="AI301">
            <v>0.65546324614351004</v>
          </cell>
          <cell r="AJ301">
            <v>0.61355943536736657</v>
          </cell>
          <cell r="AK301">
            <v>0.57953946457402572</v>
          </cell>
          <cell r="AL301">
            <v>0.6265096245535553</v>
          </cell>
          <cell r="AM301">
            <v>0.62963721901619363</v>
          </cell>
          <cell r="AN301">
            <v>0.63958068404722113</v>
          </cell>
          <cell r="AO301">
            <v>0.65311093069599224</v>
          </cell>
          <cell r="AP301">
            <v>0.66849954461966765</v>
          </cell>
          <cell r="AQ301">
            <v>0.64930439963492537</v>
          </cell>
          <cell r="AR301">
            <v>0.65180668978632961</v>
          </cell>
          <cell r="AS301">
            <v>0.66369456228040025</v>
          </cell>
          <cell r="AT301">
            <v>0.60526127444107014</v>
          </cell>
          <cell r="AU301">
            <v>0.62721750887881389</v>
          </cell>
          <cell r="AV301">
            <v>0.63651332604415989</v>
          </cell>
          <cell r="AW301">
            <v>0.60031635622394453</v>
          </cell>
          <cell r="AX301">
            <v>0.55220553403637074</v>
          </cell>
          <cell r="AY301">
            <v>0.51027114455637257</v>
          </cell>
          <cell r="AZ301">
            <v>0.48410909343754599</v>
          </cell>
          <cell r="BA301">
            <v>0.46174002299371142</v>
          </cell>
          <cell r="BK301">
            <v>0.50474152002404316</v>
          </cell>
          <cell r="BL301">
            <v>0.13177180602011673</v>
          </cell>
        </row>
        <row r="302">
          <cell r="A302" t="str">
            <v>Mass Market Table Revenue</v>
          </cell>
          <cell r="D302">
            <v>0.35273562675937314</v>
          </cell>
          <cell r="E302">
            <v>0.343789880375304</v>
          </cell>
          <cell r="F302">
            <v>0.29232913930216953</v>
          </cell>
          <cell r="G302">
            <v>0.35035133113043349</v>
          </cell>
          <cell r="H302">
            <v>0.32680916566836138</v>
          </cell>
          <cell r="I302">
            <v>0.30655877871072151</v>
          </cell>
          <cell r="J302">
            <v>0.30655877871072162</v>
          </cell>
          <cell r="K302">
            <v>0.30655877871072168</v>
          </cell>
          <cell r="L302">
            <v>0.30655877871072168</v>
          </cell>
          <cell r="M302">
            <v>0.30655877871072157</v>
          </cell>
          <cell r="N302">
            <v>0.28347045214887701</v>
          </cell>
          <cell r="O302">
            <v>0.28347045214887678</v>
          </cell>
          <cell r="P302">
            <v>0.28347045214887689</v>
          </cell>
          <cell r="Q302">
            <v>0.28347045214887695</v>
          </cell>
          <cell r="R302">
            <v>0.28347045214887684</v>
          </cell>
          <cell r="S302">
            <v>0.25323145408925052</v>
          </cell>
          <cell r="T302">
            <v>0.25323145408925068</v>
          </cell>
          <cell r="U302">
            <v>0.25323145408925063</v>
          </cell>
          <cell r="V302">
            <v>0.25323145408925057</v>
          </cell>
          <cell r="W302">
            <v>0.25323145408925063</v>
          </cell>
          <cell r="X302">
            <v>0.2183698025291734</v>
          </cell>
          <cell r="Y302">
            <v>0.21836980252917348</v>
          </cell>
          <cell r="Z302">
            <v>0.21836980252917348</v>
          </cell>
          <cell r="AA302">
            <v>0.21836980252917348</v>
          </cell>
          <cell r="AB302">
            <v>0.2183698025291734</v>
          </cell>
          <cell r="AC302">
            <v>0.23799423001703426</v>
          </cell>
          <cell r="AD302">
            <v>0.27264059893734899</v>
          </cell>
          <cell r="AE302">
            <v>0.2797987706183746</v>
          </cell>
          <cell r="AF302">
            <v>0.26628693814566895</v>
          </cell>
          <cell r="AG302">
            <v>0.26503031071531913</v>
          </cell>
          <cell r="AH302">
            <v>0.31678449386271129</v>
          </cell>
          <cell r="AI302">
            <v>0.3185087957633701</v>
          </cell>
          <cell r="AJ302">
            <v>0.35783353146190106</v>
          </cell>
          <cell r="AK302">
            <v>0.38981519101137807</v>
          </cell>
          <cell r="AL302">
            <v>0.34634026490598763</v>
          </cell>
          <cell r="AM302">
            <v>0.33595416351153146</v>
          </cell>
          <cell r="AN302">
            <v>0.32534782975826659</v>
          </cell>
          <cell r="AO302">
            <v>0.30858365931065035</v>
          </cell>
          <cell r="AP302">
            <v>0.2945103094821927</v>
          </cell>
          <cell r="AQ302">
            <v>0.31440469791820502</v>
          </cell>
          <cell r="AR302">
            <v>0.30219049542487825</v>
          </cell>
          <cell r="AS302">
            <v>0.28264480734437553</v>
          </cell>
          <cell r="AT302">
            <v>0.30615838972923015</v>
          </cell>
          <cell r="AU302">
            <v>0.29100872468504568</v>
          </cell>
          <cell r="AV302">
            <v>0.29560689632204579</v>
          </cell>
          <cell r="AW302">
            <v>0.30201846954704187</v>
          </cell>
          <cell r="AX302">
            <v>0.31407427831678497</v>
          </cell>
          <cell r="AY302">
            <v>0.32131440255541321</v>
          </cell>
          <cell r="AZ302">
            <v>0.32430855398913816</v>
          </cell>
          <cell r="BA302">
            <v>0.35446830099610083</v>
          </cell>
          <cell r="BK302">
            <v>0.43109429437030827</v>
          </cell>
          <cell r="BL302">
            <v>-0.13548739804826249</v>
          </cell>
        </row>
        <row r="303">
          <cell r="A303" t="str">
            <v>Total Slot Revenue</v>
          </cell>
          <cell r="D303">
            <v>1.9035990921610197E-2</v>
          </cell>
          <cell r="E303">
            <v>1.7986755436367203E-2</v>
          </cell>
          <cell r="F303">
            <v>1.3652341459677962E-2</v>
          </cell>
          <cell r="G303">
            <v>1.4839473811578331E-2</v>
          </cell>
          <cell r="H303">
            <v>1.328395307882815E-2</v>
          </cell>
          <cell r="I303">
            <v>1.3884602067714016E-2</v>
          </cell>
          <cell r="J303">
            <v>1.3884602067714E-2</v>
          </cell>
          <cell r="K303">
            <v>1.3884602067713971E-2</v>
          </cell>
          <cell r="L303">
            <v>1.3884602067714021E-2</v>
          </cell>
          <cell r="M303">
            <v>1.3663689505862079E-2</v>
          </cell>
          <cell r="N303">
            <v>1.2144745553795961E-2</v>
          </cell>
          <cell r="O303">
            <v>1.2144745553795962E-2</v>
          </cell>
          <cell r="P303">
            <v>1.2144745553795943E-2</v>
          </cell>
          <cell r="Q303">
            <v>1.2144745553795924E-2</v>
          </cell>
          <cell r="R303">
            <v>1.2149382601641594E-2</v>
          </cell>
          <cell r="S303">
            <v>1.0517559694570851E-2</v>
          </cell>
          <cell r="T303">
            <v>1.0517559694570796E-2</v>
          </cell>
          <cell r="U303">
            <v>1.0517559694570834E-2</v>
          </cell>
          <cell r="V303">
            <v>1.0517559694570799E-2</v>
          </cell>
          <cell r="W303">
            <v>1.0441494656632659E-2</v>
          </cell>
          <cell r="X303">
            <v>8.5438841001529396E-3</v>
          </cell>
          <cell r="Y303">
            <v>8.5438841001529448E-3</v>
          </cell>
          <cell r="Z303">
            <v>8.5438841001529431E-3</v>
          </cell>
          <cell r="AA303">
            <v>8.5438841001529136E-3</v>
          </cell>
          <cell r="AB303">
            <v>8.2555537852785753E-3</v>
          </cell>
          <cell r="AC303">
            <v>1.0039290263486465E-2</v>
          </cell>
          <cell r="AD303">
            <v>1.6917350388930965E-2</v>
          </cell>
          <cell r="AE303">
            <v>1.7361514973897478E-2</v>
          </cell>
          <cell r="AF303">
            <v>1.6523105708262664E-2</v>
          </cell>
          <cell r="AG303">
            <v>1.5479620809778124E-2</v>
          </cell>
          <cell r="AH303">
            <v>2.3004435687453605E-2</v>
          </cell>
          <cell r="AI303">
            <v>2.6027958093119762E-2</v>
          </cell>
          <cell r="AJ303">
            <v>2.8607033170732481E-2</v>
          </cell>
          <cell r="AK303">
            <v>3.0645344414596206E-2</v>
          </cell>
          <cell r="AL303">
            <v>2.7150110540457247E-2</v>
          </cell>
          <cell r="AM303">
            <v>3.4408617472274951E-2</v>
          </cell>
          <cell r="AN303">
            <v>3.5071486194512308E-2</v>
          </cell>
          <cell r="AO303">
            <v>3.8305409993357444E-2</v>
          </cell>
          <cell r="AP303">
            <v>3.6990145898139599E-2</v>
          </cell>
          <cell r="AQ303">
            <v>3.6290902446869569E-2</v>
          </cell>
          <cell r="AR303">
            <v>4.600281478879209E-2</v>
          </cell>
          <cell r="AS303">
            <v>5.3660630375224241E-2</v>
          </cell>
          <cell r="AT303">
            <v>8.8580335829699652E-2</v>
          </cell>
          <cell r="AU303">
            <v>8.1773766436140483E-2</v>
          </cell>
          <cell r="AV303">
            <v>6.7879777633794533E-2</v>
          </cell>
          <cell r="AW303">
            <v>9.7665174229013649E-2</v>
          </cell>
          <cell r="AX303">
            <v>0.13372018764684437</v>
          </cell>
          <cell r="AY303">
            <v>0.16841445288821419</v>
          </cell>
          <cell r="AZ303">
            <v>0.19158235257331585</v>
          </cell>
          <cell r="BA303">
            <v>0.18379167601018778</v>
          </cell>
          <cell r="BK303">
            <v>6.4164185605648572E-2</v>
          </cell>
          <cell r="BL303">
            <v>3.7155920281459615E-3</v>
          </cell>
        </row>
        <row r="304">
          <cell r="BL304">
            <v>0</v>
          </cell>
        </row>
        <row r="305">
          <cell r="A305" t="str">
            <v>Daily Win per Position Summary</v>
          </cell>
          <cell r="BL305">
            <v>0</v>
          </cell>
        </row>
        <row r="306">
          <cell r="A306" t="str">
            <v>Average Positions</v>
          </cell>
          <cell r="X306">
            <v>4679.333333333333</v>
          </cell>
          <cell r="Y306">
            <v>4679.333333333333</v>
          </cell>
          <cell r="Z306">
            <v>4679.333333333333</v>
          </cell>
          <cell r="AA306">
            <v>4701</v>
          </cell>
          <cell r="AB306">
            <v>4684.75</v>
          </cell>
          <cell r="AC306">
            <v>4701</v>
          </cell>
          <cell r="AD306">
            <v>6225.7509157509157</v>
          </cell>
          <cell r="AE306">
            <v>7475.6666666666661</v>
          </cell>
          <cell r="AF306">
            <v>10084.304347826088</v>
          </cell>
          <cell r="AG306">
            <v>7121.6804825609161</v>
          </cell>
          <cell r="AH306">
            <v>12497</v>
          </cell>
          <cell r="AI306">
            <v>13279.833333333334</v>
          </cell>
          <cell r="AJ306">
            <v>13680.666666666668</v>
          </cell>
          <cell r="AK306">
            <v>14503.833333333334</v>
          </cell>
          <cell r="AL306">
            <v>13490.333333333334</v>
          </cell>
          <cell r="AM306">
            <v>16939.499999999996</v>
          </cell>
          <cell r="AN306">
            <v>20359.333333333328</v>
          </cell>
          <cell r="AO306">
            <v>23441.333333333328</v>
          </cell>
          <cell r="AP306">
            <v>28194.538647342993</v>
          </cell>
          <cell r="AQ306">
            <v>22233.676328502414</v>
          </cell>
          <cell r="AR306">
            <v>31805.313043478258</v>
          </cell>
          <cell r="AS306">
            <v>36425.313043478258</v>
          </cell>
          <cell r="AT306">
            <v>49924.513043478255</v>
          </cell>
          <cell r="AU306">
            <v>54109.313043478258</v>
          </cell>
          <cell r="AV306">
            <v>43066.113043478254</v>
          </cell>
          <cell r="AW306">
            <v>64954.391304347824</v>
          </cell>
          <cell r="AX306">
            <v>96016.891304347824</v>
          </cell>
          <cell r="AY306">
            <v>119079.39130434782</v>
          </cell>
          <cell r="AZ306">
            <v>139629.39130434784</v>
          </cell>
          <cell r="BA306">
            <v>139929.39130434784</v>
          </cell>
          <cell r="BK306">
            <v>44799.843478260867</v>
          </cell>
          <cell r="BL306">
            <v>-1733.7304347826139</v>
          </cell>
        </row>
        <row r="307">
          <cell r="A307" t="str">
            <v xml:space="preserve">  Year-over-Year growth</v>
          </cell>
          <cell r="AC307">
            <v>4.6302892149878705E-3</v>
          </cell>
          <cell r="AD307">
            <v>0.33047818401857443</v>
          </cell>
          <cell r="AE307">
            <v>0.59759224960820623</v>
          </cell>
          <cell r="AF307">
            <v>1.1451402569296083</v>
          </cell>
          <cell r="AG307">
            <v>0.52018367737038607</v>
          </cell>
          <cell r="AH307">
            <v>1.658370559455435</v>
          </cell>
          <cell r="AI307">
            <v>1.1330492518960011</v>
          </cell>
          <cell r="AJ307">
            <v>0.8300263075756904</v>
          </cell>
          <cell r="AK307">
            <v>0.43825819144976319</v>
          </cell>
          <cell r="AL307">
            <v>0.89426264859362048</v>
          </cell>
          <cell r="AM307">
            <v>0.35548531647595394</v>
          </cell>
          <cell r="AN307">
            <v>0.5331015700498245</v>
          </cell>
          <cell r="AO307">
            <v>0.71346425612786857</v>
          </cell>
          <cell r="AP307">
            <v>0.94393702680967051</v>
          </cell>
          <cell r="AQ307">
            <v>0.64811912197640864</v>
          </cell>
          <cell r="AR307">
            <v>0.87758275294301868</v>
          </cell>
          <cell r="AS307">
            <v>0.78912110957193748</v>
          </cell>
          <cell r="AT307">
            <v>1.1297642217512482</v>
          </cell>
          <cell r="AU307">
            <v>0.91914163662250337</v>
          </cell>
          <cell r="AV307">
            <v>0.93697670179131576</v>
          </cell>
          <cell r="AW307">
            <v>0.50824828882912709</v>
          </cell>
          <cell r="AX307">
            <v>0.47822016920233668</v>
          </cell>
          <cell r="AY307">
            <v>0.24019211293665044</v>
          </cell>
          <cell r="AZ307">
            <v>0.17257394226577394</v>
          </cell>
          <cell r="BA307">
            <v>2.1485447812781278E-3</v>
          </cell>
          <cell r="BK307">
            <v>0.94087187960905649</v>
          </cell>
          <cell r="BL307">
            <v>-3.8951778177407359E-3</v>
          </cell>
        </row>
        <row r="308">
          <cell r="A308" t="str">
            <v>Average VIP Positions</v>
          </cell>
          <cell r="X308">
            <v>1829.9999999999995</v>
          </cell>
          <cell r="Y308">
            <v>1829.9999999999995</v>
          </cell>
          <cell r="Z308">
            <v>1829.9999999999995</v>
          </cell>
          <cell r="AA308">
            <v>1830</v>
          </cell>
          <cell r="AB308">
            <v>1830</v>
          </cell>
          <cell r="AC308">
            <v>1830</v>
          </cell>
          <cell r="AD308">
            <v>1848.7912087912091</v>
          </cell>
          <cell r="AE308">
            <v>1840</v>
          </cell>
          <cell r="AF308">
            <v>2273.04347826087</v>
          </cell>
          <cell r="AG308">
            <v>1947.9586717630191</v>
          </cell>
          <cell r="AH308">
            <v>2760</v>
          </cell>
          <cell r="AI308">
            <v>2860</v>
          </cell>
          <cell r="AJ308">
            <v>2880</v>
          </cell>
          <cell r="AK308">
            <v>2945</v>
          </cell>
          <cell r="AL308">
            <v>2861.25</v>
          </cell>
          <cell r="AM308">
            <v>3739.9999999999964</v>
          </cell>
          <cell r="AN308">
            <v>4989.9999999999927</v>
          </cell>
          <cell r="AO308">
            <v>5599.7101449275324</v>
          </cell>
          <cell r="AP308">
            <v>5356.6666666666606</v>
          </cell>
          <cell r="AQ308">
            <v>4921.5942028985482</v>
          </cell>
          <cell r="AR308">
            <v>5334.4666666666635</v>
          </cell>
          <cell r="AS308">
            <v>6654.4666666666635</v>
          </cell>
          <cell r="AT308">
            <v>8594.4666666666672</v>
          </cell>
          <cell r="AU308">
            <v>9144.4666666666672</v>
          </cell>
          <cell r="AV308">
            <v>7431.9666666666599</v>
          </cell>
          <cell r="AW308">
            <v>9478.1666666666642</v>
          </cell>
          <cell r="AX308">
            <v>13228.166666666672</v>
          </cell>
          <cell r="AY308">
            <v>16453.166666666672</v>
          </cell>
          <cell r="AZ308">
            <v>19703.166666666686</v>
          </cell>
          <cell r="BA308">
            <v>19703.166666666686</v>
          </cell>
          <cell r="BK308">
            <v>10078.09782608696</v>
          </cell>
          <cell r="BL308">
            <v>-2646.1311594202998</v>
          </cell>
        </row>
        <row r="309">
          <cell r="A309" t="str">
            <v xml:space="preserve">  Year-over-Year growth</v>
          </cell>
          <cell r="AC309">
            <v>0</v>
          </cell>
          <cell r="AD309">
            <v>1.0268420104486031E-2</v>
          </cell>
          <cell r="AE309">
            <v>5.464480874317168E-3</v>
          </cell>
          <cell r="AF309">
            <v>0.24210026134473761</v>
          </cell>
          <cell r="AG309">
            <v>6.4458290580884814E-2</v>
          </cell>
          <cell r="AH309">
            <v>0.50819672131147531</v>
          </cell>
          <cell r="AI309">
            <v>0.54695672848311916</v>
          </cell>
          <cell r="AJ309">
            <v>0.56521739130434789</v>
          </cell>
          <cell r="AK309">
            <v>0.29561973986227974</v>
          </cell>
          <cell r="AL309">
            <v>0.46884533099996295</v>
          </cell>
          <cell r="AM309">
            <v>0.35507246376811463</v>
          </cell>
          <cell r="AN309">
            <v>0.74475524475524213</v>
          </cell>
          <cell r="AO309">
            <v>0.94434380032205989</v>
          </cell>
          <cell r="AP309">
            <v>0.81890209394453661</v>
          </cell>
          <cell r="AQ309">
            <v>0.7200853483262728</v>
          </cell>
          <cell r="AR309">
            <v>0.42632798573975106</v>
          </cell>
          <cell r="AS309">
            <v>0.33356045424181824</v>
          </cell>
          <cell r="AT309">
            <v>0.53480563176147955</v>
          </cell>
          <cell r="AU309">
            <v>0.70711885500933613</v>
          </cell>
          <cell r="AV309">
            <v>0.51007302924114306</v>
          </cell>
          <cell r="AW309">
            <v>0.27532416273844151</v>
          </cell>
          <cell r="AX309">
            <v>0.39564613409766403</v>
          </cell>
          <cell r="AY309">
            <v>0.24379795638095469</v>
          </cell>
          <cell r="AZ309">
            <v>0.19753036396235868</v>
          </cell>
          <cell r="BA309">
            <v>0</v>
          </cell>
          <cell r="BK309">
            <v>0.88193406087833237</v>
          </cell>
          <cell r="BL309">
            <v>-0.37186103163718931</v>
          </cell>
        </row>
        <row r="310">
          <cell r="A310" t="str">
            <v>Average Mass Market Positions</v>
          </cell>
          <cell r="X310">
            <v>2849.3333333333335</v>
          </cell>
          <cell r="Y310">
            <v>2849.3333333333335</v>
          </cell>
          <cell r="Z310">
            <v>2849.3333333333335</v>
          </cell>
          <cell r="AA310">
            <v>2871</v>
          </cell>
          <cell r="AB310">
            <v>2854.75</v>
          </cell>
          <cell r="AC310">
            <v>2871</v>
          </cell>
          <cell r="AD310">
            <v>4376.9597069597066</v>
          </cell>
          <cell r="AE310">
            <v>5635.6666666666661</v>
          </cell>
          <cell r="AF310">
            <v>7811.2608695652179</v>
          </cell>
          <cell r="AG310">
            <v>5173.721810797897</v>
          </cell>
          <cell r="AH310">
            <v>9737</v>
          </cell>
          <cell r="AI310">
            <v>10419.833333333334</v>
          </cell>
          <cell r="AJ310">
            <v>10800.666666666668</v>
          </cell>
          <cell r="AK310">
            <v>11558.833333333334</v>
          </cell>
          <cell r="AL310">
            <v>10629.083333333334</v>
          </cell>
          <cell r="AM310">
            <v>13199.5</v>
          </cell>
          <cell r="AN310">
            <v>15369.333333333336</v>
          </cell>
          <cell r="AO310">
            <v>17841.623188405796</v>
          </cell>
          <cell r="AP310">
            <v>22837.871980676333</v>
          </cell>
          <cell r="AQ310">
            <v>17312.082125603865</v>
          </cell>
          <cell r="AR310">
            <v>26470.846376811594</v>
          </cell>
          <cell r="AS310">
            <v>29770.846376811594</v>
          </cell>
          <cell r="AT310">
            <v>41330.046376811588</v>
          </cell>
          <cell r="AU310">
            <v>44964.846376811591</v>
          </cell>
          <cell r="AV310">
            <v>35634.146376811594</v>
          </cell>
          <cell r="AW310">
            <v>55476.22463768116</v>
          </cell>
          <cell r="AX310">
            <v>82788.724637681153</v>
          </cell>
          <cell r="AY310">
            <v>102626.22463768115</v>
          </cell>
          <cell r="AZ310">
            <v>119926.22463768115</v>
          </cell>
          <cell r="BA310">
            <v>120226.22463768115</v>
          </cell>
          <cell r="BK310">
            <v>34721.745652173908</v>
          </cell>
          <cell r="BL310">
            <v>912.40072463768593</v>
          </cell>
        </row>
        <row r="311">
          <cell r="A311" t="str">
            <v xml:space="preserve">  Year-over-Year growth</v>
          </cell>
          <cell r="AC311">
            <v>7.6041179223209632E-3</v>
          </cell>
          <cell r="AD311">
            <v>0.53613466552165634</v>
          </cell>
          <cell r="AE311">
            <v>0.97788956481048173</v>
          </cell>
          <cell r="AF311">
            <v>1.7207456877621796</v>
          </cell>
          <cell r="AG311">
            <v>0.81232045215794613</v>
          </cell>
          <cell r="AH311">
            <v>2.3915012190874259</v>
          </cell>
          <cell r="AI311">
            <v>1.3806098367241049</v>
          </cell>
          <cell r="AJ311">
            <v>0.91648429644525975</v>
          </cell>
          <cell r="AK311">
            <v>0.47976537032192468</v>
          </cell>
          <cell r="AL311">
            <v>1.0544365781611487</v>
          </cell>
          <cell r="AM311">
            <v>0.35560234158365001</v>
          </cell>
          <cell r="AN311">
            <v>0.47500759769030232</v>
          </cell>
          <cell r="AO311">
            <v>0.65190017792782484</v>
          </cell>
          <cell r="AP311">
            <v>0.97579386449119698</v>
          </cell>
          <cell r="AQ311">
            <v>0.62874648572114533</v>
          </cell>
          <cell r="AR311">
            <v>1.0054431135127539</v>
          </cell>
          <cell r="AS311">
            <v>0.93702913009531463</v>
          </cell>
          <cell r="AT311">
            <v>1.3164958670167137</v>
          </cell>
          <cell r="AU311">
            <v>0.96887198662193308</v>
          </cell>
          <cell r="AV311">
            <v>1.0583397258790805</v>
          </cell>
          <cell r="AW311">
            <v>0.55682765769244047</v>
          </cell>
          <cell r="AX311">
            <v>0.49232802301129386</v>
          </cell>
          <cell r="AY311">
            <v>0.23961596324641277</v>
          </cell>
          <cell r="AZ311">
            <v>0.1685728970453424</v>
          </cell>
          <cell r="BA311">
            <v>2.5015379322275155E-3</v>
          </cell>
          <cell r="BK311">
            <v>0.95867636216824947</v>
          </cell>
          <cell r="BL311">
            <v>9.9663363710831065E-2</v>
          </cell>
        </row>
        <row r="312">
          <cell r="BL312">
            <v>0</v>
          </cell>
        </row>
        <row r="313">
          <cell r="A313" t="str">
            <v>Daily Win/Position (US$)</v>
          </cell>
          <cell r="X313">
            <v>1984.6216975909358</v>
          </cell>
          <cell r="Y313">
            <v>1522.6344452224507</v>
          </cell>
          <cell r="Z313">
            <v>2206.0684135316028</v>
          </cell>
          <cell r="AA313">
            <v>2414.3607650136464</v>
          </cell>
          <cell r="AB313">
            <v>2034.0390337821721</v>
          </cell>
          <cell r="AC313">
            <v>2647.8330394139557</v>
          </cell>
          <cell r="AD313">
            <v>2056.5382194736676</v>
          </cell>
          <cell r="AE313">
            <v>1974.1926488393624</v>
          </cell>
          <cell r="AF313">
            <v>1462.6152639704985</v>
          </cell>
          <cell r="AG313">
            <v>1923.074314419533</v>
          </cell>
          <cell r="AH313">
            <v>1173.4825864456277</v>
          </cell>
          <cell r="AI313">
            <v>1169.6865639252771</v>
          </cell>
          <cell r="AJ313">
            <v>1131.3434162161072</v>
          </cell>
          <cell r="AK313">
            <v>1068.4900960448804</v>
          </cell>
          <cell r="AL313">
            <v>1133.8513082263344</v>
          </cell>
          <cell r="AM313">
            <v>1013.9121814777565</v>
          </cell>
          <cell r="AN313">
            <v>855.13252290882599</v>
          </cell>
          <cell r="AO313">
            <v>784.30445286239956</v>
          </cell>
          <cell r="AP313">
            <v>790.67024266507394</v>
          </cell>
          <cell r="AQ313">
            <v>846.84804241168968</v>
          </cell>
          <cell r="AR313">
            <v>776.64432736628203</v>
          </cell>
          <cell r="AS313">
            <v>598.77562977980131</v>
          </cell>
          <cell r="AT313">
            <v>456.97775360672165</v>
          </cell>
          <cell r="AU313">
            <v>483.01875491267333</v>
          </cell>
          <cell r="AV313">
            <v>554.18520300220416</v>
          </cell>
          <cell r="AW313">
            <v>420.75875765684395</v>
          </cell>
          <cell r="AX313">
            <v>328.00414157503479</v>
          </cell>
          <cell r="AY313">
            <v>297.66203483343799</v>
          </cell>
          <cell r="AZ313">
            <v>275.59935814306453</v>
          </cell>
          <cell r="BA313">
            <v>296.16983649902596</v>
          </cell>
          <cell r="BK313">
            <v>485.74228302918874</v>
          </cell>
          <cell r="BL313">
            <v>68.442919973015421</v>
          </cell>
        </row>
        <row r="314">
          <cell r="A314" t="str">
            <v xml:space="preserve">  Year-over-Year growth</v>
          </cell>
          <cell r="AC314">
            <v>0.33417519451090816</v>
          </cell>
          <cell r="AD314">
            <v>0.35064474991120775</v>
          </cell>
          <cell r="AE314">
            <v>-0.10510814772105825</v>
          </cell>
          <cell r="AF314">
            <v>-0.39420185865958124</v>
          </cell>
          <cell r="AG314">
            <v>-5.455387901593356E-2</v>
          </cell>
          <cell r="AH314">
            <v>-0.55681397996855786</v>
          </cell>
          <cell r="AI314">
            <v>-0.43123519278691713</v>
          </cell>
          <cell r="AJ314">
            <v>-0.42693362935920687</v>
          </cell>
          <cell r="AK314">
            <v>-0.26946605688751224</v>
          </cell>
          <cell r="AL314">
            <v>-0.41039651992409887</v>
          </cell>
          <cell r="AM314">
            <v>-0.13598020695918078</v>
          </cell>
          <cell r="AN314">
            <v>-0.2689216502247056</v>
          </cell>
          <cell r="AO314">
            <v>-0.30674944351947053</v>
          </cell>
          <cell r="AP314">
            <v>-0.26001163174856134</v>
          </cell>
          <cell r="AQ314">
            <v>-0.25312248945904503</v>
          </cell>
          <cell r="AR314">
            <v>-0.23401223345167954</v>
          </cell>
          <cell r="AS314">
            <v>-0.2997861574215408</v>
          </cell>
          <cell r="AT314">
            <v>-0.41734647567161642</v>
          </cell>
          <cell r="AU314">
            <v>-0.38910214543475752</v>
          </cell>
          <cell r="AV314">
            <v>-0.34559073736065793</v>
          </cell>
          <cell r="AW314">
            <v>-0.24076147219836452</v>
          </cell>
          <cell r="AX314">
            <v>-0.22044607365595603</v>
          </cell>
          <cell r="AY314">
            <v>-9.2505254951653404E-2</v>
          </cell>
          <cell r="AZ314">
            <v>-7.4119888022397662E-2</v>
          </cell>
          <cell r="BA314">
            <v>7.4639064816991452E-2</v>
          </cell>
          <cell r="BK314">
            <v>-0.37656544006928927</v>
          </cell>
          <cell r="BL314">
            <v>3.0974702708631341E-2</v>
          </cell>
        </row>
        <row r="315">
          <cell r="A315" t="str">
            <v>Daily VIP Win/Position (US$)</v>
          </cell>
          <cell r="X315">
            <v>3923.1834225657803</v>
          </cell>
          <cell r="Y315">
            <v>3009.9309210291703</v>
          </cell>
          <cell r="Z315">
            <v>4360.9374217358154</v>
          </cell>
          <cell r="AA315">
            <v>4794.7869099604404</v>
          </cell>
          <cell r="AB315">
            <v>4025.5256448236446</v>
          </cell>
          <cell r="AC315">
            <v>5114.7950942594689</v>
          </cell>
          <cell r="AD315">
            <v>4920.0477530688413</v>
          </cell>
          <cell r="AE315">
            <v>5637.3880345733487</v>
          </cell>
          <cell r="AF315">
            <v>4653.7441338625504</v>
          </cell>
          <cell r="AG315">
            <v>5059.2455869262712</v>
          </cell>
          <cell r="AH315">
            <v>3507.9721714892053</v>
          </cell>
          <cell r="AI315">
            <v>3559.9544166450582</v>
          </cell>
          <cell r="AJ315">
            <v>3297.3562134291165</v>
          </cell>
          <cell r="AK315">
            <v>3049.6571499948627</v>
          </cell>
          <cell r="AL315">
            <v>3349.274382571798</v>
          </cell>
          <cell r="AM315">
            <v>2891.4768388849147</v>
          </cell>
          <cell r="AN315">
            <v>2231.4736892561527</v>
          </cell>
          <cell r="AO315">
            <v>2144.3140745718874</v>
          </cell>
          <cell r="AP315">
            <v>2782.0624877638802</v>
          </cell>
          <cell r="AQ315">
            <v>2484.0441493932967</v>
          </cell>
          <cell r="AR315">
            <v>3018.2114113644125</v>
          </cell>
          <cell r="AS315">
            <v>2175.3163021636569</v>
          </cell>
          <cell r="AT315">
            <v>1606.6928181176363</v>
          </cell>
          <cell r="AU315">
            <v>1792.6512425073831</v>
          </cell>
          <cell r="AV315">
            <v>2044.063339267585</v>
          </cell>
          <cell r="AW315">
            <v>1731.0017883364999</v>
          </cell>
          <cell r="AX315">
            <v>1314.7042440116779</v>
          </cell>
          <cell r="AY315">
            <v>1099.2881976993424</v>
          </cell>
          <cell r="AZ315">
            <v>945.50157365856398</v>
          </cell>
          <cell r="BA315">
            <v>971.20578310638541</v>
          </cell>
          <cell r="BK315">
            <v>1089.86540686582</v>
          </cell>
          <cell r="BL315">
            <v>954.197932401765</v>
          </cell>
        </row>
        <row r="316">
          <cell r="A316" t="str">
            <v xml:space="preserve">  Year-over-Year growth</v>
          </cell>
          <cell r="AC316">
            <v>0.30373590611125922</v>
          </cell>
          <cell r="AD316">
            <v>0.63460487371801699</v>
          </cell>
          <cell r="AE316">
            <v>0.29270096985924154</v>
          </cell>
          <cell r="AF316">
            <v>-2.9415859087480012E-2</v>
          </cell>
          <cell r="AG316">
            <v>0.25679129468020401</v>
          </cell>
          <cell r="AH316">
            <v>-0.31415196369716991</v>
          </cell>
          <cell r="AI316">
            <v>-0.27643905195339524</v>
          </cell>
          <cell r="AJ316">
            <v>-0.41509149393178713</v>
          </cell>
          <cell r="AK316">
            <v>-0.34468740388963226</v>
          </cell>
          <cell r="AL316">
            <v>-0.33798936520758238</v>
          </cell>
          <cell r="AM316">
            <v>-0.17574122668783199</v>
          </cell>
          <cell r="AN316">
            <v>-0.37317352187921582</v>
          </cell>
          <cell r="AO316">
            <v>-0.349686859478889</v>
          </cell>
          <cell r="AP316">
            <v>-8.7745818323031299E-2</v>
          </cell>
          <cell r="AQ316">
            <v>-0.25833363718445768</v>
          </cell>
          <cell r="AR316">
            <v>4.3830395172168357E-2</v>
          </cell>
          <cell r="AS316">
            <v>-2.5166053878598715E-2</v>
          </cell>
          <cell r="AT316">
            <v>-0.25071945515331628</v>
          </cell>
          <cell r="AU316">
            <v>-0.35563947596725243</v>
          </cell>
          <cell r="AV316">
            <v>-0.1771227819091592</v>
          </cell>
          <cell r="AW316">
            <v>-0.15315648244210434</v>
          </cell>
          <cell r="AX316">
            <v>-0.24049515553931677</v>
          </cell>
          <cell r="AY316">
            <v>-0.16385133560915321</v>
          </cell>
          <cell r="AZ316">
            <v>-0.13989654793222783</v>
          </cell>
          <cell r="BA316">
            <v>2.7185792349726512E-2</v>
          </cell>
          <cell r="BK316">
            <v>-0.41549492999419424</v>
          </cell>
          <cell r="BL316">
            <v>0.23837214808503504</v>
          </cell>
        </row>
        <row r="317">
          <cell r="A317" t="str">
            <v>Daily Mass Market Win/Position (US$)</v>
          </cell>
          <cell r="X317">
            <v>739.56977081135028</v>
          </cell>
          <cell r="Y317">
            <v>567.41010594087697</v>
          </cell>
          <cell r="Z317">
            <v>822.09194476216783</v>
          </cell>
          <cell r="AA317">
            <v>897.05674367869881</v>
          </cell>
          <cell r="AB317">
            <v>757.42269322489199</v>
          </cell>
          <cell r="AC317">
            <v>1075.3702876315492</v>
          </cell>
          <cell r="AD317">
            <v>847.01571836801418</v>
          </cell>
          <cell r="AE317">
            <v>778.18871382714224</v>
          </cell>
          <cell r="AF317">
            <v>534.01042191996669</v>
          </cell>
          <cell r="AG317">
            <v>742.27406078714728</v>
          </cell>
          <cell r="AH317">
            <v>511.76016118936036</v>
          </cell>
          <cell r="AI317">
            <v>513.61406832119803</v>
          </cell>
          <cell r="AJ317">
            <v>553.77565595685178</v>
          </cell>
          <cell r="AK317">
            <v>563.72142211158007</v>
          </cell>
          <cell r="AL317">
            <v>537.48009984640623</v>
          </cell>
          <cell r="AM317">
            <v>481.91537715162565</v>
          </cell>
          <cell r="AN317">
            <v>408.27238453328494</v>
          </cell>
          <cell r="AO317">
            <v>357.45653687039299</v>
          </cell>
          <cell r="AP317">
            <v>323.58537290991256</v>
          </cell>
          <cell r="AQ317">
            <v>381.41501069034263</v>
          </cell>
          <cell r="AR317">
            <v>324.9185033986729</v>
          </cell>
          <cell r="AS317">
            <v>246.38264705311445</v>
          </cell>
          <cell r="AT317">
            <v>217.8977460980087</v>
          </cell>
          <cell r="AU317">
            <v>216.67979029053356</v>
          </cell>
          <cell r="AV317">
            <v>243.45165745766511</v>
          </cell>
          <cell r="AW317">
            <v>196.90246787275038</v>
          </cell>
          <cell r="AX317">
            <v>170.34700333343068</v>
          </cell>
          <cell r="AY317">
            <v>169.14431035748063</v>
          </cell>
          <cell r="AZ317">
            <v>165.53840156289777</v>
          </cell>
          <cell r="BA317">
            <v>185.54217766603503</v>
          </cell>
          <cell r="BK317">
            <v>310.39361242899304</v>
          </cell>
          <cell r="BL317">
            <v>-66.941954971327931</v>
          </cell>
          <cell r="BN317" t="str">
            <v>gt:winPerPosition</v>
          </cell>
        </row>
        <row r="318">
          <cell r="A318" t="str">
            <v xml:space="preserve">  Year-over-Year growth</v>
          </cell>
          <cell r="AC318">
            <v>0.45404846178583891</v>
          </cell>
          <cell r="AD318">
            <v>0.49277517178425367</v>
          </cell>
          <cell r="AE318">
            <v>-5.3404283078977044E-2</v>
          </cell>
          <cell r="AF318">
            <v>-0.40470831340047919</v>
          </cell>
          <cell r="AG318">
            <v>-2.0000235764320862E-2</v>
          </cell>
          <cell r="AH318">
            <v>-0.52410795883482408</v>
          </cell>
          <cell r="AI318">
            <v>-0.39361920070290679</v>
          </cell>
          <cell r="AJ318">
            <v>-0.28837871056574971</v>
          </cell>
          <cell r="AK318">
            <v>5.5637491277400919E-2</v>
          </cell>
          <cell r="AL318">
            <v>-0.27590073769190659</v>
          </cell>
          <cell r="AM318">
            <v>-5.831791198512537E-2</v>
          </cell>
          <cell r="AN318">
            <v>-0.20509890652379037</v>
          </cell>
          <cell r="AO318">
            <v>-0.35451020097162822</v>
          </cell>
          <cell r="AP318">
            <v>-0.42598354396781501</v>
          </cell>
          <cell r="AQ318">
            <v>-0.29036440456244195</v>
          </cell>
          <cell r="AR318">
            <v>-0.32577685045222504</v>
          </cell>
          <cell r="AS318">
            <v>-0.39652384930524787</v>
          </cell>
          <cell r="AT318">
            <v>-0.39042170551488808</v>
          </cell>
          <cell r="AU318">
            <v>-0.3303782913856923</v>
          </cell>
          <cell r="AV318">
            <v>-0.36171453499685435</v>
          </cell>
          <cell r="AW318">
            <v>-0.19120506334202869</v>
          </cell>
          <cell r="AX318">
            <v>-0.13486608281863366</v>
          </cell>
          <cell r="AY318">
            <v>-7.0602532032567611E-3</v>
          </cell>
          <cell r="AZ318">
            <v>-2.1318534374357045E-2</v>
          </cell>
          <cell r="BA318">
            <v>0.12084069867943392</v>
          </cell>
          <cell r="BK318">
            <v>-0.31212351562578755</v>
          </cell>
          <cell r="BL318">
            <v>-4.9591019371066802E-2</v>
          </cell>
        </row>
        <row r="319">
          <cell r="BL319">
            <v>0</v>
          </cell>
        </row>
        <row r="320">
          <cell r="A320" t="str">
            <v>Average Exchange Rate (US$/MOP)</v>
          </cell>
          <cell r="B320">
            <v>7.9973275454545485</v>
          </cell>
          <cell r="C320">
            <v>7.9755826679841908</v>
          </cell>
          <cell r="D320">
            <v>7.9969583636363657</v>
          </cell>
          <cell r="E320">
            <v>7.9856313176470595</v>
          </cell>
          <cell r="F320">
            <v>7.9940926062992101</v>
          </cell>
          <cell r="G320">
            <v>8.0251389999999994</v>
          </cell>
          <cell r="H320">
            <v>8.0390043992094871</v>
          </cell>
          <cell r="I320">
            <v>7.9943623593750006</v>
          </cell>
          <cell r="J320">
            <v>8.0149042031249991</v>
          </cell>
          <cell r="K320">
            <v>7.9353441874999993</v>
          </cell>
          <cell r="L320">
            <v>8.027346703125005</v>
          </cell>
          <cell r="M320">
            <v>7.9937193083003963</v>
          </cell>
          <cell r="N320">
            <v>8.0437888412698424</v>
          </cell>
          <cell r="O320">
            <v>8.0048747031250045</v>
          </cell>
          <cell r="P320">
            <v>8.0206962833333311</v>
          </cell>
          <cell r="Q320">
            <v>8.0378734769230764</v>
          </cell>
          <cell r="R320">
            <v>8.0267637429718892</v>
          </cell>
          <cell r="S320">
            <v>8.0459319672131162</v>
          </cell>
          <cell r="T320">
            <v>7.9395799692307705</v>
          </cell>
          <cell r="U320">
            <v>8.0023464461538421</v>
          </cell>
          <cell r="V320">
            <v>8.0027988769230785</v>
          </cell>
          <cell r="W320">
            <v>7.9973505968379444</v>
          </cell>
          <cell r="X320">
            <v>8.0352499677419367</v>
          </cell>
          <cell r="Y320">
            <v>8.0117751250000033</v>
          </cell>
          <cell r="Z320">
            <v>8.0374984153846185</v>
          </cell>
          <cell r="AA320">
            <v>7.9566313384615395</v>
          </cell>
          <cell r="AB320">
            <v>8.0101944268774705</v>
          </cell>
          <cell r="AC320">
            <v>7.9878238571428613</v>
          </cell>
          <cell r="AD320">
            <v>8.029138555555555</v>
          </cell>
          <cell r="AE320">
            <v>8.0334246153846163</v>
          </cell>
          <cell r="AF320">
            <v>8.0147200000000023</v>
          </cell>
          <cell r="AG320">
            <v>8.0162347944663939</v>
          </cell>
          <cell r="AH320">
            <v>8.0312387096774192</v>
          </cell>
          <cell r="AI320">
            <v>8.0228000000000037</v>
          </cell>
          <cell r="AJ320">
            <v>8.0030446153846135</v>
          </cell>
          <cell r="AK320">
            <v>7.9876640625000004</v>
          </cell>
          <cell r="AL320">
            <v>8.0111868468905083</v>
          </cell>
          <cell r="AM320">
            <v>7.9905793650793662</v>
          </cell>
          <cell r="AN320">
            <v>7.9908031250000029</v>
          </cell>
          <cell r="AO320">
            <v>8.0103671875</v>
          </cell>
          <cell r="AP320">
            <v>8.0143687500000027</v>
          </cell>
          <cell r="AQ320">
            <v>8.0015296068948434</v>
          </cell>
          <cell r="AR320">
            <v>8.0418241935483863</v>
          </cell>
          <cell r="AS320">
            <v>8.0418241935483863</v>
          </cell>
          <cell r="AT320">
            <v>8.0418241935483863</v>
          </cell>
          <cell r="AU320">
            <v>8.0418241935483863</v>
          </cell>
          <cell r="AV320">
            <v>8.0418241935483863</v>
          </cell>
          <cell r="AW320">
            <v>8.0418241935483863</v>
          </cell>
          <cell r="AX320">
            <v>8.0418241935483863</v>
          </cell>
          <cell r="AY320">
            <v>8.0418241935483863</v>
          </cell>
          <cell r="AZ320">
            <v>8.0418241935483863</v>
          </cell>
          <cell r="BA320">
            <v>8.0418241935483863</v>
          </cell>
          <cell r="BK320">
            <v>7.9994237767609135</v>
          </cell>
          <cell r="BL320">
            <v>4.240041678747275E-2</v>
          </cell>
        </row>
        <row r="321">
          <cell r="BL321">
            <v>0</v>
          </cell>
        </row>
        <row r="322">
          <cell r="A322" t="str">
            <v>Total Gaming Receipts (millions MOP)</v>
          </cell>
          <cell r="BL322">
            <v>0</v>
          </cell>
        </row>
        <row r="323">
          <cell r="A323" t="str">
            <v>Table Revenue</v>
          </cell>
          <cell r="C323">
            <v>15120.853621</v>
          </cell>
          <cell r="D323">
            <v>17147.185416999997</v>
          </cell>
          <cell r="E323">
            <v>16116.43507</v>
          </cell>
          <cell r="F323">
            <v>17541.344209000003</v>
          </cell>
          <cell r="G323">
            <v>14349.441364</v>
          </cell>
          <cell r="H323">
            <v>12864.117540000001</v>
          </cell>
          <cell r="M323">
            <v>15661</v>
          </cell>
          <cell r="R323">
            <v>17888</v>
          </cell>
          <cell r="W323">
            <v>21322</v>
          </cell>
          <cell r="AB323">
            <v>27622</v>
          </cell>
          <cell r="AG323">
            <v>39564</v>
          </cell>
          <cell r="AH323">
            <v>10356.192100499999</v>
          </cell>
          <cell r="AI323">
            <v>11045.259750000001</v>
          </cell>
          <cell r="AJ323">
            <v>11071.4</v>
          </cell>
          <cell r="AK323">
            <v>11038.5</v>
          </cell>
          <cell r="AL323">
            <v>43511.351850500003</v>
          </cell>
          <cell r="AM323">
            <v>11926.5</v>
          </cell>
          <cell r="AN323">
            <v>12216.5</v>
          </cell>
          <cell r="AO323">
            <v>13029.5</v>
          </cell>
          <cell r="AP323">
            <v>15827.7</v>
          </cell>
          <cell r="BL323">
            <v>0</v>
          </cell>
        </row>
        <row r="324">
          <cell r="A324" t="str">
            <v>Slot Revenue</v>
          </cell>
          <cell r="C324">
            <v>292.82445200000001</v>
          </cell>
          <cell r="D324">
            <v>332.74785100000003</v>
          </cell>
          <cell r="E324">
            <v>295.19192099999998</v>
          </cell>
          <cell r="F324">
            <v>242.795143</v>
          </cell>
          <cell r="G324">
            <v>216.145647</v>
          </cell>
          <cell r="H324">
            <v>173.18694099999999</v>
          </cell>
          <cell r="M324">
            <v>217</v>
          </cell>
          <cell r="R324">
            <v>220</v>
          </cell>
          <cell r="W324">
            <v>225</v>
          </cell>
          <cell r="AB324">
            <v>230</v>
          </cell>
          <cell r="AG324">
            <v>622</v>
          </cell>
          <cell r="AH324">
            <v>243.84791546000005</v>
          </cell>
          <cell r="AI324">
            <v>295.16821077000003</v>
          </cell>
          <cell r="AJ324">
            <v>326</v>
          </cell>
          <cell r="AK324">
            <v>349</v>
          </cell>
          <cell r="AL324">
            <v>1214.0161262300001</v>
          </cell>
          <cell r="AM324">
            <v>425</v>
          </cell>
          <cell r="AN324">
            <v>444</v>
          </cell>
          <cell r="AO324">
            <v>519</v>
          </cell>
          <cell r="AP324">
            <v>608</v>
          </cell>
          <cell r="BL324">
            <v>0</v>
          </cell>
        </row>
        <row r="325">
          <cell r="B325" t="str">
            <v>______</v>
          </cell>
          <cell r="C325" t="str">
            <v>______</v>
          </cell>
          <cell r="D325" t="str">
            <v>______</v>
          </cell>
          <cell r="E325" t="str">
            <v>______</v>
          </cell>
          <cell r="F325" t="str">
            <v>______</v>
          </cell>
          <cell r="G325" t="str">
            <v>______</v>
          </cell>
          <cell r="H325" t="str">
            <v>______</v>
          </cell>
          <cell r="I325" t="str">
            <v>______</v>
          </cell>
          <cell r="J325" t="str">
            <v>______</v>
          </cell>
          <cell r="K325" t="str">
            <v>______</v>
          </cell>
          <cell r="L325" t="str">
            <v>______</v>
          </cell>
          <cell r="M325" t="str">
            <v>______</v>
          </cell>
          <cell r="N325" t="str">
            <v>______</v>
          </cell>
          <cell r="O325" t="str">
            <v>______</v>
          </cell>
          <cell r="P325" t="str">
            <v>______</v>
          </cell>
          <cell r="Q325" t="str">
            <v>______</v>
          </cell>
          <cell r="R325" t="str">
            <v>______</v>
          </cell>
          <cell r="S325" t="str">
            <v>______</v>
          </cell>
          <cell r="T325" t="str">
            <v>______</v>
          </cell>
          <cell r="U325" t="str">
            <v>______</v>
          </cell>
          <cell r="V325" t="str">
            <v>______</v>
          </cell>
          <cell r="W325" t="str">
            <v>______</v>
          </cell>
          <cell r="X325" t="str">
            <v>______</v>
          </cell>
          <cell r="Y325" t="str">
            <v>______</v>
          </cell>
          <cell r="Z325" t="str">
            <v>______</v>
          </cell>
          <cell r="AA325" t="str">
            <v>______</v>
          </cell>
          <cell r="AB325" t="str">
            <v>______</v>
          </cell>
          <cell r="AC325" t="str">
            <v>______</v>
          </cell>
          <cell r="AD325" t="str">
            <v>______</v>
          </cell>
          <cell r="AE325" t="str">
            <v>______</v>
          </cell>
          <cell r="AF325" t="str">
            <v>______</v>
          </cell>
          <cell r="AG325" t="str">
            <v>______</v>
          </cell>
          <cell r="AH325" t="str">
            <v>______</v>
          </cell>
          <cell r="AI325" t="str">
            <v>______</v>
          </cell>
          <cell r="AJ325" t="str">
            <v>______</v>
          </cell>
          <cell r="AK325" t="str">
            <v>______</v>
          </cell>
          <cell r="AL325" t="str">
            <v>______</v>
          </cell>
          <cell r="AM325" t="str">
            <v>______</v>
          </cell>
          <cell r="AN325" t="str">
            <v>______</v>
          </cell>
          <cell r="AO325" t="str">
            <v>______</v>
          </cell>
          <cell r="AP325" t="str">
            <v>______</v>
          </cell>
          <cell r="AQ325" t="str">
            <v>______</v>
          </cell>
          <cell r="AR325" t="str">
            <v>______</v>
          </cell>
          <cell r="AS325" t="str">
            <v>______</v>
          </cell>
          <cell r="AT325" t="str">
            <v>______</v>
          </cell>
          <cell r="AU325" t="str">
            <v>______</v>
          </cell>
          <cell r="AV325" t="str">
            <v>______</v>
          </cell>
          <cell r="AW325" t="str">
            <v>______</v>
          </cell>
          <cell r="AX325" t="str">
            <v>______</v>
          </cell>
          <cell r="AY325" t="str">
            <v>______</v>
          </cell>
          <cell r="AZ325" t="str">
            <v>______</v>
          </cell>
          <cell r="BA325" t="str">
            <v>______</v>
          </cell>
          <cell r="BK325" t="str">
            <v>______</v>
          </cell>
          <cell r="BL325" t="e">
            <v>#VALUE!</v>
          </cell>
        </row>
        <row r="326">
          <cell r="A326" t="str">
            <v>Total Casino Revenue</v>
          </cell>
          <cell r="C326">
            <v>15413.678073000001</v>
          </cell>
          <cell r="D326">
            <v>17479.933267999997</v>
          </cell>
          <cell r="E326">
            <v>16411.626991000001</v>
          </cell>
          <cell r="F326">
            <v>17784.139352000002</v>
          </cell>
          <cell r="G326">
            <v>14565.587011</v>
          </cell>
          <cell r="H326">
            <v>13037.304481000001</v>
          </cell>
          <cell r="I326">
            <v>4197.2332429435364</v>
          </cell>
          <cell r="J326">
            <v>3811.0096980277076</v>
          </cell>
          <cell r="K326">
            <v>4061.0367600948498</v>
          </cell>
          <cell r="L326">
            <v>3808.7202989339075</v>
          </cell>
          <cell r="M326">
            <v>15878</v>
          </cell>
          <cell r="N326">
            <v>4411.7756982710744</v>
          </cell>
          <cell r="O326">
            <v>4489.5445723219573</v>
          </cell>
          <cell r="P326">
            <v>4536.7505393403962</v>
          </cell>
          <cell r="Q326">
            <v>4669.929190066573</v>
          </cell>
          <cell r="R326">
            <v>18108</v>
          </cell>
          <cell r="S326">
            <v>4904.6801940326268</v>
          </cell>
          <cell r="T326">
            <v>5313.7402763690006</v>
          </cell>
          <cell r="U326">
            <v>5341.0424438576956</v>
          </cell>
          <cell r="V326">
            <v>5987.5370857406742</v>
          </cell>
          <cell r="W326">
            <v>21547</v>
          </cell>
          <cell r="X326">
            <v>6715.8907030819191</v>
          </cell>
          <cell r="Y326">
            <v>5194.5720796418655</v>
          </cell>
          <cell r="Z326">
            <v>7633.2886865296596</v>
          </cell>
          <cell r="AA326">
            <v>8308.2485307465558</v>
          </cell>
          <cell r="AB326">
            <v>27852</v>
          </cell>
          <cell r="AC326">
            <v>9047.9609999999993</v>
          </cell>
          <cell r="AD326">
            <v>9354.8940000000002</v>
          </cell>
          <cell r="AE326">
            <v>10907.57</v>
          </cell>
          <cell r="AF326">
            <v>10875.575000000001</v>
          </cell>
          <cell r="AG326">
            <v>40186</v>
          </cell>
          <cell r="AH326">
            <v>10600.039000000001</v>
          </cell>
          <cell r="AI326">
            <v>11340.429</v>
          </cell>
          <cell r="AJ326">
            <v>11395.798999999999</v>
          </cell>
          <cell r="AK326">
            <v>11388.353000000001</v>
          </cell>
          <cell r="AL326">
            <v>44725.367976730005</v>
          </cell>
          <cell r="AM326">
            <v>12351.557000000001</v>
          </cell>
          <cell r="AN326">
            <v>12659.857</v>
          </cell>
          <cell r="AO326">
            <v>13549</v>
          </cell>
          <cell r="AP326">
            <v>16436.810000000001</v>
          </cell>
          <cell r="AQ326">
            <v>54997.224000000002</v>
          </cell>
          <cell r="AR326">
            <v>17878</v>
          </cell>
          <cell r="AS326">
            <v>15961.120483281104</v>
          </cell>
          <cell r="AT326">
            <v>16879.178185506858</v>
          </cell>
          <cell r="AU326">
            <v>19336.524435157942</v>
          </cell>
          <cell r="AV326">
            <v>70054.823103945906</v>
          </cell>
          <cell r="AW326">
            <v>80221.193770221027</v>
          </cell>
          <cell r="AX326">
            <v>92443.080110233597</v>
          </cell>
          <cell r="AY326">
            <v>104041.71233943444</v>
          </cell>
          <cell r="AZ326">
            <v>112954.22640767637</v>
          </cell>
          <cell r="BA326">
            <v>121979.1016281718</v>
          </cell>
          <cell r="BK326">
            <v>63538.063648138261</v>
          </cell>
          <cell r="BL326">
            <v>6516.7594558076453</v>
          </cell>
        </row>
        <row r="327">
          <cell r="A327" t="str">
            <v>Other Gaming Revenues (racing, lottery, etc.)</v>
          </cell>
          <cell r="C327">
            <v>1219.5940837990347</v>
          </cell>
          <cell r="D327">
            <v>1383.0847574400825</v>
          </cell>
          <cell r="E327">
            <v>1298.5559377162006</v>
          </cell>
          <cell r="F327">
            <v>1407.154803443701</v>
          </cell>
          <cell r="G327">
            <v>1152.4896044632517</v>
          </cell>
          <cell r="H327">
            <v>1031.5655574490372</v>
          </cell>
          <cell r="I327">
            <v>332.10248762009257</v>
          </cell>
          <cell r="J327">
            <v>301.54288022642669</v>
          </cell>
          <cell r="K327">
            <v>321.32605749550993</v>
          </cell>
          <cell r="L327">
            <v>301.36173348279874</v>
          </cell>
          <cell r="M327">
            <v>1256.3331588248279</v>
          </cell>
          <cell r="N327">
            <v>349.07797575485006</v>
          </cell>
          <cell r="O327">
            <v>355.23137134589405</v>
          </cell>
          <cell r="P327">
            <v>358.96650307908811</v>
          </cell>
          <cell r="Q327">
            <v>369.50414982016667</v>
          </cell>
          <cell r="R327">
            <v>1432.7799999999988</v>
          </cell>
          <cell r="S327">
            <v>294.91976079054683</v>
          </cell>
          <cell r="T327">
            <v>319.51665536042793</v>
          </cell>
          <cell r="U327">
            <v>321.15834215473228</v>
          </cell>
          <cell r="V327">
            <v>360.03224169429313</v>
          </cell>
          <cell r="W327">
            <v>1295.6270000000004</v>
          </cell>
          <cell r="X327">
            <v>391.5562969180807</v>
          </cell>
          <cell r="Y327">
            <v>302.85892035813436</v>
          </cell>
          <cell r="Z327">
            <v>445.04331347034065</v>
          </cell>
          <cell r="AA327">
            <v>484.39546925344365</v>
          </cell>
          <cell r="AB327">
            <v>1623.8539999999994</v>
          </cell>
          <cell r="AC327">
            <v>760</v>
          </cell>
          <cell r="AD327">
            <v>559.65799999999945</v>
          </cell>
          <cell r="AE327">
            <v>403.40800000000002</v>
          </cell>
          <cell r="AF327">
            <v>396.57399999999996</v>
          </cell>
          <cell r="AG327">
            <v>2119.6399999999994</v>
          </cell>
          <cell r="AH327">
            <v>353.34100000000001</v>
          </cell>
          <cell r="AI327">
            <v>279.19</v>
          </cell>
          <cell r="AJ327">
            <v>208.59199999999998</v>
          </cell>
          <cell r="AK327">
            <v>234.70699999999999</v>
          </cell>
          <cell r="AL327">
            <v>1075.0820232699916</v>
          </cell>
          <cell r="AM327">
            <v>237.55999999999997</v>
          </cell>
          <cell r="AN327">
            <v>240.18900000000002</v>
          </cell>
          <cell r="AO327">
            <v>213.72699999999998</v>
          </cell>
          <cell r="AP327">
            <v>195.095</v>
          </cell>
          <cell r="AQ327">
            <v>886.57099999999627</v>
          </cell>
          <cell r="AR327">
            <v>213.80399999999997</v>
          </cell>
          <cell r="AS327">
            <v>216.17010000000002</v>
          </cell>
          <cell r="AT327">
            <v>192.35429999999999</v>
          </cell>
          <cell r="AU327">
            <v>175.5855</v>
          </cell>
          <cell r="AV327">
            <v>797.91389999999956</v>
          </cell>
          <cell r="BL327">
            <v>797.91389999999956</v>
          </cell>
        </row>
        <row r="328">
          <cell r="B328" t="str">
            <v>______</v>
          </cell>
          <cell r="C328" t="str">
            <v>______</v>
          </cell>
          <cell r="D328" t="str">
            <v>______</v>
          </cell>
          <cell r="E328" t="str">
            <v>______</v>
          </cell>
          <cell r="F328" t="str">
            <v>______</v>
          </cell>
          <cell r="G328" t="str">
            <v>______</v>
          </cell>
          <cell r="H328" t="str">
            <v>______</v>
          </cell>
          <cell r="I328" t="str">
            <v>______</v>
          </cell>
          <cell r="J328" t="str">
            <v>______</v>
          </cell>
          <cell r="K328" t="str">
            <v>______</v>
          </cell>
          <cell r="L328" t="str">
            <v>______</v>
          </cell>
          <cell r="M328" t="str">
            <v>______</v>
          </cell>
          <cell r="N328" t="str">
            <v>______</v>
          </cell>
          <cell r="O328" t="str">
            <v>______</v>
          </cell>
          <cell r="P328" t="str">
            <v>______</v>
          </cell>
          <cell r="Q328" t="str">
            <v>______</v>
          </cell>
          <cell r="R328" t="str">
            <v>______</v>
          </cell>
          <cell r="S328" t="str">
            <v>______</v>
          </cell>
          <cell r="T328" t="str">
            <v>______</v>
          </cell>
          <cell r="U328" t="str">
            <v>______</v>
          </cell>
          <cell r="V328" t="str">
            <v>______</v>
          </cell>
          <cell r="W328" t="str">
            <v>______</v>
          </cell>
          <cell r="X328" t="str">
            <v>______</v>
          </cell>
          <cell r="Y328" t="str">
            <v>______</v>
          </cell>
          <cell r="Z328" t="str">
            <v>______</v>
          </cell>
          <cell r="AA328" t="str">
            <v>______</v>
          </cell>
          <cell r="AB328" t="str">
            <v>______</v>
          </cell>
          <cell r="AC328" t="str">
            <v>______</v>
          </cell>
          <cell r="AD328" t="str">
            <v>______</v>
          </cell>
          <cell r="AE328" t="str">
            <v>______</v>
          </cell>
          <cell r="AF328" t="str">
            <v>______</v>
          </cell>
          <cell r="AG328" t="str">
            <v>______</v>
          </cell>
          <cell r="AH328" t="str">
            <v>______</v>
          </cell>
          <cell r="AI328" t="str">
            <v>______</v>
          </cell>
          <cell r="AJ328" t="str">
            <v>______</v>
          </cell>
          <cell r="AK328" t="str">
            <v>______</v>
          </cell>
          <cell r="AL328" t="str">
            <v>______</v>
          </cell>
          <cell r="AM328" t="str">
            <v>______</v>
          </cell>
          <cell r="AN328" t="str">
            <v>______</v>
          </cell>
          <cell r="AO328" t="str">
            <v>______</v>
          </cell>
          <cell r="AP328" t="str">
            <v>______</v>
          </cell>
          <cell r="AQ328" t="str">
            <v>______</v>
          </cell>
          <cell r="AR328" t="str">
            <v>______</v>
          </cell>
          <cell r="AS328" t="str">
            <v>______</v>
          </cell>
          <cell r="AT328" t="str">
            <v>______</v>
          </cell>
          <cell r="AU328" t="str">
            <v>______</v>
          </cell>
          <cell r="AV328" t="str">
            <v>______</v>
          </cell>
          <cell r="BL328" t="e">
            <v>#VALUE!</v>
          </cell>
        </row>
        <row r="329">
          <cell r="A329" t="str">
            <v>Gross Gaming Receipts, gratuity exluded</v>
          </cell>
          <cell r="C329">
            <v>16633.272156799037</v>
          </cell>
          <cell r="D329">
            <v>18863.01802544008</v>
          </cell>
          <cell r="E329">
            <v>17710.1829287162</v>
          </cell>
          <cell r="F329">
            <v>19191.294155443702</v>
          </cell>
          <cell r="G329">
            <v>15718.076615463251</v>
          </cell>
          <cell r="H329">
            <v>14068.870038449038</v>
          </cell>
          <cell r="I329">
            <v>4529.3357305636291</v>
          </cell>
          <cell r="J329">
            <v>4112.5525782541345</v>
          </cell>
          <cell r="K329">
            <v>4382.3628175903596</v>
          </cell>
          <cell r="L329">
            <v>4110.0820324167062</v>
          </cell>
          <cell r="M329">
            <v>17134.333158824829</v>
          </cell>
          <cell r="N329">
            <v>4760.8536740259242</v>
          </cell>
          <cell r="O329">
            <v>4844.7759436678516</v>
          </cell>
          <cell r="P329">
            <v>4895.7170424194846</v>
          </cell>
          <cell r="Q329">
            <v>5039.4333398867393</v>
          </cell>
          <cell r="R329">
            <v>19540.78</v>
          </cell>
          <cell r="S329">
            <v>5199.5999548231739</v>
          </cell>
          <cell r="T329">
            <v>5633.2569317294283</v>
          </cell>
          <cell r="U329">
            <v>5662.2007860124277</v>
          </cell>
          <cell r="V329">
            <v>6347.5693274349678</v>
          </cell>
          <cell r="W329">
            <v>22842.627</v>
          </cell>
          <cell r="X329">
            <v>7107.4470000000001</v>
          </cell>
          <cell r="Y329">
            <v>5497.4309999999996</v>
          </cell>
          <cell r="Z329">
            <v>8078.3320000000003</v>
          </cell>
          <cell r="AA329">
            <v>8792.6440000000002</v>
          </cell>
          <cell r="AB329">
            <v>29475.853999999999</v>
          </cell>
          <cell r="AC329">
            <v>9807.9609999999993</v>
          </cell>
          <cell r="AD329">
            <v>9914.5519999999997</v>
          </cell>
          <cell r="AE329">
            <v>11310.977999999999</v>
          </cell>
          <cell r="AF329">
            <v>11272.149000000001</v>
          </cell>
          <cell r="AG329">
            <v>42305.64</v>
          </cell>
          <cell r="AH329">
            <v>10953.380000000001</v>
          </cell>
          <cell r="AI329">
            <v>11619.619000000001</v>
          </cell>
          <cell r="AJ329">
            <v>11604.391</v>
          </cell>
          <cell r="AK329">
            <v>11623.060000000001</v>
          </cell>
          <cell r="AL329">
            <v>45800.45</v>
          </cell>
          <cell r="AM329">
            <v>12589.117</v>
          </cell>
          <cell r="AN329">
            <v>12900.046</v>
          </cell>
          <cell r="AO329">
            <v>13762.727000000001</v>
          </cell>
          <cell r="AP329">
            <v>16631.905000000002</v>
          </cell>
          <cell r="AQ329">
            <v>55883.794999999998</v>
          </cell>
          <cell r="AR329">
            <v>18091.804</v>
          </cell>
          <cell r="AS329">
            <v>16177.290583281103</v>
          </cell>
          <cell r="AT329">
            <v>17071.532485506857</v>
          </cell>
          <cell r="AU329">
            <v>19512.109935157943</v>
          </cell>
          <cell r="AV329">
            <v>70852.737003945906</v>
          </cell>
          <cell r="BL329">
            <v>70852.737003945906</v>
          </cell>
        </row>
        <row r="330">
          <cell r="A330" t="str">
            <v xml:space="preserve">  Year-over-Year growth</v>
          </cell>
          <cell r="D330">
            <v>0.13405335087537829</v>
          </cell>
          <cell r="E330">
            <v>-6.1116153055098654E-2</v>
          </cell>
          <cell r="F330">
            <v>8.3630487199878312E-2</v>
          </cell>
          <cell r="G330">
            <v>-0.18097880798701926</v>
          </cell>
          <cell r="H330">
            <v>-0.10492419762044825</v>
          </cell>
          <cell r="M330">
            <v>0.2178897887320117</v>
          </cell>
          <cell r="N330">
            <v>5.111520921269519E-2</v>
          </cell>
          <cell r="O330">
            <v>0.17804595843600413</v>
          </cell>
          <cell r="P330">
            <v>0.11714096851328093</v>
          </cell>
          <cell r="Q330">
            <v>0.22611502644962522</v>
          </cell>
          <cell r="R330">
            <v>0.14044589998740387</v>
          </cell>
          <cell r="S330">
            <v>9.2157060652996892E-2</v>
          </cell>
          <cell r="T330">
            <v>0.16274870029688904</v>
          </cell>
          <cell r="U330">
            <v>0.15656210049552688</v>
          </cell>
          <cell r="V330">
            <v>0.25957997642203723</v>
          </cell>
          <cell r="W330">
            <v>0.16897211882023133</v>
          </cell>
          <cell r="X330">
            <v>0.36692189048257418</v>
          </cell>
          <cell r="Y330">
            <v>-2.4111439150660163E-2</v>
          </cell>
          <cell r="Z330">
            <v>0.4267123871615861</v>
          </cell>
          <cell r="AA330">
            <v>0.3851985770359565</v>
          </cell>
          <cell r="AB330">
            <v>0.29038809765619344</v>
          </cell>
          <cell r="AC330">
            <v>0.37995555928872893</v>
          </cell>
          <cell r="AD330">
            <v>0.80348821112988955</v>
          </cell>
          <cell r="AE330">
            <v>0.40016255831030456</v>
          </cell>
          <cell r="AF330">
            <v>0.2819976562226334</v>
          </cell>
          <cell r="AG330">
            <v>0.43526426749162206</v>
          </cell>
          <cell r="AH330">
            <v>0.11678462016722957</v>
          </cell>
          <cell r="AI330">
            <v>0.17197620225301158</v>
          </cell>
          <cell r="AJ330">
            <v>2.5940550852455058E-2</v>
          </cell>
          <cell r="AK330">
            <v>3.1130798572658991E-2</v>
          </cell>
          <cell r="AL330">
            <v>8.2608607268439771E-2</v>
          </cell>
          <cell r="AM330">
            <v>0.14933627793429971</v>
          </cell>
          <cell r="AN330">
            <v>0.11019526543856561</v>
          </cell>
          <cell r="AO330">
            <v>0.18599304349534607</v>
          </cell>
          <cell r="AP330">
            <v>0.43094030315596754</v>
          </cell>
          <cell r="AQ330">
            <v>0.22015820805254105</v>
          </cell>
          <cell r="AR330">
            <v>0.43709872582803055</v>
          </cell>
          <cell r="AS330">
            <v>0.25404906178482634</v>
          </cell>
          <cell r="AT330">
            <v>0.24041786816717758</v>
          </cell>
          <cell r="AU330">
            <v>0.17317348404514932</v>
          </cell>
          <cell r="AV330">
            <v>0.2678583658097291</v>
          </cell>
          <cell r="BL330">
            <v>0.2678583658097291</v>
          </cell>
        </row>
        <row r="331">
          <cell r="R331">
            <v>0.14044589998740387</v>
          </cell>
          <cell r="BL331">
            <v>0</v>
          </cell>
        </row>
        <row r="332">
          <cell r="A332" t="str">
            <v>VIP Baccarat</v>
          </cell>
          <cell r="C332">
            <v>9239.1136999999999</v>
          </cell>
          <cell r="D332">
            <v>10981.3902</v>
          </cell>
          <cell r="E332">
            <v>10474.283789999999</v>
          </cell>
          <cell r="F332">
            <v>12342.522059000001</v>
          </cell>
          <cell r="G332">
            <v>9246.3685659999992</v>
          </cell>
          <cell r="H332">
            <v>8603.4069400000008</v>
          </cell>
          <cell r="I332">
            <v>2852.2576326590729</v>
          </cell>
          <cell r="J332">
            <v>2589.7968662123039</v>
          </cell>
          <cell r="K332">
            <v>2759.7044112245512</v>
          </cell>
          <cell r="L332">
            <v>2588.2410899040719</v>
          </cell>
          <cell r="M332">
            <v>10790</v>
          </cell>
          <cell r="N332">
            <v>3107.5877530068228</v>
          </cell>
          <cell r="O332">
            <v>3162.3669659800403</v>
          </cell>
          <cell r="P332">
            <v>3195.6181317255773</v>
          </cell>
          <cell r="Q332">
            <v>3289.42714928756</v>
          </cell>
          <cell r="R332">
            <v>12755</v>
          </cell>
          <cell r="S332">
            <v>3611.0756299314799</v>
          </cell>
          <cell r="T332">
            <v>3912.2465189733057</v>
          </cell>
          <cell r="U332">
            <v>3932.3477667126967</v>
          </cell>
          <cell r="V332">
            <v>4408.3300843825155</v>
          </cell>
          <cell r="W332">
            <v>15864</v>
          </cell>
          <cell r="X332">
            <v>5191.9631846459824</v>
          </cell>
          <cell r="Y332">
            <v>4015.8525785885627</v>
          </cell>
          <cell r="Z332">
            <v>5901.1910095632857</v>
          </cell>
          <cell r="AA332">
            <v>6422.9932272021706</v>
          </cell>
          <cell r="AB332">
            <v>21532</v>
          </cell>
          <cell r="AC332">
            <v>6803.763381809139</v>
          </cell>
          <cell r="AD332">
            <v>6646.1100771952797</v>
          </cell>
          <cell r="AE332">
            <v>7666.2733836823008</v>
          </cell>
          <cell r="AF332">
            <v>7799.8531573132777</v>
          </cell>
          <cell r="AG332">
            <v>28916</v>
          </cell>
          <cell r="AH332">
            <v>6998.2630949999993</v>
          </cell>
          <cell r="AI332">
            <v>7433.2344050000002</v>
          </cell>
          <cell r="AJ332">
            <v>6992</v>
          </cell>
          <cell r="AK332">
            <v>6600</v>
          </cell>
          <cell r="AL332">
            <v>28023.497499999998</v>
          </cell>
          <cell r="AM332">
            <v>7777</v>
          </cell>
          <cell r="AN332">
            <v>8097</v>
          </cell>
          <cell r="AO332">
            <v>8849</v>
          </cell>
          <cell r="AP332">
            <v>10988</v>
          </cell>
          <cell r="AQ332">
            <v>35711</v>
          </cell>
          <cell r="AR332">
            <v>11653</v>
          </cell>
          <cell r="AS332">
            <v>10593.308872655982</v>
          </cell>
          <cell r="AT332">
            <v>10216.312900077792</v>
          </cell>
          <cell r="AU332">
            <v>12128.206686594078</v>
          </cell>
          <cell r="AV332">
            <v>44590.828459327851</v>
          </cell>
          <cell r="AW332">
            <v>48158.09473607409</v>
          </cell>
          <cell r="AX332">
            <v>51047.580420238541</v>
          </cell>
          <cell r="AY332">
            <v>53089.483637048084</v>
          </cell>
          <cell r="AZ332">
            <v>54682.168146159529</v>
          </cell>
          <cell r="BA332">
            <v>56322.633190544315</v>
          </cell>
          <cell r="BK332">
            <v>32070.29882514571</v>
          </cell>
          <cell r="BL332">
            <v>12520.529634182141</v>
          </cell>
        </row>
        <row r="333">
          <cell r="A333" t="str">
            <v>Mass Market Casino Revenue</v>
          </cell>
          <cell r="C333">
            <v>6174.5643730000011</v>
          </cell>
          <cell r="D333">
            <v>6498.5430679999972</v>
          </cell>
          <cell r="E333">
            <v>5937.3432010000015</v>
          </cell>
          <cell r="F333">
            <v>5441.6172930000012</v>
          </cell>
          <cell r="G333">
            <v>5319.2184450000004</v>
          </cell>
          <cell r="H333">
            <v>4433.8975410000003</v>
          </cell>
          <cell r="I333">
            <v>1344.9756102844635</v>
          </cell>
          <cell r="J333">
            <v>1221.2128318154037</v>
          </cell>
          <cell r="K333">
            <v>1301.3323488702986</v>
          </cell>
          <cell r="L333">
            <v>1220.4792090298356</v>
          </cell>
          <cell r="M333">
            <v>5088.0000000000018</v>
          </cell>
          <cell r="N333">
            <v>1304.1879452642515</v>
          </cell>
          <cell r="O333">
            <v>1327.177606341917</v>
          </cell>
          <cell r="P333">
            <v>1341.1324076148189</v>
          </cell>
          <cell r="Q333">
            <v>1380.502040779013</v>
          </cell>
          <cell r="R333">
            <v>5353</v>
          </cell>
          <cell r="S333">
            <v>1293.6045641011469</v>
          </cell>
          <cell r="T333">
            <v>1401.493757395695</v>
          </cell>
          <cell r="U333">
            <v>1408.6946771449989</v>
          </cell>
          <cell r="V333">
            <v>1579.2070013581588</v>
          </cell>
          <cell r="W333">
            <v>5682.9999999999991</v>
          </cell>
          <cell r="X333">
            <v>1523.9275184359367</v>
          </cell>
          <cell r="Y333">
            <v>1178.7195010533028</v>
          </cell>
          <cell r="Z333">
            <v>1732.0976769663739</v>
          </cell>
          <cell r="AA333">
            <v>1885.2553035443852</v>
          </cell>
          <cell r="AB333">
            <v>6319.9999999999982</v>
          </cell>
          <cell r="AC333">
            <v>2244.1976181908603</v>
          </cell>
          <cell r="AD333">
            <v>2708.7839228047205</v>
          </cell>
          <cell r="AE333">
            <v>3241.2966163176989</v>
          </cell>
          <cell r="AF333">
            <v>3075.721842686723</v>
          </cell>
          <cell r="AG333">
            <v>11270.000000000004</v>
          </cell>
          <cell r="AH333">
            <v>3601.7759050000013</v>
          </cell>
          <cell r="AI333">
            <v>3907.1945949999999</v>
          </cell>
          <cell r="AJ333">
            <v>4403.7989999999991</v>
          </cell>
          <cell r="AK333">
            <v>4788.353000000001</v>
          </cell>
          <cell r="AL333">
            <v>16701.122500000001</v>
          </cell>
          <cell r="AM333">
            <v>4574.5570000000007</v>
          </cell>
          <cell r="AN333">
            <v>4562.857</v>
          </cell>
          <cell r="AO333">
            <v>4700</v>
          </cell>
          <cell r="AP333">
            <v>5448.8100000000013</v>
          </cell>
          <cell r="AQ333">
            <v>19286.224000000002</v>
          </cell>
          <cell r="AR333">
            <v>6225</v>
          </cell>
          <cell r="AS333">
            <v>5367.8116106251218</v>
          </cell>
          <cell r="AT333">
            <v>6662.8652854290667</v>
          </cell>
          <cell r="AU333">
            <v>7208.3177485638644</v>
          </cell>
          <cell r="AV333">
            <v>25463.994644618055</v>
          </cell>
          <cell r="AW333">
            <v>32063.099034146937</v>
          </cell>
          <cell r="AX333">
            <v>41395.499689995057</v>
          </cell>
          <cell r="AY333">
            <v>50952.228702386354</v>
          </cell>
          <cell r="AZ333">
            <v>58272.058261516839</v>
          </cell>
          <cell r="BA333">
            <v>65656.468437627482</v>
          </cell>
          <cell r="BK333">
            <v>31467.764822992551</v>
          </cell>
          <cell r="BL333">
            <v>-6003.770178374496</v>
          </cell>
        </row>
        <row r="334">
          <cell r="BL334">
            <v>0</v>
          </cell>
        </row>
        <row r="335">
          <cell r="A335" t="str">
            <v>Revenue from Gambling tax</v>
          </cell>
          <cell r="I335">
            <v>1492.608892</v>
          </cell>
          <cell r="J335">
            <v>1355.261105</v>
          </cell>
          <cell r="K335">
            <v>1444.175062</v>
          </cell>
          <cell r="L335">
            <v>1354.4469549999999</v>
          </cell>
          <cell r="M335">
            <v>5646.4920139999995</v>
          </cell>
          <cell r="N335">
            <v>1533.1738740000001</v>
          </cell>
          <cell r="O335">
            <v>1560.2</v>
          </cell>
          <cell r="P335">
            <v>1576.604949</v>
          </cell>
          <cell r="Q335">
            <v>1622.8870000000004</v>
          </cell>
          <cell r="R335">
            <v>6292.8658230000001</v>
          </cell>
          <cell r="S335">
            <v>1767.721804</v>
          </cell>
          <cell r="T335">
            <v>1915.1533179999999</v>
          </cell>
          <cell r="U335">
            <v>1924.9934370000001</v>
          </cell>
          <cell r="V335">
            <v>2158</v>
          </cell>
          <cell r="W335">
            <v>7765.8685590000005</v>
          </cell>
          <cell r="X335">
            <v>2426.825707</v>
          </cell>
          <cell r="Y335">
            <v>2340.5494319999989</v>
          </cell>
          <cell r="Z335">
            <v>2732.1434330000011</v>
          </cell>
          <cell r="AA335">
            <v>3079.5</v>
          </cell>
          <cell r="AB335">
            <v>10579.018572000001</v>
          </cell>
          <cell r="AC335">
            <v>3201.9846640000001</v>
          </cell>
          <cell r="AD335">
            <v>3578.3964689999993</v>
          </cell>
          <cell r="AE335">
            <v>4232.7332830000005</v>
          </cell>
          <cell r="AF335">
            <v>4223.498047</v>
          </cell>
          <cell r="AG335">
            <v>15236.612463000001</v>
          </cell>
          <cell r="AH335">
            <v>3993.3477599999992</v>
          </cell>
          <cell r="AI335">
            <v>4524.8817639999997</v>
          </cell>
          <cell r="AJ335">
            <v>4553.4152329999997</v>
          </cell>
          <cell r="AK335">
            <v>4246.9194479999996</v>
          </cell>
          <cell r="AL335">
            <v>17318.564204999999</v>
          </cell>
          <cell r="AM335">
            <v>4614.3039269999999</v>
          </cell>
          <cell r="AN335">
            <v>5161.5482480000001</v>
          </cell>
          <cell r="AO335">
            <v>5082.3907549999994</v>
          </cell>
          <cell r="AP335">
            <v>3999.9357239999999</v>
          </cell>
          <cell r="AQ335">
            <v>18858.178653999999</v>
          </cell>
          <cell r="BL335">
            <v>0</v>
          </cell>
        </row>
        <row r="336">
          <cell r="A336" t="str">
            <v xml:space="preserve">  Effective Tax Rate on Total Gaming Revenues</v>
          </cell>
          <cell r="I336">
            <v>0.32954256005532628</v>
          </cell>
          <cell r="J336">
            <v>0.32954256005532628</v>
          </cell>
          <cell r="K336">
            <v>0.32954256005532628</v>
          </cell>
          <cell r="L336">
            <v>0.32954256005532628</v>
          </cell>
          <cell r="M336">
            <v>0.32954256005532628</v>
          </cell>
          <cell r="N336">
            <v>0.32203759640096252</v>
          </cell>
          <cell r="O336">
            <v>0.32203759640096252</v>
          </cell>
          <cell r="P336">
            <v>0.32203759640096252</v>
          </cell>
          <cell r="Q336">
            <v>0.32203759640096252</v>
          </cell>
          <cell r="R336">
            <v>0.32203759640096252</v>
          </cell>
          <cell r="S336">
            <v>0.33997265546559075</v>
          </cell>
          <cell r="T336">
            <v>0.33997265546559075</v>
          </cell>
          <cell r="U336">
            <v>0.33997265546559075</v>
          </cell>
          <cell r="V336">
            <v>0.33997265546559075</v>
          </cell>
          <cell r="W336">
            <v>0.33997265546559075</v>
          </cell>
          <cell r="X336">
            <v>0.34144830161941409</v>
          </cell>
          <cell r="Y336">
            <v>0.42575330768135133</v>
          </cell>
          <cell r="Z336">
            <v>0.33820638134208908</v>
          </cell>
          <cell r="AA336">
            <v>0.35023594723043489</v>
          </cell>
          <cell r="AB336">
            <v>0.35890456547925637</v>
          </cell>
          <cell r="AC336">
            <v>0.32646792376111611</v>
          </cell>
          <cell r="AD336">
            <v>0.36092366745365795</v>
          </cell>
          <cell r="AE336">
            <v>0.3742146154824102</v>
          </cell>
          <cell r="AF336">
            <v>0.37468437003449828</v>
          </cell>
          <cell r="AG336">
            <v>0.36015558358176358</v>
          </cell>
          <cell r="AH336">
            <v>0.36457675712884963</v>
          </cell>
          <cell r="AI336">
            <v>0.38941739518309504</v>
          </cell>
          <cell r="AJ336">
            <v>0.39238726383831773</v>
          </cell>
          <cell r="AK336">
            <v>0.36538738060373077</v>
          </cell>
          <cell r="AL336">
            <v>0.37813087436913828</v>
          </cell>
          <cell r="AM336">
            <v>0.36653118141645674</v>
          </cell>
          <cell r="AN336">
            <v>0.40011859244532927</v>
          </cell>
          <cell r="AO336">
            <v>0.36928660686214287</v>
          </cell>
          <cell r="AP336">
            <v>0.24049774959633302</v>
          </cell>
          <cell r="AQ336">
            <v>0.33745343626001062</v>
          </cell>
          <cell r="BL336">
            <v>0</v>
          </cell>
        </row>
        <row r="337">
          <cell r="BL337">
            <v>0</v>
          </cell>
        </row>
        <row r="338">
          <cell r="A338" t="str">
            <v>Direct revenue from gambling, DSF</v>
          </cell>
          <cell r="W338">
            <v>7639.4</v>
          </cell>
          <cell r="AB338">
            <v>10178.4</v>
          </cell>
          <cell r="AG338">
            <v>14740</v>
          </cell>
          <cell r="AL338">
            <v>16561.900000000001</v>
          </cell>
          <cell r="BL338">
            <v>0</v>
          </cell>
        </row>
        <row r="339">
          <cell r="A339" t="str">
            <v xml:space="preserve">  Effective Tax Rate on Total Gaming Revenues</v>
          </cell>
          <cell r="W339">
            <v>0.33443613994134735</v>
          </cell>
          <cell r="AB339">
            <v>0.34531315021440939</v>
          </cell>
          <cell r="AG339">
            <v>0.34841690138714365</v>
          </cell>
          <cell r="AL339">
            <v>0.36160998418137819</v>
          </cell>
          <cell r="BL339">
            <v>0</v>
          </cell>
        </row>
        <row r="340">
          <cell r="A340" t="str">
            <v xml:space="preserve">  Share of total revenues from gambling tax</v>
          </cell>
          <cell r="W340">
            <v>0.98371482107388564</v>
          </cell>
          <cell r="AB340">
            <v>0.96213083763173102</v>
          </cell>
          <cell r="AG340">
            <v>0.9674066355493417</v>
          </cell>
          <cell r="AL340">
            <v>0.95630906834750529</v>
          </cell>
          <cell r="BL340">
            <v>0</v>
          </cell>
        </row>
        <row r="341">
          <cell r="BL341">
            <v>0</v>
          </cell>
        </row>
        <row r="342">
          <cell r="A342" t="str">
            <v>Non-Gaming Spend</v>
          </cell>
          <cell r="BL342">
            <v>0</v>
          </cell>
        </row>
        <row r="343">
          <cell r="A343" t="str">
            <v>Per visitor, excl. airfare</v>
          </cell>
          <cell r="AC343">
            <v>1497</v>
          </cell>
          <cell r="AD343">
            <v>1517</v>
          </cell>
          <cell r="AE343">
            <v>1497</v>
          </cell>
          <cell r="AF343">
            <v>1590</v>
          </cell>
          <cell r="AG343">
            <v>1526.7816351014208</v>
          </cell>
          <cell r="AH343">
            <v>1490</v>
          </cell>
          <cell r="AI343">
            <v>1334</v>
          </cell>
          <cell r="AJ343">
            <v>1419</v>
          </cell>
          <cell r="AK343">
            <v>1574</v>
          </cell>
          <cell r="AL343">
            <v>1456.5180065807692</v>
          </cell>
          <cell r="AM343">
            <v>1562</v>
          </cell>
          <cell r="AN343">
            <v>1468</v>
          </cell>
          <cell r="AO343">
            <v>1430</v>
          </cell>
          <cell r="AP343">
            <v>1670</v>
          </cell>
          <cell r="AQ343">
            <v>1537.0058004042342</v>
          </cell>
          <cell r="BL343">
            <v>0</v>
          </cell>
        </row>
        <row r="344">
          <cell r="A344" t="str">
            <v xml:space="preserve">  in USD</v>
          </cell>
          <cell r="AC344">
            <v>187.41024173453133</v>
          </cell>
          <cell r="AD344">
            <v>188.93683170411239</v>
          </cell>
          <cell r="AE344">
            <v>186.34643027994957</v>
          </cell>
          <cell r="AF344">
            <v>198.38497165215998</v>
          </cell>
          <cell r="AG344">
            <v>190.44128015495355</v>
          </cell>
          <cell r="AH344">
            <v>185.52555264041541</v>
          </cell>
          <cell r="AI344">
            <v>166.27611307772841</v>
          </cell>
          <cell r="AJ344">
            <v>177.30752084927681</v>
          </cell>
          <cell r="AK344">
            <v>197.05385550570654</v>
          </cell>
          <cell r="AL344">
            <v>181.84174538080632</v>
          </cell>
          <cell r="AM344">
            <v>195.4801934420791</v>
          </cell>
          <cell r="AN344">
            <v>183.7111961133443</v>
          </cell>
          <cell r="AO344">
            <v>178.51865795009786</v>
          </cell>
          <cell r="AP344">
            <v>208.37573763997312</v>
          </cell>
          <cell r="AQ344">
            <v>192.06893866808741</v>
          </cell>
          <cell r="BL344">
            <v>0</v>
          </cell>
        </row>
        <row r="345">
          <cell r="BL345">
            <v>0</v>
          </cell>
        </row>
        <row r="346">
          <cell r="A346" t="str">
            <v>Total (mm)</v>
          </cell>
          <cell r="AC346">
            <v>5615.9161590000003</v>
          </cell>
          <cell r="AD346">
            <v>6042.8769630000006</v>
          </cell>
          <cell r="AE346">
            <v>6669.474819</v>
          </cell>
          <cell r="AF346">
            <v>7127.0843699999996</v>
          </cell>
          <cell r="AG346">
            <v>25455.352311000002</v>
          </cell>
          <cell r="AH346">
            <v>6640.9627800000007</v>
          </cell>
          <cell r="AI346">
            <v>5958.0455339999999</v>
          </cell>
          <cell r="AJ346">
            <v>6883.756308</v>
          </cell>
          <cell r="AK346">
            <v>7770.4161679999997</v>
          </cell>
          <cell r="AL346">
            <v>27253.180790000002</v>
          </cell>
          <cell r="AM346">
            <v>8197.4041159999997</v>
          </cell>
          <cell r="AN346">
            <v>7596.110216</v>
          </cell>
          <cell r="AO346">
            <v>7826.8390200000003</v>
          </cell>
          <cell r="AP346">
            <v>10190.88776</v>
          </cell>
          <cell r="AQ346">
            <v>33811.241111999996</v>
          </cell>
          <cell r="BL346">
            <v>0</v>
          </cell>
        </row>
        <row r="347">
          <cell r="A347" t="str">
            <v xml:space="preserve">  in USD (mm)</v>
          </cell>
          <cell r="AC347">
            <v>703.05958912428241</v>
          </cell>
          <cell r="AD347">
            <v>752.61834394659775</v>
          </cell>
          <cell r="AE347">
            <v>830.21564753684891</v>
          </cell>
          <cell r="AF347">
            <v>889.24932748742287</v>
          </cell>
          <cell r="AG347">
            <v>3175.1429080951516</v>
          </cell>
          <cell r="AH347">
            <v>826.89146968048965</v>
          </cell>
          <cell r="AI347">
            <v>742.6391701151714</v>
          </cell>
          <cell r="AJ347">
            <v>860.14218823259387</v>
          </cell>
          <cell r="AK347">
            <v>972.80207419839769</v>
          </cell>
          <cell r="AL347">
            <v>3402.4749022266528</v>
          </cell>
          <cell r="AM347">
            <v>1025.8835738275131</v>
          </cell>
          <cell r="AN347">
            <v>950.60660326304776</v>
          </cell>
          <cell r="AO347">
            <v>977.08866981948199</v>
          </cell>
          <cell r="AP347">
            <v>1271.5770983210618</v>
          </cell>
          <cell r="AQ347">
            <v>4225.1559452311049</v>
          </cell>
          <cell r="BL347">
            <v>0</v>
          </cell>
        </row>
        <row r="348">
          <cell r="BL348">
            <v>0</v>
          </cell>
        </row>
        <row r="349">
          <cell r="A349" t="str">
            <v>Share of Gaming + Non-gaming</v>
          </cell>
          <cell r="AC349">
            <v>0.38297621414219329</v>
          </cell>
          <cell r="AD349">
            <v>0.39245141244928911</v>
          </cell>
          <cell r="AE349">
            <v>0.3794423287690884</v>
          </cell>
          <cell r="AF349">
            <v>0.39589064168356808</v>
          </cell>
          <cell r="AG349">
            <v>0.38779407416959683</v>
          </cell>
          <cell r="AH349">
            <v>0.38518427552763701</v>
          </cell>
          <cell r="AI349">
            <v>0.34442606614181576</v>
          </cell>
          <cell r="AJ349">
            <v>0.37658226319036009</v>
          </cell>
          <cell r="AK349">
            <v>0.40558013408181581</v>
          </cell>
          <cell r="AL349">
            <v>0.37866171308818292</v>
          </cell>
          <cell r="AM349">
            <v>0.398920610619934</v>
          </cell>
          <cell r="AN349">
            <v>0.37500604809430693</v>
          </cell>
          <cell r="AO349">
            <v>0.36615353496426167</v>
          </cell>
          <cell r="AP349">
            <v>0.38271756919626382</v>
          </cell>
          <cell r="AQ349">
            <v>0.38072785779817048</v>
          </cell>
          <cell r="BL349">
            <v>0</v>
          </cell>
        </row>
        <row r="350">
          <cell r="BL350">
            <v>0</v>
          </cell>
        </row>
        <row r="351">
          <cell r="A351" t="str">
            <v>Real Estate</v>
          </cell>
          <cell r="BL351">
            <v>0</v>
          </cell>
        </row>
        <row r="352">
          <cell r="A352" t="str">
            <v>Avg Residential Transaction Price / Sq Meter</v>
          </cell>
          <cell r="BL352">
            <v>0</v>
          </cell>
        </row>
        <row r="353">
          <cell r="A353" t="str">
            <v xml:space="preserve">  All Buildings</v>
          </cell>
          <cell r="AC353">
            <v>7343</v>
          </cell>
          <cell r="AD353">
            <v>7669</v>
          </cell>
          <cell r="AE353">
            <v>8016</v>
          </cell>
          <cell r="AF353">
            <v>8635</v>
          </cell>
          <cell r="AG353">
            <v>7984</v>
          </cell>
          <cell r="AH353">
            <v>9190</v>
          </cell>
          <cell r="AI353">
            <v>10072</v>
          </cell>
          <cell r="AJ353">
            <v>11159</v>
          </cell>
          <cell r="AK353">
            <v>10152</v>
          </cell>
          <cell r="AL353">
            <v>10024</v>
          </cell>
          <cell r="AM353">
            <v>9748</v>
          </cell>
          <cell r="AN353">
            <v>10008</v>
          </cell>
          <cell r="AO353">
            <v>11317</v>
          </cell>
          <cell r="AP353">
            <v>10967</v>
          </cell>
          <cell r="AQ353">
            <v>10578</v>
          </cell>
          <cell r="BL353">
            <v>0</v>
          </cell>
        </row>
        <row r="354">
          <cell r="A354" t="str">
            <v xml:space="preserve">    in USD / sq ft</v>
          </cell>
          <cell r="AC354">
            <v>85.403363283978408</v>
          </cell>
          <cell r="AD354">
            <v>88.735971963894414</v>
          </cell>
          <cell r="AE354">
            <v>92.701531948631725</v>
          </cell>
          <cell r="AF354">
            <v>100.0930475924301</v>
          </cell>
          <cell r="AG354">
            <v>92.529459325720239</v>
          </cell>
          <cell r="AH354">
            <v>106.307254517441</v>
          </cell>
          <cell r="AI354">
            <v>116.63252466470578</v>
          </cell>
          <cell r="AJ354">
            <v>129.53882843125695</v>
          </cell>
          <cell r="AK354">
            <v>118.07603007590829</v>
          </cell>
          <cell r="AL354">
            <v>116.24495730260799</v>
          </cell>
          <cell r="AM354">
            <v>113.33581615843281</v>
          </cell>
          <cell r="AN354">
            <v>116.35546637497735</v>
          </cell>
          <cell r="AO354">
            <v>131.25287256752264</v>
          </cell>
          <cell r="AP354">
            <v>127.13011735078969</v>
          </cell>
          <cell r="AQ354">
            <v>122.81756181632998</v>
          </cell>
          <cell r="BL354">
            <v>0</v>
          </cell>
        </row>
        <row r="355">
          <cell r="A355" t="str">
            <v xml:space="preserve">  Built 2000 and after</v>
          </cell>
          <cell r="S355">
            <v>7188</v>
          </cell>
          <cell r="T355">
            <v>8330</v>
          </cell>
          <cell r="U355">
            <v>7792</v>
          </cell>
          <cell r="V355">
            <v>7574</v>
          </cell>
          <cell r="W355">
            <v>7721</v>
          </cell>
          <cell r="X355">
            <v>7175</v>
          </cell>
          <cell r="Y355">
            <v>8014</v>
          </cell>
          <cell r="Z355">
            <v>8388</v>
          </cell>
          <cell r="AA355">
            <v>9157</v>
          </cell>
          <cell r="AB355">
            <v>8183.5</v>
          </cell>
          <cell r="AC355">
            <v>12008</v>
          </cell>
          <cell r="AD355">
            <v>12421</v>
          </cell>
          <cell r="AE355">
            <v>13950</v>
          </cell>
          <cell r="AF355">
            <v>15566</v>
          </cell>
          <cell r="AG355">
            <v>13564</v>
          </cell>
          <cell r="AH355">
            <v>16108</v>
          </cell>
          <cell r="AI355">
            <v>16267</v>
          </cell>
          <cell r="AJ355">
            <v>16960</v>
          </cell>
          <cell r="AK355">
            <v>15269</v>
          </cell>
          <cell r="AL355">
            <v>16280</v>
          </cell>
          <cell r="AM355">
            <v>15877</v>
          </cell>
          <cell r="AN355">
            <v>16159</v>
          </cell>
          <cell r="AO355">
            <v>16945</v>
          </cell>
          <cell r="AP355">
            <v>16351</v>
          </cell>
          <cell r="AQ355">
            <v>16354</v>
          </cell>
          <cell r="BL355">
            <v>0</v>
          </cell>
        </row>
        <row r="356">
          <cell r="A356" t="str">
            <v xml:space="preserve">    in USD / sq ft</v>
          </cell>
          <cell r="S356">
            <v>82.996855335243893</v>
          </cell>
          <cell r="T356">
            <v>97.471443854602242</v>
          </cell>
          <cell r="U356">
            <v>90.461028218533187</v>
          </cell>
          <cell r="V356">
            <v>87.925191646268175</v>
          </cell>
          <cell r="W356">
            <v>89.692750512102705</v>
          </cell>
          <cell r="X356">
            <v>82.956885557515918</v>
          </cell>
          <cell r="Y356">
            <v>92.928839232741339</v>
          </cell>
          <cell r="Z356">
            <v>96.954382974234292</v>
          </cell>
          <cell r="AA356">
            <v>106.91875758623397</v>
          </cell>
          <cell r="AB356">
            <v>94.913055454556599</v>
          </cell>
          <cell r="AC356">
            <v>139.66002809669246</v>
          </cell>
          <cell r="AD356">
            <v>143.72010793630622</v>
          </cell>
          <cell r="AE356">
            <v>161.32564504533588</v>
          </cell>
          <cell r="AF356">
            <v>180.4340913519128</v>
          </cell>
          <cell r="AG356">
            <v>157.19809447571009</v>
          </cell>
          <cell r="AH356">
            <v>186.33267200946023</v>
          </cell>
          <cell r="AI356">
            <v>188.3698648451915</v>
          </cell>
          <cell r="AJ356">
            <v>196.87951699920401</v>
          </cell>
          <cell r="AK356">
            <v>177.59090851349922</v>
          </cell>
          <cell r="AL356">
            <v>188.79368564310235</v>
          </cell>
          <cell r="AM356">
            <v>184.59507110663088</v>
          </cell>
          <cell r="AN356">
            <v>187.86850331267578</v>
          </cell>
          <cell r="AO356">
            <v>196.52557441518695</v>
          </cell>
          <cell r="AP356">
            <v>189.54176609854676</v>
          </cell>
          <cell r="AQ356">
            <v>189.88073415997926</v>
          </cell>
          <cell r="BL356">
            <v>0</v>
          </cell>
        </row>
        <row r="357">
          <cell r="BL357">
            <v>0</v>
          </cell>
        </row>
        <row r="358">
          <cell r="A358" t="str">
            <v>conversion rate</v>
          </cell>
          <cell r="S358">
            <v>10.763910416709701</v>
          </cell>
          <cell r="T358">
            <v>10.763910416709701</v>
          </cell>
          <cell r="U358">
            <v>10.763910416709701</v>
          </cell>
          <cell r="V358">
            <v>10.763910416709701</v>
          </cell>
          <cell r="W358">
            <v>10.763910416709701</v>
          </cell>
          <cell r="X358">
            <v>10.763910416709701</v>
          </cell>
          <cell r="Y358">
            <v>10.763910416709701</v>
          </cell>
          <cell r="Z358">
            <v>10.763910416709701</v>
          </cell>
          <cell r="AA358">
            <v>10.763910416709701</v>
          </cell>
          <cell r="AB358">
            <v>10.763910416709701</v>
          </cell>
          <cell r="AC358">
            <v>10.763910416709701</v>
          </cell>
          <cell r="AD358">
            <v>10.763910416709701</v>
          </cell>
          <cell r="AE358">
            <v>10.763910416709701</v>
          </cell>
          <cell r="AF358">
            <v>10.763910416709701</v>
          </cell>
          <cell r="AG358">
            <v>10.763910416709701</v>
          </cell>
          <cell r="AH358">
            <v>10.763910416709701</v>
          </cell>
          <cell r="AI358">
            <v>10.763910416709701</v>
          </cell>
          <cell r="AJ358">
            <v>10.763910416709701</v>
          </cell>
          <cell r="AK358">
            <v>10.763910416709701</v>
          </cell>
          <cell r="AL358">
            <v>10.763910416709701</v>
          </cell>
          <cell r="AM358">
            <v>10.763910416709701</v>
          </cell>
          <cell r="AN358">
            <v>10.763910416709701</v>
          </cell>
          <cell r="AO358">
            <v>10.763910416709701</v>
          </cell>
          <cell r="AP358">
            <v>10.763910416709701</v>
          </cell>
          <cell r="AQ358">
            <v>10.763910416709701</v>
          </cell>
          <cell r="BL358">
            <v>0</v>
          </cell>
        </row>
        <row r="359">
          <cell r="BL359">
            <v>0</v>
          </cell>
        </row>
        <row r="360">
          <cell r="A360" t="str">
            <v>Hotel Stats</v>
          </cell>
          <cell r="BL360">
            <v>0</v>
          </cell>
        </row>
        <row r="361">
          <cell r="A361" t="str">
            <v>Hotels</v>
          </cell>
          <cell r="H361">
            <v>74</v>
          </cell>
          <cell r="I361">
            <v>74</v>
          </cell>
          <cell r="J361">
            <v>72</v>
          </cell>
          <cell r="K361">
            <v>72</v>
          </cell>
          <cell r="L361">
            <v>71.666666666666671</v>
          </cell>
          <cell r="M361">
            <v>72.416666666666671</v>
          </cell>
          <cell r="N361">
            <v>71</v>
          </cell>
          <cell r="O361">
            <v>70</v>
          </cell>
          <cell r="P361">
            <v>70.333333333333329</v>
          </cell>
          <cell r="Q361">
            <v>70</v>
          </cell>
          <cell r="R361">
            <v>70.333333333333329</v>
          </cell>
          <cell r="S361">
            <v>69</v>
          </cell>
          <cell r="T361">
            <v>68.333333333333329</v>
          </cell>
          <cell r="U361">
            <v>67</v>
          </cell>
          <cell r="V361">
            <v>68</v>
          </cell>
          <cell r="W361">
            <v>68.083333333333329</v>
          </cell>
          <cell r="X361">
            <v>67.666666666666671</v>
          </cell>
          <cell r="Y361">
            <v>67</v>
          </cell>
          <cell r="Z361">
            <v>68.333333333333329</v>
          </cell>
          <cell r="AA361">
            <v>69.333333333333329</v>
          </cell>
          <cell r="AB361">
            <v>68.083333333333329</v>
          </cell>
          <cell r="AC361">
            <v>70</v>
          </cell>
          <cell r="AD361">
            <v>70</v>
          </cell>
          <cell r="AE361">
            <v>71.333333333333329</v>
          </cell>
          <cell r="AF361">
            <v>68.666666666666671</v>
          </cell>
          <cell r="AG361">
            <v>70</v>
          </cell>
          <cell r="AH361">
            <v>73.666666666666671</v>
          </cell>
          <cell r="AI361">
            <v>74.333333333333329</v>
          </cell>
          <cell r="AJ361">
            <v>73</v>
          </cell>
          <cell r="AK361">
            <v>74.333333333333329</v>
          </cell>
          <cell r="AL361">
            <v>73.833333333333329</v>
          </cell>
          <cell r="AM361">
            <v>76.666666666666671</v>
          </cell>
          <cell r="AN361">
            <v>77.333333333333329</v>
          </cell>
          <cell r="AO361">
            <v>78.333333333333329</v>
          </cell>
          <cell r="AP361">
            <v>79.666666666666671</v>
          </cell>
          <cell r="AQ361">
            <v>78</v>
          </cell>
          <cell r="BL361">
            <v>0</v>
          </cell>
        </row>
        <row r="362">
          <cell r="A362" t="str">
            <v>Average Rooms</v>
          </cell>
          <cell r="H362">
            <v>9431</v>
          </cell>
          <cell r="I362">
            <v>9432</v>
          </cell>
          <cell r="J362">
            <v>9272</v>
          </cell>
          <cell r="K362">
            <v>9299.6666666666661</v>
          </cell>
          <cell r="L362">
            <v>9235.3333333333339</v>
          </cell>
          <cell r="M362">
            <v>9309.75</v>
          </cell>
          <cell r="N362">
            <v>9176.6666666666661</v>
          </cell>
          <cell r="O362">
            <v>8981.3333333333339</v>
          </cell>
          <cell r="P362">
            <v>9017.6666666666661</v>
          </cell>
          <cell r="Q362">
            <v>9020.3333333333339</v>
          </cell>
          <cell r="R362">
            <v>9049</v>
          </cell>
          <cell r="S362">
            <v>8968</v>
          </cell>
          <cell r="T362">
            <v>8906.3333333333339</v>
          </cell>
          <cell r="U362">
            <v>8798.6666666666661</v>
          </cell>
          <cell r="V362">
            <v>8942.6666666666661</v>
          </cell>
          <cell r="W362">
            <v>8903.9166666666661</v>
          </cell>
          <cell r="X362">
            <v>8944.3333333333339</v>
          </cell>
          <cell r="Y362">
            <v>8922.6666666666661</v>
          </cell>
          <cell r="Z362">
            <v>8858.3333333333339</v>
          </cell>
          <cell r="AA362">
            <v>9087.3333333333339</v>
          </cell>
          <cell r="AB362">
            <v>8953.1666666666679</v>
          </cell>
          <cell r="AC362">
            <v>9232.3333333333339</v>
          </cell>
          <cell r="AD362">
            <v>9310.3333333333339</v>
          </cell>
          <cell r="AE362">
            <v>9253.6666666666661</v>
          </cell>
          <cell r="AF362">
            <v>9133.6666666666661</v>
          </cell>
          <cell r="AG362">
            <v>9232.5</v>
          </cell>
          <cell r="AH362">
            <v>10222.333333333334</v>
          </cell>
          <cell r="AI362">
            <v>10553.666666666666</v>
          </cell>
          <cell r="AJ362">
            <v>10596.666666666666</v>
          </cell>
          <cell r="AK362">
            <v>10766.666666666666</v>
          </cell>
          <cell r="AL362">
            <v>10534.833333333332</v>
          </cell>
          <cell r="AM362">
            <v>11117.666666666666</v>
          </cell>
          <cell r="AN362">
            <v>11465.333333333334</v>
          </cell>
          <cell r="AO362">
            <v>11998</v>
          </cell>
          <cell r="AP362">
            <v>12696.666666666666</v>
          </cell>
          <cell r="AQ362">
            <v>11819.416666666666</v>
          </cell>
          <cell r="AR362">
            <v>12954.152173913044</v>
          </cell>
          <cell r="AS362">
            <v>13171.511148272017</v>
          </cell>
          <cell r="AT362">
            <v>17077.818840579712</v>
          </cell>
          <cell r="AU362">
            <v>17677.818840579712</v>
          </cell>
          <cell r="AV362">
            <v>15220.325250836122</v>
          </cell>
          <cell r="AW362">
            <v>21337.818840579712</v>
          </cell>
          <cell r="AX362">
            <v>33922.818840579712</v>
          </cell>
          <cell r="AY362">
            <v>48497.818840579712</v>
          </cell>
          <cell r="AZ362">
            <v>50497.818840579712</v>
          </cell>
          <cell r="BA362">
            <v>50497.818840579712</v>
          </cell>
          <cell r="BK362">
            <v>15295.333333333334</v>
          </cell>
          <cell r="BL362">
            <v>-75.008082497211944</v>
          </cell>
        </row>
        <row r="363">
          <cell r="A363" t="str">
            <v xml:space="preserve">  Year-over-Year growth</v>
          </cell>
          <cell r="M363">
            <v>-1.2856536952603137E-2</v>
          </cell>
          <cell r="N363">
            <v>-2.7070964093864891E-2</v>
          </cell>
          <cell r="O363">
            <v>-3.1348863963186591E-2</v>
          </cell>
          <cell r="P363">
            <v>-3.0323667514964736E-2</v>
          </cell>
          <cell r="Q363">
            <v>-2.3280155922904777E-2</v>
          </cell>
          <cell r="R363">
            <v>-2.8008270898788878E-2</v>
          </cell>
          <cell r="S363">
            <v>-2.2738830366872409E-2</v>
          </cell>
          <cell r="T363">
            <v>-8.3506532066508488E-3</v>
          </cell>
          <cell r="U363">
            <v>-2.4285661479318321E-2</v>
          </cell>
          <cell r="V363">
            <v>-8.6101770075016626E-3</v>
          </cell>
          <cell r="W363">
            <v>-1.6033079161601682E-2</v>
          </cell>
          <cell r="X363">
            <v>-2.6390127862027102E-3</v>
          </cell>
          <cell r="Y363">
            <v>1.8339009693475461E-3</v>
          </cell>
          <cell r="Z363">
            <v>6.7813305046220407E-3</v>
          </cell>
          <cell r="AA363">
            <v>1.6177128373341398E-2</v>
          </cell>
          <cell r="AB363">
            <v>5.5312736904173931E-3</v>
          </cell>
          <cell r="AC363">
            <v>3.2199157753512564E-2</v>
          </cell>
          <cell r="AD363">
            <v>4.3447399880454318E-2</v>
          </cell>
          <cell r="AE363">
            <v>4.4628410159924581E-2</v>
          </cell>
          <cell r="AF363">
            <v>5.0986721443766481E-3</v>
          </cell>
          <cell r="AG363">
            <v>3.1199389415290435E-2</v>
          </cell>
          <cell r="AH363">
            <v>0.10723183016211135</v>
          </cell>
          <cell r="AI363">
            <v>0.13354337474490685</v>
          </cell>
          <cell r="AJ363">
            <v>0.14513165952235152</v>
          </cell>
          <cell r="AK363">
            <v>0.17878909528849318</v>
          </cell>
          <cell r="AL363">
            <v>0.14105966242440648</v>
          </cell>
          <cell r="AM363">
            <v>8.758600449995102E-2</v>
          </cell>
          <cell r="AN363">
            <v>8.6383879220492288E-2</v>
          </cell>
          <cell r="AO363">
            <v>0.13224284366152883</v>
          </cell>
          <cell r="AP363">
            <v>0.17925696594427243</v>
          </cell>
          <cell r="AQ363">
            <v>0.12193674951351863</v>
          </cell>
          <cell r="AR363">
            <v>0.16518623577306801</v>
          </cell>
          <cell r="AS363">
            <v>0.14881188059123285</v>
          </cell>
          <cell r="AT363">
            <v>0.42338880151522851</v>
          </cell>
          <cell r="AU363">
            <v>0.39231967765132936</v>
          </cell>
          <cell r="AV363">
            <v>0.28773912284188774</v>
          </cell>
          <cell r="AW363">
            <v>0.40192922877305315</v>
          </cell>
          <cell r="AX363">
            <v>0.58979786519070876</v>
          </cell>
          <cell r="AY363">
            <v>0.42965179481384541</v>
          </cell>
          <cell r="AZ363">
            <v>4.1238968015743671E-2</v>
          </cell>
          <cell r="BA363">
            <v>0</v>
          </cell>
          <cell r="BK363">
            <v>0.29242566927957458</v>
          </cell>
          <cell r="BL363">
            <v>-4.6865464376868449E-3</v>
          </cell>
        </row>
        <row r="364">
          <cell r="BL364">
            <v>0</v>
          </cell>
        </row>
        <row r="365">
          <cell r="A365" t="str">
            <v>Room Nights Sold</v>
          </cell>
          <cell r="H365">
            <v>1848178.9234999998</v>
          </cell>
          <cell r="I365">
            <v>467672.83039999998</v>
          </cell>
          <cell r="J365">
            <v>479657.5613</v>
          </cell>
          <cell r="K365">
            <v>515678.75460000004</v>
          </cell>
          <cell r="L365">
            <v>498414.3897</v>
          </cell>
          <cell r="M365">
            <v>1961423.5360000001</v>
          </cell>
          <cell r="N365">
            <v>459250.26760000002</v>
          </cell>
          <cell r="O365">
            <v>486978.67590000003</v>
          </cell>
          <cell r="P365">
            <v>524873.24580000003</v>
          </cell>
          <cell r="Q365">
            <v>532337.94480000006</v>
          </cell>
          <cell r="R365">
            <v>2003440.1341000004</v>
          </cell>
          <cell r="S365">
            <v>500684.37060000002</v>
          </cell>
          <cell r="T365">
            <v>538486.87650000001</v>
          </cell>
          <cell r="U365">
            <v>563837.97100000002</v>
          </cell>
          <cell r="V365">
            <v>578860.32159999991</v>
          </cell>
          <cell r="W365">
            <v>2181869.5397000001</v>
          </cell>
          <cell r="X365">
            <v>523904.62679999997</v>
          </cell>
          <cell r="Y365">
            <v>341952.7304</v>
          </cell>
          <cell r="Z365">
            <v>596350.77789999999</v>
          </cell>
          <cell r="AA365">
            <v>638185.94559999998</v>
          </cell>
          <cell r="AB365">
            <v>2100394.0806999998</v>
          </cell>
          <cell r="AC365">
            <v>587098.42070000002</v>
          </cell>
          <cell r="AD365">
            <v>629569.19530000002</v>
          </cell>
          <cell r="AE365">
            <v>669807.25349999999</v>
          </cell>
          <cell r="AF365">
            <v>666723.15240000002</v>
          </cell>
          <cell r="AG365">
            <v>2553198.0219000001</v>
          </cell>
          <cell r="AH365">
            <v>604270.85899999994</v>
          </cell>
          <cell r="AI365">
            <v>645644.57120000001</v>
          </cell>
          <cell r="AJ365">
            <v>704562.37190000003</v>
          </cell>
          <cell r="AK365">
            <v>772233.05480000004</v>
          </cell>
          <cell r="AL365">
            <v>2726710.8569</v>
          </cell>
          <cell r="AM365">
            <v>706504.0597000001</v>
          </cell>
          <cell r="AN365">
            <v>733370.08649999998</v>
          </cell>
          <cell r="AO365">
            <v>788058.65720000002</v>
          </cell>
          <cell r="AP365">
            <v>892821.68259999994</v>
          </cell>
          <cell r="AQ365">
            <v>3120754.486</v>
          </cell>
          <cell r="AR365">
            <v>883652.77173913049</v>
          </cell>
          <cell r="AS365">
            <v>908305.88586956519</v>
          </cell>
          <cell r="AT365">
            <v>1206837.98</v>
          </cell>
          <cell r="AU365">
            <v>1252146.5079999999</v>
          </cell>
          <cell r="AV365">
            <v>4250943.1456086952</v>
          </cell>
          <cell r="AW365">
            <v>6081198.4488886949</v>
          </cell>
          <cell r="AX365">
            <v>9785324.0055454969</v>
          </cell>
          <cell r="AY365">
            <v>14076949.894565495</v>
          </cell>
          <cell r="AZ365">
            <v>15403585.464565495</v>
          </cell>
          <cell r="BA365">
            <v>15620317.828578006</v>
          </cell>
          <cell r="BK365">
            <v>3943029.911541895</v>
          </cell>
          <cell r="BL365">
            <v>307913.23406680021</v>
          </cell>
        </row>
        <row r="366">
          <cell r="A366" t="str">
            <v>Room Nights Available</v>
          </cell>
          <cell r="H366">
            <v>3442315</v>
          </cell>
          <cell r="I366">
            <v>858296</v>
          </cell>
          <cell r="J366">
            <v>843619</v>
          </cell>
          <cell r="K366">
            <v>855572</v>
          </cell>
          <cell r="L366">
            <v>849684</v>
          </cell>
          <cell r="M366">
            <v>3407171</v>
          </cell>
          <cell r="N366">
            <v>825896</v>
          </cell>
          <cell r="O366">
            <v>817413</v>
          </cell>
          <cell r="P366">
            <v>829627</v>
          </cell>
          <cell r="Q366">
            <v>829869</v>
          </cell>
          <cell r="R366">
            <v>3302805</v>
          </cell>
          <cell r="S366">
            <v>807045</v>
          </cell>
          <cell r="T366">
            <v>810525</v>
          </cell>
          <cell r="U366">
            <v>809468</v>
          </cell>
          <cell r="V366">
            <v>822740</v>
          </cell>
          <cell r="W366">
            <v>3249778</v>
          </cell>
          <cell r="X366">
            <v>804994</v>
          </cell>
          <cell r="Y366">
            <v>811957</v>
          </cell>
          <cell r="Z366">
            <v>814918</v>
          </cell>
          <cell r="AA366">
            <v>835944</v>
          </cell>
          <cell r="AB366">
            <v>3267813</v>
          </cell>
          <cell r="AC366">
            <v>840191</v>
          </cell>
          <cell r="AD366">
            <v>847243</v>
          </cell>
          <cell r="AE366">
            <v>851486</v>
          </cell>
          <cell r="AF366">
            <v>840276</v>
          </cell>
          <cell r="AG366">
            <v>3379196</v>
          </cell>
          <cell r="AH366">
            <v>920134</v>
          </cell>
          <cell r="AI366">
            <v>960284</v>
          </cell>
          <cell r="AJ366">
            <v>974811</v>
          </cell>
          <cell r="AK366">
            <v>990467</v>
          </cell>
          <cell r="AL366">
            <v>3845696</v>
          </cell>
          <cell r="AM366">
            <v>1000820</v>
          </cell>
          <cell r="AN366">
            <v>1043205</v>
          </cell>
          <cell r="AO366">
            <v>1103403</v>
          </cell>
          <cell r="AP366">
            <v>1168097</v>
          </cell>
          <cell r="AQ366">
            <v>4315525</v>
          </cell>
          <cell r="AR366">
            <v>1165873.6956521741</v>
          </cell>
          <cell r="AS366">
            <v>1198607.5144927534</v>
          </cell>
          <cell r="AT366">
            <v>1571159.3333333335</v>
          </cell>
          <cell r="AU366">
            <v>1626359.3333333335</v>
          </cell>
          <cell r="AV366">
            <v>5561999.8768115947</v>
          </cell>
          <cell r="AW366">
            <v>7788303.8768115947</v>
          </cell>
          <cell r="AX366">
            <v>12381828.876811596</v>
          </cell>
          <cell r="AY366">
            <v>17701703.876811594</v>
          </cell>
          <cell r="AZ366">
            <v>18431703.876811594</v>
          </cell>
          <cell r="BA366">
            <v>18482201.695652176</v>
          </cell>
          <cell r="BK366">
            <v>5582796.666666667</v>
          </cell>
          <cell r="BL366">
            <v>-20796.789855072275</v>
          </cell>
        </row>
        <row r="367">
          <cell r="A367" t="str">
            <v>Occupancy</v>
          </cell>
          <cell r="H367">
            <v>0.53689999999999993</v>
          </cell>
          <cell r="I367">
            <v>0.54488524984387665</v>
          </cell>
          <cell r="J367">
            <v>0.56857131157548613</v>
          </cell>
          <cell r="K367">
            <v>0.60272981654378599</v>
          </cell>
          <cell r="L367">
            <v>0.58658794292937144</v>
          </cell>
          <cell r="M367">
            <v>0.57567510876325256</v>
          </cell>
          <cell r="N367">
            <v>0.55606307283241474</v>
          </cell>
          <cell r="O367">
            <v>0.59575597146118309</v>
          </cell>
          <cell r="P367">
            <v>0.63266172123134856</v>
          </cell>
          <cell r="Q367">
            <v>0.64147226224862008</v>
          </cell>
          <cell r="R367">
            <v>0.60658747158854376</v>
          </cell>
          <cell r="S367">
            <v>0.62039213501105894</v>
          </cell>
          <cell r="T367">
            <v>0.66436800407143515</v>
          </cell>
          <cell r="U367">
            <v>0.69655375011736109</v>
          </cell>
          <cell r="V367">
            <v>0.70357624717407674</v>
          </cell>
          <cell r="W367">
            <v>0.67139033487825939</v>
          </cell>
          <cell r="X367">
            <v>0.65081805181156627</v>
          </cell>
          <cell r="Y367">
            <v>0.42114635430201353</v>
          </cell>
          <cell r="Z367">
            <v>0.73179237407935516</v>
          </cell>
          <cell r="AA367">
            <v>0.76343145665259871</v>
          </cell>
          <cell r="AB367">
            <v>0.64275222624428019</v>
          </cell>
          <cell r="AC367">
            <v>0.69876780482057055</v>
          </cell>
          <cell r="AD367">
            <v>0.7430798428550015</v>
          </cell>
          <cell r="AE367">
            <v>0.78663331340738429</v>
          </cell>
          <cell r="AF367">
            <v>0.79345733116261807</v>
          </cell>
          <cell r="AG367">
            <v>0.75556375596443648</v>
          </cell>
          <cell r="AH367">
            <v>0.65672049831872303</v>
          </cell>
          <cell r="AI367">
            <v>0.67234752552369925</v>
          </cell>
          <cell r="AJ367">
            <v>0.7227681795753228</v>
          </cell>
          <cell r="AK367">
            <v>0.77966560703183452</v>
          </cell>
          <cell r="AL367">
            <v>0.7090292256330194</v>
          </cell>
          <cell r="AM367">
            <v>0.70592520103515133</v>
          </cell>
          <cell r="AN367">
            <v>0.70299709692725776</v>
          </cell>
          <cell r="AO367">
            <v>0.71420746291246262</v>
          </cell>
          <cell r="AP367">
            <v>0.76433864875947799</v>
          </cell>
          <cell r="AQ367">
            <v>0.72314596393254582</v>
          </cell>
          <cell r="AR367">
            <v>0.75793181974555746</v>
          </cell>
          <cell r="AS367">
            <v>0.75780092723176118</v>
          </cell>
          <cell r="AT367">
            <v>0.76811940991344385</v>
          </cell>
          <cell r="AU367">
            <v>0.76990765960290031</v>
          </cell>
          <cell r="AV367">
            <v>0.7642832146277464</v>
          </cell>
          <cell r="AW367">
            <v>0.7808116561802978</v>
          </cell>
          <cell r="AX367">
            <v>0.79029714454148425</v>
          </cell>
          <cell r="AY367">
            <v>0.79523135131673073</v>
          </cell>
          <cell r="AZ367">
            <v>0.83571142242276963</v>
          </cell>
          <cell r="BA367">
            <v>0.84515460256299391</v>
          </cell>
          <cell r="BK367">
            <v>0.70628219993836328</v>
          </cell>
          <cell r="BL367">
            <v>5.8001014689383124E-2</v>
          </cell>
        </row>
        <row r="368">
          <cell r="A368" t="str">
            <v>Guests per Room</v>
          </cell>
          <cell r="I368">
            <v>1.7401874710231193</v>
          </cell>
          <cell r="J368">
            <v>1.7430326288072218</v>
          </cell>
          <cell r="K368">
            <v>1.769003419013454</v>
          </cell>
          <cell r="L368">
            <v>1.7790470840947847</v>
          </cell>
          <cell r="M368">
            <v>1.7587856901804808</v>
          </cell>
          <cell r="N368">
            <v>1.7915024219066271</v>
          </cell>
          <cell r="O368">
            <v>1.7910566789973894</v>
          </cell>
          <cell r="P368">
            <v>1.773399249148774</v>
          </cell>
          <cell r="Q368">
            <v>1.7848720021081863</v>
          </cell>
          <cell r="R368">
            <v>1.7850084170877942</v>
          </cell>
          <cell r="S368">
            <v>1.8256431669808546</v>
          </cell>
          <cell r="T368">
            <v>1.7870877428275944</v>
          </cell>
          <cell r="U368">
            <v>1.7545930407017587</v>
          </cell>
          <cell r="V368">
            <v>1.7408959681578566</v>
          </cell>
          <cell r="W368">
            <v>1.7772722697709271</v>
          </cell>
          <cell r="X368">
            <v>1.7280966681472341</v>
          </cell>
          <cell r="Y368">
            <v>1.7600973072973012</v>
          </cell>
          <cell r="Z368">
            <v>1.7678918444262612</v>
          </cell>
          <cell r="AA368">
            <v>1.7809878993779376</v>
          </cell>
          <cell r="AB368">
            <v>1.7700792409208013</v>
          </cell>
          <cell r="AC368">
            <v>1.8421253607027459</v>
          </cell>
          <cell r="AD368">
            <v>1.8246998718744334</v>
          </cell>
          <cell r="AE368">
            <v>1.8236745923803284</v>
          </cell>
          <cell r="AF368">
            <v>1.7954530537763875</v>
          </cell>
          <cell r="AG368">
            <v>1.8219416218794933</v>
          </cell>
          <cell r="AH368">
            <v>1.7764494249754976</v>
          </cell>
          <cell r="AI368">
            <v>1.7880625525191434</v>
          </cell>
          <cell r="AJ368">
            <v>1.799754288013518</v>
          </cell>
          <cell r="AK368">
            <v>1.7499732646771959</v>
          </cell>
          <cell r="AL368">
            <v>1.7771274235908885</v>
          </cell>
          <cell r="AM368">
            <v>1.7466270288533861</v>
          </cell>
          <cell r="AN368">
            <v>1.7226267109273483</v>
          </cell>
          <cell r="AO368">
            <v>1.7529682856878253</v>
          </cell>
          <cell r="AP368">
            <v>1.7979307976990209</v>
          </cell>
          <cell r="AQ368">
            <v>1.7548958768043246</v>
          </cell>
          <cell r="AR368">
            <v>1.7466270288533861</v>
          </cell>
          <cell r="AS368">
            <v>1.7226267109273483</v>
          </cell>
          <cell r="AT368">
            <v>1.7529682856878253</v>
          </cell>
          <cell r="AU368">
            <v>1.7979307976990209</v>
          </cell>
          <cell r="AV368">
            <v>1.7150671401583086</v>
          </cell>
          <cell r="AW368">
            <v>1.7150671401583086</v>
          </cell>
          <cell r="AX368">
            <v>1.7150671401583086</v>
          </cell>
          <cell r="AY368">
            <v>1.7150671401583086</v>
          </cell>
          <cell r="AZ368">
            <v>1.7150671401583086</v>
          </cell>
          <cell r="BA368">
            <v>1.7150671401583086</v>
          </cell>
          <cell r="BK368">
            <v>1.7229728514305702</v>
          </cell>
          <cell r="BL368">
            <v>-7.9057112722615841E-3</v>
          </cell>
        </row>
        <row r="369">
          <cell r="BL369">
            <v>0</v>
          </cell>
        </row>
        <row r="370">
          <cell r="A370" t="str">
            <v>ADR</v>
          </cell>
          <cell r="H370">
            <v>45.254965935896394</v>
          </cell>
          <cell r="I370">
            <v>47.749307373616297</v>
          </cell>
          <cell r="J370">
            <v>48.335675406915442</v>
          </cell>
          <cell r="K370">
            <v>50.783381206347201</v>
          </cell>
          <cell r="L370">
            <v>52.389399776054503</v>
          </cell>
          <cell r="M370">
            <v>49.860221242161948</v>
          </cell>
          <cell r="N370">
            <v>52.939835851369047</v>
          </cell>
          <cell r="O370">
            <v>52.500572441544328</v>
          </cell>
          <cell r="P370">
            <v>51.403055409518565</v>
          </cell>
          <cell r="Q370">
            <v>50.483305164764261</v>
          </cell>
          <cell r="R370">
            <v>51.77704499752749</v>
          </cell>
          <cell r="S370">
            <v>50.648412514415647</v>
          </cell>
          <cell r="T370">
            <v>47.973118895419333</v>
          </cell>
          <cell r="U370">
            <v>47.510847858151898</v>
          </cell>
          <cell r="V370">
            <v>48.547335694693956</v>
          </cell>
          <cell r="W370">
            <v>48.621434379636526</v>
          </cell>
          <cell r="X370">
            <v>50.261874235043663</v>
          </cell>
          <cell r="Y370">
            <v>45.919385013897511</v>
          </cell>
          <cell r="Z370">
            <v>51.695933513572228</v>
          </cell>
          <cell r="AA370">
            <v>56.788558904483885</v>
          </cell>
          <cell r="AB370">
            <v>51.920478265889656</v>
          </cell>
          <cell r="AC370">
            <v>58.592998889701121</v>
          </cell>
          <cell r="AD370">
            <v>58.382028402147647</v>
          </cell>
          <cell r="AE370">
            <v>59.527013301190301</v>
          </cell>
          <cell r="AF370">
            <v>67.196477919640145</v>
          </cell>
          <cell r="AG370">
            <v>61.03824908884031</v>
          </cell>
          <cell r="AH370">
            <v>66.973341949573197</v>
          </cell>
          <cell r="AI370">
            <v>61.907683767053449</v>
          </cell>
          <cell r="AJ370">
            <v>65.256919906916337</v>
          </cell>
          <cell r="AK370">
            <v>72.182763832568668</v>
          </cell>
          <cell r="AL370">
            <v>66.786957240022872</v>
          </cell>
          <cell r="AM370">
            <v>72.292429237858357</v>
          </cell>
          <cell r="AN370">
            <v>71.226043800563644</v>
          </cell>
          <cell r="BL370">
            <v>0</v>
          </cell>
        </row>
        <row r="371">
          <cell r="A371" t="str">
            <v xml:space="preserve">  Year-over-Year growth</v>
          </cell>
          <cell r="M371">
            <v>0.10176243006765029</v>
          </cell>
          <cell r="N371">
            <v>0.10870374384992143</v>
          </cell>
          <cell r="O371">
            <v>8.6166108150275367E-2</v>
          </cell>
          <cell r="P371">
            <v>1.2202302967056378E-2</v>
          </cell>
          <cell r="Q371">
            <v>-3.6383211478621669E-2</v>
          </cell>
          <cell r="R371">
            <v>3.8443948053416666E-2</v>
          </cell>
          <cell r="S371">
            <v>-4.3283536869790695E-2</v>
          </cell>
          <cell r="T371">
            <v>-8.6236270112406754E-2</v>
          </cell>
          <cell r="U371">
            <v>-7.5719381277205677E-2</v>
          </cell>
          <cell r="V371">
            <v>-3.8348706839851476E-2</v>
          </cell>
          <cell r="W371">
            <v>-6.0946131978788176E-2</v>
          </cell>
          <cell r="X371">
            <v>-7.6317945653670005E-3</v>
          </cell>
          <cell r="Y371">
            <v>-4.28100971712706E-2</v>
          </cell>
          <cell r="Z371">
            <v>8.8086949488152655E-2</v>
          </cell>
          <cell r="AA371">
            <v>0.16975644681342761</v>
          </cell>
          <cell r="AB371">
            <v>6.7851636389296255E-2</v>
          </cell>
          <cell r="AC371">
            <v>0.16575435718329845</v>
          </cell>
          <cell r="AD371">
            <v>0.27140266326472617</v>
          </cell>
          <cell r="AE371">
            <v>0.1514834776232854</v>
          </cell>
          <cell r="AF371">
            <v>0.18327492748428376</v>
          </cell>
          <cell r="AG371">
            <v>0.17561030112738352</v>
          </cell>
          <cell r="AH371">
            <v>0.14302635500271488</v>
          </cell>
          <cell r="AI371">
            <v>6.0389394842884636E-2</v>
          </cell>
          <cell r="AJ371">
            <v>9.6257250077948386E-2</v>
          </cell>
          <cell r="AK371">
            <v>7.4204572431483484E-2</v>
          </cell>
          <cell r="AL371">
            <v>9.4182061854615196E-2</v>
          </cell>
          <cell r="AM371">
            <v>7.942096263152143E-2</v>
          </cell>
          <cell r="AN371">
            <v>0.1505202499349414</v>
          </cell>
          <cell r="BL371">
            <v>0</v>
          </cell>
        </row>
        <row r="372">
          <cell r="BL372">
            <v>0</v>
          </cell>
        </row>
        <row r="373">
          <cell r="A373" t="str">
            <v>RevPAR</v>
          </cell>
          <cell r="H373">
            <v>24.29739121098277</v>
          </cell>
          <cell r="I373">
            <v>26.017893278144978</v>
          </cell>
          <cell r="J373">
            <v>27.482278361996883</v>
          </cell>
          <cell r="K373">
            <v>30.608658037974799</v>
          </cell>
          <cell r="L373">
            <v>30.730990245940284</v>
          </cell>
          <cell r="M373">
            <v>28.703288286541415</v>
          </cell>
          <cell r="N373">
            <v>29.437887798755906</v>
          </cell>
          <cell r="O373">
            <v>31.27752953718046</v>
          </cell>
          <cell r="P373">
            <v>32.520745511936397</v>
          </cell>
          <cell r="Q373">
            <v>32.383639969828778</v>
          </cell>
          <cell r="R373">
            <v>31.407306811376458</v>
          </cell>
          <cell r="S373">
            <v>31.421876774739157</v>
          </cell>
          <cell r="T373">
            <v>31.871805249631393</v>
          </cell>
          <cell r="U373">
            <v>33.093859246851096</v>
          </cell>
          <cell r="V373">
            <v>34.156752258372876</v>
          </cell>
          <cell r="W373">
            <v>32.643961110405478</v>
          </cell>
          <cell r="X373">
            <v>32.711335070049074</v>
          </cell>
          <cell r="Y373">
            <v>19.338781590393452</v>
          </cell>
          <cell r="Z373">
            <v>37.830689916145523</v>
          </cell>
          <cell r="AA373">
            <v>43.354172245652038</v>
          </cell>
          <cell r="AB373">
            <v>33.372002993068342</v>
          </cell>
          <cell r="AC373">
            <v>40.942901212010582</v>
          </cell>
          <cell r="AD373">
            <v>43.382508490624105</v>
          </cell>
          <cell r="AE373">
            <v>46.825931710360763</v>
          </cell>
          <cell r="AF373">
            <v>53.317538033645462</v>
          </cell>
          <cell r="AG373">
            <v>46.118288739057029</v>
          </cell>
          <cell r="AH373">
            <v>43.98276649919395</v>
          </cell>
          <cell r="AI373">
            <v>41.623477991682073</v>
          </cell>
          <cell r="AJ373">
            <v>47.165625205814564</v>
          </cell>
          <cell r="AK373">
            <v>56.278418380755198</v>
          </cell>
          <cell r="AL373">
            <v>47.353904574278992</v>
          </cell>
          <cell r="AM373">
            <v>51.033047643054616</v>
          </cell>
          <cell r="AN373">
            <v>50.071702017409947</v>
          </cell>
          <cell r="BL373">
            <v>0</v>
          </cell>
        </row>
        <row r="374">
          <cell r="A374" t="str">
            <v xml:space="preserve">  Year-over-Year growth</v>
          </cell>
          <cell r="M374">
            <v>0.1813321042288325</v>
          </cell>
          <cell r="N374">
            <v>0.1314477880299294</v>
          </cell>
          <cell r="O374">
            <v>0.1380981272801507</v>
          </cell>
          <cell r="P374">
            <v>6.2468843671269703E-2</v>
          </cell>
          <cell r="Q374">
            <v>5.3777952179943744E-2</v>
          </cell>
          <cell r="R374">
            <v>9.4205879752910393E-2</v>
          </cell>
          <cell r="S374">
            <v>6.7395765265030327E-2</v>
          </cell>
          <cell r="T374">
            <v>1.9000084765150804E-2</v>
          </cell>
          <cell r="U374">
            <v>1.7623019580050636E-2</v>
          </cell>
          <cell r="V374">
            <v>5.475333502336599E-2</v>
          </cell>
          <cell r="W374">
            <v>3.937473233397637E-2</v>
          </cell>
          <cell r="X374">
            <v>4.103695984023914E-2</v>
          </cell>
          <cell r="Y374">
            <v>-0.39323231179014839</v>
          </cell>
          <cell r="Z374">
            <v>0.14313322099915382</v>
          </cell>
          <cell r="AA374">
            <v>0.26927091655866042</v>
          </cell>
          <cell r="AB374">
            <v>2.2302498161927975E-2</v>
          </cell>
          <cell r="AC374">
            <v>0.25164262248343494</v>
          </cell>
          <cell r="AD374">
            <v>1.2432906792935903</v>
          </cell>
          <cell r="AE374">
            <v>0.23777630844570496</v>
          </cell>
          <cell r="AF374">
            <v>0.2298133091214225</v>
          </cell>
          <cell r="AG374">
            <v>0.38194548132565487</v>
          </cell>
          <cell r="AH374">
            <v>7.424645536090213E-2</v>
          </cell>
          <cell r="AI374">
            <v>-4.0546998321274952E-2</v>
          </cell>
          <cell r="AJ374">
            <v>7.2543883922044916E-3</v>
          </cell>
          <cell r="AK374">
            <v>5.5532953251541839E-2</v>
          </cell>
          <cell r="AL374">
            <v>2.6792317516663111E-2</v>
          </cell>
          <cell r="AM374">
            <v>0.16029644574517321</v>
          </cell>
          <cell r="AN374">
            <v>0.20296775842268988</v>
          </cell>
          <cell r="BL374">
            <v>0</v>
          </cell>
        </row>
        <row r="375">
          <cell r="BL375">
            <v>0</v>
          </cell>
        </row>
        <row r="376">
          <cell r="A376" t="str">
            <v>Labor/Population (thousands)</v>
          </cell>
          <cell r="BL376">
            <v>0</v>
          </cell>
        </row>
        <row r="377">
          <cell r="A377" t="str">
            <v>Population (period-end)</v>
          </cell>
          <cell r="G377">
            <v>430.54899999999998</v>
          </cell>
          <cell r="H377">
            <v>437.45499999999998</v>
          </cell>
          <cell r="I377">
            <v>434.68799999999999</v>
          </cell>
          <cell r="J377">
            <v>437.67899999999997</v>
          </cell>
          <cell r="K377">
            <v>437.05099999999999</v>
          </cell>
          <cell r="L377">
            <v>437.90300000000002</v>
          </cell>
          <cell r="M377">
            <v>437.90300000000002</v>
          </cell>
          <cell r="N377">
            <v>432.8</v>
          </cell>
          <cell r="O377">
            <v>434.1</v>
          </cell>
          <cell r="P377">
            <v>435.4</v>
          </cell>
          <cell r="Q377">
            <v>436.7</v>
          </cell>
          <cell r="R377">
            <v>436.7</v>
          </cell>
          <cell r="S377">
            <v>436.8</v>
          </cell>
          <cell r="T377">
            <v>439.2</v>
          </cell>
          <cell r="U377">
            <v>439.8</v>
          </cell>
          <cell r="V377">
            <v>441.6</v>
          </cell>
          <cell r="W377">
            <v>441.6</v>
          </cell>
          <cell r="X377">
            <v>443.4</v>
          </cell>
          <cell r="Y377">
            <v>445.1</v>
          </cell>
          <cell r="Z377">
            <v>446.8</v>
          </cell>
          <cell r="AA377">
            <v>448.5</v>
          </cell>
          <cell r="AB377">
            <v>448.5</v>
          </cell>
          <cell r="AC377">
            <v>451.3</v>
          </cell>
          <cell r="AD377">
            <v>454.3</v>
          </cell>
          <cell r="AE377">
            <v>461.1</v>
          </cell>
          <cell r="AF377">
            <v>465.33300000000003</v>
          </cell>
          <cell r="AG377">
            <v>465.33300000000003</v>
          </cell>
          <cell r="AH377">
            <v>471</v>
          </cell>
          <cell r="AI377">
            <v>476.7</v>
          </cell>
          <cell r="AJ377">
            <v>482.4</v>
          </cell>
          <cell r="AK377">
            <v>488.1</v>
          </cell>
          <cell r="AL377">
            <v>488.1</v>
          </cell>
          <cell r="AM377">
            <v>498.5</v>
          </cell>
          <cell r="AN377">
            <v>503</v>
          </cell>
          <cell r="AO377">
            <v>508.5</v>
          </cell>
          <cell r="AP377">
            <v>513.42700000000002</v>
          </cell>
          <cell r="AQ377">
            <v>513.42700000000002</v>
          </cell>
          <cell r="BL377">
            <v>0</v>
          </cell>
        </row>
        <row r="378">
          <cell r="A378" t="str">
            <v xml:space="preserve">  Year-over-Year growth</v>
          </cell>
          <cell r="H378">
            <v>1.6039986157208697E-2</v>
          </cell>
          <cell r="M378">
            <v>1.0241053365489527E-3</v>
          </cell>
          <cell r="N378">
            <v>-4.3433451118962685E-3</v>
          </cell>
          <cell r="O378">
            <v>-8.1772257750541977E-3</v>
          </cell>
          <cell r="P378">
            <v>-3.7775911735701273E-3</v>
          </cell>
          <cell r="Q378">
            <v>-2.7471837370377505E-3</v>
          </cell>
          <cell r="R378">
            <v>-2.7471837370377505E-3</v>
          </cell>
          <cell r="S378">
            <v>9.2421441774490631E-3</v>
          </cell>
          <cell r="T378">
            <v>1.1748445058742174E-2</v>
          </cell>
          <cell r="U378">
            <v>1.0105649977032671E-2</v>
          </cell>
          <cell r="V378">
            <v>1.1220517517746886E-2</v>
          </cell>
          <cell r="W378">
            <v>1.1220517517746886E-2</v>
          </cell>
          <cell r="X378">
            <v>1.5109890109890056E-2</v>
          </cell>
          <cell r="Y378">
            <v>1.343351548269589E-2</v>
          </cell>
          <cell r="Z378">
            <v>1.5916325602546522E-2</v>
          </cell>
          <cell r="AA378">
            <v>1.5625E-2</v>
          </cell>
          <cell r="AB378">
            <v>1.5625E-2</v>
          </cell>
          <cell r="AC378">
            <v>1.7816869643662692E-2</v>
          </cell>
          <cell r="AD378">
            <v>2.0669512469108087E-2</v>
          </cell>
          <cell r="AE378">
            <v>3.200537153088634E-2</v>
          </cell>
          <cell r="AF378">
            <v>3.7531772575250866E-2</v>
          </cell>
          <cell r="AG378">
            <v>3.7531772575250866E-2</v>
          </cell>
          <cell r="AL378">
            <v>4.8926252812502069E-2</v>
          </cell>
          <cell r="AQ378">
            <v>5.1888957180905582E-2</v>
          </cell>
          <cell r="BL378">
            <v>0</v>
          </cell>
        </row>
        <row r="379">
          <cell r="BL379">
            <v>0</v>
          </cell>
        </row>
        <row r="380">
          <cell r="A380" t="str">
            <v>Resident employed population</v>
          </cell>
          <cell r="G380">
            <v>169.03399999999999</v>
          </cell>
          <cell r="H380">
            <v>170.297</v>
          </cell>
          <cell r="I380">
            <v>173.274</v>
          </cell>
          <cell r="J380">
            <v>170.52600000000001</v>
          </cell>
          <cell r="K380">
            <v>169.48400000000001</v>
          </cell>
          <cell r="L380">
            <v>175.44499999999999</v>
          </cell>
          <cell r="M380">
            <v>172.87700000000001</v>
          </cell>
          <cell r="N380">
            <v>172.32299999999998</v>
          </cell>
          <cell r="O380">
            <v>174.7</v>
          </cell>
          <cell r="P380">
            <v>179.608</v>
          </cell>
          <cell r="Q380">
            <v>180.9</v>
          </cell>
          <cell r="R380">
            <v>176.9</v>
          </cell>
          <cell r="S380">
            <v>178.1</v>
          </cell>
          <cell r="T380">
            <v>177.9</v>
          </cell>
          <cell r="U380">
            <v>176.10000000000002</v>
          </cell>
          <cell r="V380">
            <v>175.2</v>
          </cell>
          <cell r="W380">
            <v>177.1</v>
          </cell>
          <cell r="X380">
            <v>177.6</v>
          </cell>
          <cell r="Y380">
            <v>176.7</v>
          </cell>
          <cell r="Z380">
            <v>178.8</v>
          </cell>
          <cell r="AA380">
            <v>182.53</v>
          </cell>
          <cell r="AB380">
            <v>177.63</v>
          </cell>
          <cell r="AC380">
            <v>185.78100000000001</v>
          </cell>
          <cell r="AD380">
            <v>186.93900000000002</v>
          </cell>
          <cell r="AE380">
            <v>194.066</v>
          </cell>
          <cell r="AF380">
            <v>200.66400000000002</v>
          </cell>
          <cell r="AG380">
            <v>190.239</v>
          </cell>
          <cell r="AH380">
            <v>201.05199999999999</v>
          </cell>
          <cell r="AI380">
            <v>200.803</v>
          </cell>
          <cell r="AJ380">
            <v>206.08199999999999</v>
          </cell>
          <cell r="AK380">
            <v>209.38900000000001</v>
          </cell>
          <cell r="AL380">
            <v>198.38900000000001</v>
          </cell>
          <cell r="AM380">
            <v>207.524</v>
          </cell>
          <cell r="AN380">
            <v>213.60000000000002</v>
          </cell>
          <cell r="AO380">
            <v>214.64699999999999</v>
          </cell>
          <cell r="AP380">
            <v>211.62700000000001</v>
          </cell>
          <cell r="BL380">
            <v>0</v>
          </cell>
        </row>
        <row r="381">
          <cell r="A381" t="str">
            <v>Non-resident workers (period-end)</v>
          </cell>
          <cell r="G381">
            <v>32.012999999999998</v>
          </cell>
          <cell r="H381">
            <v>32.183</v>
          </cell>
          <cell r="I381">
            <v>28.010999999999999</v>
          </cell>
          <cell r="J381">
            <v>28.215</v>
          </cell>
          <cell r="K381">
            <v>28.113</v>
          </cell>
          <cell r="L381">
            <v>27.221</v>
          </cell>
          <cell r="M381">
            <v>27.221</v>
          </cell>
          <cell r="N381">
            <v>25.777000000000001</v>
          </cell>
          <cell r="O381">
            <v>25.8</v>
          </cell>
          <cell r="P381">
            <v>26.292000000000002</v>
          </cell>
          <cell r="Q381">
            <v>25.9</v>
          </cell>
          <cell r="R381">
            <v>25.9</v>
          </cell>
          <cell r="S381">
            <v>24.5</v>
          </cell>
          <cell r="T381">
            <v>23.7</v>
          </cell>
          <cell r="U381">
            <v>23.2</v>
          </cell>
          <cell r="V381">
            <v>23.5</v>
          </cell>
          <cell r="W381">
            <v>23.5</v>
          </cell>
          <cell r="X381">
            <v>23</v>
          </cell>
          <cell r="Y381">
            <v>23.5</v>
          </cell>
          <cell r="Z381">
            <v>23.2</v>
          </cell>
          <cell r="AA381">
            <v>24.97</v>
          </cell>
          <cell r="AB381">
            <v>24.97</v>
          </cell>
          <cell r="AC381">
            <v>25.219000000000001</v>
          </cell>
          <cell r="AD381">
            <v>24.960999999999999</v>
          </cell>
          <cell r="AE381">
            <v>26.533999999999999</v>
          </cell>
          <cell r="AF381">
            <v>27.736000000000001</v>
          </cell>
          <cell r="AG381">
            <v>27.736000000000001</v>
          </cell>
          <cell r="AH381">
            <v>28.648</v>
          </cell>
          <cell r="AI381">
            <v>31.097000000000001</v>
          </cell>
          <cell r="AJ381">
            <v>34.718000000000004</v>
          </cell>
          <cell r="AK381">
            <v>39.411000000000001</v>
          </cell>
          <cell r="AL381">
            <v>39.411000000000001</v>
          </cell>
          <cell r="AM381">
            <v>47.875999999999998</v>
          </cell>
          <cell r="AN381">
            <v>50.2</v>
          </cell>
          <cell r="AO381">
            <v>56.552999999999997</v>
          </cell>
          <cell r="AP381">
            <v>64.673000000000002</v>
          </cell>
          <cell r="BL381">
            <v>0</v>
          </cell>
        </row>
        <row r="382">
          <cell r="B382" t="str">
            <v>______</v>
          </cell>
          <cell r="C382" t="str">
            <v>______</v>
          </cell>
          <cell r="D382" t="str">
            <v>______</v>
          </cell>
          <cell r="E382" t="str">
            <v>______</v>
          </cell>
          <cell r="F382" t="str">
            <v>______</v>
          </cell>
          <cell r="G382" t="str">
            <v>______</v>
          </cell>
          <cell r="H382" t="str">
            <v>______</v>
          </cell>
          <cell r="I382" t="str">
            <v>______</v>
          </cell>
          <cell r="J382" t="str">
            <v>______</v>
          </cell>
          <cell r="K382" t="str">
            <v>______</v>
          </cell>
          <cell r="L382" t="str">
            <v>______</v>
          </cell>
          <cell r="M382" t="str">
            <v>______</v>
          </cell>
          <cell r="N382" t="str">
            <v>______</v>
          </cell>
          <cell r="O382" t="str">
            <v>______</v>
          </cell>
          <cell r="P382" t="str">
            <v>______</v>
          </cell>
          <cell r="Q382" t="str">
            <v>______</v>
          </cell>
          <cell r="R382" t="str">
            <v>______</v>
          </cell>
          <cell r="S382" t="str">
            <v>______</v>
          </cell>
          <cell r="T382" t="str">
            <v>______</v>
          </cell>
          <cell r="U382" t="str">
            <v>______</v>
          </cell>
          <cell r="V382" t="str">
            <v>______</v>
          </cell>
          <cell r="W382" t="str">
            <v>______</v>
          </cell>
          <cell r="X382" t="str">
            <v>______</v>
          </cell>
          <cell r="Y382" t="str">
            <v>______</v>
          </cell>
          <cell r="Z382" t="str">
            <v>______</v>
          </cell>
          <cell r="AA382" t="str">
            <v>______</v>
          </cell>
          <cell r="AB382" t="str">
            <v>______</v>
          </cell>
          <cell r="AC382" t="str">
            <v>______</v>
          </cell>
          <cell r="AD382" t="str">
            <v>______</v>
          </cell>
          <cell r="AE382" t="str">
            <v>______</v>
          </cell>
          <cell r="AF382" t="str">
            <v>______</v>
          </cell>
          <cell r="AG382" t="str">
            <v>______</v>
          </cell>
          <cell r="AH382" t="str">
            <v>______</v>
          </cell>
          <cell r="AI382" t="str">
            <v>______</v>
          </cell>
          <cell r="AJ382" t="str">
            <v>______</v>
          </cell>
          <cell r="AK382" t="str">
            <v>______</v>
          </cell>
          <cell r="AL382" t="str">
            <v>______</v>
          </cell>
          <cell r="AM382" t="str">
            <v>______</v>
          </cell>
          <cell r="AN382" t="str">
            <v>______</v>
          </cell>
          <cell r="AO382" t="str">
            <v>______</v>
          </cell>
          <cell r="AP382" t="str">
            <v>______</v>
          </cell>
          <cell r="BL382">
            <v>0</v>
          </cell>
        </row>
        <row r="383">
          <cell r="A383" t="str">
            <v>Total employed population</v>
          </cell>
          <cell r="G383">
            <v>201.047</v>
          </cell>
          <cell r="H383">
            <v>202.48</v>
          </cell>
          <cell r="I383">
            <v>201.285</v>
          </cell>
          <cell r="J383">
            <v>198.74100000000001</v>
          </cell>
          <cell r="K383">
            <v>197.59700000000001</v>
          </cell>
          <cell r="L383">
            <v>202.666</v>
          </cell>
          <cell r="M383">
            <v>200.09800000000001</v>
          </cell>
          <cell r="N383">
            <v>198.1</v>
          </cell>
          <cell r="O383">
            <v>200.5</v>
          </cell>
          <cell r="P383">
            <v>205.9</v>
          </cell>
          <cell r="Q383">
            <v>206.8</v>
          </cell>
          <cell r="R383">
            <v>202.8</v>
          </cell>
          <cell r="S383">
            <v>202.6</v>
          </cell>
          <cell r="T383">
            <v>201.6</v>
          </cell>
          <cell r="U383">
            <v>199.3</v>
          </cell>
          <cell r="V383">
            <v>198.7</v>
          </cell>
          <cell r="W383">
            <v>200.6</v>
          </cell>
          <cell r="X383">
            <v>200.6</v>
          </cell>
          <cell r="Y383">
            <v>200.2</v>
          </cell>
          <cell r="Z383">
            <v>202</v>
          </cell>
          <cell r="AA383">
            <v>207.5</v>
          </cell>
          <cell r="AB383">
            <v>202.6</v>
          </cell>
          <cell r="AC383">
            <v>211</v>
          </cell>
          <cell r="AD383">
            <v>211.9</v>
          </cell>
          <cell r="AE383">
            <v>220.6</v>
          </cell>
          <cell r="AF383">
            <v>228.4</v>
          </cell>
          <cell r="AG383">
            <v>217.97499999999999</v>
          </cell>
          <cell r="AH383">
            <v>229.7</v>
          </cell>
          <cell r="AI383">
            <v>231.9</v>
          </cell>
          <cell r="AJ383">
            <v>240.8</v>
          </cell>
          <cell r="AK383">
            <v>248.8</v>
          </cell>
          <cell r="AL383">
            <v>237.8</v>
          </cell>
          <cell r="AM383">
            <v>255.4</v>
          </cell>
          <cell r="AN383">
            <v>263.8</v>
          </cell>
          <cell r="AO383">
            <v>271.2</v>
          </cell>
          <cell r="AP383">
            <v>276.3</v>
          </cell>
          <cell r="BL383">
            <v>0</v>
          </cell>
        </row>
        <row r="384">
          <cell r="A384" t="str">
            <v xml:space="preserve">  Sequential growth</v>
          </cell>
          <cell r="H384">
            <v>7.1276865608538298E-3</v>
          </cell>
          <cell r="M384">
            <v>-1.1764124851837088E-2</v>
          </cell>
          <cell r="N384">
            <v>-2.2529679373945344E-2</v>
          </cell>
          <cell r="O384">
            <v>1.2115093387178311E-2</v>
          </cell>
          <cell r="P384">
            <v>2.6932668329177067E-2</v>
          </cell>
          <cell r="Q384">
            <v>4.3710539096648571E-3</v>
          </cell>
          <cell r="R384">
            <v>1.3503383342162278E-2</v>
          </cell>
          <cell r="S384">
            <v>-2.0309477756286332E-2</v>
          </cell>
          <cell r="T384">
            <v>-4.9358341559723184E-3</v>
          </cell>
          <cell r="U384">
            <v>-1.1408730158730118E-2</v>
          </cell>
          <cell r="V384">
            <v>-3.0105368790769305E-3</v>
          </cell>
          <cell r="W384">
            <v>-1.0848126232741673E-2</v>
          </cell>
          <cell r="X384">
            <v>9.5621540010064621E-3</v>
          </cell>
          <cell r="Y384">
            <v>-1.9940179461614971E-3</v>
          </cell>
          <cell r="Z384">
            <v>8.9910089910090196E-3</v>
          </cell>
          <cell r="AA384">
            <v>2.7227722772277252E-2</v>
          </cell>
          <cell r="AB384">
            <v>9.9700897308074854E-3</v>
          </cell>
          <cell r="AC384">
            <v>1.6867469879518149E-2</v>
          </cell>
          <cell r="AD384">
            <v>4.2654028436019953E-3</v>
          </cell>
          <cell r="AE384">
            <v>4.1057102406795609E-2</v>
          </cell>
          <cell r="AF384">
            <v>3.5358114233907667E-2</v>
          </cell>
          <cell r="AG384">
            <v>7.5888450148074993E-2</v>
          </cell>
          <cell r="AH384">
            <v>5.6917688266198141E-3</v>
          </cell>
          <cell r="AI384">
            <v>6.3883472875329694E-2</v>
          </cell>
          <cell r="AJ384">
            <v>4.832390074009596E-2</v>
          </cell>
          <cell r="AK384">
            <v>7.2876239758516537E-2</v>
          </cell>
          <cell r="AL384">
            <v>9.0950797109760284E-2</v>
          </cell>
          <cell r="AM384">
            <v>2.6527331189710512E-2</v>
          </cell>
          <cell r="AN384">
            <v>0.10933557611438194</v>
          </cell>
          <cell r="AO384">
            <v>6.1863743148003136E-2</v>
          </cell>
          <cell r="AP384">
            <v>4.7384382107657386E-2</v>
          </cell>
          <cell r="BL384">
            <v>0</v>
          </cell>
        </row>
        <row r="385">
          <cell r="A385" t="str">
            <v xml:space="preserve">  Resident growth</v>
          </cell>
          <cell r="H385">
            <v>7.4718695647029154E-3</v>
          </cell>
          <cell r="M385">
            <v>-1.4637065747100109E-2</v>
          </cell>
          <cell r="N385">
            <v>-1.779475049160717E-2</v>
          </cell>
          <cell r="O385">
            <v>1.3793863848702737E-2</v>
          </cell>
          <cell r="P385">
            <v>2.8093875214653785E-2</v>
          </cell>
          <cell r="Q385">
            <v>7.1934434991760554E-3</v>
          </cell>
          <cell r="R385">
            <v>-2.2111663902708689E-2</v>
          </cell>
          <cell r="S385">
            <v>-1.5478164731896116E-2</v>
          </cell>
          <cell r="T385">
            <v>-1.122964626614209E-3</v>
          </cell>
          <cell r="U385">
            <v>-1.0118043844856595E-2</v>
          </cell>
          <cell r="V385">
            <v>-5.1107325383307201E-3</v>
          </cell>
          <cell r="W385">
            <v>1.084474885844755E-2</v>
          </cell>
          <cell r="X385">
            <v>1.3698630136986356E-2</v>
          </cell>
          <cell r="Y385">
            <v>-5.0675675675676546E-3</v>
          </cell>
          <cell r="Z385">
            <v>1.1884550084889867E-2</v>
          </cell>
          <cell r="AA385">
            <v>2.0861297539149781E-2</v>
          </cell>
          <cell r="AB385">
            <v>-2.6844902207856292E-2</v>
          </cell>
          <cell r="AC385">
            <v>1.7810770832191958E-2</v>
          </cell>
          <cell r="AD385">
            <v>6.2331454777400097E-3</v>
          </cell>
          <cell r="AE385">
            <v>3.8124735876408744E-2</v>
          </cell>
          <cell r="AF385">
            <v>3.3998742695783957E-2</v>
          </cell>
          <cell r="AG385">
            <v>7.0984630974497698E-2</v>
          </cell>
          <cell r="AH385">
            <v>1.9335805126976524E-3</v>
          </cell>
          <cell r="AI385">
            <v>5.5530148917940059E-2</v>
          </cell>
          <cell r="AJ385">
            <v>2.5018403199172257E-2</v>
          </cell>
          <cell r="AK385">
            <v>4.2758325323824842E-2</v>
          </cell>
          <cell r="AL385">
            <v>4.284084756543094E-2</v>
          </cell>
          <cell r="AM385">
            <v>-8.9068671229147744E-3</v>
          </cell>
          <cell r="AN385">
            <v>7.6672597775078399E-2</v>
          </cell>
          <cell r="AO385">
            <v>3.4323740868525965E-2</v>
          </cell>
          <cell r="AP385">
            <v>-9.2368913857678869E-3</v>
          </cell>
          <cell r="BL385">
            <v>0</v>
          </cell>
        </row>
        <row r="386">
          <cell r="A386" t="str">
            <v xml:space="preserve">  Non-resident growth</v>
          </cell>
          <cell r="H386">
            <v>5.3103426732890036E-3</v>
          </cell>
          <cell r="M386">
            <v>-0.15418077867196966</v>
          </cell>
          <cell r="N386">
            <v>-5.30472796737812E-2</v>
          </cell>
          <cell r="O386">
            <v>8.9226830119870648E-4</v>
          </cell>
          <cell r="P386">
            <v>1.9069767441860508E-2</v>
          </cell>
          <cell r="Q386">
            <v>-1.4909478168264267E-2</v>
          </cell>
          <cell r="R386">
            <v>-4.8528709452261176E-2</v>
          </cell>
          <cell r="S386">
            <v>-5.4054054054054057E-2</v>
          </cell>
          <cell r="T386">
            <v>-3.2653061224489854E-2</v>
          </cell>
          <cell r="U386">
            <v>-2.1097046413502074E-2</v>
          </cell>
          <cell r="V386">
            <v>1.2931034482758674E-2</v>
          </cell>
          <cell r="W386">
            <v>-9.266409266409259E-2</v>
          </cell>
          <cell r="X386">
            <v>-2.1276595744680882E-2</v>
          </cell>
          <cell r="Y386">
            <v>2.1739130434782705E-2</v>
          </cell>
          <cell r="Z386">
            <v>-1.2765957446808529E-2</v>
          </cell>
          <cell r="AA386">
            <v>7.629310344827589E-2</v>
          </cell>
          <cell r="AB386">
            <v>6.2553191489361559E-2</v>
          </cell>
          <cell r="AC386">
            <v>9.9719663596316011E-3</v>
          </cell>
          <cell r="AD386">
            <v>-1.0230381854950732E-2</v>
          </cell>
          <cell r="AE386">
            <v>6.3018308561355818E-2</v>
          </cell>
          <cell r="AF386">
            <v>4.530036933745385E-2</v>
          </cell>
          <cell r="AG386">
            <v>0.1107729275130156</v>
          </cell>
          <cell r="AH386">
            <v>3.2881453706374408E-2</v>
          </cell>
          <cell r="AI386">
            <v>0.12117825209114508</v>
          </cell>
          <cell r="AJ386">
            <v>0.21188215582239622</v>
          </cell>
          <cell r="AK386">
            <v>0.26735697977296846</v>
          </cell>
          <cell r="AL386">
            <v>0.42093308335736945</v>
          </cell>
          <cell r="AM386">
            <v>0.21478774961305214</v>
          </cell>
          <cell r="AN386">
            <v>0.27375605795336333</v>
          </cell>
          <cell r="AO386">
            <v>0.18123903417160991</v>
          </cell>
          <cell r="AP386">
            <v>0.28830677290836659</v>
          </cell>
          <cell r="BL386">
            <v>0</v>
          </cell>
        </row>
        <row r="387">
          <cell r="BL387">
            <v>0</v>
          </cell>
        </row>
        <row r="388">
          <cell r="A388" t="str">
            <v>Hotel &amp; restaurant employment</v>
          </cell>
          <cell r="G388">
            <v>23.178000000000001</v>
          </cell>
          <cell r="H388">
            <v>21</v>
          </cell>
          <cell r="I388">
            <v>22.443999999999999</v>
          </cell>
          <cell r="J388">
            <v>19.853000000000002</v>
          </cell>
          <cell r="K388">
            <v>20.696000000000002</v>
          </cell>
          <cell r="L388">
            <v>23.283999999999999</v>
          </cell>
          <cell r="M388">
            <v>21.569249999999997</v>
          </cell>
          <cell r="N388">
            <v>22.9</v>
          </cell>
          <cell r="O388">
            <v>20.2</v>
          </cell>
          <cell r="P388">
            <v>22.4</v>
          </cell>
          <cell r="Q388">
            <v>24.2</v>
          </cell>
          <cell r="R388">
            <v>22.425000000000001</v>
          </cell>
          <cell r="S388">
            <v>24.9</v>
          </cell>
          <cell r="T388">
            <v>24</v>
          </cell>
          <cell r="U388">
            <v>21.9</v>
          </cell>
          <cell r="V388">
            <v>21.8</v>
          </cell>
          <cell r="W388">
            <v>23.15</v>
          </cell>
          <cell r="X388">
            <v>23.1</v>
          </cell>
          <cell r="Y388">
            <v>21.6</v>
          </cell>
          <cell r="Z388">
            <v>21.2</v>
          </cell>
          <cell r="AA388">
            <v>22.5</v>
          </cell>
          <cell r="AB388">
            <v>22.1</v>
          </cell>
          <cell r="AC388">
            <v>23.8</v>
          </cell>
          <cell r="AD388">
            <v>22.8</v>
          </cell>
          <cell r="AE388">
            <v>24</v>
          </cell>
          <cell r="AF388">
            <v>24.8</v>
          </cell>
          <cell r="AG388">
            <v>23.849999999999998</v>
          </cell>
          <cell r="AH388">
            <v>25.1</v>
          </cell>
          <cell r="AI388">
            <v>25.2</v>
          </cell>
          <cell r="AJ388">
            <v>24.9</v>
          </cell>
          <cell r="AK388">
            <v>24.5</v>
          </cell>
          <cell r="AL388">
            <v>24.924999999999997</v>
          </cell>
          <cell r="AM388">
            <v>26.9</v>
          </cell>
          <cell r="AN388">
            <v>28.5</v>
          </cell>
          <cell r="AO388">
            <v>33.299999999999997</v>
          </cell>
          <cell r="AP388">
            <v>32.200000000000003</v>
          </cell>
          <cell r="BL388">
            <v>0</v>
          </cell>
        </row>
        <row r="389">
          <cell r="A389" t="str">
            <v xml:space="preserve">  Year-over-Year growth</v>
          </cell>
          <cell r="H389">
            <v>-9.3968418327724623E-2</v>
          </cell>
          <cell r="M389">
            <v>2.7107142857142774E-2</v>
          </cell>
          <cell r="N389">
            <v>2.0317234004633811E-2</v>
          </cell>
          <cell r="O389">
            <v>1.7478466730468822E-2</v>
          </cell>
          <cell r="P389">
            <v>8.2334750676459123E-2</v>
          </cell>
          <cell r="Q389">
            <v>3.9340319532726431E-2</v>
          </cell>
          <cell r="R389">
            <v>3.9674536666782778E-2</v>
          </cell>
          <cell r="S389">
            <v>8.7336244541484698E-2</v>
          </cell>
          <cell r="T389">
            <v>0.18811881188118806</v>
          </cell>
          <cell r="U389">
            <v>-2.2321428571428603E-2</v>
          </cell>
          <cell r="V389">
            <v>-9.9173553719008156E-2</v>
          </cell>
          <cell r="W389">
            <v>3.2329988851727887E-2</v>
          </cell>
          <cell r="X389">
            <v>-7.2289156626505924E-2</v>
          </cell>
          <cell r="Y389">
            <v>-9.9999999999999978E-2</v>
          </cell>
          <cell r="Z389">
            <v>-3.1963470319634646E-2</v>
          </cell>
          <cell r="AA389">
            <v>3.2110091743119185E-2</v>
          </cell>
          <cell r="AB389">
            <v>-4.5356371490280711E-2</v>
          </cell>
          <cell r="AC389">
            <v>3.0303030303030276E-2</v>
          </cell>
          <cell r="AD389">
            <v>5.555555555555558E-2</v>
          </cell>
          <cell r="AE389">
            <v>0.13207547169811318</v>
          </cell>
          <cell r="AF389">
            <v>0.10222222222222221</v>
          </cell>
          <cell r="AG389">
            <v>7.9185520361990891E-2</v>
          </cell>
          <cell r="AH389">
            <v>5.4621848739495826E-2</v>
          </cell>
          <cell r="AI389">
            <v>0.10526315789473673</v>
          </cell>
          <cell r="AJ389">
            <v>3.7499999999999867E-2</v>
          </cell>
          <cell r="AK389">
            <v>-1.2096774193548376E-2</v>
          </cell>
          <cell r="AL389">
            <v>4.507337526205446E-2</v>
          </cell>
          <cell r="AM389">
            <v>7.1713147410358502E-2</v>
          </cell>
          <cell r="AN389">
            <v>0.13095238095238093</v>
          </cell>
          <cell r="AO389">
            <v>0.33734939759036142</v>
          </cell>
          <cell r="AP389">
            <v>0.3142857142857145</v>
          </cell>
          <cell r="BL389">
            <v>0</v>
          </cell>
        </row>
        <row r="390">
          <cell r="A390" t="str">
            <v xml:space="preserve">  Hotel &amp; restaurant % of total</v>
          </cell>
          <cell r="G390">
            <v>0.1152864753017951</v>
          </cell>
          <cell r="H390">
            <v>0.10371394705649942</v>
          </cell>
          <cell r="I390">
            <v>0.11150358943786173</v>
          </cell>
          <cell r="J390">
            <v>9.9893831670364946E-2</v>
          </cell>
          <cell r="K390">
            <v>0.10473843226364773</v>
          </cell>
          <cell r="L390">
            <v>0.11488853581755203</v>
          </cell>
          <cell r="M390">
            <v>0.10779343121870281</v>
          </cell>
          <cell r="N390">
            <v>0.11559818273599191</v>
          </cell>
          <cell r="O390">
            <v>0.10074812967581047</v>
          </cell>
          <cell r="P390">
            <v>0.10879067508499271</v>
          </cell>
          <cell r="Q390">
            <v>0.11702127659574467</v>
          </cell>
          <cell r="R390">
            <v>0.11057692307692307</v>
          </cell>
          <cell r="S390">
            <v>0.12290227048371175</v>
          </cell>
          <cell r="T390">
            <v>0.11904761904761905</v>
          </cell>
          <cell r="U390">
            <v>0.10988459608630205</v>
          </cell>
          <cell r="V390">
            <v>0.10971313537996981</v>
          </cell>
          <cell r="W390">
            <v>0.1154037886340977</v>
          </cell>
          <cell r="X390">
            <v>0.11515453639082752</v>
          </cell>
          <cell r="Y390">
            <v>0.1078921078921079</v>
          </cell>
          <cell r="Z390">
            <v>0.10495049504950495</v>
          </cell>
          <cell r="AA390">
            <v>0.10843373493975904</v>
          </cell>
          <cell r="AB390">
            <v>0.10908193484698915</v>
          </cell>
          <cell r="AC390">
            <v>0.11279620853080569</v>
          </cell>
          <cell r="AD390">
            <v>0.10759792354884379</v>
          </cell>
          <cell r="AE390">
            <v>0.10879419764279238</v>
          </cell>
          <cell r="AF390">
            <v>0.10858143607705779</v>
          </cell>
          <cell r="AG390">
            <v>0.10941621745613028</v>
          </cell>
          <cell r="AH390">
            <v>0.10927296473661298</v>
          </cell>
          <cell r="AI390">
            <v>0.10866752910737386</v>
          </cell>
          <cell r="AJ390">
            <v>0.10340531561461792</v>
          </cell>
          <cell r="AK390">
            <v>9.847266881028939E-2</v>
          </cell>
          <cell r="AL390">
            <v>0.10481497056349873</v>
          </cell>
          <cell r="AM390">
            <v>0.10532498042286609</v>
          </cell>
          <cell r="AN390">
            <v>0.10803639120545867</v>
          </cell>
          <cell r="AO390">
            <v>0.12278761061946902</v>
          </cell>
          <cell r="AP390">
            <v>0.11653999276149114</v>
          </cell>
          <cell r="BL390">
            <v>0</v>
          </cell>
        </row>
        <row r="391">
          <cell r="BL391">
            <v>0</v>
          </cell>
        </row>
        <row r="392">
          <cell r="A392" t="str">
            <v>Construction Employment</v>
          </cell>
          <cell r="W392">
            <v>15</v>
          </cell>
          <cell r="AB392">
            <v>16.3</v>
          </cell>
          <cell r="AC392">
            <v>17.600000000000001</v>
          </cell>
          <cell r="AD392">
            <v>17.100000000000001</v>
          </cell>
          <cell r="AE392">
            <v>18.100000000000001</v>
          </cell>
          <cell r="AF392">
            <v>19.8</v>
          </cell>
          <cell r="AG392">
            <v>18.100000000000001</v>
          </cell>
          <cell r="AH392">
            <v>20</v>
          </cell>
          <cell r="AI392">
            <v>21.2</v>
          </cell>
          <cell r="AJ392">
            <v>25.3</v>
          </cell>
          <cell r="AK392">
            <v>26.3</v>
          </cell>
          <cell r="AL392">
            <v>23.2</v>
          </cell>
          <cell r="AM392">
            <v>28.4</v>
          </cell>
          <cell r="AN392">
            <v>31.2</v>
          </cell>
          <cell r="AO392">
            <v>32.5</v>
          </cell>
          <cell r="AP392">
            <v>34</v>
          </cell>
          <cell r="BL392">
            <v>0</v>
          </cell>
        </row>
        <row r="393">
          <cell r="A393" t="str">
            <v xml:space="preserve">  Year-over-Year growth</v>
          </cell>
          <cell r="AJ393">
            <v>0.39779005524861866</v>
          </cell>
          <cell r="AK393">
            <v>0.32828282828282829</v>
          </cell>
          <cell r="AL393">
            <v>0.28176795580110481</v>
          </cell>
          <cell r="AM393">
            <v>0.41999999999999993</v>
          </cell>
          <cell r="AN393">
            <v>0.47169811320754729</v>
          </cell>
          <cell r="AO393">
            <v>0.28458498023715406</v>
          </cell>
          <cell r="AP393">
            <v>0.29277566539923949</v>
          </cell>
          <cell r="BL393">
            <v>0</v>
          </cell>
        </row>
        <row r="394">
          <cell r="A394" t="str">
            <v>Gaming Employment, Employment Survey</v>
          </cell>
          <cell r="AE394">
            <v>22.6</v>
          </cell>
          <cell r="AF394">
            <v>26.373000000000001</v>
          </cell>
          <cell r="AG394">
            <v>24.486499999999999</v>
          </cell>
          <cell r="AH394">
            <v>27.149000000000001</v>
          </cell>
          <cell r="AI394">
            <v>28.295999999999999</v>
          </cell>
          <cell r="AJ394">
            <v>32.875</v>
          </cell>
          <cell r="AK394">
            <v>33.165999999999997</v>
          </cell>
          <cell r="AL394">
            <v>30.371499999999997</v>
          </cell>
          <cell r="AM394">
            <v>33.637999999999998</v>
          </cell>
          <cell r="AN394">
            <v>40.429012347865445</v>
          </cell>
          <cell r="AO394">
            <v>45.1</v>
          </cell>
          <cell r="AP394">
            <v>49.6</v>
          </cell>
          <cell r="AQ394">
            <v>42.191753086966358</v>
          </cell>
          <cell r="AR394">
            <v>56.842315779147533</v>
          </cell>
          <cell r="AS394">
            <v>65.099159487639511</v>
          </cell>
          <cell r="AT394">
            <v>89.224870437785626</v>
          </cell>
          <cell r="AU394">
            <v>96.7039266177201</v>
          </cell>
          <cell r="AV394">
            <v>76.967568080573187</v>
          </cell>
          <cell r="AW394">
            <v>104.47758256757747</v>
          </cell>
          <cell r="AX394">
            <v>138.99678280280591</v>
          </cell>
          <cell r="AY394">
            <v>155.14444238004771</v>
          </cell>
          <cell r="AZ394">
            <v>181.91833042219773</v>
          </cell>
          <cell r="BA394">
            <v>182.30919010164519</v>
          </cell>
          <cell r="BK394">
            <v>80.066083498896973</v>
          </cell>
          <cell r="BL394">
            <v>-3.0985154183237853</v>
          </cell>
        </row>
        <row r="395">
          <cell r="A395" t="str">
            <v xml:space="preserve">  Year-over-Year growth</v>
          </cell>
          <cell r="AJ395">
            <v>0.45464601769911495</v>
          </cell>
          <cell r="AK395">
            <v>0.25757403404997525</v>
          </cell>
          <cell r="AL395">
            <v>0.24033651195556738</v>
          </cell>
          <cell r="AM395">
            <v>0.2390143283362185</v>
          </cell>
          <cell r="AN395">
            <v>0.42878895772778658</v>
          </cell>
          <cell r="AO395">
            <v>0.37186311787072257</v>
          </cell>
          <cell r="AP395">
            <v>0.49550744738587738</v>
          </cell>
          <cell r="BL395">
            <v>0</v>
          </cell>
        </row>
        <row r="396">
          <cell r="A396" t="str">
            <v>Gaming Employment, Wages Survey</v>
          </cell>
          <cell r="AD396">
            <v>19.771999999999998</v>
          </cell>
          <cell r="AE396">
            <v>20.518000000000001</v>
          </cell>
          <cell r="AF396">
            <v>21.263999999999999</v>
          </cell>
          <cell r="AG396">
            <v>20.518000000000001</v>
          </cell>
          <cell r="AH396">
            <v>22.315999999999999</v>
          </cell>
          <cell r="AI396">
            <v>23.367999999999999</v>
          </cell>
          <cell r="AJ396">
            <v>24.742999999999999</v>
          </cell>
          <cell r="AK396">
            <v>26.117999999999999</v>
          </cell>
          <cell r="AL396">
            <v>24.136249999999997</v>
          </cell>
          <cell r="AM396">
            <v>28.055499999999999</v>
          </cell>
          <cell r="AN396">
            <v>29.992999999999999</v>
          </cell>
          <cell r="AO396">
            <v>33.202500000000001</v>
          </cell>
          <cell r="AP396">
            <v>36.411999999999999</v>
          </cell>
          <cell r="BL396">
            <v>0</v>
          </cell>
        </row>
        <row r="397">
          <cell r="A397" t="str">
            <v xml:space="preserve">  Year-over-Year growth</v>
          </cell>
          <cell r="AI397">
            <v>0.18187335626137968</v>
          </cell>
          <cell r="AJ397">
            <v>0.20591675601910508</v>
          </cell>
          <cell r="AK397">
            <v>0.22827313769751689</v>
          </cell>
          <cell r="AL397">
            <v>0.17634516034701209</v>
          </cell>
          <cell r="AM397">
            <v>0.25719214913066857</v>
          </cell>
          <cell r="AN397">
            <v>0.28350736049298186</v>
          </cell>
          <cell r="AO397">
            <v>0.34189467728246381</v>
          </cell>
          <cell r="AP397">
            <v>0.39413431350026795</v>
          </cell>
          <cell r="BL397">
            <v>0</v>
          </cell>
        </row>
        <row r="398">
          <cell r="A398" t="str">
            <v>Hotel Employment, Employment Survey</v>
          </cell>
          <cell r="AE398">
            <v>6.17</v>
          </cell>
          <cell r="AF398">
            <v>7.3869999999999996</v>
          </cell>
          <cell r="AG398">
            <v>6.7784999999999993</v>
          </cell>
          <cell r="AH398">
            <v>6.774</v>
          </cell>
          <cell r="AI398">
            <v>6.851</v>
          </cell>
          <cell r="AJ398">
            <v>7.0209999999999999</v>
          </cell>
          <cell r="AK398">
            <v>6.9379999999999997</v>
          </cell>
          <cell r="AL398">
            <v>6.8959999999999999</v>
          </cell>
          <cell r="AM398">
            <v>9.0470000000000006</v>
          </cell>
          <cell r="BL398">
            <v>0</v>
          </cell>
        </row>
        <row r="399">
          <cell r="A399" t="str">
            <v>Hotel Employment, Wages Survey</v>
          </cell>
          <cell r="S399">
            <v>6.0960000000000001</v>
          </cell>
          <cell r="T399">
            <v>6.1735000000000007</v>
          </cell>
          <cell r="U399">
            <v>6.2510000000000003</v>
          </cell>
          <cell r="V399">
            <v>6.2919999999999998</v>
          </cell>
          <cell r="W399">
            <v>6.203125</v>
          </cell>
          <cell r="X399">
            <v>6.3330000000000002</v>
          </cell>
          <cell r="Y399">
            <v>6.3834999999999997</v>
          </cell>
          <cell r="Z399">
            <v>6.4340000000000002</v>
          </cell>
          <cell r="AA399">
            <v>6.6295000000000002</v>
          </cell>
          <cell r="AB399">
            <v>6.4450000000000003</v>
          </cell>
          <cell r="AC399">
            <v>6.8250000000000002</v>
          </cell>
          <cell r="AD399">
            <v>7.1884999999999994</v>
          </cell>
          <cell r="AE399">
            <v>7.5519999999999996</v>
          </cell>
          <cell r="AF399">
            <v>8.2720000000000002</v>
          </cell>
          <cell r="AG399">
            <v>7.4593749999999996</v>
          </cell>
          <cell r="AH399">
            <v>8.9920000000000009</v>
          </cell>
          <cell r="AI399">
            <v>8.9359999999999999</v>
          </cell>
          <cell r="AJ399">
            <v>8.8800000000000008</v>
          </cell>
          <cell r="AK399">
            <v>9.2089999999999996</v>
          </cell>
          <cell r="AL399">
            <v>9.004249999999999</v>
          </cell>
          <cell r="AM399">
            <v>9.5380000000000003</v>
          </cell>
          <cell r="AN399">
            <v>8.6471479081472165</v>
          </cell>
          <cell r="AO399">
            <v>9.0488848065429401</v>
          </cell>
          <cell r="AP399">
            <v>9.5758188109468385</v>
          </cell>
          <cell r="AQ399">
            <v>9.2024628814092484</v>
          </cell>
          <cell r="AR399">
            <v>8.7930128112477295</v>
          </cell>
          <cell r="AS399">
            <v>8.9405516250982355</v>
          </cell>
          <cell r="AT399">
            <v>11.592073169851064</v>
          </cell>
          <cell r="AU399">
            <v>11.999340864094536</v>
          </cell>
          <cell r="AV399">
            <v>10.33124461757289</v>
          </cell>
          <cell r="AW399">
            <v>13.035306419081749</v>
          </cell>
          <cell r="AX399">
            <v>18.651152085446618</v>
          </cell>
          <cell r="AY399">
            <v>23.99818774887428</v>
          </cell>
          <cell r="AZ399">
            <v>24.987848245885917</v>
          </cell>
          <cell r="BA399">
            <v>24.987848245885917</v>
          </cell>
          <cell r="BK399">
            <v>10.717464151802744</v>
          </cell>
          <cell r="BL399">
            <v>-0.38621953422985378</v>
          </cell>
        </row>
        <row r="400">
          <cell r="BL400">
            <v>0</v>
          </cell>
        </row>
        <row r="401">
          <cell r="A401" t="str">
            <v>Non-resident</v>
          </cell>
          <cell r="BL401">
            <v>0</v>
          </cell>
        </row>
        <row r="402">
          <cell r="A402" t="str">
            <v xml:space="preserve">  Construction Employment</v>
          </cell>
          <cell r="AA402">
            <v>1.7150000000000001</v>
          </cell>
          <cell r="AB402">
            <v>1.7150000000000001</v>
          </cell>
          <cell r="AC402">
            <v>2.117</v>
          </cell>
          <cell r="AD402">
            <v>2.077</v>
          </cell>
          <cell r="AE402">
            <v>2.0419999999999998</v>
          </cell>
          <cell r="AF402">
            <v>1.85</v>
          </cell>
          <cell r="AG402">
            <v>2.0215000000000001</v>
          </cell>
          <cell r="AH402">
            <v>2.0840000000000001</v>
          </cell>
          <cell r="AI402">
            <v>3.0059999999999998</v>
          </cell>
          <cell r="AJ402">
            <v>3.9569999999999999</v>
          </cell>
          <cell r="AK402">
            <v>5.0119999999999996</v>
          </cell>
          <cell r="AL402">
            <v>3.5147500000000003</v>
          </cell>
          <cell r="AM402">
            <v>6.1360000000000001</v>
          </cell>
          <cell r="AN402">
            <v>6.4290000000000003</v>
          </cell>
          <cell r="AO402">
            <v>6.8470000000000004</v>
          </cell>
          <cell r="AP402">
            <v>7.42</v>
          </cell>
          <cell r="BL402">
            <v>0</v>
          </cell>
        </row>
        <row r="403">
          <cell r="A403" t="str">
            <v xml:space="preserve">  Gaming Employment</v>
          </cell>
          <cell r="AA403">
            <v>0.57699999999999996</v>
          </cell>
          <cell r="AB403">
            <v>0.57699999999999996</v>
          </cell>
          <cell r="AC403">
            <v>0.61499999999999999</v>
          </cell>
          <cell r="AD403">
            <v>0.71</v>
          </cell>
          <cell r="AE403">
            <v>0.92400000000000004</v>
          </cell>
          <cell r="AF403">
            <v>1.4470000000000001</v>
          </cell>
          <cell r="AG403">
            <v>0.92400000000000004</v>
          </cell>
          <cell r="AH403">
            <v>1.6559999999999999</v>
          </cell>
          <cell r="AI403">
            <v>1.657</v>
          </cell>
          <cell r="AJ403">
            <v>2.698</v>
          </cell>
          <cell r="AK403">
            <v>4.3330000000000002</v>
          </cell>
          <cell r="AL403">
            <v>2.5859999999999999</v>
          </cell>
          <cell r="AM403">
            <v>8.7919999999999998</v>
          </cell>
          <cell r="AN403">
            <v>10.821999999999999</v>
          </cell>
          <cell r="AO403">
            <v>14.406000000000001</v>
          </cell>
          <cell r="AP403">
            <v>18.378</v>
          </cell>
          <cell r="BL403">
            <v>0</v>
          </cell>
        </row>
        <row r="404">
          <cell r="A404" t="str">
            <v xml:space="preserve">  Hotel &amp; Restaurant Employment</v>
          </cell>
          <cell r="AA404">
            <v>2.556</v>
          </cell>
          <cell r="AB404">
            <v>2.556</v>
          </cell>
          <cell r="AC404">
            <v>2.5249999999999999</v>
          </cell>
          <cell r="AD404">
            <v>2.4049999999999998</v>
          </cell>
          <cell r="AE404">
            <v>2.5920000000000001</v>
          </cell>
          <cell r="AF404">
            <v>2.778</v>
          </cell>
          <cell r="AG404">
            <v>2.5750000000000002</v>
          </cell>
          <cell r="AH404">
            <v>3.484</v>
          </cell>
          <cell r="AI404">
            <v>3.9390000000000001</v>
          </cell>
          <cell r="AJ404">
            <v>4.5679999999999996</v>
          </cell>
          <cell r="AK404">
            <v>5.0069999999999997</v>
          </cell>
          <cell r="AL404">
            <v>4.2494999999999994</v>
          </cell>
          <cell r="AM404">
            <v>5.6989999999999998</v>
          </cell>
          <cell r="AN404">
            <v>5.7409999999999997</v>
          </cell>
          <cell r="AO404">
            <v>6.3789999999999996</v>
          </cell>
          <cell r="AP404">
            <v>7.601</v>
          </cell>
          <cell r="BL404">
            <v>0</v>
          </cell>
        </row>
        <row r="405">
          <cell r="BL405">
            <v>0</v>
          </cell>
        </row>
        <row r="406">
          <cell r="A406" t="str">
            <v>Total employees per room</v>
          </cell>
          <cell r="H406">
            <v>21.469621461138797</v>
          </cell>
          <cell r="I406">
            <v>21.340648854961831</v>
          </cell>
          <cell r="J406">
            <v>21.434534081104403</v>
          </cell>
          <cell r="K406">
            <v>21.247750815441414</v>
          </cell>
          <cell r="L406">
            <v>21.944632931494979</v>
          </cell>
          <cell r="M406">
            <v>21.493380595612127</v>
          </cell>
          <cell r="N406">
            <v>21.587359244460586</v>
          </cell>
          <cell r="O406">
            <v>22.324079572446557</v>
          </cell>
          <cell r="P406">
            <v>22.832957527815772</v>
          </cell>
          <cell r="Q406">
            <v>22.925982040574997</v>
          </cell>
          <cell r="R406">
            <v>22.411316167532327</v>
          </cell>
          <cell r="S406">
            <v>22.5914362176628</v>
          </cell>
          <cell r="T406">
            <v>22.635577678805344</v>
          </cell>
          <cell r="U406">
            <v>22.651159266555542</v>
          </cell>
          <cell r="V406">
            <v>22.219323095273595</v>
          </cell>
          <cell r="W406">
            <v>22.529411214166053</v>
          </cell>
          <cell r="X406">
            <v>22.42760779637014</v>
          </cell>
          <cell r="Y406">
            <v>22.437238493723846</v>
          </cell>
          <cell r="Z406">
            <v>22.803386641580431</v>
          </cell>
          <cell r="AA406">
            <v>22.833981366003961</v>
          </cell>
          <cell r="AB406">
            <v>22.628865019825383</v>
          </cell>
          <cell r="AC406">
            <v>22.854460771924757</v>
          </cell>
          <cell r="AD406">
            <v>22.759657727972503</v>
          </cell>
          <cell r="AE406">
            <v>23.839198876121177</v>
          </cell>
          <cell r="AF406">
            <v>25.006386628225247</v>
          </cell>
          <cell r="AG406">
            <v>23.609531546168427</v>
          </cell>
          <cell r="AH406">
            <v>22.470407930348582</v>
          </cell>
          <cell r="AI406">
            <v>21.973405767347842</v>
          </cell>
          <cell r="AJ406">
            <v>22.724127083988677</v>
          </cell>
          <cell r="AK406">
            <v>23.108359133126939</v>
          </cell>
          <cell r="AL406">
            <v>22.572734895347185</v>
          </cell>
          <cell r="AM406">
            <v>22.972446256708544</v>
          </cell>
          <cell r="AN406">
            <v>23.008489359227816</v>
          </cell>
          <cell r="AO406">
            <v>22.60376729454909</v>
          </cell>
          <cell r="AP406">
            <v>21.761617222368081</v>
          </cell>
          <cell r="BL406">
            <v>0</v>
          </cell>
        </row>
        <row r="407">
          <cell r="A407" t="str">
            <v>Total employees per position</v>
          </cell>
          <cell r="X407">
            <v>42.869354608918648</v>
          </cell>
          <cell r="Y407">
            <v>42.783872346488103</v>
          </cell>
          <cell r="Z407">
            <v>43.168542527425558</v>
          </cell>
          <cell r="AA407">
            <v>44.139544777706874</v>
          </cell>
          <cell r="AB407">
            <v>43.246704733443622</v>
          </cell>
          <cell r="AC407">
            <v>44.88406721974048</v>
          </cell>
          <cell r="AD407">
            <v>34.036054906067797</v>
          </cell>
          <cell r="AE407">
            <v>29.509073884157491</v>
          </cell>
          <cell r="AF407">
            <v>22.649058588680642</v>
          </cell>
          <cell r="AG407">
            <v>30.607242284143783</v>
          </cell>
          <cell r="AH407">
            <v>18.380411298711689</v>
          </cell>
          <cell r="AI407">
            <v>17.462568556332283</v>
          </cell>
          <cell r="AJ407">
            <v>17.601481409288045</v>
          </cell>
          <cell r="AK407">
            <v>17.154085701481215</v>
          </cell>
          <cell r="AL407">
            <v>17.627436930147514</v>
          </cell>
          <cell r="AM407">
            <v>15.077186457687656</v>
          </cell>
          <cell r="AN407">
            <v>12.957202265955013</v>
          </cell>
          <cell r="AO407">
            <v>11.569307775439396</v>
          </cell>
          <cell r="AP407">
            <v>9.7997702128046011</v>
          </cell>
          <cell r="BL407">
            <v>0</v>
          </cell>
        </row>
        <row r="408">
          <cell r="A408" t="str">
            <v>Gaming employees per position</v>
          </cell>
          <cell r="AE408">
            <v>3.0231417487849472</v>
          </cell>
          <cell r="AF408">
            <v>2.6152522861614478</v>
          </cell>
          <cell r="AG408">
            <v>3.4383036503759001</v>
          </cell>
          <cell r="AH408">
            <v>2.1724413859326237</v>
          </cell>
          <cell r="AI408">
            <v>2.1307496329020195</v>
          </cell>
          <cell r="AJ408">
            <v>2.403026168315384</v>
          </cell>
          <cell r="AK408">
            <v>2.2867058134056508</v>
          </cell>
          <cell r="AL408">
            <v>2.251352820538163</v>
          </cell>
          <cell r="AM408">
            <v>1.9857728976652207</v>
          </cell>
          <cell r="AN408">
            <v>1.9857728976652207</v>
          </cell>
          <cell r="AO408">
            <v>1.9857728976652207</v>
          </cell>
          <cell r="AP408">
            <v>1.9857728976652207</v>
          </cell>
          <cell r="AQ408">
            <v>1.8976507736994772</v>
          </cell>
          <cell r="AR408">
            <v>1.7871956078986986</v>
          </cell>
          <cell r="AS408">
            <v>1.7871956078986986</v>
          </cell>
          <cell r="AT408">
            <v>1.7871956078986986</v>
          </cell>
          <cell r="AU408">
            <v>1.7871956078986986</v>
          </cell>
          <cell r="AV408">
            <v>1.7871956078986986</v>
          </cell>
          <cell r="AW408">
            <v>1.6084760471088289</v>
          </cell>
          <cell r="AX408">
            <v>1.447628442397946</v>
          </cell>
          <cell r="AY408">
            <v>1.3028655981581514</v>
          </cell>
          <cell r="AZ408">
            <v>1.3028655981581514</v>
          </cell>
          <cell r="BA408">
            <v>1.3028655981581514</v>
          </cell>
          <cell r="BK408">
            <v>1.7871956078986984</v>
          </cell>
          <cell r="BL408">
            <v>0</v>
          </cell>
        </row>
        <row r="409">
          <cell r="A409" t="str">
            <v>Gaming employees per table</v>
          </cell>
          <cell r="AE409">
            <v>33.235294117647065</v>
          </cell>
          <cell r="AF409">
            <v>28.167123287671235</v>
          </cell>
          <cell r="AG409">
            <v>37.070097955006155</v>
          </cell>
          <cell r="AH409">
            <v>23.424503882657465</v>
          </cell>
          <cell r="AI409">
            <v>22.902468636179684</v>
          </cell>
          <cell r="AJ409">
            <v>25.875639512003147</v>
          </cell>
          <cell r="AK409">
            <v>24.71385991058122</v>
          </cell>
          <cell r="AL409">
            <v>24.26323147593369</v>
          </cell>
          <cell r="AM409">
            <v>21.549007046764892</v>
          </cell>
          <cell r="AN409">
            <v>21.549007046764892</v>
          </cell>
          <cell r="AO409">
            <v>21.549007046764892</v>
          </cell>
          <cell r="AP409">
            <v>21.549007046764892</v>
          </cell>
          <cell r="AQ409">
            <v>20.437357965580738</v>
          </cell>
          <cell r="AR409">
            <v>19.394106342088403</v>
          </cell>
          <cell r="AS409">
            <v>19.394106342088403</v>
          </cell>
          <cell r="AT409">
            <v>19.394106342088403</v>
          </cell>
          <cell r="AU409">
            <v>19.394106342088403</v>
          </cell>
          <cell r="AV409">
            <v>20.047988212869072</v>
          </cell>
          <cell r="AW409">
            <v>17.454695707879562</v>
          </cell>
          <cell r="AX409">
            <v>15.709226137091607</v>
          </cell>
          <cell r="AY409">
            <v>14.138303523382445</v>
          </cell>
          <cell r="AZ409">
            <v>14.138303523382445</v>
          </cell>
          <cell r="BA409">
            <v>14.138303523382445</v>
          </cell>
          <cell r="BK409">
            <v>19.179241363994485</v>
          </cell>
          <cell r="BL409">
            <v>0.86874684887458642</v>
          </cell>
        </row>
        <row r="410">
          <cell r="A410" t="str">
            <v>Hotel employees per room</v>
          </cell>
          <cell r="S410">
            <v>0.67975022301516508</v>
          </cell>
          <cell r="T410">
            <v>0.69315842658782145</v>
          </cell>
          <cell r="U410">
            <v>0.71044855281103214</v>
          </cell>
          <cell r="V410">
            <v>0.70359326077232742</v>
          </cell>
          <cell r="W410">
            <v>0.69667374844403684</v>
          </cell>
          <cell r="X410">
            <v>0.70804606268400838</v>
          </cell>
          <cell r="Y410">
            <v>0.71542513448894196</v>
          </cell>
          <cell r="Z410">
            <v>0.72632173095014108</v>
          </cell>
          <cell r="AA410">
            <v>0.72953194923336517</v>
          </cell>
          <cell r="AB410">
            <v>0.71985703382415889</v>
          </cell>
          <cell r="AC410">
            <v>0.73924973823879847</v>
          </cell>
          <cell r="AD410">
            <v>0.77209910135691506</v>
          </cell>
          <cell r="AE410">
            <v>0.81610892979359539</v>
          </cell>
          <cell r="AF410">
            <v>0.9056603773584907</v>
          </cell>
          <cell r="AG410">
            <v>0.80794746818304897</v>
          </cell>
          <cell r="AH410">
            <v>0.87964261258029808</v>
          </cell>
          <cell r="AI410">
            <v>0.84671993935756928</v>
          </cell>
          <cell r="AJ410">
            <v>0.83799937087134324</v>
          </cell>
          <cell r="AK410">
            <v>0.83799937087134324</v>
          </cell>
          <cell r="AL410">
            <v>0.85471214542232909</v>
          </cell>
          <cell r="AM410">
            <v>0.75419943378420895</v>
          </cell>
          <cell r="AN410">
            <v>0.75419943378420895</v>
          </cell>
          <cell r="AO410">
            <v>0.75419943378420895</v>
          </cell>
          <cell r="AP410">
            <v>0.75419943378420895</v>
          </cell>
          <cell r="AQ410">
            <v>0.77858858359416339</v>
          </cell>
          <cell r="AR410">
            <v>0.67877949040578811</v>
          </cell>
          <cell r="AS410">
            <v>0.67877949040578811</v>
          </cell>
          <cell r="AT410">
            <v>0.67877949040578811</v>
          </cell>
          <cell r="AU410">
            <v>0.67877949040578811</v>
          </cell>
          <cell r="AV410">
            <v>0.678779490405788</v>
          </cell>
          <cell r="AW410">
            <v>0.61090154136520936</v>
          </cell>
          <cell r="AX410">
            <v>0.54981138722868839</v>
          </cell>
          <cell r="AY410">
            <v>0.49483024850581958</v>
          </cell>
          <cell r="AZ410">
            <v>0.49483024850581958</v>
          </cell>
          <cell r="BA410">
            <v>0.49483024850581958</v>
          </cell>
          <cell r="BK410">
            <v>0.70070157467219263</v>
          </cell>
          <cell r="BL410">
            <v>-2.1922084266404629E-2</v>
          </cell>
        </row>
        <row r="411">
          <cell r="BL411">
            <v>0</v>
          </cell>
        </row>
        <row r="412">
          <cell r="A412" t="str">
            <v>Unemployment Rate</v>
          </cell>
          <cell r="S412">
            <v>6.3E-2</v>
          </cell>
          <cell r="T412">
            <v>6.2E-2</v>
          </cell>
          <cell r="U412">
            <v>6.4000000000000001E-2</v>
          </cell>
          <cell r="V412">
            <v>6.2E-2</v>
          </cell>
          <cell r="W412">
            <v>6.275E-2</v>
          </cell>
          <cell r="X412">
            <v>6.0999999999999999E-2</v>
          </cell>
          <cell r="Y412">
            <v>6.5000000000000002E-2</v>
          </cell>
          <cell r="Z412">
            <v>0.06</v>
          </cell>
          <cell r="AA412">
            <v>5.5E-2</v>
          </cell>
          <cell r="AB412">
            <v>6.0249999999999998E-2</v>
          </cell>
          <cell r="AC412">
            <v>5.5E-2</v>
          </cell>
          <cell r="AD412">
            <v>0.05</v>
          </cell>
          <cell r="AE412">
            <v>4.7E-2</v>
          </cell>
          <cell r="AF412">
            <v>4.0999999999999995E-2</v>
          </cell>
          <cell r="AG412">
            <v>4.8250000000000001E-2</v>
          </cell>
          <cell r="AH412">
            <v>4.1000000000000002E-2</v>
          </cell>
          <cell r="AI412">
            <v>4.2000000000000003E-2</v>
          </cell>
          <cell r="AJ412">
            <v>4.1000000000000002E-2</v>
          </cell>
          <cell r="AK412">
            <v>0.04</v>
          </cell>
          <cell r="AL412">
            <v>4.1000000000000002E-2</v>
          </cell>
          <cell r="AM412">
            <v>3.9E-2</v>
          </cell>
          <cell r="AN412">
            <v>3.7999999999999999E-2</v>
          </cell>
          <cell r="AO412">
            <v>3.7999999999999999E-2</v>
          </cell>
          <cell r="AP412">
            <v>3.5000000000000003E-2</v>
          </cell>
          <cell r="BL412">
            <v>0</v>
          </cell>
        </row>
        <row r="413">
          <cell r="BL413">
            <v>0</v>
          </cell>
        </row>
        <row r="414">
          <cell r="A414" t="str">
            <v>Exports/Imports (millions MOP)</v>
          </cell>
          <cell r="BL414">
            <v>0</v>
          </cell>
        </row>
        <row r="415">
          <cell r="A415" t="str">
            <v>Total Imports (current prices)</v>
          </cell>
          <cell r="G415">
            <v>27568.218242199513</v>
          </cell>
          <cell r="H415">
            <v>29211.244810954508</v>
          </cell>
          <cell r="I415">
            <v>6816.5181719274642</v>
          </cell>
          <cell r="J415">
            <v>7932.2153340230334</v>
          </cell>
          <cell r="K415">
            <v>8677.9475167882192</v>
          </cell>
          <cell r="L415">
            <v>8224.5087563144243</v>
          </cell>
          <cell r="M415">
            <v>31651.189779053144</v>
          </cell>
          <cell r="N415">
            <v>7499.7337152228602</v>
          </cell>
          <cell r="O415">
            <v>8190.6629003175294</v>
          </cell>
          <cell r="P415">
            <v>8477.2900201686643</v>
          </cell>
          <cell r="Q415">
            <v>8209.7473648190135</v>
          </cell>
          <cell r="R415">
            <v>32377.434000528068</v>
          </cell>
          <cell r="S415">
            <v>7614.2427252273437</v>
          </cell>
          <cell r="T415">
            <v>8804.1241322081605</v>
          </cell>
          <cell r="U415">
            <v>9224.0395736383052</v>
          </cell>
          <cell r="V415">
            <v>9291.111526779152</v>
          </cell>
          <cell r="W415">
            <v>34933.517957852964</v>
          </cell>
          <cell r="X415">
            <v>8701.8222932962071</v>
          </cell>
          <cell r="Y415">
            <v>8738.645515755672</v>
          </cell>
          <cell r="Z415">
            <v>10608.807186988826</v>
          </cell>
          <cell r="AA415">
            <v>10876.786017266861</v>
          </cell>
          <cell r="AB415">
            <v>38926.061013307568</v>
          </cell>
          <cell r="AC415">
            <v>10301.104109288022</v>
          </cell>
          <cell r="AD415">
            <v>11779.024610396467</v>
          </cell>
          <cell r="AE415">
            <v>13151.013047103628</v>
          </cell>
          <cell r="AF415">
            <v>13075.068257534489</v>
          </cell>
          <cell r="AG415">
            <v>48306.210024322609</v>
          </cell>
          <cell r="AH415">
            <v>10984.916984330237</v>
          </cell>
          <cell r="AI415">
            <v>12208.800594500433</v>
          </cell>
          <cell r="AJ415">
            <v>15262.662241270888</v>
          </cell>
          <cell r="AK415">
            <v>16102.672932297981</v>
          </cell>
          <cell r="AL415">
            <v>54559.052752399541</v>
          </cell>
          <cell r="AM415">
            <v>14034.723</v>
          </cell>
          <cell r="AN415">
            <v>15809.415000000001</v>
          </cell>
          <cell r="AO415">
            <v>17467.063999999998</v>
          </cell>
          <cell r="AP415">
            <v>18012.901000000002</v>
          </cell>
          <cell r="AQ415">
            <v>65324.103000000003</v>
          </cell>
          <cell r="BL415">
            <v>0</v>
          </cell>
        </row>
        <row r="416">
          <cell r="A416" t="str">
            <v xml:space="preserve">  Year-over-Year growth</v>
          </cell>
          <cell r="H416">
            <v>5.9598576676963555E-2</v>
          </cell>
          <cell r="M416">
            <v>8.3527593017317603E-2</v>
          </cell>
          <cell r="N416">
            <v>0.10022940246959067</v>
          </cell>
          <cell r="O416">
            <v>3.2582015920061602E-2</v>
          </cell>
          <cell r="P416">
            <v>-2.3122690732038431E-2</v>
          </cell>
          <cell r="Q416">
            <v>-1.7948052501102207E-3</v>
          </cell>
          <cell r="R416">
            <v>2.2945242391979592E-2</v>
          </cell>
          <cell r="S416">
            <v>1.5268410099955165E-2</v>
          </cell>
          <cell r="T416">
            <v>7.489762908773212E-2</v>
          </cell>
          <cell r="U416">
            <v>8.8088239483728792E-2</v>
          </cell>
          <cell r="V416">
            <v>0.13171710576552886</v>
          </cell>
          <cell r="W416">
            <v>7.8946464913902892E-2</v>
          </cell>
          <cell r="X416">
            <v>0.14283489603838317</v>
          </cell>
          <cell r="Y416">
            <v>-7.4372663843922382E-3</v>
          </cell>
          <cell r="Z416">
            <v>0.15012594019090031</v>
          </cell>
          <cell r="AA416">
            <v>0.17066574714095561</v>
          </cell>
          <cell r="AB416">
            <v>0.1142897506134819</v>
          </cell>
          <cell r="AC416">
            <v>0.1837870002498081</v>
          </cell>
          <cell r="AD416">
            <v>0.34792338116462429</v>
          </cell>
          <cell r="AE416">
            <v>0.23963163957138289</v>
          </cell>
          <cell r="AF416">
            <v>0.20210770321102789</v>
          </cell>
          <cell r="AG416">
            <v>0.24097349608038354</v>
          </cell>
          <cell r="AH416">
            <v>6.6382483643248724E-2</v>
          </cell>
          <cell r="AI416">
            <v>3.6486551163551706E-2</v>
          </cell>
          <cell r="AJ416">
            <v>0.16056931786196715</v>
          </cell>
          <cell r="AK416">
            <v>0.23155555406135941</v>
          </cell>
          <cell r="AL416">
            <v>0.12944179899289487</v>
          </cell>
          <cell r="AM416">
            <v>0.27763578186528393</v>
          </cell>
          <cell r="AN416">
            <v>0.29491958506730764</v>
          </cell>
          <cell r="AO416">
            <v>0.14443101235433975</v>
          </cell>
          <cell r="AP416">
            <v>0.11862801137012324</v>
          </cell>
          <cell r="AQ416">
            <v>0.19731006504923254</v>
          </cell>
          <cell r="BL416">
            <v>0</v>
          </cell>
        </row>
        <row r="417">
          <cell r="A417" t="str">
            <v xml:space="preserve">  in USD</v>
          </cell>
          <cell r="G417">
            <v>3435.2324915742288</v>
          </cell>
          <cell r="H417">
            <v>3633.6893675325</v>
          </cell>
          <cell r="I417">
            <v>852.6656493039402</v>
          </cell>
          <cell r="J417">
            <v>989.68311198657557</v>
          </cell>
          <cell r="K417">
            <v>1093.5817416033437</v>
          </cell>
          <cell r="L417">
            <v>1024.5612978336496</v>
          </cell>
          <cell r="M417">
            <v>3959.5072779435304</v>
          </cell>
          <cell r="N417">
            <v>932.36332569353044</v>
          </cell>
          <cell r="O417">
            <v>1023.2093822930165</v>
          </cell>
          <cell r="P417">
            <v>1056.9269450813285</v>
          </cell>
          <cell r="Q417">
            <v>1021.3830048941913</v>
          </cell>
          <cell r="R417">
            <v>4033.6846875401375</v>
          </cell>
          <cell r="S417">
            <v>946.34689384090109</v>
          </cell>
          <cell r="T417">
            <v>1108.8904156552192</v>
          </cell>
          <cell r="U417">
            <v>1152.6668628639097</v>
          </cell>
          <cell r="V417">
            <v>1160.982759865559</v>
          </cell>
          <cell r="W417">
            <v>4368.1363640185109</v>
          </cell>
          <cell r="X417">
            <v>1082.9560160829185</v>
          </cell>
          <cell r="Y417">
            <v>1090.7252611830725</v>
          </cell>
          <cell r="Z417">
            <v>1319.9140626494498</v>
          </cell>
          <cell r="AA417">
            <v>1367.0089205578236</v>
          </cell>
          <cell r="AB417">
            <v>4859.5650665725107</v>
          </cell>
          <cell r="AC417">
            <v>1289.6008091210704</v>
          </cell>
          <cell r="AD417">
            <v>1467.034667404796</v>
          </cell>
          <cell r="AE417">
            <v>1637.0369645242506</v>
          </cell>
          <cell r="AF417">
            <v>1631.381789698765</v>
          </cell>
          <cell r="AG417">
            <v>6026.0472981240991</v>
          </cell>
          <cell r="AH417">
            <v>1367.7736874006393</v>
          </cell>
          <cell r="AI417">
            <v>1521.7630496211332</v>
          </cell>
          <cell r="AJ417">
            <v>1907.1069792527189</v>
          </cell>
          <cell r="AK417">
            <v>2015.942684407051</v>
          </cell>
          <cell r="AL417">
            <v>6810.3582896180096</v>
          </cell>
          <cell r="AM417">
            <v>1756.4086856248377</v>
          </cell>
          <cell r="AN417">
            <v>1978.4513211868168</v>
          </cell>
          <cell r="AO417">
            <v>2180.5572193066209</v>
          </cell>
          <cell r="AP417">
            <v>2247.5757682100657</v>
          </cell>
          <cell r="AQ417">
            <v>8163.9519203566815</v>
          </cell>
          <cell r="BL417">
            <v>0</v>
          </cell>
        </row>
        <row r="418">
          <cell r="BL418">
            <v>0</v>
          </cell>
        </row>
        <row r="419">
          <cell r="A419" t="str">
            <v>Total Exports (current prices)</v>
          </cell>
          <cell r="G419">
            <v>41756.576252353996</v>
          </cell>
          <cell r="H419">
            <v>41119.12116626052</v>
          </cell>
          <cell r="I419">
            <v>10805.519157273628</v>
          </cell>
          <cell r="J419">
            <v>11775.834717029229</v>
          </cell>
          <cell r="K419">
            <v>13939.848640725273</v>
          </cell>
          <cell r="L419">
            <v>12658.295184206569</v>
          </cell>
          <cell r="M419">
            <v>49179.497699234693</v>
          </cell>
          <cell r="N419">
            <v>11470.367513623394</v>
          </cell>
          <cell r="O419">
            <v>12397.091519947178</v>
          </cell>
          <cell r="P419">
            <v>13838.094613471831</v>
          </cell>
          <cell r="Q419">
            <v>13332.793474175118</v>
          </cell>
          <cell r="R419">
            <v>51038.347121217521</v>
          </cell>
          <cell r="S419">
            <v>12297.5242134936</v>
          </cell>
          <cell r="T419">
            <v>14062.447189076527</v>
          </cell>
          <cell r="U419">
            <v>14999.874929752988</v>
          </cell>
          <cell r="V419">
            <v>15806.170048736081</v>
          </cell>
          <cell r="W419">
            <v>57166.016381059191</v>
          </cell>
          <cell r="X419">
            <v>15165.21383305585</v>
          </cell>
          <cell r="Y419">
            <v>13157.325021977367</v>
          </cell>
          <cell r="Z419">
            <v>18212.49206733243</v>
          </cell>
          <cell r="AA419">
            <v>19156.421216237231</v>
          </cell>
          <cell r="AB419">
            <v>65691.452138602879</v>
          </cell>
          <cell r="AC419">
            <v>19154.963420939632</v>
          </cell>
          <cell r="AD419">
            <v>21150.7211014553</v>
          </cell>
          <cell r="AE419">
            <v>23931.976932450176</v>
          </cell>
          <cell r="AF419">
            <v>23035.799758751855</v>
          </cell>
          <cell r="AG419">
            <v>87273.461213596966</v>
          </cell>
          <cell r="AH419">
            <v>19994.017858232572</v>
          </cell>
          <cell r="AI419">
            <v>20763.958772064514</v>
          </cell>
          <cell r="AJ419">
            <v>23708.954491881166</v>
          </cell>
          <cell r="AK419">
            <v>24556.19827720413</v>
          </cell>
          <cell r="AL419">
            <v>89023.129399382378</v>
          </cell>
          <cell r="AM419">
            <v>24183.184000000001</v>
          </cell>
          <cell r="AN419">
            <v>24945.741000000002</v>
          </cell>
          <cell r="AO419">
            <v>26048.107</v>
          </cell>
          <cell r="AP419">
            <v>29351.073</v>
          </cell>
          <cell r="AQ419">
            <v>104528.10500000001</v>
          </cell>
          <cell r="BL419">
            <v>0</v>
          </cell>
        </row>
        <row r="420">
          <cell r="A420" t="str">
            <v xml:space="preserve">  Year-over-Year growth</v>
          </cell>
          <cell r="H420">
            <v>-1.5265980674302515E-2</v>
          </cell>
          <cell r="M420">
            <v>0.19602501961029151</v>
          </cell>
          <cell r="N420">
            <v>6.1528589850514459E-2</v>
          </cell>
          <cell r="O420">
            <v>5.2756922786929117E-2</v>
          </cell>
          <cell r="P420">
            <v>-7.2995073243599107E-3</v>
          </cell>
          <cell r="Q420">
            <v>5.328508145473676E-2</v>
          </cell>
          <cell r="R420">
            <v>3.7797242935479591E-2</v>
          </cell>
          <cell r="S420">
            <v>7.2112484529182508E-2</v>
          </cell>
          <cell r="T420">
            <v>0.1343343853233443</v>
          </cell>
          <cell r="U420">
            <v>8.3955222791302964E-2</v>
          </cell>
          <cell r="V420">
            <v>0.1855107543180472</v>
          </cell>
          <cell r="W420">
            <v>0.12006010393103606</v>
          </cell>
          <cell r="X420">
            <v>0.23319243530463196</v>
          </cell>
          <cell r="Y420">
            <v>-6.4364484710900394E-2</v>
          </cell>
          <cell r="Z420">
            <v>0.21417626164382608</v>
          </cell>
          <cell r="AA420">
            <v>0.21195844136632247</v>
          </cell>
          <cell r="AB420">
            <v>0.14913468345799274</v>
          </cell>
          <cell r="AC420">
            <v>0.26308561368170502</v>
          </cell>
          <cell r="AD420">
            <v>0.60752440683240283</v>
          </cell>
          <cell r="AE420">
            <v>0.31404185895991299</v>
          </cell>
          <cell r="AF420">
            <v>0.20251060982238234</v>
          </cell>
          <cell r="AG420">
            <v>0.32853603280770916</v>
          </cell>
          <cell r="AH420">
            <v>4.3803499847758109E-2</v>
          </cell>
          <cell r="AI420">
            <v>-1.8286011504552113E-2</v>
          </cell>
          <cell r="AJ420">
            <v>-9.319014521805169E-3</v>
          </cell>
          <cell r="AK420">
            <v>6.6001551253918933E-2</v>
          </cell>
          <cell r="AL420">
            <v>2.0048112696059883E-2</v>
          </cell>
          <cell r="AM420">
            <v>0.20952097629754451</v>
          </cell>
          <cell r="AN420">
            <v>0.20139619201910519</v>
          </cell>
          <cell r="AO420">
            <v>9.8661141254450913E-2</v>
          </cell>
          <cell r="AP420">
            <v>0.19526128062123616</v>
          </cell>
          <cell r="AQ420">
            <v>0.17416794607453112</v>
          </cell>
          <cell r="BL420">
            <v>0</v>
          </cell>
        </row>
        <row r="421">
          <cell r="A421" t="str">
            <v xml:space="preserve">  in USD</v>
          </cell>
          <cell r="G421">
            <v>5203.2215582003</v>
          </cell>
          <cell r="H421">
            <v>5114.9519423454922</v>
          </cell>
          <cell r="I421">
            <v>1351.6424039250585</v>
          </cell>
          <cell r="J421">
            <v>1469.2421042833985</v>
          </cell>
          <cell r="K421">
            <v>1756.6785146741026</v>
          </cell>
          <cell r="L421">
            <v>1576.8965328579566</v>
          </cell>
          <cell r="M421">
            <v>6152.2672741546521</v>
          </cell>
          <cell r="N421">
            <v>1425.9906295367907</v>
          </cell>
          <cell r="O421">
            <v>1548.6927628120784</v>
          </cell>
          <cell r="P421">
            <v>1725.2984185708176</v>
          </cell>
          <cell r="Q421">
            <v>1658.7463727133652</v>
          </cell>
          <cell r="R421">
            <v>6358.5211618949061</v>
          </cell>
          <cell r="S421">
            <v>1528.4151374390897</v>
          </cell>
          <cell r="T421">
            <v>1771.1827632663762</v>
          </cell>
          <cell r="U421">
            <v>1874.4345837416674</v>
          </cell>
          <cell r="V421">
            <v>1975.0802552735461</v>
          </cell>
          <cell r="W421">
            <v>7148.1193288764835</v>
          </cell>
          <cell r="X421">
            <v>1887.3356639728252</v>
          </cell>
          <cell r="Y421">
            <v>1642.2484176972405</v>
          </cell>
          <cell r="Z421">
            <v>2265.9403618011052</v>
          </cell>
          <cell r="AA421">
            <v>2407.6044749788844</v>
          </cell>
          <cell r="AB421">
            <v>8200.9809797102116</v>
          </cell>
          <cell r="AC421">
            <v>2398.020257270809</v>
          </cell>
          <cell r="AD421">
            <v>2634.2453745328139</v>
          </cell>
          <cell r="AE421">
            <v>2979.0504147656566</v>
          </cell>
          <cell r="AF421">
            <v>2874.18646674517</v>
          </cell>
          <cell r="AG421">
            <v>10887.088945279127</v>
          </cell>
          <cell r="AH421">
            <v>2489.5310152019683</v>
          </cell>
          <cell r="AI421">
            <v>2588.1187081897224</v>
          </cell>
          <cell r="AJ421">
            <v>2962.4918554501587</v>
          </cell>
          <cell r="AK421">
            <v>3074.2652776910181</v>
          </cell>
          <cell r="AL421">
            <v>11112.352152157848</v>
          </cell>
          <cell r="AM421">
            <v>3026.461899081557</v>
          </cell>
          <cell r="AN421">
            <v>3121.8064829997916</v>
          </cell>
          <cell r="AO421">
            <v>3251.799373273112</v>
          </cell>
          <cell r="AP421">
            <v>3662.3062795806582</v>
          </cell>
          <cell r="AQ421">
            <v>13063.515369602472</v>
          </cell>
          <cell r="BL421">
            <v>0</v>
          </cell>
        </row>
        <row r="422">
          <cell r="BL422">
            <v>0</v>
          </cell>
        </row>
        <row r="423">
          <cell r="A423" t="str">
            <v>Gambling Expenditures of Non-Residents (current prices)</v>
          </cell>
          <cell r="G423">
            <v>15861.970329703558</v>
          </cell>
          <cell r="H423">
            <v>14198.104921598489</v>
          </cell>
          <cell r="I423">
            <v>4203.4167100522081</v>
          </cell>
          <cell r="J423">
            <v>3897.9935566877271</v>
          </cell>
          <cell r="K423">
            <v>4882.100849640824</v>
          </cell>
          <cell r="L423">
            <v>4529.4125654368272</v>
          </cell>
          <cell r="M423">
            <v>17512.923681817585</v>
          </cell>
          <cell r="N423">
            <v>4729.5864305092518</v>
          </cell>
          <cell r="O423">
            <v>4489.8098846641051</v>
          </cell>
          <cell r="P423">
            <v>5368.0661509341035</v>
          </cell>
          <cell r="Q423">
            <v>5290.2672672739791</v>
          </cell>
          <cell r="R423">
            <v>19877.729733381439</v>
          </cell>
          <cell r="S423">
            <v>5441.7477655200009</v>
          </cell>
          <cell r="T423">
            <v>5425.653588526</v>
          </cell>
          <cell r="U423">
            <v>5774.9352368320006</v>
          </cell>
          <cell r="V423">
            <v>6538.1382827499992</v>
          </cell>
          <cell r="W423">
            <v>23180.474873627998</v>
          </cell>
          <cell r="X423">
            <v>7195.5693064013331</v>
          </cell>
          <cell r="Y423">
            <v>5506.0447813527717</v>
          </cell>
          <cell r="Z423">
            <v>8256.5876965126226</v>
          </cell>
          <cell r="AA423">
            <v>8935.2411704225487</v>
          </cell>
          <cell r="AB423">
            <v>29893.442954689275</v>
          </cell>
          <cell r="AC423">
            <v>9917.8558934686043</v>
          </cell>
          <cell r="AD423">
            <v>10068.026597597809</v>
          </cell>
          <cell r="AE423">
            <v>11562.834464761336</v>
          </cell>
          <cell r="AF423">
            <v>11454.189432378822</v>
          </cell>
          <cell r="AG423">
            <v>43002.906388206567</v>
          </cell>
          <cell r="AH423">
            <v>11066.14546498504</v>
          </cell>
          <cell r="AI423">
            <v>11762.862343214458</v>
          </cell>
          <cell r="AJ423">
            <v>11740.527228556946</v>
          </cell>
          <cell r="AK423">
            <v>11733.713477832785</v>
          </cell>
          <cell r="AL423">
            <v>46303.248514589228</v>
          </cell>
          <cell r="AM423">
            <v>12684.135</v>
          </cell>
          <cell r="AN423">
            <v>12941.501</v>
          </cell>
          <cell r="AO423">
            <v>13814.65</v>
          </cell>
          <cell r="AP423">
            <v>16740.940999999999</v>
          </cell>
          <cell r="AQ423">
            <v>56181.226999999999</v>
          </cell>
          <cell r="BL423">
            <v>0</v>
          </cell>
        </row>
        <row r="424">
          <cell r="A424" t="str">
            <v xml:space="preserve">  Year-over-Year growth</v>
          </cell>
          <cell r="H424">
            <v>-0.10489651496758057</v>
          </cell>
          <cell r="M424">
            <v>0.23346909876518218</v>
          </cell>
          <cell r="N424">
            <v>0.12517667334736093</v>
          </cell>
          <cell r="O424">
            <v>0.15182588666956831</v>
          </cell>
          <cell r="P424">
            <v>9.9540201290399866E-2</v>
          </cell>
          <cell r="Q424">
            <v>0.16798087850135457</v>
          </cell>
          <cell r="R424">
            <v>0.13503205372950156</v>
          </cell>
          <cell r="S424">
            <v>0.15057581576621448</v>
          </cell>
          <cell r="T424">
            <v>0.20843726747951341</v>
          </cell>
          <cell r="U424">
            <v>7.5794350229290153E-2</v>
          </cell>
          <cell r="V424">
            <v>0.23588052407020177</v>
          </cell>
          <cell r="W424">
            <v>0.16615303581173713</v>
          </cell>
          <cell r="X424">
            <v>0.32229012009595426</v>
          </cell>
          <cell r="Y424">
            <v>1.4816867961636948E-2</v>
          </cell>
          <cell r="Z424">
            <v>0.42972818878606178</v>
          </cell>
          <cell r="AA424">
            <v>0.36663386181307667</v>
          </cell>
          <cell r="AB424">
            <v>0.28959579636129451</v>
          </cell>
          <cell r="AC424">
            <v>0.37832817267779872</v>
          </cell>
          <cell r="AD424">
            <v>0.82854063078001539</v>
          </cell>
          <cell r="AE424">
            <v>0.40043743127020748</v>
          </cell>
          <cell r="AF424">
            <v>0.28191161423762123</v>
          </cell>
          <cell r="AG424">
            <v>0.43853976450246446</v>
          </cell>
          <cell r="AH424">
            <v>0.11578002179610625</v>
          </cell>
          <cell r="AI424">
            <v>0.1683384255282987</v>
          </cell>
          <cell r="AJ424">
            <v>1.536757828170443E-2</v>
          </cell>
          <cell r="AK424">
            <v>2.4403651354307332E-2</v>
          </cell>
          <cell r="AL424">
            <v>7.6746955114823878E-2</v>
          </cell>
          <cell r="AM424">
            <v>0.14621075966645503</v>
          </cell>
          <cell r="AN424">
            <v>0.10019998724761536</v>
          </cell>
          <cell r="AO424">
            <v>0.17666351187347717</v>
          </cell>
          <cell r="AP424">
            <v>0.42673851987495848</v>
          </cell>
          <cell r="AQ424">
            <v>0.21333229961820965</v>
          </cell>
          <cell r="BL424">
            <v>0</v>
          </cell>
        </row>
        <row r="425">
          <cell r="A425" t="str">
            <v xml:space="preserve">  Share of Total Gaming Revenue</v>
          </cell>
          <cell r="G425">
            <v>1.0091546642608133</v>
          </cell>
          <cell r="H425">
            <v>1.009185875112661</v>
          </cell>
          <cell r="I425">
            <v>0.92804264468360276</v>
          </cell>
          <cell r="J425">
            <v>0.94782826055503167</v>
          </cell>
          <cell r="K425">
            <v>1.1140339248143871</v>
          </cell>
          <cell r="L425">
            <v>1.1020248573417297</v>
          </cell>
          <cell r="M425">
            <v>1.0220954337401666</v>
          </cell>
          <cell r="N425">
            <v>0.99343242921174857</v>
          </cell>
          <cell r="O425">
            <v>0.92673220327811257</v>
          </cell>
          <cell r="P425">
            <v>1.096482109652559</v>
          </cell>
          <cell r="Q425">
            <v>1.049774232630861</v>
          </cell>
          <cell r="R425">
            <v>1.0172434126673264</v>
          </cell>
          <cell r="S425">
            <v>1.0465704694208657</v>
          </cell>
          <cell r="T425">
            <v>0.96314683570811432</v>
          </cell>
          <cell r="U425">
            <v>1.0199100058581578</v>
          </cell>
          <cell r="V425">
            <v>1.0300223511528057</v>
          </cell>
          <cell r="W425">
            <v>1.0147902372887321</v>
          </cell>
          <cell r="X425">
            <v>1.0123985879038329</v>
          </cell>
          <cell r="Y425">
            <v>1.0015668739367118</v>
          </cell>
          <cell r="Z425">
            <v>1.0220659037673399</v>
          </cell>
          <cell r="AA425">
            <v>1.0162177805018091</v>
          </cell>
          <cell r="AB425">
            <v>1.0141671537214587</v>
          </cell>
          <cell r="AC425">
            <v>1.0112046625663178</v>
          </cell>
          <cell r="AD425">
            <v>1.0154797309649302</v>
          </cell>
          <cell r="AE425">
            <v>1.0222665506697419</v>
          </cell>
          <cell r="AF425">
            <v>1.0161495764808308</v>
          </cell>
          <cell r="AG425">
            <v>1.016481641412506</v>
          </cell>
          <cell r="AH425">
            <v>1.010295038151241</v>
          </cell>
          <cell r="AI425">
            <v>1.0123277142920484</v>
          </cell>
          <cell r="AJ425">
            <v>1.0117314410171931</v>
          </cell>
          <cell r="AK425">
            <v>1.0095201674802319</v>
          </cell>
          <cell r="AL425">
            <v>1.0109780256436176</v>
          </cell>
          <cell r="AM425">
            <v>1.007547630226965</v>
          </cell>
          <cell r="AN425">
            <v>1.0032135544322864</v>
          </cell>
          <cell r="AO425">
            <v>1.0037727261464968</v>
          </cell>
          <cell r="AP425">
            <v>1.0065558335019347</v>
          </cell>
          <cell r="AQ425">
            <v>1.0053223300242942</v>
          </cell>
          <cell r="BL425">
            <v>0</v>
          </cell>
        </row>
        <row r="426">
          <cell r="A426" t="str">
            <v xml:space="preserve">  Share of Total Exports</v>
          </cell>
          <cell r="G426">
            <v>0.37986759819201776</v>
          </cell>
          <cell r="H426">
            <v>0.34529203248751489</v>
          </cell>
          <cell r="I426">
            <v>0.38900645576318471</v>
          </cell>
          <cell r="J426">
            <v>0.33101632711019408</v>
          </cell>
          <cell r="K426">
            <v>0.3502262453107105</v>
          </cell>
          <cell r="L426">
            <v>0.3578216892183127</v>
          </cell>
          <cell r="M426">
            <v>0.35610212590866119</v>
          </cell>
          <cell r="N426">
            <v>0.41233085381893003</v>
          </cell>
          <cell r="O426">
            <v>0.36216639019240177</v>
          </cell>
          <cell r="P426">
            <v>0.38791945718510396</v>
          </cell>
          <cell r="Q426">
            <v>0.39678611069172665</v>
          </cell>
          <cell r="R426">
            <v>0.38946656493736498</v>
          </cell>
          <cell r="S426">
            <v>0.44250758697827819</v>
          </cell>
          <cell r="T426">
            <v>0.38582570413068334</v>
          </cell>
          <cell r="U426">
            <v>0.38499889258257303</v>
          </cell>
          <cell r="V426">
            <v>0.41364468828252371</v>
          </cell>
          <cell r="W426">
            <v>0.40549396898868717</v>
          </cell>
          <cell r="X426">
            <v>0.47447859196795761</v>
          </cell>
          <cell r="Y426">
            <v>0.4184775227605716</v>
          </cell>
          <cell r="Z426">
            <v>0.45334749720069245</v>
          </cell>
          <cell r="AA426">
            <v>0.46643582689907248</v>
          </cell>
          <cell r="AB426">
            <v>0.45505833683835883</v>
          </cell>
          <cell r="AC426">
            <v>0.51776950315794923</v>
          </cell>
          <cell r="AD426">
            <v>0.47601339686262834</v>
          </cell>
          <cell r="AE426">
            <v>0.48315417056427534</v>
          </cell>
          <cell r="AF426">
            <v>0.49723428543118414</v>
          </cell>
          <cell r="AG426">
            <v>0.49273749190443283</v>
          </cell>
          <cell r="AH426">
            <v>0.55347282089320204</v>
          </cell>
          <cell r="AI426">
            <v>0.56650383832585993</v>
          </cell>
          <cell r="AJ426">
            <v>0.49519379830001964</v>
          </cell>
          <cell r="AK426">
            <v>0.47783102845872355</v>
          </cell>
          <cell r="AL426">
            <v>0.5201260484436584</v>
          </cell>
          <cell r="AM426">
            <v>0.52450227397682625</v>
          </cell>
          <cell r="AN426">
            <v>0.51878599236639233</v>
          </cell>
          <cell r="AO426">
            <v>0.53035139943182819</v>
          </cell>
          <cell r="AP426">
            <v>0.57036896061687414</v>
          </cell>
          <cell r="AQ426">
            <v>0.53747484468411622</v>
          </cell>
          <cell r="BL426">
            <v>0</v>
          </cell>
        </row>
        <row r="427">
          <cell r="A427" t="str">
            <v xml:space="preserve">  in USD</v>
          </cell>
          <cell r="G427">
            <v>1976.5352761744762</v>
          </cell>
          <cell r="H427">
            <v>1766.152152248437</v>
          </cell>
          <cell r="I427">
            <v>525.79762101011784</v>
          </cell>
          <cell r="J427">
            <v>486.34312499554335</v>
          </cell>
          <cell r="K427">
            <v>615.23492041230691</v>
          </cell>
          <cell r="L427">
            <v>564.24778110973455</v>
          </cell>
          <cell r="M427">
            <v>2190.8354554847556</v>
          </cell>
          <cell r="N427">
            <v>587.97993381469848</v>
          </cell>
          <cell r="O427">
            <v>560.88446742474787</v>
          </cell>
          <cell r="P427">
            <v>669.2768260143099</v>
          </cell>
          <cell r="Q427">
            <v>658.16752185294536</v>
          </cell>
          <cell r="R427">
            <v>2476.4313950047517</v>
          </cell>
          <cell r="S427">
            <v>676.33529436924493</v>
          </cell>
          <cell r="T427">
            <v>683.36783678137908</v>
          </cell>
          <cell r="U427">
            <v>721.65523895901811</v>
          </cell>
          <cell r="V427">
            <v>816.98145652559333</v>
          </cell>
          <cell r="W427">
            <v>2898.5192774708762</v>
          </cell>
          <cell r="X427">
            <v>895.50036841273641</v>
          </cell>
          <cell r="Y427">
            <v>687.24404959540971</v>
          </cell>
          <cell r="Z427">
            <v>1027.2583918285625</v>
          </cell>
          <cell r="AA427">
            <v>1122.9929841326832</v>
          </cell>
          <cell r="AB427">
            <v>3731.9247650699435</v>
          </cell>
          <cell r="AC427">
            <v>1241.6217571698044</v>
          </cell>
          <cell r="AD427">
            <v>1253.9360889010313</v>
          </cell>
          <cell r="AE427">
            <v>1439.3406322152612</v>
          </cell>
          <cell r="AF427">
            <v>1429.1440539880143</v>
          </cell>
          <cell r="AG427">
            <v>5364.4769010373138</v>
          </cell>
          <cell r="AH427">
            <v>1377.8877536849507</v>
          </cell>
          <cell r="AI427">
            <v>1466.179182232444</v>
          </cell>
          <cell r="AJ427">
            <v>1467.0075943332367</v>
          </cell>
          <cell r="AK427">
            <v>1468.9793393940427</v>
          </cell>
          <cell r="AL427">
            <v>5779.8238138162442</v>
          </cell>
          <cell r="AM427">
            <v>1587.3861481725005</v>
          </cell>
          <cell r="AN427">
            <v>1619.5494742588837</v>
          </cell>
          <cell r="AO427">
            <v>1724.5963482869367</v>
          </cell>
          <cell r="AP427">
            <v>2088.8658261450714</v>
          </cell>
          <cell r="AQ427">
            <v>7021.3108943056541</v>
          </cell>
          <cell r="BL427">
            <v>0</v>
          </cell>
        </row>
        <row r="428">
          <cell r="A428" t="str">
            <v xml:space="preserve">    Diff</v>
          </cell>
          <cell r="G428">
            <v>-161.54029465452982</v>
          </cell>
          <cell r="H428">
            <v>-144.39604495211302</v>
          </cell>
          <cell r="I428">
            <v>-0.77347846278451016</v>
          </cell>
          <cell r="J428">
            <v>-10.852763358806556</v>
          </cell>
          <cell r="K428">
            <v>-103.46924722425274</v>
          </cell>
          <cell r="L428">
            <v>-89.779636180701857</v>
          </cell>
          <cell r="M428">
            <v>-204.08713318359855</v>
          </cell>
          <cell r="N428">
            <v>-39.510078957767178</v>
          </cell>
          <cell r="O428">
            <v>-3.3143846966595447E-2</v>
          </cell>
          <cell r="P428">
            <v>-103.64631476211696</v>
          </cell>
          <cell r="Q428">
            <v>-77.176890005598011</v>
          </cell>
          <cell r="R428">
            <v>-220.48907347049862</v>
          </cell>
          <cell r="S428">
            <v>-66.750200433698069</v>
          </cell>
          <cell r="T428">
            <v>-14.095621253354807</v>
          </cell>
          <cell r="U428">
            <v>-54.220695878875176</v>
          </cell>
          <cell r="V428">
            <v>-68.801078907161127</v>
          </cell>
          <cell r="W428">
            <v>-204.04704730872982</v>
          </cell>
          <cell r="X428">
            <v>-59.696786689289866</v>
          </cell>
          <cell r="Y428">
            <v>-38.876865220415993</v>
          </cell>
          <cell r="Z428">
            <v>-77.548881227759011</v>
          </cell>
          <cell r="AA428">
            <v>-78.801268150401256</v>
          </cell>
          <cell r="AB428">
            <v>-253.85277238841763</v>
          </cell>
          <cell r="AC428">
            <v>-108.90261340586881</v>
          </cell>
          <cell r="AD428">
            <v>-88.818070913021529</v>
          </cell>
          <cell r="AE428">
            <v>-81.567263792636368</v>
          </cell>
          <cell r="AF428">
            <v>-72.193967147800549</v>
          </cell>
          <cell r="AG428">
            <v>-351.91628402252991</v>
          </cell>
          <cell r="AH428">
            <v>-58.036684231959725</v>
          </cell>
          <cell r="AI428">
            <v>-52.654103706244314</v>
          </cell>
          <cell r="AJ428">
            <v>-43.074635357431362</v>
          </cell>
          <cell r="AK428">
            <v>-43.236730429633553</v>
          </cell>
          <cell r="AL428">
            <v>-196.77209789684002</v>
          </cell>
          <cell r="AM428">
            <v>-41.621262339679561</v>
          </cell>
          <cell r="AN428">
            <v>-35.246019154050828</v>
          </cell>
          <cell r="AO428">
            <v>-33.163273765345139</v>
          </cell>
          <cell r="AP428">
            <v>-37.948216445618073</v>
          </cell>
          <cell r="AQ428">
            <v>-148.89186914695529</v>
          </cell>
          <cell r="BL428">
            <v>0</v>
          </cell>
        </row>
        <row r="429">
          <cell r="BL429">
            <v>0</v>
          </cell>
        </row>
        <row r="430">
          <cell r="A430" t="str">
            <v>Accomodation Expenditures of Non-Residents (current prices)</v>
          </cell>
          <cell r="G430">
            <v>728.29741416912736</v>
          </cell>
          <cell r="H430">
            <v>672.3764934529928</v>
          </cell>
          <cell r="I430">
            <v>178.52253537676779</v>
          </cell>
          <cell r="J430">
            <v>185.82212508903362</v>
          </cell>
          <cell r="K430">
            <v>207.81008555010288</v>
          </cell>
          <cell r="L430">
            <v>209.60711274235598</v>
          </cell>
          <cell r="M430">
            <v>781.76185875826025</v>
          </cell>
          <cell r="N430">
            <v>195.56569231303783</v>
          </cell>
          <cell r="O430">
            <v>204.65790388635187</v>
          </cell>
          <cell r="P430">
            <v>216.3990958513667</v>
          </cell>
          <cell r="Q430">
            <v>216.01124994005679</v>
          </cell>
          <cell r="R430">
            <v>832.63394199081324</v>
          </cell>
          <cell r="S430">
            <v>204.03573105177259</v>
          </cell>
          <cell r="T430">
            <v>205.10233529192519</v>
          </cell>
          <cell r="U430">
            <v>214.37021803985036</v>
          </cell>
          <cell r="V430">
            <v>224.89566521736856</v>
          </cell>
          <cell r="W430">
            <v>848.40394960091669</v>
          </cell>
          <cell r="X430">
            <v>211.58764496093363</v>
          </cell>
          <cell r="Y430">
            <v>125.80296873382285</v>
          </cell>
          <cell r="Z430">
            <v>247.78731659990927</v>
          </cell>
          <cell r="AA430">
            <v>288.36152901652252</v>
          </cell>
          <cell r="AB430">
            <v>873.53945931118824</v>
          </cell>
          <cell r="AC430">
            <v>274.77999932329948</v>
          </cell>
          <cell r="AD430">
            <v>295.11521608398073</v>
          </cell>
          <cell r="AE430">
            <v>320.30569604664788</v>
          </cell>
          <cell r="AF430">
            <v>359.07105801858245</v>
          </cell>
          <cell r="AG430">
            <v>1249.2719694725106</v>
          </cell>
          <cell r="AH430">
            <v>325.02454275464743</v>
          </cell>
          <cell r="AI430">
            <v>320.6742037247422</v>
          </cell>
          <cell r="AJ430">
            <v>367.96054619784127</v>
          </cell>
          <cell r="AK430">
            <v>445.24770095205213</v>
          </cell>
          <cell r="AL430">
            <v>1458.9069936292831</v>
          </cell>
          <cell r="AM430">
            <v>408.11799999999999</v>
          </cell>
          <cell r="AN430">
            <v>417.4</v>
          </cell>
          <cell r="AO430">
            <v>447.93799999999999</v>
          </cell>
          <cell r="AP430">
            <v>582.41600000000005</v>
          </cell>
          <cell r="AQ430">
            <v>1855.8720000000003</v>
          </cell>
          <cell r="BL430">
            <v>0</v>
          </cell>
        </row>
        <row r="431">
          <cell r="A431" t="str">
            <v xml:space="preserve">  Year-over-Year growth</v>
          </cell>
          <cell r="H431">
            <v>-7.6783082883702836E-2</v>
          </cell>
          <cell r="M431">
            <v>0.16268469580713374</v>
          </cell>
          <cell r="N431">
            <v>9.5467818112155101E-2</v>
          </cell>
          <cell r="O431">
            <v>0.10136456457105636</v>
          </cell>
          <cell r="P431">
            <v>4.1331056086751028E-2</v>
          </cell>
          <cell r="Q431">
            <v>3.0553052870742059E-2</v>
          </cell>
          <cell r="R431">
            <v>6.5073631647056152E-2</v>
          </cell>
          <cell r="S431">
            <v>4.3310453068511334E-2</v>
          </cell>
          <cell r="T431">
            <v>2.1715819283485427E-3</v>
          </cell>
          <cell r="U431">
            <v>-9.3756297988872861E-3</v>
          </cell>
          <cell r="V431">
            <v>4.1129410064416616E-2</v>
          </cell>
          <cell r="W431">
            <v>1.8939904818674247E-2</v>
          </cell>
          <cell r="X431">
            <v>3.7012702972327949E-2</v>
          </cell>
          <cell r="Y431">
            <v>-0.38663317238799044</v>
          </cell>
          <cell r="Z431">
            <v>0.15588498656957483</v>
          </cell>
          <cell r="AA431">
            <v>0.28220136541009921</v>
          </cell>
          <cell r="AB431">
            <v>2.9626818359456131E-2</v>
          </cell>
          <cell r="AC431">
            <v>0.29865805432086234</v>
          </cell>
          <cell r="AD431">
            <v>1.3458525586021191</v>
          </cell>
          <cell r="AE431">
            <v>0.29266380717876173</v>
          </cell>
          <cell r="AF431">
            <v>0.24521138184840319</v>
          </cell>
          <cell r="AG431">
            <v>0.43012654569445385</v>
          </cell>
          <cell r="AH431">
            <v>0.1828537140806652</v>
          </cell>
          <cell r="AI431">
            <v>8.6606810654887401E-2</v>
          </cell>
          <cell r="AJ431">
            <v>0.14877927785665457</v>
          </cell>
          <cell r="AK431">
            <v>0.23999885540485399</v>
          </cell>
          <cell r="AL431">
            <v>0.16780575349440374</v>
          </cell>
          <cell r="AM431">
            <v>0.2556528702144123</v>
          </cell>
          <cell r="AN431">
            <v>0.30163260764899102</v>
          </cell>
          <cell r="AO431">
            <v>0.21735334026588071</v>
          </cell>
          <cell r="AP431">
            <v>0.30807188617627324</v>
          </cell>
          <cell r="AQ431">
            <v>0.27209754158707411</v>
          </cell>
          <cell r="BL431">
            <v>0</v>
          </cell>
        </row>
        <row r="432">
          <cell r="A432" t="str">
            <v xml:space="preserve">  in USD</v>
          </cell>
          <cell r="G432">
            <v>90.751999955281448</v>
          </cell>
          <cell r="H432">
            <v>83.639274226434154</v>
          </cell>
          <cell r="I432">
            <v>22.331053729058723</v>
          </cell>
          <cell r="J432">
            <v>23.184572189469446</v>
          </cell>
          <cell r="K432">
            <v>26.187910774866172</v>
          </cell>
          <cell r="L432">
            <v>26.111630716131522</v>
          </cell>
          <cell r="M432">
            <v>97.797011454543608</v>
          </cell>
          <cell r="N432">
            <v>24.31263378144131</v>
          </cell>
          <cell r="O432">
            <v>25.566659251575288</v>
          </cell>
          <cell r="P432">
            <v>26.980088536831261</v>
          </cell>
          <cell r="Q432">
            <v>26.874178918121835</v>
          </cell>
          <cell r="R432">
            <v>103.73220997314823</v>
          </cell>
          <cell r="S432">
            <v>25.358868541669363</v>
          </cell>
          <cell r="T432">
            <v>25.832894949957485</v>
          </cell>
          <cell r="U432">
            <v>26.788420056830063</v>
          </cell>
          <cell r="V432">
            <v>28.102126353053695</v>
          </cell>
          <cell r="W432">
            <v>106.0856266494513</v>
          </cell>
          <cell r="X432">
            <v>26.332428463379085</v>
          </cell>
          <cell r="Y432">
            <v>15.702259083791096</v>
          </cell>
          <cell r="Z432">
            <v>30.828910165085478</v>
          </cell>
          <cell r="AA432">
            <v>36.241660163719345</v>
          </cell>
          <cell r="AB432">
            <v>109.05346521678761</v>
          </cell>
          <cell r="AC432">
            <v>34.399857112220381</v>
          </cell>
          <cell r="AD432">
            <v>36.75552664112184</v>
          </cell>
          <cell r="AE432">
            <v>39.871625288328246</v>
          </cell>
          <cell r="AF432">
            <v>44.801447588759473</v>
          </cell>
          <cell r="AG432">
            <v>155.84273683386655</v>
          </cell>
          <cell r="AH432">
            <v>40.470038869969322</v>
          </cell>
          <cell r="AI432">
            <v>39.970359939764428</v>
          </cell>
          <cell r="AJ432">
            <v>45.977570272505304</v>
          </cell>
          <cell r="AK432">
            <v>55.741916218331461</v>
          </cell>
          <cell r="AL432">
            <v>182.10872140568642</v>
          </cell>
          <cell r="AM432">
            <v>51.074894742121913</v>
          </cell>
          <cell r="AN432">
            <v>52.235049903072145</v>
          </cell>
          <cell r="AO432">
            <v>55.919783639755899</v>
          </cell>
          <cell r="AP432">
            <v>72.671475217558452</v>
          </cell>
          <cell r="AQ432">
            <v>231.93965293845974</v>
          </cell>
          <cell r="BL432">
            <v>0</v>
          </cell>
        </row>
        <row r="433">
          <cell r="BL433">
            <v>0</v>
          </cell>
        </row>
        <row r="434">
          <cell r="A434" t="str">
            <v>GDP (millions MOP)</v>
          </cell>
          <cell r="BL434">
            <v>0</v>
          </cell>
        </row>
        <row r="435">
          <cell r="A435" t="str">
            <v>GDP (current prices)</v>
          </cell>
          <cell r="G435">
            <v>49360.446020834417</v>
          </cell>
          <cell r="H435">
            <v>47287.43250998178</v>
          </cell>
          <cell r="I435">
            <v>11271.528357578673</v>
          </cell>
          <cell r="J435">
            <v>11678.777279837988</v>
          </cell>
          <cell r="K435">
            <v>13017.267553577984</v>
          </cell>
          <cell r="L435">
            <v>13004.822467383059</v>
          </cell>
          <cell r="M435">
            <v>48972.395658377704</v>
          </cell>
          <cell r="N435">
            <v>11295.949188689237</v>
          </cell>
          <cell r="O435">
            <v>11857.329032152078</v>
          </cell>
          <cell r="P435">
            <v>12957.767817488828</v>
          </cell>
          <cell r="Q435">
            <v>13593.358922594663</v>
          </cell>
          <cell r="R435">
            <v>49704.404960924803</v>
          </cell>
          <cell r="S435">
            <v>12218.950106796745</v>
          </cell>
          <cell r="T435">
            <v>13188.649546200078</v>
          </cell>
          <cell r="U435">
            <v>13819.848311393567</v>
          </cell>
          <cell r="V435">
            <v>15591.296659160953</v>
          </cell>
          <cell r="W435">
            <v>54818.744623551342</v>
          </cell>
          <cell r="X435">
            <v>14484.623386747196</v>
          </cell>
          <cell r="Y435">
            <v>12878.082995155495</v>
          </cell>
          <cell r="Z435">
            <v>16978.384475455245</v>
          </cell>
          <cell r="AA435">
            <v>19225.248118827618</v>
          </cell>
          <cell r="AB435">
            <v>63566.338976185551</v>
          </cell>
          <cell r="AC435">
            <v>18105.358190081708</v>
          </cell>
          <cell r="AD435">
            <v>19545.865529080569</v>
          </cell>
          <cell r="AE435">
            <v>21813.962385827497</v>
          </cell>
          <cell r="AF435">
            <v>23434.1248184414</v>
          </cell>
          <cell r="AG435">
            <v>82899.310923431171</v>
          </cell>
          <cell r="AH435">
            <v>20255.655999999999</v>
          </cell>
          <cell r="AI435">
            <v>21921.989000000001</v>
          </cell>
          <cell r="AJ435">
            <v>23472.812000000002</v>
          </cell>
          <cell r="AK435">
            <v>26940.527999999998</v>
          </cell>
          <cell r="AL435">
            <v>92590.985000000015</v>
          </cell>
          <cell r="AM435">
            <v>25157.226999999999</v>
          </cell>
          <cell r="AN435">
            <v>26885.973000000002</v>
          </cell>
          <cell r="AO435">
            <v>27444.161</v>
          </cell>
          <cell r="AP435">
            <v>34761.017999999996</v>
          </cell>
          <cell r="AQ435">
            <v>114248.379</v>
          </cell>
          <cell r="BL435">
            <v>0</v>
          </cell>
        </row>
        <row r="436">
          <cell r="A436" t="str">
            <v xml:space="preserve">  Year-over-Year growth</v>
          </cell>
          <cell r="H436">
            <v>-4.1997463109989863E-2</v>
          </cell>
          <cell r="M436">
            <v>3.5632366972773388E-2</v>
          </cell>
          <cell r="N436">
            <v>2.1665944791013914E-3</v>
          </cell>
          <cell r="O436">
            <v>1.5288565578036817E-2</v>
          </cell>
          <cell r="P436">
            <v>-4.5708314624601787E-3</v>
          </cell>
          <cell r="Q436">
            <v>4.5255247173707547E-2</v>
          </cell>
          <cell r="R436">
            <v>1.4947386026476162E-2</v>
          </cell>
          <cell r="S436">
            <v>8.1710788769457254E-2</v>
          </cell>
          <cell r="T436">
            <v>0.11227828041526222</v>
          </cell>
          <cell r="U436">
            <v>6.6530015512487273E-2</v>
          </cell>
          <cell r="V436">
            <v>0.14697895847106257</v>
          </cell>
          <cell r="W436">
            <v>0.10289509886794113</v>
          </cell>
          <cell r="X436">
            <v>0.18542290950923679</v>
          </cell>
          <cell r="Y436">
            <v>-2.354801755529734E-2</v>
          </cell>
          <cell r="Z436">
            <v>0.22855071147616512</v>
          </cell>
          <cell r="AA436">
            <v>0.23307564079549925</v>
          </cell>
          <cell r="AB436">
            <v>0.15957305138425304</v>
          </cell>
          <cell r="AC436">
            <v>0.24997093170177465</v>
          </cell>
          <cell r="AD436">
            <v>0.51776204085913835</v>
          </cell>
          <cell r="AE436">
            <v>0.28480789308092258</v>
          </cell>
          <cell r="AF436">
            <v>0.21892444110991516</v>
          </cell>
          <cell r="AG436">
            <v>0.30413851511078072</v>
          </cell>
          <cell r="AH436">
            <v>0.11876582541715441</v>
          </cell>
          <cell r="AI436">
            <v>0.12156655162618457</v>
          </cell>
          <cell r="AJ436">
            <v>7.6045313768866585E-2</v>
          </cell>
          <cell r="AK436">
            <v>0.14962808334959643</v>
          </cell>
          <cell r="AL436">
            <v>0.11690898233786795</v>
          </cell>
          <cell r="AM436">
            <v>0.24198530030328325</v>
          </cell>
          <cell r="AN436">
            <v>0.22643857726595895</v>
          </cell>
          <cell r="AO436">
            <v>0.1691893157070401</v>
          </cell>
          <cell r="AP436">
            <v>0.29028718368103257</v>
          </cell>
          <cell r="AQ436">
            <v>0.23390391623979356</v>
          </cell>
          <cell r="BL436">
            <v>0</v>
          </cell>
        </row>
        <row r="437">
          <cell r="A437" t="str">
            <v xml:space="preserve">  Total Gaming as % of GDP</v>
          </cell>
          <cell r="G437">
            <v>0.31843465532764537</v>
          </cell>
          <cell r="H437">
            <v>0.29751816268475301</v>
          </cell>
          <cell r="I437">
            <v>0.40183864928292762</v>
          </cell>
          <cell r="J437">
            <v>0.35213896795120536</v>
          </cell>
          <cell r="K437">
            <v>0.33665765872545228</v>
          </cell>
          <cell r="L437">
            <v>0.31604291736585094</v>
          </cell>
          <cell r="M437">
            <v>0.34987737333396435</v>
          </cell>
          <cell r="N437">
            <v>0.42146557093165937</v>
          </cell>
          <cell r="O437">
            <v>0.40858914604890034</v>
          </cell>
          <cell r="P437">
            <v>0.37782101912737143</v>
          </cell>
          <cell r="Q437">
            <v>0.37072760077792649</v>
          </cell>
          <cell r="R437">
            <v>0.39313980351162064</v>
          </cell>
          <cell r="S437">
            <v>0.42553573828989744</v>
          </cell>
          <cell r="T437">
            <v>0.42712916982106675</v>
          </cell>
          <cell r="U437">
            <v>0.40971511831604629</v>
          </cell>
          <cell r="V437">
            <v>0.40712260604093736</v>
          </cell>
          <cell r="W437">
            <v>0.41669372687871264</v>
          </cell>
          <cell r="X437">
            <v>0.49068911287697037</v>
          </cell>
          <cell r="Y437">
            <v>0.42688271244004522</v>
          </cell>
          <cell r="Z437">
            <v>0.47580098163511486</v>
          </cell>
          <cell r="AA437">
            <v>0.45734879184155819</v>
          </cell>
          <cell r="AB437">
            <v>0.46370224358906076</v>
          </cell>
          <cell r="AC437">
            <v>0.54171593276585361</v>
          </cell>
          <cell r="AD437">
            <v>0.50724548295131844</v>
          </cell>
          <cell r="AE437">
            <v>0.51852010193933074</v>
          </cell>
          <cell r="AF437">
            <v>0.48101429378448235</v>
          </cell>
          <cell r="AG437">
            <v>0.51032559292410806</v>
          </cell>
          <cell r="AH437">
            <v>0.54075661632484284</v>
          </cell>
          <cell r="AI437">
            <v>0.53004401197354856</v>
          </cell>
          <cell r="AJ437">
            <v>0.49437583362402421</v>
          </cell>
          <cell r="AK437">
            <v>0.43143400901422579</v>
          </cell>
          <cell r="AL437">
            <v>0.49465344817316709</v>
          </cell>
          <cell r="AM437">
            <v>0.5004175142196714</v>
          </cell>
          <cell r="AN437">
            <v>0.47980580803231482</v>
          </cell>
          <cell r="AO437">
            <v>0.5014810618550154</v>
          </cell>
          <cell r="AP437">
            <v>0.47846426707065953</v>
          </cell>
          <cell r="AQ437">
            <v>0.48914300131995742</v>
          </cell>
          <cell r="BL437">
            <v>0</v>
          </cell>
        </row>
        <row r="438">
          <cell r="BL438">
            <v>0</v>
          </cell>
        </row>
        <row r="439">
          <cell r="A439" t="str">
            <v>GDP in USD</v>
          </cell>
          <cell r="G439">
            <v>6150.7278591479126</v>
          </cell>
          <cell r="H439">
            <v>5882.2498610190805</v>
          </cell>
          <cell r="I439">
            <v>1409.9346327928874</v>
          </cell>
          <cell r="J439">
            <v>1457.1324851623867</v>
          </cell>
          <cell r="K439">
            <v>1640.4162498815349</v>
          </cell>
          <cell r="L439">
            <v>1620.0648792608333</v>
          </cell>
          <cell r="M439">
            <v>6126.3591789527181</v>
          </cell>
          <cell r="N439">
            <v>1404.3070264019996</v>
          </cell>
          <cell r="O439">
            <v>1481.2635390186836</v>
          </cell>
          <cell r="P439">
            <v>1615.5415140721041</v>
          </cell>
          <cell r="Q439">
            <v>1691.1635846995498</v>
          </cell>
          <cell r="R439">
            <v>6192.3343644498336</v>
          </cell>
          <cell r="S439">
            <v>1518.6494437920339</v>
          </cell>
          <cell r="T439">
            <v>1661.126860276195</v>
          </cell>
          <cell r="U439">
            <v>1726.9745073378801</v>
          </cell>
          <cell r="V439">
            <v>1948.2304752303742</v>
          </cell>
          <cell r="W439">
            <v>6854.6131571655751</v>
          </cell>
          <cell r="X439">
            <v>1802.6350698356259</v>
          </cell>
          <cell r="Y439">
            <v>1607.3944655499165</v>
          </cell>
          <cell r="Z439">
            <v>2112.3966186987768</v>
          </cell>
          <cell r="AA439">
            <v>2416.2547315589127</v>
          </cell>
          <cell r="AB439">
            <v>7935.6799084544746</v>
          </cell>
          <cell r="AC439">
            <v>2266.6196092808882</v>
          </cell>
          <cell r="AD439">
            <v>2434.3664508761417</v>
          </cell>
          <cell r="AE439">
            <v>2715.4001475351006</v>
          </cell>
          <cell r="AF439">
            <v>2923.8856527041985</v>
          </cell>
          <cell r="AG439">
            <v>10341.427496691658</v>
          </cell>
          <cell r="AH439">
            <v>2522.1085728148632</v>
          </cell>
          <cell r="AI439">
            <v>2732.4611108341219</v>
          </cell>
          <cell r="AJ439">
            <v>2932.9852734891865</v>
          </cell>
          <cell r="AK439">
            <v>3372.7667800250579</v>
          </cell>
          <cell r="AL439">
            <v>11557.711331616067</v>
          </cell>
          <cell r="AM439">
            <v>3148.3608197351441</v>
          </cell>
          <cell r="AN439">
            <v>3364.6146175075478</v>
          </cell>
          <cell r="AO439">
            <v>3426.0802729275638</v>
          </cell>
          <cell r="AP439">
            <v>4337.3369861475348</v>
          </cell>
          <cell r="AQ439">
            <v>14278.317348417138</v>
          </cell>
          <cell r="BL439">
            <v>0</v>
          </cell>
        </row>
        <row r="440">
          <cell r="BL440">
            <v>0</v>
          </cell>
        </row>
        <row r="441">
          <cell r="A441" t="str">
            <v>Per-Capita GDP</v>
          </cell>
          <cell r="G441">
            <v>114645.36213261305</v>
          </cell>
          <cell r="H441">
            <v>108096.67853832229</v>
          </cell>
          <cell r="I441">
            <v>103720.63049892036</v>
          </cell>
          <cell r="J441">
            <v>106733.72293245039</v>
          </cell>
          <cell r="K441">
            <v>119137.28652791536</v>
          </cell>
          <cell r="L441">
            <v>118791.80976045433</v>
          </cell>
          <cell r="M441">
            <v>111833.88937362315</v>
          </cell>
          <cell r="N441">
            <v>104398.79102300589</v>
          </cell>
          <cell r="O441">
            <v>109258.96366875907</v>
          </cell>
          <cell r="P441">
            <v>119042.42367927266</v>
          </cell>
          <cell r="Q441">
            <v>124509.81380897334</v>
          </cell>
          <cell r="R441">
            <v>113818.19317821115</v>
          </cell>
          <cell r="S441">
            <v>111895.14749813869</v>
          </cell>
          <cell r="T441">
            <v>120115.20533879854</v>
          </cell>
          <cell r="U441">
            <v>125692.11742968229</v>
          </cell>
          <cell r="V441">
            <v>141225.5132170376</v>
          </cell>
          <cell r="W441">
            <v>124136.64996275213</v>
          </cell>
          <cell r="X441">
            <v>130668.68188315019</v>
          </cell>
          <cell r="Y441">
            <v>115732.04219416306</v>
          </cell>
          <cell r="Z441">
            <v>151999.86101571392</v>
          </cell>
          <cell r="AA441">
            <v>171462.63651128311</v>
          </cell>
          <cell r="AB441">
            <v>141730.96761691314</v>
          </cell>
          <cell r="AC441">
            <v>160472.92878423849</v>
          </cell>
          <cell r="AD441">
            <v>172096.5487922568</v>
          </cell>
          <cell r="AE441">
            <v>189234.113084602</v>
          </cell>
          <cell r="AF441">
            <v>201439.61265108126</v>
          </cell>
          <cell r="AG441">
            <v>178150.50925558936</v>
          </cell>
          <cell r="AH441">
            <v>172022.55626326962</v>
          </cell>
          <cell r="AI441">
            <v>183947.88336479967</v>
          </cell>
          <cell r="AJ441">
            <v>194633.59867330018</v>
          </cell>
          <cell r="AK441">
            <v>220778.75845113705</v>
          </cell>
          <cell r="AL441">
            <v>189696.75271460769</v>
          </cell>
          <cell r="AM441">
            <v>201863.40621865596</v>
          </cell>
          <cell r="AN441">
            <v>213804.95427435389</v>
          </cell>
          <cell r="AO441">
            <v>215883.27236971486</v>
          </cell>
          <cell r="AP441">
            <v>270815.66025939415</v>
          </cell>
          <cell r="AQ441">
            <v>222521.17438311581</v>
          </cell>
          <cell r="BL441">
            <v>0</v>
          </cell>
        </row>
        <row r="442">
          <cell r="A442" t="str">
            <v xml:space="preserve">  In USD</v>
          </cell>
          <cell r="G442">
            <v>14285.77899181722</v>
          </cell>
          <cell r="H442">
            <v>13446.525610677852</v>
          </cell>
          <cell r="I442">
            <v>12974.221812360935</v>
          </cell>
          <cell r="J442">
            <v>13316.905633237022</v>
          </cell>
          <cell r="K442">
            <v>15013.499567615998</v>
          </cell>
          <cell r="L442">
            <v>14798.390321699857</v>
          </cell>
          <cell r="M442">
            <v>13990.219703799055</v>
          </cell>
          <cell r="N442">
            <v>12978.808007412195</v>
          </cell>
          <cell r="O442">
            <v>13649.053573081626</v>
          </cell>
          <cell r="P442">
            <v>14841.906422343631</v>
          </cell>
          <cell r="Q442">
            <v>15490.392348976871</v>
          </cell>
          <cell r="R442">
            <v>14179.83596164377</v>
          </cell>
          <cell r="S442">
            <v>13907.04618857174</v>
          </cell>
          <cell r="T442">
            <v>15128.659929655692</v>
          </cell>
          <cell r="U442">
            <v>15706.907752049841</v>
          </cell>
          <cell r="V442">
            <v>17647.015174188167</v>
          </cell>
          <cell r="W442">
            <v>15522.221823291611</v>
          </cell>
          <cell r="X442">
            <v>16261.931166762526</v>
          </cell>
          <cell r="Y442">
            <v>14445.243455851865</v>
          </cell>
          <cell r="Z442">
            <v>18911.339469102746</v>
          </cell>
          <cell r="AA442">
            <v>21549.652009444038</v>
          </cell>
          <cell r="AB442">
            <v>17693.823653187232</v>
          </cell>
          <cell r="AC442">
            <v>20089.692969473857</v>
          </cell>
          <cell r="AD442">
            <v>21433.999127238756</v>
          </cell>
          <cell r="AE442">
            <v>23555.845999003257</v>
          </cell>
          <cell r="AF442">
            <v>25133.705563148957</v>
          </cell>
          <cell r="AG442">
            <v>22223.713978358846</v>
          </cell>
          <cell r="AH442">
            <v>21419.181085476543</v>
          </cell>
          <cell r="AI442">
            <v>22928.140220970181</v>
          </cell>
          <cell r="AJ442">
            <v>24319.944224620118</v>
          </cell>
          <cell r="AK442">
            <v>27639.965417128111</v>
          </cell>
          <cell r="AL442">
            <v>23678.982445433448</v>
          </cell>
          <cell r="AM442">
            <v>25262.67458162603</v>
          </cell>
          <cell r="AN442">
            <v>26756.378668052068</v>
          </cell>
          <cell r="AO442">
            <v>26950.483956165695</v>
          </cell>
          <cell r="AP442">
            <v>33791.265252100369</v>
          </cell>
          <cell r="AQ442">
            <v>27809.829534514425</v>
          </cell>
          <cell r="BL442">
            <v>0</v>
          </cell>
        </row>
        <row r="443">
          <cell r="BL443">
            <v>0</v>
          </cell>
        </row>
        <row r="444">
          <cell r="A444" t="str">
            <v>GDP (2002 prices)</v>
          </cell>
          <cell r="G444">
            <v>46862.140508086508</v>
          </cell>
          <cell r="H444">
            <v>45756.818956452487</v>
          </cell>
          <cell r="I444">
            <v>10740.974410156836</v>
          </cell>
          <cell r="J444">
            <v>11465.103403203426</v>
          </cell>
          <cell r="K444">
            <v>13096.406597553228</v>
          </cell>
          <cell r="L444">
            <v>13083.914989173929</v>
          </cell>
          <cell r="M444">
            <v>48386.399400087415</v>
          </cell>
          <cell r="N444">
            <v>11282.722429767848</v>
          </cell>
          <cell r="O444">
            <v>11966.771783262002</v>
          </cell>
          <cell r="P444">
            <v>13030.034975302638</v>
          </cell>
          <cell r="Q444">
            <v>13504.447791149545</v>
          </cell>
          <cell r="R444">
            <v>49783.976979482031</v>
          </cell>
          <cell r="S444">
            <v>12147.810408237641</v>
          </cell>
          <cell r="T444">
            <v>13146.655732570704</v>
          </cell>
          <cell r="U444">
            <v>13962.678910758203</v>
          </cell>
          <cell r="V444">
            <v>15561.599571983794</v>
          </cell>
          <cell r="W444">
            <v>54818.744623550345</v>
          </cell>
          <cell r="X444">
            <v>14119.041775763426</v>
          </cell>
          <cell r="Y444">
            <v>12740.602962244455</v>
          </cell>
          <cell r="Z444">
            <v>17001.791032110676</v>
          </cell>
          <cell r="AA444">
            <v>18722.139730899755</v>
          </cell>
          <cell r="AB444">
            <v>62583.575501018313</v>
          </cell>
          <cell r="AC444">
            <v>17802.330233789475</v>
          </cell>
          <cell r="AD444">
            <v>19100.097500563003</v>
          </cell>
          <cell r="AE444">
            <v>21157.86938615502</v>
          </cell>
          <cell r="AF444">
            <v>22221.969232500334</v>
          </cell>
          <cell r="AG444">
            <v>80282.266353007828</v>
          </cell>
          <cell r="AH444">
            <v>19199.673933649286</v>
          </cell>
          <cell r="AI444">
            <v>20564.717636022517</v>
          </cell>
          <cell r="AJ444">
            <v>21673.879963065563</v>
          </cell>
          <cell r="AK444">
            <v>24205.326145552557</v>
          </cell>
          <cell r="AL444">
            <v>85643.597678289923</v>
          </cell>
          <cell r="AM444">
            <v>22891.016378525928</v>
          </cell>
          <cell r="AN444">
            <v>23898.64266666667</v>
          </cell>
          <cell r="AO444">
            <v>24031.664623467601</v>
          </cell>
          <cell r="AP444">
            <v>29433.546147332767</v>
          </cell>
          <cell r="AQ444">
            <v>100254.86981599298</v>
          </cell>
          <cell r="BL444">
            <v>0</v>
          </cell>
        </row>
        <row r="445">
          <cell r="A445" t="str">
            <v>GDP Deflator</v>
          </cell>
          <cell r="G445">
            <v>105.331180961136</v>
          </cell>
          <cell r="H445">
            <v>103.34510481374591</v>
          </cell>
          <cell r="I445">
            <v>104.93953273848355</v>
          </cell>
          <cell r="J445">
            <v>101.8636890494582</v>
          </cell>
          <cell r="K445">
            <v>99.39571940298471</v>
          </cell>
          <cell r="L445">
            <v>99.395498045834813</v>
          </cell>
          <cell r="M445">
            <v>101.21107638831508</v>
          </cell>
          <cell r="N445">
            <v>100.11723020754719</v>
          </cell>
          <cell r="O445">
            <v>99.085444653812132</v>
          </cell>
          <cell r="P445">
            <v>99.445380170116309</v>
          </cell>
          <cell r="Q445">
            <v>100.65838405849803</v>
          </cell>
          <cell r="R445">
            <v>99.840165403840629</v>
          </cell>
          <cell r="S445">
            <v>100.58561745835992</v>
          </cell>
          <cell r="T445">
            <v>100.31942582572795</v>
          </cell>
          <cell r="U445">
            <v>98.97705447301675</v>
          </cell>
          <cell r="V445">
            <v>100.19083569808996</v>
          </cell>
          <cell r="W445">
            <v>100.00000000000182</v>
          </cell>
          <cell r="X445">
            <v>102.5892806097601</v>
          </cell>
          <cell r="Y445">
            <v>101.07907006692265</v>
          </cell>
          <cell r="Z445">
            <v>99.862328876932892</v>
          </cell>
          <cell r="AA445">
            <v>102.68723765103363</v>
          </cell>
          <cell r="AB445">
            <v>101.57032171348415</v>
          </cell>
          <cell r="AC445">
            <v>101.70218141284153</v>
          </cell>
          <cell r="AD445">
            <v>102.33385210994041</v>
          </cell>
          <cell r="AE445">
            <v>103.10094077857292</v>
          </cell>
          <cell r="AF445">
            <v>105.45476223667995</v>
          </cell>
          <cell r="AG445">
            <v>103.25980405051843</v>
          </cell>
          <cell r="AH445">
            <v>105.5</v>
          </cell>
          <cell r="AI445">
            <v>106.6</v>
          </cell>
          <cell r="AJ445">
            <v>108.3</v>
          </cell>
          <cell r="AK445">
            <v>111.3</v>
          </cell>
          <cell r="AL445">
            <v>108.11197510385672</v>
          </cell>
          <cell r="AM445">
            <v>109.9</v>
          </cell>
          <cell r="AN445">
            <v>112.5</v>
          </cell>
          <cell r="AO445">
            <v>114.2</v>
          </cell>
          <cell r="AP445">
            <v>118.1</v>
          </cell>
          <cell r="AQ445">
            <v>113.95793462172024</v>
          </cell>
          <cell r="BL445">
            <v>0</v>
          </cell>
        </row>
        <row r="446">
          <cell r="A446" t="str">
            <v xml:space="preserve">  Year-over-Year growth in deflator</v>
          </cell>
          <cell r="H446">
            <v>-1.8855538590447307E-2</v>
          </cell>
          <cell r="M446">
            <v>-2.0649535643481931E-2</v>
          </cell>
          <cell r="N446">
            <v>-4.5953154212663216E-2</v>
          </cell>
          <cell r="O446">
            <v>-2.7274138817976024E-2</v>
          </cell>
          <cell r="P446">
            <v>4.9962681924209384E-4</v>
          </cell>
          <cell r="Q446">
            <v>1.2705666126657578E-2</v>
          </cell>
          <cell r="R446">
            <v>-1.3545068715747011E-2</v>
          </cell>
          <cell r="S446">
            <v>4.6783880241367815E-3</v>
          </cell>
          <cell r="T446">
            <v>1.2453707769361388E-2</v>
          </cell>
          <cell r="U446">
            <v>-4.709376104736207E-3</v>
          </cell>
          <cell r="V446">
            <v>-4.6449023077537177E-3</v>
          </cell>
          <cell r="W446">
            <v>1.6009047612719485E-3</v>
          </cell>
          <cell r="X446">
            <v>1.9919976653020477E-2</v>
          </cell>
          <cell r="Y446">
            <v>7.5722546749255049E-3</v>
          </cell>
          <cell r="Z446">
            <v>8.9442387291640557E-3</v>
          </cell>
          <cell r="AA446">
            <v>2.4916470009953784E-2</v>
          </cell>
          <cell r="AB446">
            <v>1.5703217134823033E-2</v>
          </cell>
          <cell r="AC446">
            <v>-8.6470944298070451E-3</v>
          </cell>
          <cell r="AD446">
            <v>1.241386611676365E-2</v>
          </cell>
          <cell r="AE446">
            <v>3.2430766817296952E-2</v>
          </cell>
          <cell r="AF446">
            <v>2.6951008216340666E-2</v>
          </cell>
          <cell r="AG446">
            <v>1.6633621992456327E-2</v>
          </cell>
          <cell r="AH446">
            <v>3.7342547961109362E-2</v>
          </cell>
          <cell r="AI446">
            <v>4.168853025757624E-2</v>
          </cell>
          <cell r="AJ446">
            <v>5.0426884392771543E-2</v>
          </cell>
          <cell r="AK446">
            <v>5.5428864845393555E-2</v>
          </cell>
          <cell r="AL446">
            <v>4.6989930863750695E-2</v>
          </cell>
          <cell r="AM446">
            <v>4.1706161137440745E-2</v>
          </cell>
          <cell r="AN446">
            <v>5.5347091932457904E-2</v>
          </cell>
          <cell r="AO446">
            <v>5.4478301015697284E-2</v>
          </cell>
          <cell r="AP446">
            <v>6.1096136567834636E-2</v>
          </cell>
          <cell r="AQ446">
            <v>5.4073191357827399E-2</v>
          </cell>
          <cell r="BL446">
            <v>0</v>
          </cell>
        </row>
        <row r="447">
          <cell r="BL447">
            <v>0</v>
          </cell>
        </row>
        <row r="448">
          <cell r="A448" t="str">
            <v>Total Average Positions</v>
          </cell>
          <cell r="BL448">
            <v>0</v>
          </cell>
        </row>
        <row r="449">
          <cell r="A449" t="str">
            <v>Average Tables</v>
          </cell>
          <cell r="BL449">
            <v>0</v>
          </cell>
        </row>
        <row r="450">
          <cell r="A450" t="str">
            <v>Casa Real Casino (SJM)</v>
          </cell>
          <cell r="B450">
            <v>0</v>
          </cell>
          <cell r="C450">
            <v>0</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70</v>
          </cell>
          <cell r="AF450">
            <v>70</v>
          </cell>
          <cell r="AG450">
            <v>35</v>
          </cell>
          <cell r="AH450">
            <v>70</v>
          </cell>
          <cell r="AI450">
            <v>70</v>
          </cell>
          <cell r="AJ450">
            <v>70</v>
          </cell>
          <cell r="AK450">
            <v>70</v>
          </cell>
          <cell r="AL450">
            <v>70</v>
          </cell>
          <cell r="AM450">
            <v>70</v>
          </cell>
          <cell r="AN450">
            <v>49</v>
          </cell>
          <cell r="AO450">
            <v>49</v>
          </cell>
          <cell r="AP450">
            <v>49</v>
          </cell>
          <cell r="AQ450">
            <v>54.25</v>
          </cell>
          <cell r="AR450">
            <v>71</v>
          </cell>
          <cell r="AS450">
            <v>71</v>
          </cell>
          <cell r="AT450">
            <v>71</v>
          </cell>
          <cell r="AU450">
            <v>71</v>
          </cell>
          <cell r="AV450">
            <v>71</v>
          </cell>
          <cell r="AW450">
            <v>71</v>
          </cell>
          <cell r="AX450">
            <v>71</v>
          </cell>
          <cell r="AY450">
            <v>71</v>
          </cell>
          <cell r="AZ450">
            <v>71</v>
          </cell>
          <cell r="BA450">
            <v>71</v>
          </cell>
          <cell r="BK450">
            <v>49</v>
          </cell>
          <cell r="BL450">
            <v>22</v>
          </cell>
        </row>
        <row r="451">
          <cell r="A451" t="str">
            <v>Casino Lisboa (SJM)</v>
          </cell>
          <cell r="B451">
            <v>146</v>
          </cell>
          <cell r="C451">
            <v>146</v>
          </cell>
          <cell r="D451">
            <v>146</v>
          </cell>
          <cell r="E451">
            <v>146</v>
          </cell>
          <cell r="F451">
            <v>146</v>
          </cell>
          <cell r="G451">
            <v>146</v>
          </cell>
          <cell r="H451">
            <v>146</v>
          </cell>
          <cell r="I451">
            <v>146</v>
          </cell>
          <cell r="J451">
            <v>146</v>
          </cell>
          <cell r="K451">
            <v>146</v>
          </cell>
          <cell r="L451">
            <v>146</v>
          </cell>
          <cell r="M451">
            <v>146</v>
          </cell>
          <cell r="N451">
            <v>146</v>
          </cell>
          <cell r="O451">
            <v>146</v>
          </cell>
          <cell r="P451">
            <v>146</v>
          </cell>
          <cell r="Q451">
            <v>146</v>
          </cell>
          <cell r="R451">
            <v>146</v>
          </cell>
          <cell r="S451">
            <v>146</v>
          </cell>
          <cell r="T451">
            <v>146</v>
          </cell>
          <cell r="U451">
            <v>146</v>
          </cell>
          <cell r="V451">
            <v>146</v>
          </cell>
          <cell r="W451">
            <v>146</v>
          </cell>
          <cell r="X451">
            <v>146</v>
          </cell>
          <cell r="Y451">
            <v>146</v>
          </cell>
          <cell r="Z451">
            <v>146</v>
          </cell>
          <cell r="AA451">
            <v>146</v>
          </cell>
          <cell r="AB451">
            <v>146</v>
          </cell>
          <cell r="AC451">
            <v>146</v>
          </cell>
          <cell r="AD451">
            <v>146</v>
          </cell>
          <cell r="AE451">
            <v>146</v>
          </cell>
          <cell r="AF451">
            <v>146</v>
          </cell>
          <cell r="AG451">
            <v>146</v>
          </cell>
          <cell r="AH451">
            <v>146</v>
          </cell>
          <cell r="AI451">
            <v>146</v>
          </cell>
          <cell r="AJ451">
            <v>146</v>
          </cell>
          <cell r="AK451">
            <v>146</v>
          </cell>
          <cell r="AL451">
            <v>146</v>
          </cell>
          <cell r="AM451">
            <v>146</v>
          </cell>
          <cell r="AN451">
            <v>260</v>
          </cell>
          <cell r="AO451">
            <v>260</v>
          </cell>
          <cell r="AP451">
            <v>260</v>
          </cell>
          <cell r="AQ451">
            <v>231.5</v>
          </cell>
          <cell r="AR451">
            <v>271</v>
          </cell>
          <cell r="AS451">
            <v>271</v>
          </cell>
          <cell r="AT451">
            <v>271</v>
          </cell>
          <cell r="AU451">
            <v>271</v>
          </cell>
          <cell r="AV451">
            <v>271</v>
          </cell>
          <cell r="AW451">
            <v>271</v>
          </cell>
          <cell r="AX451">
            <v>271</v>
          </cell>
          <cell r="AY451">
            <v>271</v>
          </cell>
          <cell r="AZ451">
            <v>271</v>
          </cell>
          <cell r="BA451">
            <v>271</v>
          </cell>
          <cell r="BK451">
            <v>260</v>
          </cell>
          <cell r="BL451">
            <v>11</v>
          </cell>
        </row>
        <row r="452">
          <cell r="A452" t="str">
            <v>Casino Macau Palace (SJM)</v>
          </cell>
          <cell r="B452">
            <v>12</v>
          </cell>
          <cell r="C452">
            <v>12</v>
          </cell>
          <cell r="D452">
            <v>12</v>
          </cell>
          <cell r="E452">
            <v>12</v>
          </cell>
          <cell r="F452">
            <v>12</v>
          </cell>
          <cell r="G452">
            <v>12</v>
          </cell>
          <cell r="H452">
            <v>12</v>
          </cell>
          <cell r="I452">
            <v>12</v>
          </cell>
          <cell r="J452">
            <v>12</v>
          </cell>
          <cell r="K452">
            <v>12</v>
          </cell>
          <cell r="L452">
            <v>12</v>
          </cell>
          <cell r="M452">
            <v>12</v>
          </cell>
          <cell r="N452">
            <v>12</v>
          </cell>
          <cell r="O452">
            <v>12</v>
          </cell>
          <cell r="P452">
            <v>12</v>
          </cell>
          <cell r="Q452">
            <v>12</v>
          </cell>
          <cell r="R452">
            <v>12</v>
          </cell>
          <cell r="S452">
            <v>12</v>
          </cell>
          <cell r="T452">
            <v>12</v>
          </cell>
          <cell r="U452">
            <v>12</v>
          </cell>
          <cell r="V452">
            <v>12</v>
          </cell>
          <cell r="W452">
            <v>12</v>
          </cell>
          <cell r="X452">
            <v>12</v>
          </cell>
          <cell r="Y452">
            <v>12</v>
          </cell>
          <cell r="Z452">
            <v>12</v>
          </cell>
          <cell r="AA452">
            <v>12</v>
          </cell>
          <cell r="AB452">
            <v>12</v>
          </cell>
          <cell r="AC452">
            <v>12</v>
          </cell>
          <cell r="AD452">
            <v>12</v>
          </cell>
          <cell r="AE452">
            <v>12</v>
          </cell>
          <cell r="AF452">
            <v>12</v>
          </cell>
          <cell r="AG452">
            <v>12</v>
          </cell>
          <cell r="AH452">
            <v>12</v>
          </cell>
          <cell r="AI452">
            <v>12</v>
          </cell>
          <cell r="AJ452">
            <v>12</v>
          </cell>
          <cell r="AK452">
            <v>12</v>
          </cell>
          <cell r="AL452">
            <v>12</v>
          </cell>
          <cell r="AM452">
            <v>12</v>
          </cell>
          <cell r="AN452">
            <v>25</v>
          </cell>
          <cell r="AO452">
            <v>25</v>
          </cell>
          <cell r="AP452">
            <v>25</v>
          </cell>
          <cell r="AQ452">
            <v>21.75</v>
          </cell>
          <cell r="AR452">
            <v>11</v>
          </cell>
          <cell r="AS452">
            <v>11</v>
          </cell>
          <cell r="AT452">
            <v>11</v>
          </cell>
          <cell r="AU452">
            <v>11</v>
          </cell>
          <cell r="AV452">
            <v>11</v>
          </cell>
          <cell r="AW452">
            <v>11</v>
          </cell>
          <cell r="AX452">
            <v>11</v>
          </cell>
          <cell r="AY452">
            <v>11</v>
          </cell>
          <cell r="AZ452">
            <v>11</v>
          </cell>
          <cell r="BA452">
            <v>11</v>
          </cell>
          <cell r="BK452">
            <v>25</v>
          </cell>
          <cell r="BL452">
            <v>-14</v>
          </cell>
        </row>
        <row r="453">
          <cell r="A453" t="str">
            <v>Casino Marina (SJM)</v>
          </cell>
          <cell r="B453">
            <v>20</v>
          </cell>
          <cell r="C453">
            <v>20</v>
          </cell>
          <cell r="D453">
            <v>20</v>
          </cell>
          <cell r="E453">
            <v>20</v>
          </cell>
          <cell r="F453">
            <v>20</v>
          </cell>
          <cell r="G453">
            <v>20</v>
          </cell>
          <cell r="H453">
            <v>20</v>
          </cell>
          <cell r="I453">
            <v>20</v>
          </cell>
          <cell r="J453">
            <v>20</v>
          </cell>
          <cell r="K453">
            <v>20</v>
          </cell>
          <cell r="L453">
            <v>20</v>
          </cell>
          <cell r="M453">
            <v>20</v>
          </cell>
          <cell r="N453">
            <v>20</v>
          </cell>
          <cell r="O453">
            <v>20</v>
          </cell>
          <cell r="P453">
            <v>20</v>
          </cell>
          <cell r="Q453">
            <v>20</v>
          </cell>
          <cell r="R453">
            <v>20</v>
          </cell>
          <cell r="S453">
            <v>20</v>
          </cell>
          <cell r="T453">
            <v>20</v>
          </cell>
          <cell r="U453">
            <v>20</v>
          </cell>
          <cell r="V453">
            <v>20</v>
          </cell>
          <cell r="W453">
            <v>20</v>
          </cell>
          <cell r="X453">
            <v>20</v>
          </cell>
          <cell r="Y453">
            <v>20</v>
          </cell>
          <cell r="Z453">
            <v>20</v>
          </cell>
          <cell r="AA453">
            <v>20</v>
          </cell>
          <cell r="AB453">
            <v>20</v>
          </cell>
          <cell r="AC453">
            <v>20</v>
          </cell>
          <cell r="AD453">
            <v>20</v>
          </cell>
          <cell r="AE453">
            <v>20</v>
          </cell>
          <cell r="AF453">
            <v>20</v>
          </cell>
          <cell r="AG453">
            <v>20</v>
          </cell>
          <cell r="AH453">
            <v>20</v>
          </cell>
          <cell r="AI453">
            <v>20</v>
          </cell>
          <cell r="AJ453">
            <v>20</v>
          </cell>
          <cell r="AK453">
            <v>20</v>
          </cell>
          <cell r="AL453">
            <v>20</v>
          </cell>
          <cell r="AM453">
            <v>20</v>
          </cell>
          <cell r="AN453">
            <v>20</v>
          </cell>
          <cell r="AO453">
            <v>20</v>
          </cell>
          <cell r="AP453">
            <v>20</v>
          </cell>
          <cell r="AQ453">
            <v>20</v>
          </cell>
          <cell r="AR453">
            <v>20</v>
          </cell>
          <cell r="AS453">
            <v>20</v>
          </cell>
          <cell r="AT453">
            <v>20</v>
          </cell>
          <cell r="AU453">
            <v>20</v>
          </cell>
          <cell r="AV453">
            <v>20</v>
          </cell>
          <cell r="AW453">
            <v>20</v>
          </cell>
          <cell r="AX453">
            <v>20</v>
          </cell>
          <cell r="AY453">
            <v>20</v>
          </cell>
          <cell r="AZ453">
            <v>20</v>
          </cell>
          <cell r="BA453">
            <v>20</v>
          </cell>
          <cell r="BK453">
            <v>20</v>
          </cell>
          <cell r="BL453">
            <v>0</v>
          </cell>
        </row>
        <row r="454">
          <cell r="A454" t="str">
            <v>Casino Taipa (SJM)</v>
          </cell>
          <cell r="B454">
            <v>8</v>
          </cell>
          <cell r="C454">
            <v>8</v>
          </cell>
          <cell r="D454">
            <v>8</v>
          </cell>
          <cell r="E454">
            <v>8</v>
          </cell>
          <cell r="F454">
            <v>8</v>
          </cell>
          <cell r="G454">
            <v>8</v>
          </cell>
          <cell r="H454">
            <v>8</v>
          </cell>
          <cell r="I454">
            <v>8</v>
          </cell>
          <cell r="J454">
            <v>8</v>
          </cell>
          <cell r="K454">
            <v>8</v>
          </cell>
          <cell r="L454">
            <v>8</v>
          </cell>
          <cell r="M454">
            <v>8</v>
          </cell>
          <cell r="N454">
            <v>8</v>
          </cell>
          <cell r="O454">
            <v>8</v>
          </cell>
          <cell r="P454">
            <v>8</v>
          </cell>
          <cell r="Q454">
            <v>8</v>
          </cell>
          <cell r="R454">
            <v>8</v>
          </cell>
          <cell r="S454">
            <v>8</v>
          </cell>
          <cell r="T454">
            <v>8</v>
          </cell>
          <cell r="U454">
            <v>8</v>
          </cell>
          <cell r="V454">
            <v>8</v>
          </cell>
          <cell r="W454">
            <v>8</v>
          </cell>
          <cell r="X454">
            <v>8</v>
          </cell>
          <cell r="Y454">
            <v>8</v>
          </cell>
          <cell r="Z454">
            <v>8</v>
          </cell>
          <cell r="AA454">
            <v>8</v>
          </cell>
          <cell r="AB454">
            <v>8</v>
          </cell>
          <cell r="AC454">
            <v>8</v>
          </cell>
          <cell r="AD454">
            <v>8</v>
          </cell>
          <cell r="AE454">
            <v>8</v>
          </cell>
          <cell r="AF454">
            <v>8</v>
          </cell>
          <cell r="AG454">
            <v>8</v>
          </cell>
          <cell r="AH454">
            <v>8</v>
          </cell>
          <cell r="AI454">
            <v>8</v>
          </cell>
          <cell r="AJ454">
            <v>8</v>
          </cell>
          <cell r="AK454">
            <v>8</v>
          </cell>
          <cell r="AL454">
            <v>8</v>
          </cell>
          <cell r="AM454">
            <v>8</v>
          </cell>
          <cell r="AN454">
            <v>8</v>
          </cell>
          <cell r="AO454">
            <v>8</v>
          </cell>
          <cell r="AP454">
            <v>8</v>
          </cell>
          <cell r="AQ454">
            <v>8</v>
          </cell>
          <cell r="AR454">
            <v>8</v>
          </cell>
          <cell r="AS454">
            <v>8</v>
          </cell>
          <cell r="AT454">
            <v>8</v>
          </cell>
          <cell r="AU454">
            <v>8</v>
          </cell>
          <cell r="AV454">
            <v>8</v>
          </cell>
          <cell r="AW454">
            <v>8</v>
          </cell>
          <cell r="AX454">
            <v>8</v>
          </cell>
          <cell r="AY454">
            <v>8</v>
          </cell>
          <cell r="AZ454">
            <v>8</v>
          </cell>
          <cell r="BA454">
            <v>8</v>
          </cell>
          <cell r="BK454">
            <v>8</v>
          </cell>
          <cell r="BL454">
            <v>0</v>
          </cell>
        </row>
        <row r="455">
          <cell r="A455" t="str">
            <v>Diamond Casino (SJM)</v>
          </cell>
          <cell r="B455">
            <v>6</v>
          </cell>
          <cell r="C455">
            <v>6</v>
          </cell>
          <cell r="D455">
            <v>6</v>
          </cell>
          <cell r="E455">
            <v>6</v>
          </cell>
          <cell r="F455">
            <v>6</v>
          </cell>
          <cell r="G455">
            <v>6</v>
          </cell>
          <cell r="H455">
            <v>6</v>
          </cell>
          <cell r="I455">
            <v>6</v>
          </cell>
          <cell r="J455">
            <v>6</v>
          </cell>
          <cell r="K455">
            <v>6</v>
          </cell>
          <cell r="L455">
            <v>6</v>
          </cell>
          <cell r="M455">
            <v>6</v>
          </cell>
          <cell r="N455">
            <v>6</v>
          </cell>
          <cell r="O455">
            <v>6</v>
          </cell>
          <cell r="P455">
            <v>6</v>
          </cell>
          <cell r="Q455">
            <v>6</v>
          </cell>
          <cell r="R455">
            <v>6</v>
          </cell>
          <cell r="S455">
            <v>6</v>
          </cell>
          <cell r="T455">
            <v>6</v>
          </cell>
          <cell r="U455">
            <v>6</v>
          </cell>
          <cell r="V455">
            <v>6</v>
          </cell>
          <cell r="W455">
            <v>6</v>
          </cell>
          <cell r="X455">
            <v>6</v>
          </cell>
          <cell r="Y455">
            <v>6</v>
          </cell>
          <cell r="Z455">
            <v>6</v>
          </cell>
          <cell r="AA455">
            <v>6</v>
          </cell>
          <cell r="AB455">
            <v>6</v>
          </cell>
          <cell r="AC455">
            <v>6</v>
          </cell>
          <cell r="AD455">
            <v>6</v>
          </cell>
          <cell r="AE455">
            <v>6</v>
          </cell>
          <cell r="AF455">
            <v>6</v>
          </cell>
          <cell r="AG455">
            <v>6</v>
          </cell>
          <cell r="AH455">
            <v>6</v>
          </cell>
          <cell r="AI455">
            <v>6</v>
          </cell>
          <cell r="AJ455">
            <v>6</v>
          </cell>
          <cell r="AK455">
            <v>6</v>
          </cell>
          <cell r="AL455">
            <v>6</v>
          </cell>
          <cell r="AM455">
            <v>52</v>
          </cell>
          <cell r="AN455">
            <v>54</v>
          </cell>
          <cell r="AO455">
            <v>54</v>
          </cell>
          <cell r="AP455">
            <v>54</v>
          </cell>
          <cell r="AQ455">
            <v>53.5</v>
          </cell>
          <cell r="AR455">
            <v>54</v>
          </cell>
          <cell r="AS455">
            <v>54</v>
          </cell>
          <cell r="AT455">
            <v>54</v>
          </cell>
          <cell r="AU455">
            <v>54</v>
          </cell>
          <cell r="AV455">
            <v>54</v>
          </cell>
          <cell r="AW455">
            <v>54</v>
          </cell>
          <cell r="AX455">
            <v>54</v>
          </cell>
          <cell r="AY455">
            <v>54</v>
          </cell>
          <cell r="AZ455">
            <v>54</v>
          </cell>
          <cell r="BA455">
            <v>54</v>
          </cell>
          <cell r="BK455">
            <v>54</v>
          </cell>
          <cell r="BL455">
            <v>0</v>
          </cell>
        </row>
        <row r="456">
          <cell r="A456" t="str">
            <v>Golden Dragon (SJM)</v>
          </cell>
          <cell r="B456">
            <v>0</v>
          </cell>
          <cell r="C456">
            <v>0</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70</v>
          </cell>
          <cell r="AI456">
            <v>70</v>
          </cell>
          <cell r="AJ456">
            <v>70</v>
          </cell>
          <cell r="AK456">
            <v>70</v>
          </cell>
          <cell r="AL456">
            <v>70</v>
          </cell>
          <cell r="AM456">
            <v>70</v>
          </cell>
          <cell r="AN456">
            <v>90</v>
          </cell>
          <cell r="AO456">
            <v>90</v>
          </cell>
          <cell r="AP456">
            <v>90</v>
          </cell>
          <cell r="AQ456">
            <v>85</v>
          </cell>
          <cell r="AR456">
            <v>79</v>
          </cell>
          <cell r="AS456">
            <v>79</v>
          </cell>
          <cell r="AT456">
            <v>79</v>
          </cell>
          <cell r="AU456">
            <v>79</v>
          </cell>
          <cell r="AV456">
            <v>79</v>
          </cell>
          <cell r="AW456">
            <v>79</v>
          </cell>
          <cell r="AX456">
            <v>79</v>
          </cell>
          <cell r="AY456">
            <v>79</v>
          </cell>
          <cell r="AZ456">
            <v>79</v>
          </cell>
          <cell r="BA456">
            <v>79</v>
          </cell>
          <cell r="BK456">
            <v>90</v>
          </cell>
          <cell r="BL456">
            <v>-11</v>
          </cell>
        </row>
        <row r="457">
          <cell r="A457" t="str">
            <v>Greek Mythology Casino (SJM)</v>
          </cell>
          <cell r="B457">
            <v>0</v>
          </cell>
          <cell r="C457">
            <v>0</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22.304347826086957</v>
          </cell>
          <cell r="AG457">
            <v>5.5760869565217392</v>
          </cell>
          <cell r="AH457">
            <v>228</v>
          </cell>
          <cell r="AI457">
            <v>228</v>
          </cell>
          <cell r="AJ457">
            <v>228</v>
          </cell>
          <cell r="AK457">
            <v>228</v>
          </cell>
          <cell r="AL457">
            <v>228</v>
          </cell>
          <cell r="AM457">
            <v>228</v>
          </cell>
          <cell r="AN457">
            <v>228</v>
          </cell>
          <cell r="AO457">
            <v>228</v>
          </cell>
          <cell r="AP457">
            <v>228</v>
          </cell>
          <cell r="AQ457">
            <v>228</v>
          </cell>
          <cell r="AR457">
            <v>120</v>
          </cell>
          <cell r="AS457">
            <v>120</v>
          </cell>
          <cell r="AT457">
            <v>120</v>
          </cell>
          <cell r="AU457">
            <v>120</v>
          </cell>
          <cell r="AV457">
            <v>120</v>
          </cell>
          <cell r="AW457">
            <v>120</v>
          </cell>
          <cell r="AX457">
            <v>120</v>
          </cell>
          <cell r="AY457">
            <v>120</v>
          </cell>
          <cell r="AZ457">
            <v>120</v>
          </cell>
          <cell r="BA457">
            <v>120</v>
          </cell>
          <cell r="BK457">
            <v>228</v>
          </cell>
          <cell r="BL457">
            <v>-108</v>
          </cell>
        </row>
        <row r="458">
          <cell r="A458" t="str">
            <v>Hotel Fortuna Casino (SJM)</v>
          </cell>
          <cell r="B458">
            <v>0</v>
          </cell>
          <cell r="C458">
            <v>0</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20.611111111111111</v>
          </cell>
          <cell r="AI458">
            <v>35</v>
          </cell>
          <cell r="AJ458">
            <v>35</v>
          </cell>
          <cell r="AK458">
            <v>35</v>
          </cell>
          <cell r="AL458">
            <v>31.402777777777779</v>
          </cell>
          <cell r="AM458">
            <v>35</v>
          </cell>
          <cell r="AN458">
            <v>40</v>
          </cell>
          <cell r="AO458">
            <v>40</v>
          </cell>
          <cell r="AP458">
            <v>40</v>
          </cell>
          <cell r="AQ458">
            <v>38.75</v>
          </cell>
          <cell r="AR458">
            <v>45</v>
          </cell>
          <cell r="AS458">
            <v>45</v>
          </cell>
          <cell r="AT458">
            <v>45</v>
          </cell>
          <cell r="AU458">
            <v>45</v>
          </cell>
          <cell r="AV458">
            <v>45</v>
          </cell>
          <cell r="AW458">
            <v>45</v>
          </cell>
          <cell r="AX458">
            <v>45</v>
          </cell>
          <cell r="AY458">
            <v>45</v>
          </cell>
          <cell r="AZ458">
            <v>45</v>
          </cell>
          <cell r="BA458">
            <v>45</v>
          </cell>
          <cell r="BK458">
            <v>40</v>
          </cell>
          <cell r="BL458">
            <v>5</v>
          </cell>
        </row>
        <row r="459">
          <cell r="A459" t="str">
            <v>Jai Alai Casino (SJM)</v>
          </cell>
          <cell r="B459">
            <v>59</v>
          </cell>
          <cell r="C459">
            <v>59</v>
          </cell>
          <cell r="D459">
            <v>59</v>
          </cell>
          <cell r="E459">
            <v>59</v>
          </cell>
          <cell r="F459">
            <v>59</v>
          </cell>
          <cell r="G459">
            <v>59</v>
          </cell>
          <cell r="H459">
            <v>59</v>
          </cell>
          <cell r="I459">
            <v>59</v>
          </cell>
          <cell r="J459">
            <v>59</v>
          </cell>
          <cell r="K459">
            <v>59</v>
          </cell>
          <cell r="L459">
            <v>59</v>
          </cell>
          <cell r="M459">
            <v>59</v>
          </cell>
          <cell r="N459">
            <v>59</v>
          </cell>
          <cell r="O459">
            <v>59</v>
          </cell>
          <cell r="P459">
            <v>59</v>
          </cell>
          <cell r="Q459">
            <v>59</v>
          </cell>
          <cell r="R459">
            <v>59</v>
          </cell>
          <cell r="S459">
            <v>59</v>
          </cell>
          <cell r="T459">
            <v>59</v>
          </cell>
          <cell r="U459">
            <v>59</v>
          </cell>
          <cell r="V459">
            <v>59</v>
          </cell>
          <cell r="W459">
            <v>59</v>
          </cell>
          <cell r="X459">
            <v>59</v>
          </cell>
          <cell r="Y459">
            <v>59</v>
          </cell>
          <cell r="Z459">
            <v>59</v>
          </cell>
          <cell r="AA459">
            <v>59</v>
          </cell>
          <cell r="AB459">
            <v>59</v>
          </cell>
          <cell r="AC459">
            <v>59</v>
          </cell>
          <cell r="AD459">
            <v>59</v>
          </cell>
          <cell r="AE459">
            <v>59</v>
          </cell>
          <cell r="AF459">
            <v>59</v>
          </cell>
          <cell r="AG459">
            <v>59</v>
          </cell>
          <cell r="AH459">
            <v>59</v>
          </cell>
          <cell r="AI459">
            <v>59</v>
          </cell>
          <cell r="AJ459">
            <v>59</v>
          </cell>
          <cell r="AK459">
            <v>59</v>
          </cell>
          <cell r="AL459">
            <v>59</v>
          </cell>
          <cell r="AM459">
            <v>59</v>
          </cell>
          <cell r="AN459">
            <v>116</v>
          </cell>
          <cell r="AO459">
            <v>116</v>
          </cell>
          <cell r="AP459">
            <v>116</v>
          </cell>
          <cell r="AQ459">
            <v>101.75</v>
          </cell>
          <cell r="AR459">
            <v>90</v>
          </cell>
          <cell r="AS459">
            <v>90</v>
          </cell>
          <cell r="AT459">
            <v>90</v>
          </cell>
          <cell r="AU459">
            <v>90</v>
          </cell>
          <cell r="AV459">
            <v>90</v>
          </cell>
          <cell r="AW459">
            <v>0</v>
          </cell>
          <cell r="AX459">
            <v>0</v>
          </cell>
          <cell r="AY459">
            <v>0</v>
          </cell>
          <cell r="AZ459">
            <v>0</v>
          </cell>
          <cell r="BA459">
            <v>0</v>
          </cell>
          <cell r="BK459">
            <v>116</v>
          </cell>
          <cell r="BL459">
            <v>-26</v>
          </cell>
        </row>
        <row r="460">
          <cell r="A460" t="str">
            <v>Kam Pek Casino (SJM)</v>
          </cell>
          <cell r="B460">
            <v>24</v>
          </cell>
          <cell r="C460">
            <v>24</v>
          </cell>
          <cell r="D460">
            <v>24</v>
          </cell>
          <cell r="E460">
            <v>24</v>
          </cell>
          <cell r="F460">
            <v>24</v>
          </cell>
          <cell r="G460">
            <v>24</v>
          </cell>
          <cell r="H460">
            <v>24</v>
          </cell>
          <cell r="I460">
            <v>24</v>
          </cell>
          <cell r="J460">
            <v>24</v>
          </cell>
          <cell r="K460">
            <v>24</v>
          </cell>
          <cell r="L460">
            <v>24</v>
          </cell>
          <cell r="M460">
            <v>24</v>
          </cell>
          <cell r="N460">
            <v>24</v>
          </cell>
          <cell r="O460">
            <v>24</v>
          </cell>
          <cell r="P460">
            <v>24</v>
          </cell>
          <cell r="Q460">
            <v>24</v>
          </cell>
          <cell r="R460">
            <v>24</v>
          </cell>
          <cell r="S460">
            <v>24</v>
          </cell>
          <cell r="T460">
            <v>24</v>
          </cell>
          <cell r="U460">
            <v>24</v>
          </cell>
          <cell r="V460">
            <v>24</v>
          </cell>
          <cell r="W460">
            <v>24</v>
          </cell>
          <cell r="X460">
            <v>24</v>
          </cell>
          <cell r="Y460">
            <v>24</v>
          </cell>
          <cell r="Z460">
            <v>24</v>
          </cell>
          <cell r="AA460">
            <v>24</v>
          </cell>
          <cell r="AB460">
            <v>24</v>
          </cell>
          <cell r="AC460">
            <v>24</v>
          </cell>
          <cell r="AD460">
            <v>24</v>
          </cell>
          <cell r="AE460">
            <v>24</v>
          </cell>
          <cell r="AF460">
            <v>24</v>
          </cell>
          <cell r="AG460">
            <v>24</v>
          </cell>
          <cell r="AH460">
            <v>24</v>
          </cell>
          <cell r="AI460">
            <v>36.666666666666671</v>
          </cell>
          <cell r="AJ460">
            <v>62</v>
          </cell>
          <cell r="AK460">
            <v>62</v>
          </cell>
          <cell r="AL460">
            <v>46.166666666666671</v>
          </cell>
          <cell r="AM460">
            <v>62</v>
          </cell>
          <cell r="AN460">
            <v>67</v>
          </cell>
          <cell r="AO460">
            <v>67</v>
          </cell>
          <cell r="AP460">
            <v>67</v>
          </cell>
          <cell r="AQ460">
            <v>65.75</v>
          </cell>
          <cell r="AR460">
            <v>84</v>
          </cell>
          <cell r="AS460">
            <v>84</v>
          </cell>
          <cell r="AT460">
            <v>84</v>
          </cell>
          <cell r="AU460">
            <v>84</v>
          </cell>
          <cell r="AV460">
            <v>84</v>
          </cell>
          <cell r="AW460">
            <v>84</v>
          </cell>
          <cell r="AX460">
            <v>84</v>
          </cell>
          <cell r="AY460">
            <v>84</v>
          </cell>
          <cell r="AZ460">
            <v>84</v>
          </cell>
          <cell r="BA460">
            <v>84</v>
          </cell>
          <cell r="BK460">
            <v>67</v>
          </cell>
          <cell r="BL460">
            <v>17</v>
          </cell>
        </row>
        <row r="461">
          <cell r="A461" t="str">
            <v>Kingsway Hotel &amp; Casino (SJM)</v>
          </cell>
          <cell r="B461">
            <v>8</v>
          </cell>
          <cell r="C461">
            <v>8</v>
          </cell>
          <cell r="D461">
            <v>8</v>
          </cell>
          <cell r="E461">
            <v>8</v>
          </cell>
          <cell r="F461">
            <v>8</v>
          </cell>
          <cell r="G461">
            <v>8</v>
          </cell>
          <cell r="H461">
            <v>8</v>
          </cell>
          <cell r="I461">
            <v>8</v>
          </cell>
          <cell r="J461">
            <v>8</v>
          </cell>
          <cell r="K461">
            <v>8</v>
          </cell>
          <cell r="L461">
            <v>8</v>
          </cell>
          <cell r="M461">
            <v>8</v>
          </cell>
          <cell r="N461">
            <v>8</v>
          </cell>
          <cell r="O461">
            <v>8</v>
          </cell>
          <cell r="P461">
            <v>8</v>
          </cell>
          <cell r="Q461">
            <v>8</v>
          </cell>
          <cell r="R461">
            <v>8</v>
          </cell>
          <cell r="S461">
            <v>8</v>
          </cell>
          <cell r="T461">
            <v>8</v>
          </cell>
          <cell r="U461">
            <v>8</v>
          </cell>
          <cell r="V461">
            <v>8</v>
          </cell>
          <cell r="W461">
            <v>8</v>
          </cell>
          <cell r="X461">
            <v>8</v>
          </cell>
          <cell r="Y461">
            <v>8</v>
          </cell>
          <cell r="Z461">
            <v>8</v>
          </cell>
          <cell r="AA461">
            <v>8</v>
          </cell>
          <cell r="AB461">
            <v>8</v>
          </cell>
          <cell r="AC461">
            <v>8</v>
          </cell>
          <cell r="AD461">
            <v>8</v>
          </cell>
          <cell r="AE461">
            <v>8</v>
          </cell>
          <cell r="AF461">
            <v>8</v>
          </cell>
          <cell r="AG461">
            <v>8</v>
          </cell>
          <cell r="AH461">
            <v>8</v>
          </cell>
          <cell r="AI461">
            <v>8</v>
          </cell>
          <cell r="AJ461">
            <v>8</v>
          </cell>
          <cell r="AK461">
            <v>8</v>
          </cell>
          <cell r="AL461">
            <v>8</v>
          </cell>
          <cell r="AM461">
            <v>8</v>
          </cell>
          <cell r="AN461">
            <v>9</v>
          </cell>
          <cell r="AO461">
            <v>9</v>
          </cell>
          <cell r="AP461">
            <v>9</v>
          </cell>
          <cell r="AQ461">
            <v>8.75</v>
          </cell>
          <cell r="AR461">
            <v>8</v>
          </cell>
          <cell r="AS461">
            <v>8</v>
          </cell>
          <cell r="AT461">
            <v>8</v>
          </cell>
          <cell r="AU461">
            <v>8</v>
          </cell>
          <cell r="AV461">
            <v>8</v>
          </cell>
          <cell r="AW461">
            <v>8</v>
          </cell>
          <cell r="AX461">
            <v>8</v>
          </cell>
          <cell r="AY461">
            <v>8</v>
          </cell>
          <cell r="AZ461">
            <v>8</v>
          </cell>
          <cell r="BA461">
            <v>8</v>
          </cell>
          <cell r="BK461">
            <v>9</v>
          </cell>
          <cell r="BL461">
            <v>-1</v>
          </cell>
        </row>
        <row r="462">
          <cell r="A462" t="str">
            <v>Macau Jockey Club (MJC) Casino (SJM)</v>
          </cell>
          <cell r="B462">
            <v>13</v>
          </cell>
          <cell r="C462">
            <v>13</v>
          </cell>
          <cell r="D462">
            <v>13</v>
          </cell>
          <cell r="E462">
            <v>13</v>
          </cell>
          <cell r="F462">
            <v>13</v>
          </cell>
          <cell r="G462">
            <v>13</v>
          </cell>
          <cell r="H462">
            <v>13</v>
          </cell>
          <cell r="I462">
            <v>13</v>
          </cell>
          <cell r="J462">
            <v>13</v>
          </cell>
          <cell r="K462">
            <v>13</v>
          </cell>
          <cell r="L462">
            <v>13</v>
          </cell>
          <cell r="M462">
            <v>13</v>
          </cell>
          <cell r="N462">
            <v>13</v>
          </cell>
          <cell r="O462">
            <v>13</v>
          </cell>
          <cell r="P462">
            <v>13</v>
          </cell>
          <cell r="Q462">
            <v>13</v>
          </cell>
          <cell r="R462">
            <v>13</v>
          </cell>
          <cell r="S462">
            <v>13</v>
          </cell>
          <cell r="T462">
            <v>13</v>
          </cell>
          <cell r="U462">
            <v>13</v>
          </cell>
          <cell r="V462">
            <v>13</v>
          </cell>
          <cell r="W462">
            <v>13</v>
          </cell>
          <cell r="X462">
            <v>13</v>
          </cell>
          <cell r="Y462">
            <v>13</v>
          </cell>
          <cell r="Z462">
            <v>13</v>
          </cell>
          <cell r="AA462">
            <v>13</v>
          </cell>
          <cell r="AB462">
            <v>13</v>
          </cell>
          <cell r="AC462">
            <v>13</v>
          </cell>
          <cell r="AD462">
            <v>13</v>
          </cell>
          <cell r="AE462">
            <v>13</v>
          </cell>
          <cell r="AF462">
            <v>13</v>
          </cell>
          <cell r="AG462">
            <v>13</v>
          </cell>
          <cell r="AH462">
            <v>13</v>
          </cell>
          <cell r="AI462">
            <v>13</v>
          </cell>
          <cell r="AJ462">
            <v>51</v>
          </cell>
          <cell r="AK462">
            <v>51</v>
          </cell>
          <cell r="AL462">
            <v>32</v>
          </cell>
          <cell r="AM462">
            <v>51</v>
          </cell>
          <cell r="AN462">
            <v>21</v>
          </cell>
          <cell r="AO462">
            <v>21</v>
          </cell>
          <cell r="AP462">
            <v>21</v>
          </cell>
          <cell r="AQ462">
            <v>28.5</v>
          </cell>
          <cell r="AR462">
            <v>49</v>
          </cell>
          <cell r="AS462">
            <v>49</v>
          </cell>
          <cell r="AT462">
            <v>49</v>
          </cell>
          <cell r="AU462">
            <v>49</v>
          </cell>
          <cell r="AV462">
            <v>49</v>
          </cell>
          <cell r="AW462">
            <v>49</v>
          </cell>
          <cell r="AX462">
            <v>49</v>
          </cell>
          <cell r="AY462">
            <v>49</v>
          </cell>
          <cell r="AZ462">
            <v>49</v>
          </cell>
          <cell r="BA462">
            <v>49</v>
          </cell>
          <cell r="BK462">
            <v>21</v>
          </cell>
          <cell r="BL462">
            <v>28</v>
          </cell>
        </row>
        <row r="463">
          <cell r="A463" t="str">
            <v>Mandarin Oriental Casino (SJM)</v>
          </cell>
          <cell r="B463">
            <v>11</v>
          </cell>
          <cell r="C463">
            <v>11</v>
          </cell>
          <cell r="D463">
            <v>11</v>
          </cell>
          <cell r="E463">
            <v>11</v>
          </cell>
          <cell r="F463">
            <v>11</v>
          </cell>
          <cell r="G463">
            <v>11</v>
          </cell>
          <cell r="H463">
            <v>11</v>
          </cell>
          <cell r="I463">
            <v>11</v>
          </cell>
          <cell r="J463">
            <v>11</v>
          </cell>
          <cell r="K463">
            <v>11</v>
          </cell>
          <cell r="L463">
            <v>11</v>
          </cell>
          <cell r="M463">
            <v>11</v>
          </cell>
          <cell r="N463">
            <v>11</v>
          </cell>
          <cell r="O463">
            <v>11</v>
          </cell>
          <cell r="P463">
            <v>11</v>
          </cell>
          <cell r="Q463">
            <v>11</v>
          </cell>
          <cell r="R463">
            <v>11</v>
          </cell>
          <cell r="S463">
            <v>11</v>
          </cell>
          <cell r="T463">
            <v>11</v>
          </cell>
          <cell r="U463">
            <v>11</v>
          </cell>
          <cell r="V463">
            <v>11</v>
          </cell>
          <cell r="W463">
            <v>11</v>
          </cell>
          <cell r="X463">
            <v>11</v>
          </cell>
          <cell r="Y463">
            <v>11</v>
          </cell>
          <cell r="Z463">
            <v>11</v>
          </cell>
          <cell r="AA463">
            <v>11</v>
          </cell>
          <cell r="AB463">
            <v>11</v>
          </cell>
          <cell r="AC463">
            <v>11</v>
          </cell>
          <cell r="AD463">
            <v>11</v>
          </cell>
          <cell r="AE463">
            <v>11</v>
          </cell>
          <cell r="AF463">
            <v>11</v>
          </cell>
          <cell r="AG463">
            <v>11</v>
          </cell>
          <cell r="AH463">
            <v>11</v>
          </cell>
          <cell r="AI463">
            <v>11</v>
          </cell>
          <cell r="AJ463">
            <v>11</v>
          </cell>
          <cell r="AK463">
            <v>11</v>
          </cell>
          <cell r="AL463">
            <v>11</v>
          </cell>
          <cell r="AM463">
            <v>11</v>
          </cell>
          <cell r="AN463">
            <v>13</v>
          </cell>
          <cell r="AO463">
            <v>13</v>
          </cell>
          <cell r="AP463">
            <v>13</v>
          </cell>
          <cell r="AQ463">
            <v>12.5</v>
          </cell>
          <cell r="AR463">
            <v>25</v>
          </cell>
          <cell r="AS463">
            <v>25</v>
          </cell>
          <cell r="AT463">
            <v>25</v>
          </cell>
          <cell r="AU463">
            <v>25</v>
          </cell>
          <cell r="AV463">
            <v>25</v>
          </cell>
          <cell r="AW463">
            <v>25</v>
          </cell>
          <cell r="AX463">
            <v>25</v>
          </cell>
          <cell r="AY463">
            <v>25</v>
          </cell>
          <cell r="AZ463">
            <v>25</v>
          </cell>
          <cell r="BA463">
            <v>25</v>
          </cell>
          <cell r="BK463">
            <v>13</v>
          </cell>
          <cell r="BL463">
            <v>12</v>
          </cell>
        </row>
        <row r="464">
          <cell r="A464" t="str">
            <v>New Century Casino (SJM)</v>
          </cell>
          <cell r="B464">
            <v>34</v>
          </cell>
          <cell r="C464">
            <v>34</v>
          </cell>
          <cell r="D464">
            <v>34</v>
          </cell>
          <cell r="E464">
            <v>34</v>
          </cell>
          <cell r="F464">
            <v>34</v>
          </cell>
          <cell r="G464">
            <v>34</v>
          </cell>
          <cell r="H464">
            <v>34</v>
          </cell>
          <cell r="I464">
            <v>34</v>
          </cell>
          <cell r="J464">
            <v>34</v>
          </cell>
          <cell r="K464">
            <v>34</v>
          </cell>
          <cell r="L464">
            <v>34</v>
          </cell>
          <cell r="M464">
            <v>34</v>
          </cell>
          <cell r="N464">
            <v>34</v>
          </cell>
          <cell r="O464">
            <v>34</v>
          </cell>
          <cell r="P464">
            <v>34</v>
          </cell>
          <cell r="Q464">
            <v>34</v>
          </cell>
          <cell r="R464">
            <v>34</v>
          </cell>
          <cell r="S464">
            <v>34</v>
          </cell>
          <cell r="T464">
            <v>34</v>
          </cell>
          <cell r="U464">
            <v>34</v>
          </cell>
          <cell r="V464">
            <v>34</v>
          </cell>
          <cell r="W464">
            <v>34</v>
          </cell>
          <cell r="X464">
            <v>34</v>
          </cell>
          <cell r="Y464">
            <v>34</v>
          </cell>
          <cell r="Z464">
            <v>34</v>
          </cell>
          <cell r="AA464">
            <v>34</v>
          </cell>
          <cell r="AB464">
            <v>34</v>
          </cell>
          <cell r="AC464">
            <v>34</v>
          </cell>
          <cell r="AD464">
            <v>34</v>
          </cell>
          <cell r="AE464">
            <v>34</v>
          </cell>
          <cell r="AF464">
            <v>0</v>
          </cell>
          <cell r="AG464">
            <v>25.5</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K464">
            <v>0</v>
          </cell>
          <cell r="BL464">
            <v>0</v>
          </cell>
        </row>
        <row r="465">
          <cell r="A465" t="str">
            <v>Pharoh's Palace &amp; Legend Club (SJM)</v>
          </cell>
          <cell r="B465">
            <v>0</v>
          </cell>
          <cell r="C465">
            <v>0</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100</v>
          </cell>
          <cell r="Y465">
            <v>100</v>
          </cell>
          <cell r="Z465">
            <v>100</v>
          </cell>
          <cell r="AA465">
            <v>100</v>
          </cell>
          <cell r="AB465">
            <v>100</v>
          </cell>
          <cell r="AC465">
            <v>100</v>
          </cell>
          <cell r="AD465">
            <v>100</v>
          </cell>
          <cell r="AE465">
            <v>100</v>
          </cell>
          <cell r="AF465">
            <v>100</v>
          </cell>
          <cell r="AG465">
            <v>100</v>
          </cell>
          <cell r="AH465">
            <v>100</v>
          </cell>
          <cell r="AI465">
            <v>100</v>
          </cell>
          <cell r="AJ465">
            <v>100</v>
          </cell>
          <cell r="AK465">
            <v>100</v>
          </cell>
          <cell r="AL465">
            <v>100</v>
          </cell>
          <cell r="AM465">
            <v>100</v>
          </cell>
          <cell r="AN465">
            <v>103</v>
          </cell>
          <cell r="AO465">
            <v>103</v>
          </cell>
          <cell r="AP465">
            <v>103</v>
          </cell>
          <cell r="AQ465">
            <v>102.25</v>
          </cell>
          <cell r="AR465">
            <v>118</v>
          </cell>
          <cell r="AS465">
            <v>118</v>
          </cell>
          <cell r="AT465">
            <v>118</v>
          </cell>
          <cell r="AU465">
            <v>118</v>
          </cell>
          <cell r="AV465">
            <v>118</v>
          </cell>
          <cell r="AW465">
            <v>118</v>
          </cell>
          <cell r="AX465">
            <v>118</v>
          </cell>
          <cell r="AY465">
            <v>118</v>
          </cell>
          <cell r="AZ465">
            <v>118</v>
          </cell>
          <cell r="BA465">
            <v>118</v>
          </cell>
          <cell r="BK465">
            <v>103</v>
          </cell>
          <cell r="BL465">
            <v>15</v>
          </cell>
        </row>
        <row r="466">
          <cell r="A466" t="str">
            <v>Hotel Emperor Casino (SJM)</v>
          </cell>
          <cell r="B466">
            <v>0</v>
          </cell>
          <cell r="C466">
            <v>0</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86</v>
          </cell>
          <cell r="AN466">
            <v>86</v>
          </cell>
          <cell r="AO466">
            <v>86</v>
          </cell>
          <cell r="AP466">
            <v>86</v>
          </cell>
          <cell r="AQ466">
            <v>86</v>
          </cell>
          <cell r="AR466">
            <v>76</v>
          </cell>
          <cell r="AS466">
            <v>100</v>
          </cell>
          <cell r="AT466">
            <v>100</v>
          </cell>
          <cell r="AU466">
            <v>100</v>
          </cell>
          <cell r="AV466">
            <v>94</v>
          </cell>
          <cell r="AW466">
            <v>100</v>
          </cell>
          <cell r="AX466">
            <v>100</v>
          </cell>
          <cell r="AY466">
            <v>100</v>
          </cell>
          <cell r="AZ466">
            <v>100</v>
          </cell>
          <cell r="BA466">
            <v>100</v>
          </cell>
          <cell r="BK466">
            <v>100</v>
          </cell>
          <cell r="BL466">
            <v>-6</v>
          </cell>
        </row>
        <row r="467">
          <cell r="A467" t="str">
            <v>Ponte 16 (SJM)</v>
          </cell>
          <cell r="B467">
            <v>0</v>
          </cell>
          <cell r="C467">
            <v>0</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174</v>
          </cell>
          <cell r="AU467">
            <v>174</v>
          </cell>
          <cell r="AV467">
            <v>87</v>
          </cell>
          <cell r="AW467">
            <v>174</v>
          </cell>
          <cell r="AX467">
            <v>174</v>
          </cell>
          <cell r="AY467">
            <v>174</v>
          </cell>
          <cell r="AZ467">
            <v>174</v>
          </cell>
          <cell r="BA467">
            <v>174</v>
          </cell>
          <cell r="BK467">
            <v>87</v>
          </cell>
          <cell r="BL467">
            <v>0</v>
          </cell>
        </row>
        <row r="468">
          <cell r="A468" t="str">
            <v>Grand Lisboa (SJM)</v>
          </cell>
          <cell r="B468">
            <v>0</v>
          </cell>
          <cell r="C468">
            <v>0</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120</v>
          </cell>
          <cell r="AS468">
            <v>240</v>
          </cell>
          <cell r="AT468">
            <v>270</v>
          </cell>
          <cell r="AU468">
            <v>270</v>
          </cell>
          <cell r="AV468">
            <v>225</v>
          </cell>
          <cell r="AW468">
            <v>270</v>
          </cell>
          <cell r="AX468">
            <v>270</v>
          </cell>
          <cell r="AY468">
            <v>270</v>
          </cell>
          <cell r="AZ468">
            <v>270</v>
          </cell>
          <cell r="BA468">
            <v>270</v>
          </cell>
          <cell r="BK468">
            <v>500</v>
          </cell>
          <cell r="BL468">
            <v>-275</v>
          </cell>
        </row>
        <row r="469">
          <cell r="A469" t="str">
            <v>Babylon at Fisherman's Wharf (SJM)</v>
          </cell>
          <cell r="B469">
            <v>0</v>
          </cell>
          <cell r="C469">
            <v>0</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7.8260869565217392</v>
          </cell>
          <cell r="AQ469">
            <v>1.9565217391304348</v>
          </cell>
          <cell r="AR469">
            <v>78</v>
          </cell>
          <cell r="AS469">
            <v>78</v>
          </cell>
          <cell r="AT469">
            <v>78</v>
          </cell>
          <cell r="AU469">
            <v>100</v>
          </cell>
          <cell r="AV469">
            <v>83.5</v>
          </cell>
          <cell r="AW469">
            <v>100</v>
          </cell>
          <cell r="AX469">
            <v>100</v>
          </cell>
          <cell r="AY469">
            <v>100</v>
          </cell>
          <cell r="AZ469">
            <v>100</v>
          </cell>
          <cell r="BA469">
            <v>100</v>
          </cell>
          <cell r="BK469">
            <v>50</v>
          </cell>
          <cell r="BL469">
            <v>33.5</v>
          </cell>
        </row>
        <row r="470">
          <cell r="A470" t="str">
            <v>Arc de Triomphe (SJM)</v>
          </cell>
          <cell r="B470">
            <v>0</v>
          </cell>
          <cell r="C470">
            <v>0</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100</v>
          </cell>
          <cell r="AX470">
            <v>100</v>
          </cell>
          <cell r="AY470">
            <v>100</v>
          </cell>
          <cell r="AZ470">
            <v>100</v>
          </cell>
          <cell r="BA470">
            <v>100</v>
          </cell>
          <cell r="BK470">
            <v>0</v>
          </cell>
          <cell r="BL470">
            <v>0</v>
          </cell>
        </row>
        <row r="471">
          <cell r="A471" t="str">
            <v>Oceanus (SJM)</v>
          </cell>
          <cell r="B471">
            <v>0</v>
          </cell>
          <cell r="C471">
            <v>0</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600</v>
          </cell>
          <cell r="AY471">
            <v>600</v>
          </cell>
          <cell r="AZ471">
            <v>600</v>
          </cell>
          <cell r="BA471">
            <v>600</v>
          </cell>
          <cell r="BK471">
            <v>0</v>
          </cell>
          <cell r="BL471">
            <v>0</v>
          </cell>
        </row>
        <row r="472">
          <cell r="A472" t="str">
            <v>Shun Tak Nam Van (SJM)</v>
          </cell>
          <cell r="B472">
            <v>0</v>
          </cell>
          <cell r="C472">
            <v>0</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180</v>
          </cell>
          <cell r="AZ472">
            <v>180</v>
          </cell>
          <cell r="BA472">
            <v>180</v>
          </cell>
          <cell r="BK472">
            <v>0</v>
          </cell>
          <cell r="BL472">
            <v>0</v>
          </cell>
        </row>
        <row r="473">
          <cell r="A473" t="str">
            <v>Shun Tak Cotai (SJM)</v>
          </cell>
          <cell r="B473">
            <v>0</v>
          </cell>
          <cell r="C473">
            <v>0</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600</v>
          </cell>
          <cell r="BA473">
            <v>600</v>
          </cell>
          <cell r="BK473">
            <v>0</v>
          </cell>
          <cell r="BL473">
            <v>0</v>
          </cell>
        </row>
        <row r="474">
          <cell r="A474" t="str">
            <v>Crown Macau (Melco/PBL)</v>
          </cell>
          <cell r="B474">
            <v>0</v>
          </cell>
          <cell r="C474">
            <v>0</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146.66666666666666</v>
          </cell>
          <cell r="AT474">
            <v>220</v>
          </cell>
          <cell r="AU474">
            <v>220</v>
          </cell>
          <cell r="AV474">
            <v>146.66666666666666</v>
          </cell>
          <cell r="AW474">
            <v>220</v>
          </cell>
          <cell r="AX474">
            <v>220</v>
          </cell>
          <cell r="AY474">
            <v>220</v>
          </cell>
          <cell r="AZ474">
            <v>220</v>
          </cell>
          <cell r="BA474">
            <v>220</v>
          </cell>
          <cell r="BK474">
            <v>110</v>
          </cell>
          <cell r="BL474">
            <v>36.666666666666657</v>
          </cell>
        </row>
        <row r="475">
          <cell r="A475" t="str">
            <v>Penninsula Project (Melco/PBL)</v>
          </cell>
          <cell r="B475">
            <v>0</v>
          </cell>
          <cell r="C475">
            <v>0</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100</v>
          </cell>
          <cell r="AY475">
            <v>200</v>
          </cell>
          <cell r="AZ475">
            <v>200</v>
          </cell>
          <cell r="BA475">
            <v>200</v>
          </cell>
          <cell r="BK475">
            <v>0</v>
          </cell>
          <cell r="BL475">
            <v>0</v>
          </cell>
        </row>
        <row r="476">
          <cell r="A476" t="str">
            <v>City of Dreams (Melco/PBL)</v>
          </cell>
          <cell r="B476">
            <v>0</v>
          </cell>
          <cell r="C476">
            <v>0</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450</v>
          </cell>
          <cell r="AY476">
            <v>450</v>
          </cell>
          <cell r="AZ476">
            <v>450</v>
          </cell>
          <cell r="BA476">
            <v>450</v>
          </cell>
          <cell r="BK476">
            <v>0</v>
          </cell>
          <cell r="BL476">
            <v>0</v>
          </cell>
        </row>
        <row r="477">
          <cell r="A477" t="str">
            <v>Galaxy Waldo Hotel and Casino (Galaxy)</v>
          </cell>
          <cell r="B477">
            <v>0</v>
          </cell>
          <cell r="C477">
            <v>0</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38</v>
          </cell>
          <cell r="AF477">
            <v>38</v>
          </cell>
          <cell r="AG477">
            <v>19</v>
          </cell>
          <cell r="AH477">
            <v>63</v>
          </cell>
          <cell r="AI477">
            <v>63</v>
          </cell>
          <cell r="AJ477">
            <v>63</v>
          </cell>
          <cell r="AK477">
            <v>63</v>
          </cell>
          <cell r="AL477">
            <v>63</v>
          </cell>
          <cell r="AM477">
            <v>63</v>
          </cell>
          <cell r="AN477">
            <v>63</v>
          </cell>
          <cell r="AO477">
            <v>63</v>
          </cell>
          <cell r="AP477">
            <v>63</v>
          </cell>
          <cell r="AQ477">
            <v>63</v>
          </cell>
          <cell r="AR477">
            <v>63</v>
          </cell>
          <cell r="AS477">
            <v>63</v>
          </cell>
          <cell r="AT477">
            <v>63</v>
          </cell>
          <cell r="AU477">
            <v>63</v>
          </cell>
          <cell r="AV477">
            <v>63</v>
          </cell>
          <cell r="AW477">
            <v>63</v>
          </cell>
          <cell r="AX477">
            <v>63</v>
          </cell>
          <cell r="AY477">
            <v>63</v>
          </cell>
          <cell r="AZ477">
            <v>63</v>
          </cell>
          <cell r="BA477">
            <v>63</v>
          </cell>
          <cell r="BK477">
            <v>63</v>
          </cell>
          <cell r="BL477">
            <v>0</v>
          </cell>
        </row>
        <row r="478">
          <cell r="A478" t="str">
            <v>Galaxy Rio Hotel City Club (Galaxy)</v>
          </cell>
          <cell r="B478">
            <v>0</v>
          </cell>
          <cell r="C478">
            <v>0</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45</v>
          </cell>
          <cell r="AN478">
            <v>90</v>
          </cell>
          <cell r="AO478">
            <v>90</v>
          </cell>
          <cell r="AP478">
            <v>90</v>
          </cell>
          <cell r="AQ478">
            <v>78.75</v>
          </cell>
          <cell r="AR478">
            <v>90</v>
          </cell>
          <cell r="AS478">
            <v>90</v>
          </cell>
          <cell r="AT478">
            <v>90</v>
          </cell>
          <cell r="AU478">
            <v>90</v>
          </cell>
          <cell r="AV478">
            <v>90</v>
          </cell>
          <cell r="AW478">
            <v>90</v>
          </cell>
          <cell r="AX478">
            <v>90</v>
          </cell>
          <cell r="AY478">
            <v>90</v>
          </cell>
          <cell r="AZ478">
            <v>90</v>
          </cell>
          <cell r="BA478">
            <v>90</v>
          </cell>
          <cell r="BK478">
            <v>90</v>
          </cell>
          <cell r="BL478">
            <v>0</v>
          </cell>
        </row>
        <row r="479">
          <cell r="A479" t="str">
            <v>Hotel Presidente Casino (Galaxy)</v>
          </cell>
          <cell r="B479">
            <v>0</v>
          </cell>
          <cell r="C479">
            <v>0</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50</v>
          </cell>
          <cell r="AO479">
            <v>75</v>
          </cell>
          <cell r="AP479">
            <v>75</v>
          </cell>
          <cell r="AQ479">
            <v>50</v>
          </cell>
          <cell r="AR479">
            <v>75</v>
          </cell>
          <cell r="AS479">
            <v>75</v>
          </cell>
          <cell r="AT479">
            <v>75</v>
          </cell>
          <cell r="AU479">
            <v>75</v>
          </cell>
          <cell r="AV479">
            <v>75</v>
          </cell>
          <cell r="AW479">
            <v>75</v>
          </cell>
          <cell r="AX479">
            <v>75</v>
          </cell>
          <cell r="AY479">
            <v>75</v>
          </cell>
          <cell r="AZ479">
            <v>75</v>
          </cell>
          <cell r="BA479">
            <v>75</v>
          </cell>
          <cell r="BK479">
            <v>75</v>
          </cell>
          <cell r="BL479">
            <v>0</v>
          </cell>
        </row>
        <row r="480">
          <cell r="A480" t="str">
            <v>Galaxy Grand Waldo (Galaxy)</v>
          </cell>
          <cell r="B480">
            <v>0</v>
          </cell>
          <cell r="C480">
            <v>0</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84</v>
          </cell>
          <cell r="AO480">
            <v>168</v>
          </cell>
          <cell r="AP480">
            <v>168</v>
          </cell>
          <cell r="AQ480">
            <v>105</v>
          </cell>
          <cell r="AR480">
            <v>168</v>
          </cell>
          <cell r="AS480">
            <v>168</v>
          </cell>
          <cell r="AT480">
            <v>168</v>
          </cell>
          <cell r="AU480">
            <v>168</v>
          </cell>
          <cell r="AV480">
            <v>168</v>
          </cell>
          <cell r="AW480">
            <v>168</v>
          </cell>
          <cell r="AX480">
            <v>168</v>
          </cell>
          <cell r="AY480">
            <v>168</v>
          </cell>
          <cell r="AZ480">
            <v>168</v>
          </cell>
          <cell r="BA480">
            <v>168</v>
          </cell>
          <cell r="BK480">
            <v>168</v>
          </cell>
          <cell r="BL480">
            <v>0</v>
          </cell>
        </row>
        <row r="481">
          <cell r="A481" t="str">
            <v>Galaxy StarWorld (Galaxy)</v>
          </cell>
          <cell r="B481">
            <v>0</v>
          </cell>
          <cell r="C481">
            <v>0</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135.44444444444446</v>
          </cell>
          <cell r="AQ481">
            <v>33.861111111111114</v>
          </cell>
          <cell r="AR481">
            <v>211</v>
          </cell>
          <cell r="AS481">
            <v>289</v>
          </cell>
          <cell r="AT481">
            <v>289</v>
          </cell>
          <cell r="AU481">
            <v>289</v>
          </cell>
          <cell r="AV481">
            <v>269.5</v>
          </cell>
          <cell r="AW481">
            <v>289</v>
          </cell>
          <cell r="AX481">
            <v>289</v>
          </cell>
          <cell r="AY481">
            <v>289</v>
          </cell>
          <cell r="AZ481">
            <v>289</v>
          </cell>
          <cell r="BA481">
            <v>289</v>
          </cell>
          <cell r="BK481">
            <v>290</v>
          </cell>
          <cell r="BL481">
            <v>-20.5</v>
          </cell>
        </row>
        <row r="482">
          <cell r="A482" t="str">
            <v>Galaxy Cotai Mega Resort (Galaxy)</v>
          </cell>
          <cell r="B482">
            <v>0</v>
          </cell>
          <cell r="C482">
            <v>0</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225</v>
          </cell>
          <cell r="AX482">
            <v>450</v>
          </cell>
          <cell r="AY482">
            <v>450</v>
          </cell>
          <cell r="AZ482">
            <v>450</v>
          </cell>
          <cell r="BA482">
            <v>450</v>
          </cell>
          <cell r="BK482">
            <v>0</v>
          </cell>
          <cell r="BL482">
            <v>0</v>
          </cell>
        </row>
        <row r="483">
          <cell r="A483" t="str">
            <v>Sands Macao (LVS)</v>
          </cell>
          <cell r="B483">
            <v>0</v>
          </cell>
          <cell r="C483">
            <v>0</v>
          </cell>
          <cell r="D483">
            <v>0</v>
          </cell>
          <cell r="E483">
            <v>0</v>
          </cell>
          <cell r="F483">
            <v>0</v>
          </cell>
          <cell r="G483">
            <v>0</v>
          </cell>
          <cell r="H483">
            <v>0</v>
          </cell>
          <cell r="I483">
            <v>0</v>
          </cell>
          <cell r="J483">
            <v>0</v>
          </cell>
          <cell r="K483">
            <v>0</v>
          </cell>
          <cell r="L483">
            <v>0</v>
          </cell>
          <cell r="M483">
            <v>0</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113.87912087912088</v>
          </cell>
          <cell r="AE483">
            <v>281</v>
          </cell>
          <cell r="AF483">
            <v>300</v>
          </cell>
          <cell r="AG483">
            <v>173.7197802197802</v>
          </cell>
          <cell r="AH483">
            <v>336</v>
          </cell>
          <cell r="AI483">
            <v>356</v>
          </cell>
          <cell r="AJ483">
            <v>362</v>
          </cell>
          <cell r="AK483">
            <v>390</v>
          </cell>
          <cell r="AL483">
            <v>361</v>
          </cell>
          <cell r="AM483">
            <v>434</v>
          </cell>
          <cell r="AN483">
            <v>454</v>
          </cell>
          <cell r="AO483">
            <v>581</v>
          </cell>
          <cell r="AP483">
            <v>772</v>
          </cell>
          <cell r="AQ483">
            <v>560.25</v>
          </cell>
          <cell r="AR483">
            <v>772</v>
          </cell>
          <cell r="AS483">
            <v>772</v>
          </cell>
          <cell r="AT483">
            <v>772</v>
          </cell>
          <cell r="AU483">
            <v>772</v>
          </cell>
          <cell r="AV483">
            <v>772</v>
          </cell>
          <cell r="AW483">
            <v>772</v>
          </cell>
          <cell r="AX483">
            <v>772</v>
          </cell>
          <cell r="AY483">
            <v>772</v>
          </cell>
          <cell r="AZ483">
            <v>772</v>
          </cell>
          <cell r="BA483">
            <v>772</v>
          </cell>
          <cell r="BK483">
            <v>740</v>
          </cell>
          <cell r="BL483">
            <v>32</v>
          </cell>
        </row>
        <row r="484">
          <cell r="A484" t="str">
            <v>Venetian Macao (LVS)</v>
          </cell>
          <cell r="B484">
            <v>0</v>
          </cell>
          <cell r="C484">
            <v>0</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750</v>
          </cell>
          <cell r="AU484">
            <v>750</v>
          </cell>
          <cell r="AV484">
            <v>375</v>
          </cell>
          <cell r="AW484">
            <v>850</v>
          </cell>
          <cell r="AX484">
            <v>850</v>
          </cell>
          <cell r="AY484">
            <v>850</v>
          </cell>
          <cell r="AZ484">
            <v>1150</v>
          </cell>
          <cell r="BA484">
            <v>1150</v>
          </cell>
          <cell r="BK484">
            <v>375</v>
          </cell>
          <cell r="BL484">
            <v>0</v>
          </cell>
        </row>
        <row r="485">
          <cell r="A485" t="str">
            <v>Cotai Site 2 - Four Seasons (LVS)</v>
          </cell>
          <cell r="B485">
            <v>0</v>
          </cell>
          <cell r="C485">
            <v>0</v>
          </cell>
          <cell r="D485">
            <v>0</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130</v>
          </cell>
          <cell r="AX485">
            <v>130</v>
          </cell>
          <cell r="AY485">
            <v>130</v>
          </cell>
          <cell r="AZ485">
            <v>130</v>
          </cell>
          <cell r="BA485">
            <v>130</v>
          </cell>
          <cell r="BK485">
            <v>0</v>
          </cell>
          <cell r="BL485">
            <v>0</v>
          </cell>
        </row>
        <row r="486">
          <cell r="A486" t="str">
            <v>Cotai Site 3 - Far East (LVS)</v>
          </cell>
          <cell r="B486">
            <v>0</v>
          </cell>
          <cell r="C486">
            <v>0</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162.5</v>
          </cell>
          <cell r="AY486">
            <v>325</v>
          </cell>
          <cell r="AZ486">
            <v>325</v>
          </cell>
          <cell r="BA486">
            <v>325</v>
          </cell>
          <cell r="BK486">
            <v>0</v>
          </cell>
          <cell r="BL486">
            <v>0</v>
          </cell>
        </row>
        <row r="487">
          <cell r="A487" t="str">
            <v>Cotai Site 5 - Shangri-La/St.Regis/Traders (LVS)</v>
          </cell>
          <cell r="B487">
            <v>0</v>
          </cell>
          <cell r="C487">
            <v>0</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162.5</v>
          </cell>
          <cell r="AX487">
            <v>325</v>
          </cell>
          <cell r="AY487">
            <v>325</v>
          </cell>
          <cell r="AZ487">
            <v>325</v>
          </cell>
          <cell r="BA487">
            <v>325</v>
          </cell>
          <cell r="BK487">
            <v>0</v>
          </cell>
          <cell r="BL487">
            <v>0</v>
          </cell>
        </row>
        <row r="488">
          <cell r="A488" t="str">
            <v>Cotai Site 6 - Starwood (LVS)</v>
          </cell>
          <cell r="B488">
            <v>0</v>
          </cell>
          <cell r="C488">
            <v>0</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162.5</v>
          </cell>
          <cell r="AX488">
            <v>325</v>
          </cell>
          <cell r="AY488">
            <v>325</v>
          </cell>
          <cell r="AZ488">
            <v>325</v>
          </cell>
          <cell r="BA488">
            <v>325</v>
          </cell>
          <cell r="BK488">
            <v>0</v>
          </cell>
          <cell r="BL488">
            <v>0</v>
          </cell>
        </row>
        <row r="489">
          <cell r="A489" t="str">
            <v>Cotai Site 7 - Hilton (LVS)</v>
          </cell>
          <cell r="B489">
            <v>0</v>
          </cell>
          <cell r="C489">
            <v>0</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162.5</v>
          </cell>
          <cell r="AY489">
            <v>325</v>
          </cell>
          <cell r="AZ489">
            <v>325</v>
          </cell>
          <cell r="BA489">
            <v>325</v>
          </cell>
          <cell r="BK489">
            <v>0</v>
          </cell>
          <cell r="BL489">
            <v>0</v>
          </cell>
        </row>
        <row r="490">
          <cell r="A490" t="str">
            <v>Cotai Site 8 - FHR/Raffles (LVS)</v>
          </cell>
          <cell r="B490">
            <v>0</v>
          </cell>
          <cell r="C490">
            <v>0</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162.5</v>
          </cell>
          <cell r="AY490">
            <v>325</v>
          </cell>
          <cell r="AZ490">
            <v>325</v>
          </cell>
          <cell r="BA490">
            <v>325</v>
          </cell>
          <cell r="BK490">
            <v>0</v>
          </cell>
          <cell r="BL490">
            <v>0</v>
          </cell>
        </row>
        <row r="491">
          <cell r="A491" t="str">
            <v>Wynn Macau (WYNN)</v>
          </cell>
          <cell r="B491">
            <v>0</v>
          </cell>
          <cell r="C491">
            <v>0</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57.065217391304351</v>
          </cell>
          <cell r="AP491">
            <v>224</v>
          </cell>
          <cell r="AQ491">
            <v>70.266304347826093</v>
          </cell>
          <cell r="AR491">
            <v>249</v>
          </cell>
          <cell r="AS491">
            <v>314</v>
          </cell>
          <cell r="AT491">
            <v>420</v>
          </cell>
          <cell r="AU491">
            <v>420</v>
          </cell>
          <cell r="AV491">
            <v>350.75</v>
          </cell>
          <cell r="AW491">
            <v>420</v>
          </cell>
          <cell r="AX491">
            <v>450</v>
          </cell>
          <cell r="AY491">
            <v>450</v>
          </cell>
          <cell r="AZ491">
            <v>450</v>
          </cell>
          <cell r="BA491">
            <v>450</v>
          </cell>
          <cell r="BK491">
            <v>317.5</v>
          </cell>
          <cell r="BL491">
            <v>33.25</v>
          </cell>
        </row>
        <row r="492">
          <cell r="A492" t="str">
            <v>Wynn Cotai (WYNN)</v>
          </cell>
          <cell r="B492">
            <v>0</v>
          </cell>
          <cell r="C492">
            <v>0</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500</v>
          </cell>
          <cell r="AZ492">
            <v>500</v>
          </cell>
          <cell r="BA492">
            <v>500</v>
          </cell>
          <cell r="BK492">
            <v>0</v>
          </cell>
          <cell r="BL492">
            <v>0</v>
          </cell>
        </row>
        <row r="493">
          <cell r="A493" t="str">
            <v>Wynn Cotai #2 (WYNN)</v>
          </cell>
          <cell r="B493">
            <v>0</v>
          </cell>
          <cell r="C493">
            <v>0</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500</v>
          </cell>
          <cell r="AZ493">
            <v>500</v>
          </cell>
          <cell r="BA493">
            <v>500</v>
          </cell>
        </row>
        <row r="494">
          <cell r="A494" t="str">
            <v>MGM Grand (MGM)</v>
          </cell>
          <cell r="B494">
            <v>0</v>
          </cell>
          <cell r="C494">
            <v>0</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347</v>
          </cell>
          <cell r="AV494">
            <v>86.75</v>
          </cell>
          <cell r="AW494">
            <v>347</v>
          </cell>
          <cell r="AX494">
            <v>347</v>
          </cell>
          <cell r="AY494">
            <v>347</v>
          </cell>
          <cell r="AZ494">
            <v>347</v>
          </cell>
          <cell r="BA494">
            <v>347</v>
          </cell>
          <cell r="BK494">
            <v>92.5</v>
          </cell>
          <cell r="BL494">
            <v>-5.75</v>
          </cell>
        </row>
        <row r="495">
          <cell r="A495" t="str">
            <v>MGM Cotai #1 (MGM)</v>
          </cell>
          <cell r="B495">
            <v>0</v>
          </cell>
          <cell r="C495">
            <v>0</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500</v>
          </cell>
          <cell r="BA495">
            <v>500</v>
          </cell>
        </row>
        <row r="496">
          <cell r="A496" t="str">
            <v>Mocha Slot Lounges (Melco)</v>
          </cell>
          <cell r="B496">
            <v>0</v>
          </cell>
          <cell r="C496">
            <v>0</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K496">
            <v>0</v>
          </cell>
          <cell r="BL496">
            <v>0</v>
          </cell>
        </row>
        <row r="497">
          <cell r="A497" t="str">
            <v>Macau Studio City (eSun)</v>
          </cell>
          <cell r="B497">
            <v>0</v>
          </cell>
          <cell r="C497">
            <v>0</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400</v>
          </cell>
          <cell r="AY497">
            <v>400</v>
          </cell>
          <cell r="AZ497">
            <v>650</v>
          </cell>
          <cell r="BA497">
            <v>650</v>
          </cell>
          <cell r="BK497">
            <v>0</v>
          </cell>
          <cell r="BL497">
            <v>0</v>
          </cell>
        </row>
        <row r="498">
          <cell r="A498" t="str">
            <v>Adjustment</v>
          </cell>
          <cell r="B498">
            <v>0</v>
          </cell>
          <cell r="C498">
            <v>0</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30</v>
          </cell>
          <cell r="AE498">
            <v>-150</v>
          </cell>
          <cell r="AF498">
            <v>98.999999999999972</v>
          </cell>
          <cell r="AG498">
            <v>-5.2500000000000071</v>
          </cell>
          <cell r="AH498">
            <v>-35.611111111111086</v>
          </cell>
          <cell r="AI498">
            <v>-6.1666666666665151</v>
          </cell>
          <cell r="AJ498">
            <v>-40.5</v>
          </cell>
          <cell r="AK498">
            <v>3</v>
          </cell>
          <cell r="AL498">
            <v>-19.8194444444444</v>
          </cell>
          <cell r="AM498">
            <v>1</v>
          </cell>
          <cell r="AN498">
            <v>-40</v>
          </cell>
          <cell r="AO498">
            <v>-40.565217391304486</v>
          </cell>
          <cell r="AP498">
            <v>-100</v>
          </cell>
          <cell r="AQ498">
            <v>-44.891304347826122</v>
          </cell>
          <cell r="AR498">
            <v>-100</v>
          </cell>
          <cell r="AS498">
            <v>-100</v>
          </cell>
          <cell r="AT498">
            <v>-100</v>
          </cell>
          <cell r="AU498">
            <v>-100</v>
          </cell>
          <cell r="AV498">
            <v>-100</v>
          </cell>
          <cell r="AW498">
            <v>-100</v>
          </cell>
          <cell r="AX498">
            <v>-100</v>
          </cell>
          <cell r="AY498">
            <v>-100</v>
          </cell>
          <cell r="AZ498">
            <v>-100</v>
          </cell>
          <cell r="BA498">
            <v>-100</v>
          </cell>
          <cell r="BK498">
            <v>-56.565217391304486</v>
          </cell>
          <cell r="BL498">
            <v>-43.434782608695514</v>
          </cell>
        </row>
        <row r="499">
          <cell r="B499" t="str">
            <v>______</v>
          </cell>
          <cell r="C499" t="str">
            <v>______</v>
          </cell>
          <cell r="D499" t="str">
            <v>______</v>
          </cell>
          <cell r="E499" t="str">
            <v>______</v>
          </cell>
          <cell r="F499" t="str">
            <v>______</v>
          </cell>
          <cell r="G499" t="str">
            <v>______</v>
          </cell>
          <cell r="H499" t="str">
            <v>______</v>
          </cell>
          <cell r="I499" t="str">
            <v>______</v>
          </cell>
          <cell r="J499" t="str">
            <v>______</v>
          </cell>
          <cell r="K499" t="str">
            <v>______</v>
          </cell>
          <cell r="L499" t="str">
            <v>______</v>
          </cell>
          <cell r="M499" t="str">
            <v>______</v>
          </cell>
          <cell r="N499" t="str">
            <v>______</v>
          </cell>
          <cell r="O499" t="str">
            <v>______</v>
          </cell>
          <cell r="P499" t="str">
            <v>______</v>
          </cell>
          <cell r="Q499" t="str">
            <v>______</v>
          </cell>
          <cell r="R499" t="str">
            <v>______</v>
          </cell>
          <cell r="S499" t="str">
            <v>______</v>
          </cell>
          <cell r="T499" t="str">
            <v>______</v>
          </cell>
          <cell r="U499" t="str">
            <v>______</v>
          </cell>
          <cell r="V499" t="str">
            <v>______</v>
          </cell>
          <cell r="W499" t="str">
            <v>______</v>
          </cell>
          <cell r="X499" t="str">
            <v>______</v>
          </cell>
          <cell r="Y499" t="str">
            <v>______</v>
          </cell>
          <cell r="Z499" t="str">
            <v>______</v>
          </cell>
          <cell r="AA499" t="str">
            <v>______</v>
          </cell>
          <cell r="AB499" t="str">
            <v>______</v>
          </cell>
          <cell r="AC499" t="str">
            <v>______</v>
          </cell>
          <cell r="AD499" t="str">
            <v>______</v>
          </cell>
          <cell r="AE499" t="str">
            <v>______</v>
          </cell>
          <cell r="AF499" t="str">
            <v>______</v>
          </cell>
          <cell r="AG499" t="str">
            <v>______</v>
          </cell>
          <cell r="AH499" t="str">
            <v>______</v>
          </cell>
          <cell r="AI499" t="str">
            <v>______</v>
          </cell>
          <cell r="AJ499" t="str">
            <v>______</v>
          </cell>
          <cell r="AK499" t="str">
            <v>______</v>
          </cell>
          <cell r="AL499" t="str">
            <v>______</v>
          </cell>
          <cell r="AM499" t="str">
            <v>______</v>
          </cell>
          <cell r="AN499" t="str">
            <v>______</v>
          </cell>
          <cell r="AO499" t="str">
            <v>______</v>
          </cell>
          <cell r="AP499" t="str">
            <v>______</v>
          </cell>
          <cell r="AQ499" t="str">
            <v>______</v>
          </cell>
          <cell r="AR499" t="str">
            <v>______</v>
          </cell>
          <cell r="AS499" t="str">
            <v>______</v>
          </cell>
          <cell r="AT499" t="str">
            <v>______</v>
          </cell>
          <cell r="AU499" t="str">
            <v>______</v>
          </cell>
          <cell r="AV499" t="str">
            <v>______</v>
          </cell>
          <cell r="AW499" t="str">
            <v>______</v>
          </cell>
          <cell r="AX499" t="str">
            <v>______</v>
          </cell>
          <cell r="AY499" t="str">
            <v>______</v>
          </cell>
          <cell r="AZ499" t="str">
            <v>______</v>
          </cell>
          <cell r="BA499" t="str">
            <v>______</v>
          </cell>
          <cell r="BK499" t="str">
            <v>______</v>
          </cell>
        </row>
        <row r="500">
          <cell r="A500" t="str">
            <v>Total Average Tables</v>
          </cell>
          <cell r="B500">
            <v>341</v>
          </cell>
          <cell r="C500">
            <v>341</v>
          </cell>
          <cell r="D500">
            <v>341</v>
          </cell>
          <cell r="E500">
            <v>341</v>
          </cell>
          <cell r="F500">
            <v>341</v>
          </cell>
          <cell r="G500">
            <v>341</v>
          </cell>
          <cell r="H500">
            <v>341</v>
          </cell>
          <cell r="I500">
            <v>341</v>
          </cell>
          <cell r="J500">
            <v>341</v>
          </cell>
          <cell r="K500">
            <v>341</v>
          </cell>
          <cell r="L500">
            <v>341</v>
          </cell>
          <cell r="M500">
            <v>341</v>
          </cell>
          <cell r="N500">
            <v>341</v>
          </cell>
          <cell r="O500">
            <v>341</v>
          </cell>
          <cell r="P500">
            <v>341</v>
          </cell>
          <cell r="Q500">
            <v>341</v>
          </cell>
          <cell r="R500">
            <v>341</v>
          </cell>
          <cell r="S500">
            <v>341</v>
          </cell>
          <cell r="T500">
            <v>341</v>
          </cell>
          <cell r="U500">
            <v>341</v>
          </cell>
          <cell r="V500">
            <v>341</v>
          </cell>
          <cell r="W500">
            <v>341</v>
          </cell>
          <cell r="X500">
            <v>441</v>
          </cell>
          <cell r="Y500">
            <v>441</v>
          </cell>
          <cell r="Z500">
            <v>441</v>
          </cell>
          <cell r="AA500">
            <v>441</v>
          </cell>
          <cell r="AB500">
            <v>441</v>
          </cell>
          <cell r="AC500">
            <v>441</v>
          </cell>
          <cell r="AD500">
            <v>584.87912087912082</v>
          </cell>
          <cell r="AE500">
            <v>680</v>
          </cell>
          <cell r="AF500">
            <v>936.304347826087</v>
          </cell>
          <cell r="AG500">
            <v>660.54586717630195</v>
          </cell>
          <cell r="AH500">
            <v>1159</v>
          </cell>
          <cell r="AI500">
            <v>1235.5</v>
          </cell>
          <cell r="AJ500">
            <v>1270.5</v>
          </cell>
          <cell r="AK500">
            <v>1342</v>
          </cell>
          <cell r="AL500">
            <v>1251.75</v>
          </cell>
          <cell r="AM500">
            <v>1561</v>
          </cell>
          <cell r="AN500">
            <v>1890</v>
          </cell>
          <cell r="AO500">
            <v>2182.5</v>
          </cell>
          <cell r="AP500">
            <v>2624.2705314009663</v>
          </cell>
          <cell r="AQ500">
            <v>2064.4426328502418</v>
          </cell>
          <cell r="AR500">
            <v>2855</v>
          </cell>
          <cell r="AS500">
            <v>3288.666666666667</v>
          </cell>
          <cell r="AT500">
            <v>4422</v>
          </cell>
          <cell r="AU500">
            <v>4791</v>
          </cell>
          <cell r="AV500">
            <v>3839.166666666667</v>
          </cell>
          <cell r="AW500">
            <v>5581</v>
          </cell>
          <cell r="AX500">
            <v>8198.5</v>
          </cell>
          <cell r="AY500">
            <v>9966</v>
          </cell>
          <cell r="AZ500">
            <v>11616</v>
          </cell>
          <cell r="BA500">
            <v>11616</v>
          </cell>
          <cell r="BK500">
            <v>4104.434782608696</v>
          </cell>
          <cell r="BL500">
            <v>-265.268115942029</v>
          </cell>
        </row>
        <row r="501">
          <cell r="A501" t="str">
            <v xml:space="preserve">  Growth</v>
          </cell>
          <cell r="AC501">
            <v>0</v>
          </cell>
          <cell r="AD501">
            <v>0.32625650992997923</v>
          </cell>
          <cell r="AE501">
            <v>0.54195011337868482</v>
          </cell>
          <cell r="AF501">
            <v>1.1231391107167505</v>
          </cell>
          <cell r="AG501">
            <v>0.49783643350635365</v>
          </cell>
          <cell r="AH501">
            <v>1.6281179138321997</v>
          </cell>
          <cell r="AI501">
            <v>1.112402299714415</v>
          </cell>
          <cell r="AJ501">
            <v>0.86838235294117649</v>
          </cell>
          <cell r="AK501">
            <v>0.43329463663803103</v>
          </cell>
          <cell r="AL501">
            <v>0.89502358912784419</v>
          </cell>
          <cell r="AM501">
            <v>0.34685073339085415</v>
          </cell>
          <cell r="AN501">
            <v>0.52974504249291776</v>
          </cell>
          <cell r="AO501">
            <v>0.71782762691853597</v>
          </cell>
          <cell r="AP501">
            <v>0.95549219925556361</v>
          </cell>
          <cell r="AQ501">
            <v>0.6492451630519207</v>
          </cell>
          <cell r="AR501">
            <v>0.82895579756566296</v>
          </cell>
          <cell r="AS501">
            <v>0.74003527336860686</v>
          </cell>
          <cell r="AT501">
            <v>1.0261168384879724</v>
          </cell>
          <cell r="AU501">
            <v>0.82565019218591207</v>
          </cell>
          <cell r="AV501">
            <v>0.85966255762030008</v>
          </cell>
          <cell r="AW501">
            <v>0.45370088995007585</v>
          </cell>
          <cell r="AX501">
            <v>0.46900197097294383</v>
          </cell>
          <cell r="AY501">
            <v>0.21558821735683353</v>
          </cell>
          <cell r="AZ501">
            <v>0.16556291390728473</v>
          </cell>
          <cell r="BA501">
            <v>0</v>
          </cell>
          <cell r="BK501">
            <v>0.90824031392313787</v>
          </cell>
          <cell r="BL501">
            <v>-4.8577756302837782E-2</v>
          </cell>
        </row>
        <row r="502">
          <cell r="BL502">
            <v>0</v>
          </cell>
        </row>
        <row r="503">
          <cell r="A503" t="str">
            <v>Period-end total tables</v>
          </cell>
          <cell r="AA503">
            <v>424</v>
          </cell>
          <cell r="AB503">
            <v>424</v>
          </cell>
          <cell r="AC503">
            <v>441</v>
          </cell>
          <cell r="AD503">
            <v>584.87912087912082</v>
          </cell>
          <cell r="AE503">
            <v>680</v>
          </cell>
          <cell r="AF503">
            <v>1092</v>
          </cell>
          <cell r="AG503">
            <v>1092</v>
          </cell>
          <cell r="AH503">
            <v>1226</v>
          </cell>
          <cell r="AI503">
            <v>1245</v>
          </cell>
          <cell r="AJ503">
            <v>1296</v>
          </cell>
          <cell r="AK503">
            <v>1388</v>
          </cell>
          <cell r="AL503">
            <v>1388</v>
          </cell>
          <cell r="AM503">
            <v>1648</v>
          </cell>
          <cell r="AN503">
            <v>1925</v>
          </cell>
          <cell r="AO503">
            <v>2440</v>
          </cell>
          <cell r="AP503">
            <v>2762</v>
          </cell>
          <cell r="AQ503">
            <v>2762</v>
          </cell>
          <cell r="BL503">
            <v>0</v>
          </cell>
        </row>
        <row r="504">
          <cell r="BL504">
            <v>0</v>
          </cell>
        </row>
        <row r="505">
          <cell r="A505" t="str">
            <v>Average Slots</v>
          </cell>
          <cell r="BL505">
            <v>0</v>
          </cell>
        </row>
        <row r="506">
          <cell r="A506" t="str">
            <v>Casa Real Casino (SJM)</v>
          </cell>
          <cell r="B506">
            <v>0</v>
          </cell>
          <cell r="C506">
            <v>0</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123</v>
          </cell>
          <cell r="AF506">
            <v>123</v>
          </cell>
          <cell r="AG506">
            <v>61.5</v>
          </cell>
          <cell r="AH506">
            <v>123</v>
          </cell>
          <cell r="AI506">
            <v>123</v>
          </cell>
          <cell r="AJ506">
            <v>123</v>
          </cell>
          <cell r="AK506">
            <v>123</v>
          </cell>
          <cell r="AL506">
            <v>123</v>
          </cell>
          <cell r="AM506">
            <v>123</v>
          </cell>
          <cell r="AN506">
            <v>123</v>
          </cell>
          <cell r="AO506">
            <v>123</v>
          </cell>
          <cell r="AP506">
            <v>123</v>
          </cell>
          <cell r="AQ506">
            <v>123</v>
          </cell>
          <cell r="AR506">
            <v>0</v>
          </cell>
          <cell r="AS506">
            <v>0</v>
          </cell>
          <cell r="AT506">
            <v>0</v>
          </cell>
          <cell r="AU506">
            <v>0</v>
          </cell>
          <cell r="AV506">
            <v>0</v>
          </cell>
          <cell r="AW506">
            <v>0</v>
          </cell>
          <cell r="AX506">
            <v>0</v>
          </cell>
          <cell r="AY506">
            <v>0</v>
          </cell>
          <cell r="AZ506">
            <v>0</v>
          </cell>
          <cell r="BA506">
            <v>0</v>
          </cell>
          <cell r="BK506">
            <v>123</v>
          </cell>
          <cell r="BL506">
            <v>-123</v>
          </cell>
        </row>
        <row r="507">
          <cell r="A507" t="str">
            <v>Casino Lisboa (SJM)</v>
          </cell>
          <cell r="B507">
            <v>107</v>
          </cell>
          <cell r="C507">
            <v>107</v>
          </cell>
          <cell r="D507">
            <v>107</v>
          </cell>
          <cell r="E507">
            <v>107</v>
          </cell>
          <cell r="F507">
            <v>107</v>
          </cell>
          <cell r="G507">
            <v>107</v>
          </cell>
          <cell r="H507">
            <v>107</v>
          </cell>
          <cell r="I507">
            <v>107</v>
          </cell>
          <cell r="J507">
            <v>107</v>
          </cell>
          <cell r="K507">
            <v>107</v>
          </cell>
          <cell r="L507">
            <v>107</v>
          </cell>
          <cell r="M507">
            <v>107</v>
          </cell>
          <cell r="N507">
            <v>107</v>
          </cell>
          <cell r="O507">
            <v>107</v>
          </cell>
          <cell r="P507">
            <v>107</v>
          </cell>
          <cell r="Q507">
            <v>107</v>
          </cell>
          <cell r="R507">
            <v>107</v>
          </cell>
          <cell r="S507">
            <v>107</v>
          </cell>
          <cell r="T507">
            <v>107</v>
          </cell>
          <cell r="U507">
            <v>107</v>
          </cell>
          <cell r="V507">
            <v>107</v>
          </cell>
          <cell r="W507">
            <v>107</v>
          </cell>
          <cell r="X507">
            <v>107</v>
          </cell>
          <cell r="Y507">
            <v>107</v>
          </cell>
          <cell r="Z507">
            <v>107</v>
          </cell>
          <cell r="AA507">
            <v>107</v>
          </cell>
          <cell r="AB507">
            <v>107</v>
          </cell>
          <cell r="AC507">
            <v>107</v>
          </cell>
          <cell r="AD507">
            <v>107</v>
          </cell>
          <cell r="AE507">
            <v>107</v>
          </cell>
          <cell r="AF507">
            <v>107</v>
          </cell>
          <cell r="AG507">
            <v>107</v>
          </cell>
          <cell r="AH507">
            <v>107</v>
          </cell>
          <cell r="AI507">
            <v>107</v>
          </cell>
          <cell r="AJ507">
            <v>107</v>
          </cell>
          <cell r="AK507">
            <v>107</v>
          </cell>
          <cell r="AL507">
            <v>107</v>
          </cell>
          <cell r="AM507">
            <v>107</v>
          </cell>
          <cell r="AN507">
            <v>217</v>
          </cell>
          <cell r="AO507">
            <v>217</v>
          </cell>
          <cell r="AP507">
            <v>217</v>
          </cell>
          <cell r="AQ507">
            <v>189.5</v>
          </cell>
          <cell r="AR507">
            <v>227</v>
          </cell>
          <cell r="AS507">
            <v>227</v>
          </cell>
          <cell r="AT507">
            <v>227</v>
          </cell>
          <cell r="AU507">
            <v>227</v>
          </cell>
          <cell r="AV507">
            <v>227</v>
          </cell>
          <cell r="AW507">
            <v>227</v>
          </cell>
          <cell r="AX507">
            <v>227</v>
          </cell>
          <cell r="AY507">
            <v>227</v>
          </cell>
          <cell r="AZ507">
            <v>227</v>
          </cell>
          <cell r="BA507">
            <v>227</v>
          </cell>
          <cell r="BK507">
            <v>217</v>
          </cell>
          <cell r="BL507">
            <v>10</v>
          </cell>
        </row>
        <row r="508">
          <cell r="A508" t="str">
            <v>Casino Macau Palace (SJM)</v>
          </cell>
          <cell r="B508">
            <v>51</v>
          </cell>
          <cell r="C508">
            <v>51</v>
          </cell>
          <cell r="D508">
            <v>51</v>
          </cell>
          <cell r="E508">
            <v>51</v>
          </cell>
          <cell r="F508">
            <v>51</v>
          </cell>
          <cell r="G508">
            <v>51</v>
          </cell>
          <cell r="H508">
            <v>51</v>
          </cell>
          <cell r="I508">
            <v>51</v>
          </cell>
          <cell r="J508">
            <v>51</v>
          </cell>
          <cell r="K508">
            <v>51</v>
          </cell>
          <cell r="L508">
            <v>51</v>
          </cell>
          <cell r="M508">
            <v>51</v>
          </cell>
          <cell r="N508">
            <v>51</v>
          </cell>
          <cell r="O508">
            <v>51</v>
          </cell>
          <cell r="P508">
            <v>51</v>
          </cell>
          <cell r="Q508">
            <v>51</v>
          </cell>
          <cell r="R508">
            <v>51</v>
          </cell>
          <cell r="S508">
            <v>51</v>
          </cell>
          <cell r="T508">
            <v>51</v>
          </cell>
          <cell r="U508">
            <v>51</v>
          </cell>
          <cell r="V508">
            <v>51</v>
          </cell>
          <cell r="W508">
            <v>51</v>
          </cell>
          <cell r="X508">
            <v>51</v>
          </cell>
          <cell r="Y508">
            <v>51</v>
          </cell>
          <cell r="Z508">
            <v>51</v>
          </cell>
          <cell r="AA508">
            <v>51</v>
          </cell>
          <cell r="AB508">
            <v>51</v>
          </cell>
          <cell r="AC508">
            <v>51</v>
          </cell>
          <cell r="AD508">
            <v>51</v>
          </cell>
          <cell r="AE508">
            <v>51</v>
          </cell>
          <cell r="AF508">
            <v>51</v>
          </cell>
          <cell r="AG508">
            <v>51</v>
          </cell>
          <cell r="AH508">
            <v>51</v>
          </cell>
          <cell r="AI508">
            <v>51</v>
          </cell>
          <cell r="AJ508">
            <v>51</v>
          </cell>
          <cell r="AK508">
            <v>51</v>
          </cell>
          <cell r="AL508">
            <v>51</v>
          </cell>
          <cell r="AM508">
            <v>51</v>
          </cell>
          <cell r="AN508">
            <v>51</v>
          </cell>
          <cell r="AO508">
            <v>51</v>
          </cell>
          <cell r="AP508">
            <v>51</v>
          </cell>
          <cell r="AQ508">
            <v>51</v>
          </cell>
          <cell r="AR508">
            <v>49</v>
          </cell>
          <cell r="AS508">
            <v>49</v>
          </cell>
          <cell r="AT508">
            <v>49</v>
          </cell>
          <cell r="AU508">
            <v>49</v>
          </cell>
          <cell r="AV508">
            <v>49</v>
          </cell>
          <cell r="AW508">
            <v>49</v>
          </cell>
          <cell r="AX508">
            <v>49</v>
          </cell>
          <cell r="AY508">
            <v>49</v>
          </cell>
          <cell r="AZ508">
            <v>49</v>
          </cell>
          <cell r="BA508">
            <v>49</v>
          </cell>
          <cell r="BK508">
            <v>51</v>
          </cell>
          <cell r="BL508">
            <v>-2</v>
          </cell>
        </row>
        <row r="509">
          <cell r="A509" t="str">
            <v>Casino Marina (SJM)</v>
          </cell>
          <cell r="B509">
            <v>37</v>
          </cell>
          <cell r="C509">
            <v>37</v>
          </cell>
          <cell r="D509">
            <v>37</v>
          </cell>
          <cell r="E509">
            <v>37</v>
          </cell>
          <cell r="F509">
            <v>37</v>
          </cell>
          <cell r="G509">
            <v>37</v>
          </cell>
          <cell r="H509">
            <v>37</v>
          </cell>
          <cell r="I509">
            <v>37</v>
          </cell>
          <cell r="J509">
            <v>37</v>
          </cell>
          <cell r="K509">
            <v>37</v>
          </cell>
          <cell r="L509">
            <v>37</v>
          </cell>
          <cell r="M509">
            <v>37</v>
          </cell>
          <cell r="N509">
            <v>37</v>
          </cell>
          <cell r="O509">
            <v>37</v>
          </cell>
          <cell r="P509">
            <v>37</v>
          </cell>
          <cell r="Q509">
            <v>37</v>
          </cell>
          <cell r="R509">
            <v>37</v>
          </cell>
          <cell r="S509">
            <v>37</v>
          </cell>
          <cell r="T509">
            <v>37</v>
          </cell>
          <cell r="U509">
            <v>37</v>
          </cell>
          <cell r="V509">
            <v>37</v>
          </cell>
          <cell r="W509">
            <v>37</v>
          </cell>
          <cell r="X509">
            <v>37</v>
          </cell>
          <cell r="Y509">
            <v>37</v>
          </cell>
          <cell r="Z509">
            <v>37</v>
          </cell>
          <cell r="AA509">
            <v>37</v>
          </cell>
          <cell r="AB509">
            <v>37</v>
          </cell>
          <cell r="AC509">
            <v>37</v>
          </cell>
          <cell r="AD509">
            <v>37</v>
          </cell>
          <cell r="AE509">
            <v>37</v>
          </cell>
          <cell r="AF509">
            <v>37</v>
          </cell>
          <cell r="AG509">
            <v>37</v>
          </cell>
          <cell r="AH509">
            <v>37</v>
          </cell>
          <cell r="AI509">
            <v>37</v>
          </cell>
          <cell r="AJ509">
            <v>37</v>
          </cell>
          <cell r="AK509">
            <v>37</v>
          </cell>
          <cell r="AL509">
            <v>37</v>
          </cell>
          <cell r="AM509">
            <v>37</v>
          </cell>
          <cell r="AN509">
            <v>37</v>
          </cell>
          <cell r="AO509">
            <v>37</v>
          </cell>
          <cell r="AP509">
            <v>37</v>
          </cell>
          <cell r="AQ509">
            <v>37</v>
          </cell>
          <cell r="AR509">
            <v>0</v>
          </cell>
          <cell r="AS509">
            <v>0</v>
          </cell>
          <cell r="AT509">
            <v>0</v>
          </cell>
          <cell r="AU509">
            <v>0</v>
          </cell>
          <cell r="AV509">
            <v>0</v>
          </cell>
          <cell r="AW509">
            <v>0</v>
          </cell>
          <cell r="AX509">
            <v>0</v>
          </cell>
          <cell r="AY509">
            <v>0</v>
          </cell>
          <cell r="AZ509">
            <v>0</v>
          </cell>
          <cell r="BA509">
            <v>0</v>
          </cell>
          <cell r="BK509">
            <v>37</v>
          </cell>
          <cell r="BL509">
            <v>-37</v>
          </cell>
        </row>
        <row r="510">
          <cell r="A510" t="str">
            <v>Casino Taipa (SJM)</v>
          </cell>
          <cell r="B510">
            <v>10</v>
          </cell>
          <cell r="C510">
            <v>10</v>
          </cell>
          <cell r="D510">
            <v>10</v>
          </cell>
          <cell r="E510">
            <v>10</v>
          </cell>
          <cell r="F510">
            <v>10</v>
          </cell>
          <cell r="G510">
            <v>10</v>
          </cell>
          <cell r="H510">
            <v>10</v>
          </cell>
          <cell r="I510">
            <v>10</v>
          </cell>
          <cell r="J510">
            <v>10</v>
          </cell>
          <cell r="K510">
            <v>10</v>
          </cell>
          <cell r="L510">
            <v>10</v>
          </cell>
          <cell r="M510">
            <v>10</v>
          </cell>
          <cell r="N510">
            <v>10</v>
          </cell>
          <cell r="O510">
            <v>10</v>
          </cell>
          <cell r="P510">
            <v>10</v>
          </cell>
          <cell r="Q510">
            <v>10</v>
          </cell>
          <cell r="R510">
            <v>10</v>
          </cell>
          <cell r="S510">
            <v>10</v>
          </cell>
          <cell r="T510">
            <v>10</v>
          </cell>
          <cell r="U510">
            <v>10</v>
          </cell>
          <cell r="V510">
            <v>10</v>
          </cell>
          <cell r="W510">
            <v>10</v>
          </cell>
          <cell r="X510">
            <v>10</v>
          </cell>
          <cell r="Y510">
            <v>10</v>
          </cell>
          <cell r="Z510">
            <v>10</v>
          </cell>
          <cell r="AA510">
            <v>10</v>
          </cell>
          <cell r="AB510">
            <v>10</v>
          </cell>
          <cell r="AC510">
            <v>10</v>
          </cell>
          <cell r="AD510">
            <v>10</v>
          </cell>
          <cell r="AE510">
            <v>10</v>
          </cell>
          <cell r="AF510">
            <v>10</v>
          </cell>
          <cell r="AG510">
            <v>10</v>
          </cell>
          <cell r="AH510">
            <v>10</v>
          </cell>
          <cell r="AI510">
            <v>10</v>
          </cell>
          <cell r="AJ510">
            <v>10</v>
          </cell>
          <cell r="AK510">
            <v>10</v>
          </cell>
          <cell r="AL510">
            <v>10</v>
          </cell>
          <cell r="AM510">
            <v>10</v>
          </cell>
          <cell r="AN510">
            <v>10</v>
          </cell>
          <cell r="AO510">
            <v>10</v>
          </cell>
          <cell r="AP510">
            <v>10</v>
          </cell>
          <cell r="AQ510">
            <v>10</v>
          </cell>
          <cell r="AR510">
            <v>0</v>
          </cell>
          <cell r="AS510">
            <v>0</v>
          </cell>
          <cell r="AT510">
            <v>0</v>
          </cell>
          <cell r="AU510">
            <v>0</v>
          </cell>
          <cell r="AV510">
            <v>0</v>
          </cell>
          <cell r="AW510">
            <v>0</v>
          </cell>
          <cell r="AX510">
            <v>0</v>
          </cell>
          <cell r="AY510">
            <v>0</v>
          </cell>
          <cell r="AZ510">
            <v>0</v>
          </cell>
          <cell r="BA510">
            <v>0</v>
          </cell>
          <cell r="BK510">
            <v>10</v>
          </cell>
          <cell r="BL510">
            <v>-10</v>
          </cell>
        </row>
        <row r="511">
          <cell r="A511" t="str">
            <v>Diamond Casino (SJM)</v>
          </cell>
          <cell r="B511">
            <v>32</v>
          </cell>
          <cell r="C511">
            <v>32</v>
          </cell>
          <cell r="D511">
            <v>32</v>
          </cell>
          <cell r="E511">
            <v>32</v>
          </cell>
          <cell r="F511">
            <v>32</v>
          </cell>
          <cell r="G511">
            <v>32</v>
          </cell>
          <cell r="H511">
            <v>32</v>
          </cell>
          <cell r="I511">
            <v>32</v>
          </cell>
          <cell r="J511">
            <v>32</v>
          </cell>
          <cell r="K511">
            <v>32</v>
          </cell>
          <cell r="L511">
            <v>32</v>
          </cell>
          <cell r="M511">
            <v>32</v>
          </cell>
          <cell r="N511">
            <v>32</v>
          </cell>
          <cell r="O511">
            <v>32</v>
          </cell>
          <cell r="P511">
            <v>32</v>
          </cell>
          <cell r="Q511">
            <v>32</v>
          </cell>
          <cell r="R511">
            <v>32</v>
          </cell>
          <cell r="S511">
            <v>32</v>
          </cell>
          <cell r="T511">
            <v>32</v>
          </cell>
          <cell r="U511">
            <v>32</v>
          </cell>
          <cell r="V511">
            <v>32</v>
          </cell>
          <cell r="W511">
            <v>32</v>
          </cell>
          <cell r="X511">
            <v>32</v>
          </cell>
          <cell r="Y511">
            <v>32</v>
          </cell>
          <cell r="Z511">
            <v>32</v>
          </cell>
          <cell r="AA511">
            <v>32</v>
          </cell>
          <cell r="AB511">
            <v>32</v>
          </cell>
          <cell r="AC511">
            <v>32</v>
          </cell>
          <cell r="AD511">
            <v>32</v>
          </cell>
          <cell r="AE511">
            <v>32</v>
          </cell>
          <cell r="AF511">
            <v>32</v>
          </cell>
          <cell r="AG511">
            <v>32</v>
          </cell>
          <cell r="AH511">
            <v>32</v>
          </cell>
          <cell r="AI511">
            <v>32</v>
          </cell>
          <cell r="AJ511">
            <v>32</v>
          </cell>
          <cell r="AK511">
            <v>32</v>
          </cell>
          <cell r="AL511">
            <v>32</v>
          </cell>
          <cell r="AM511">
            <v>47</v>
          </cell>
          <cell r="AN511">
            <v>47</v>
          </cell>
          <cell r="AO511">
            <v>47</v>
          </cell>
          <cell r="AP511">
            <v>47</v>
          </cell>
          <cell r="AQ511">
            <v>47</v>
          </cell>
          <cell r="AR511">
            <v>85</v>
          </cell>
          <cell r="AS511">
            <v>85</v>
          </cell>
          <cell r="AT511">
            <v>85</v>
          </cell>
          <cell r="AU511">
            <v>85</v>
          </cell>
          <cell r="AV511">
            <v>85</v>
          </cell>
          <cell r="AW511">
            <v>85</v>
          </cell>
          <cell r="AX511">
            <v>85</v>
          </cell>
          <cell r="AY511">
            <v>85</v>
          </cell>
          <cell r="AZ511">
            <v>85</v>
          </cell>
          <cell r="BA511">
            <v>85</v>
          </cell>
          <cell r="BK511">
            <v>47</v>
          </cell>
          <cell r="BL511">
            <v>38</v>
          </cell>
        </row>
        <row r="512">
          <cell r="A512" t="str">
            <v>Golden Dragon (SJM)</v>
          </cell>
          <cell r="B512">
            <v>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123</v>
          </cell>
          <cell r="AI512">
            <v>123</v>
          </cell>
          <cell r="AJ512">
            <v>123</v>
          </cell>
          <cell r="AK512">
            <v>123</v>
          </cell>
          <cell r="AL512">
            <v>123</v>
          </cell>
          <cell r="AM512">
            <v>123</v>
          </cell>
          <cell r="AN512">
            <v>123</v>
          </cell>
          <cell r="AO512">
            <v>123</v>
          </cell>
          <cell r="AP512">
            <v>123</v>
          </cell>
          <cell r="AQ512">
            <v>123</v>
          </cell>
          <cell r="AR512">
            <v>129</v>
          </cell>
          <cell r="AS512">
            <v>129</v>
          </cell>
          <cell r="AT512">
            <v>129</v>
          </cell>
          <cell r="AU512">
            <v>129</v>
          </cell>
          <cell r="AV512">
            <v>129</v>
          </cell>
          <cell r="AW512">
            <v>129</v>
          </cell>
          <cell r="AX512">
            <v>129</v>
          </cell>
          <cell r="AY512">
            <v>129</v>
          </cell>
          <cell r="AZ512">
            <v>129</v>
          </cell>
          <cell r="BA512">
            <v>129</v>
          </cell>
          <cell r="BK512">
            <v>123</v>
          </cell>
          <cell r="BL512">
            <v>6</v>
          </cell>
        </row>
        <row r="513">
          <cell r="A513" t="str">
            <v>Greek Mythology Casino (SJM)</v>
          </cell>
          <cell r="B513">
            <v>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9.7826086956521738</v>
          </cell>
          <cell r="AG513">
            <v>2.4456521739130435</v>
          </cell>
          <cell r="AH513">
            <v>100</v>
          </cell>
          <cell r="AI513">
            <v>100</v>
          </cell>
          <cell r="AJ513">
            <v>100</v>
          </cell>
          <cell r="AK513">
            <v>100</v>
          </cell>
          <cell r="AL513">
            <v>100</v>
          </cell>
          <cell r="AM513">
            <v>100</v>
          </cell>
          <cell r="AN513">
            <v>100</v>
          </cell>
          <cell r="AO513">
            <v>100</v>
          </cell>
          <cell r="AP513">
            <v>100</v>
          </cell>
          <cell r="AQ513">
            <v>100</v>
          </cell>
          <cell r="AR513">
            <v>202</v>
          </cell>
          <cell r="AS513">
            <v>202</v>
          </cell>
          <cell r="AT513">
            <v>202</v>
          </cell>
          <cell r="AU513">
            <v>202</v>
          </cell>
          <cell r="AV513">
            <v>202</v>
          </cell>
          <cell r="AW513">
            <v>202</v>
          </cell>
          <cell r="AX513">
            <v>202</v>
          </cell>
          <cell r="AY513">
            <v>202</v>
          </cell>
          <cell r="AZ513">
            <v>202</v>
          </cell>
          <cell r="BA513">
            <v>202</v>
          </cell>
          <cell r="BK513">
            <v>100</v>
          </cell>
          <cell r="BL513">
            <v>102</v>
          </cell>
        </row>
        <row r="514">
          <cell r="A514" t="str">
            <v>Hotel Fortuna Casino (SJM)</v>
          </cell>
          <cell r="B514">
            <v>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K514">
            <v>0</v>
          </cell>
          <cell r="BL514">
            <v>0</v>
          </cell>
        </row>
        <row r="515">
          <cell r="A515" t="str">
            <v>Jai Alai Casino (SJM)</v>
          </cell>
          <cell r="B515">
            <v>208</v>
          </cell>
          <cell r="C515">
            <v>208</v>
          </cell>
          <cell r="D515">
            <v>208</v>
          </cell>
          <cell r="E515">
            <v>208</v>
          </cell>
          <cell r="F515">
            <v>208</v>
          </cell>
          <cell r="G515">
            <v>208</v>
          </cell>
          <cell r="H515">
            <v>208</v>
          </cell>
          <cell r="I515">
            <v>208</v>
          </cell>
          <cell r="J515">
            <v>208</v>
          </cell>
          <cell r="K515">
            <v>208</v>
          </cell>
          <cell r="L515">
            <v>208</v>
          </cell>
          <cell r="M515">
            <v>208</v>
          </cell>
          <cell r="N515">
            <v>208</v>
          </cell>
          <cell r="O515">
            <v>208</v>
          </cell>
          <cell r="P515">
            <v>208</v>
          </cell>
          <cell r="Q515">
            <v>208</v>
          </cell>
          <cell r="R515">
            <v>208</v>
          </cell>
          <cell r="S515">
            <v>208</v>
          </cell>
          <cell r="T515">
            <v>208</v>
          </cell>
          <cell r="U515">
            <v>208</v>
          </cell>
          <cell r="V515">
            <v>208</v>
          </cell>
          <cell r="W515">
            <v>208</v>
          </cell>
          <cell r="X515">
            <v>208</v>
          </cell>
          <cell r="Y515">
            <v>208</v>
          </cell>
          <cell r="Z515">
            <v>208</v>
          </cell>
          <cell r="AA515">
            <v>208</v>
          </cell>
          <cell r="AB515">
            <v>208</v>
          </cell>
          <cell r="AC515">
            <v>208</v>
          </cell>
          <cell r="AD515">
            <v>208</v>
          </cell>
          <cell r="AE515">
            <v>208</v>
          </cell>
          <cell r="AF515">
            <v>208</v>
          </cell>
          <cell r="AG515">
            <v>208</v>
          </cell>
          <cell r="AH515">
            <v>208</v>
          </cell>
          <cell r="AI515">
            <v>208</v>
          </cell>
          <cell r="AJ515">
            <v>208</v>
          </cell>
          <cell r="AK515">
            <v>208</v>
          </cell>
          <cell r="AL515">
            <v>208</v>
          </cell>
          <cell r="AM515">
            <v>208</v>
          </cell>
          <cell r="AN515">
            <v>208</v>
          </cell>
          <cell r="AO515">
            <v>208</v>
          </cell>
          <cell r="AP515">
            <v>208</v>
          </cell>
          <cell r="AQ515">
            <v>208</v>
          </cell>
          <cell r="AR515">
            <v>303</v>
          </cell>
          <cell r="AS515">
            <v>303</v>
          </cell>
          <cell r="AT515">
            <v>303</v>
          </cell>
          <cell r="AU515">
            <v>303</v>
          </cell>
          <cell r="AV515">
            <v>303</v>
          </cell>
          <cell r="AW515">
            <v>0</v>
          </cell>
          <cell r="AX515">
            <v>0</v>
          </cell>
          <cell r="AY515">
            <v>0</v>
          </cell>
          <cell r="AZ515">
            <v>0</v>
          </cell>
          <cell r="BA515">
            <v>0</v>
          </cell>
          <cell r="BK515">
            <v>208</v>
          </cell>
          <cell r="BL515">
            <v>95</v>
          </cell>
        </row>
        <row r="516">
          <cell r="A516" t="str">
            <v>Kam Pek Casino (SJM)</v>
          </cell>
          <cell r="B516">
            <v>71</v>
          </cell>
          <cell r="C516">
            <v>71</v>
          </cell>
          <cell r="D516">
            <v>71</v>
          </cell>
          <cell r="E516">
            <v>71</v>
          </cell>
          <cell r="F516">
            <v>71</v>
          </cell>
          <cell r="G516">
            <v>71</v>
          </cell>
          <cell r="H516">
            <v>71</v>
          </cell>
          <cell r="I516">
            <v>71</v>
          </cell>
          <cell r="J516">
            <v>71</v>
          </cell>
          <cell r="K516">
            <v>71</v>
          </cell>
          <cell r="L516">
            <v>71</v>
          </cell>
          <cell r="M516">
            <v>71</v>
          </cell>
          <cell r="N516">
            <v>71</v>
          </cell>
          <cell r="O516">
            <v>71</v>
          </cell>
          <cell r="P516">
            <v>71</v>
          </cell>
          <cell r="Q516">
            <v>71</v>
          </cell>
          <cell r="R516">
            <v>71</v>
          </cell>
          <cell r="S516">
            <v>71</v>
          </cell>
          <cell r="T516">
            <v>71</v>
          </cell>
          <cell r="U516">
            <v>71</v>
          </cell>
          <cell r="V516">
            <v>71</v>
          </cell>
          <cell r="W516">
            <v>71</v>
          </cell>
          <cell r="X516">
            <v>71</v>
          </cell>
          <cell r="Y516">
            <v>71</v>
          </cell>
          <cell r="Z516">
            <v>71</v>
          </cell>
          <cell r="AA516">
            <v>71</v>
          </cell>
          <cell r="AB516">
            <v>71</v>
          </cell>
          <cell r="AC516">
            <v>71</v>
          </cell>
          <cell r="AD516">
            <v>71</v>
          </cell>
          <cell r="AE516">
            <v>71</v>
          </cell>
          <cell r="AF516">
            <v>71</v>
          </cell>
          <cell r="AG516">
            <v>71</v>
          </cell>
          <cell r="AH516">
            <v>71</v>
          </cell>
          <cell r="AI516">
            <v>71</v>
          </cell>
          <cell r="AJ516">
            <v>71</v>
          </cell>
          <cell r="AK516">
            <v>71</v>
          </cell>
          <cell r="AL516">
            <v>71</v>
          </cell>
          <cell r="AM516">
            <v>71</v>
          </cell>
          <cell r="AN516">
            <v>71</v>
          </cell>
          <cell r="AO516">
            <v>71</v>
          </cell>
          <cell r="AP516">
            <v>71</v>
          </cell>
          <cell r="AQ516">
            <v>71</v>
          </cell>
          <cell r="AR516">
            <v>0</v>
          </cell>
          <cell r="AS516">
            <v>0</v>
          </cell>
          <cell r="AT516">
            <v>0</v>
          </cell>
          <cell r="AU516">
            <v>0</v>
          </cell>
          <cell r="AV516">
            <v>0</v>
          </cell>
          <cell r="AW516">
            <v>0</v>
          </cell>
          <cell r="AX516">
            <v>0</v>
          </cell>
          <cell r="AY516">
            <v>0</v>
          </cell>
          <cell r="AZ516">
            <v>0</v>
          </cell>
          <cell r="BA516">
            <v>0</v>
          </cell>
          <cell r="BK516">
            <v>71</v>
          </cell>
          <cell r="BL516">
            <v>-71</v>
          </cell>
        </row>
        <row r="517">
          <cell r="A517" t="str">
            <v>Kingsway Hotel &amp; Casino (SJM)</v>
          </cell>
          <cell r="B517">
            <v>20</v>
          </cell>
          <cell r="C517">
            <v>20</v>
          </cell>
          <cell r="D517">
            <v>20</v>
          </cell>
          <cell r="E517">
            <v>20</v>
          </cell>
          <cell r="F517">
            <v>20</v>
          </cell>
          <cell r="G517">
            <v>20</v>
          </cell>
          <cell r="H517">
            <v>20</v>
          </cell>
          <cell r="I517">
            <v>20</v>
          </cell>
          <cell r="J517">
            <v>20</v>
          </cell>
          <cell r="K517">
            <v>20</v>
          </cell>
          <cell r="L517">
            <v>20</v>
          </cell>
          <cell r="M517">
            <v>20</v>
          </cell>
          <cell r="N517">
            <v>20</v>
          </cell>
          <cell r="O517">
            <v>20</v>
          </cell>
          <cell r="P517">
            <v>20</v>
          </cell>
          <cell r="Q517">
            <v>20</v>
          </cell>
          <cell r="R517">
            <v>20</v>
          </cell>
          <cell r="S517">
            <v>20</v>
          </cell>
          <cell r="T517">
            <v>20</v>
          </cell>
          <cell r="U517">
            <v>20</v>
          </cell>
          <cell r="V517">
            <v>20</v>
          </cell>
          <cell r="W517">
            <v>20</v>
          </cell>
          <cell r="X517">
            <v>20</v>
          </cell>
          <cell r="Y517">
            <v>20</v>
          </cell>
          <cell r="Z517">
            <v>20</v>
          </cell>
          <cell r="AA517">
            <v>20</v>
          </cell>
          <cell r="AB517">
            <v>20</v>
          </cell>
          <cell r="AC517">
            <v>20</v>
          </cell>
          <cell r="AD517">
            <v>20</v>
          </cell>
          <cell r="AE517">
            <v>20</v>
          </cell>
          <cell r="AF517">
            <v>20</v>
          </cell>
          <cell r="AG517">
            <v>20</v>
          </cell>
          <cell r="AH517">
            <v>20</v>
          </cell>
          <cell r="AI517">
            <v>20</v>
          </cell>
          <cell r="AJ517">
            <v>20</v>
          </cell>
          <cell r="AK517">
            <v>20</v>
          </cell>
          <cell r="AL517">
            <v>20</v>
          </cell>
          <cell r="AM517">
            <v>20</v>
          </cell>
          <cell r="AN517">
            <v>20</v>
          </cell>
          <cell r="AO517">
            <v>20</v>
          </cell>
          <cell r="AP517">
            <v>20</v>
          </cell>
          <cell r="AQ517">
            <v>20</v>
          </cell>
          <cell r="AR517">
            <v>0</v>
          </cell>
          <cell r="AS517">
            <v>0</v>
          </cell>
          <cell r="AT517">
            <v>0</v>
          </cell>
          <cell r="AU517">
            <v>0</v>
          </cell>
          <cell r="AV517">
            <v>0</v>
          </cell>
          <cell r="AW517">
            <v>0</v>
          </cell>
          <cell r="AX517">
            <v>0</v>
          </cell>
          <cell r="AY517">
            <v>0</v>
          </cell>
          <cell r="AZ517">
            <v>0</v>
          </cell>
          <cell r="BA517">
            <v>0</v>
          </cell>
          <cell r="BK517">
            <v>20</v>
          </cell>
          <cell r="BL517">
            <v>-20</v>
          </cell>
        </row>
        <row r="518">
          <cell r="A518" t="str">
            <v>Macau Jockey Club (MJC) Casino (SJM)</v>
          </cell>
          <cell r="B518">
            <v>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294</v>
          </cell>
          <cell r="AS518">
            <v>294</v>
          </cell>
          <cell r="AT518">
            <v>294</v>
          </cell>
          <cell r="AU518">
            <v>294</v>
          </cell>
          <cell r="AV518">
            <v>294</v>
          </cell>
          <cell r="AW518">
            <v>294</v>
          </cell>
          <cell r="AX518">
            <v>294</v>
          </cell>
          <cell r="AY518">
            <v>294</v>
          </cell>
          <cell r="AZ518">
            <v>294</v>
          </cell>
          <cell r="BA518">
            <v>294</v>
          </cell>
          <cell r="BK518">
            <v>0</v>
          </cell>
          <cell r="BL518">
            <v>294</v>
          </cell>
        </row>
        <row r="519">
          <cell r="A519" t="str">
            <v>Mandarin Oriental Casino (SJM)</v>
          </cell>
          <cell r="B519">
            <v>59</v>
          </cell>
          <cell r="C519">
            <v>59</v>
          </cell>
          <cell r="D519">
            <v>59</v>
          </cell>
          <cell r="E519">
            <v>59</v>
          </cell>
          <cell r="F519">
            <v>59</v>
          </cell>
          <cell r="G519">
            <v>59</v>
          </cell>
          <cell r="H519">
            <v>59</v>
          </cell>
          <cell r="I519">
            <v>59</v>
          </cell>
          <cell r="J519">
            <v>59</v>
          </cell>
          <cell r="K519">
            <v>59</v>
          </cell>
          <cell r="L519">
            <v>59</v>
          </cell>
          <cell r="M519">
            <v>59</v>
          </cell>
          <cell r="N519">
            <v>59</v>
          </cell>
          <cell r="O519">
            <v>59</v>
          </cell>
          <cell r="P519">
            <v>59</v>
          </cell>
          <cell r="Q519">
            <v>59</v>
          </cell>
          <cell r="R519">
            <v>59</v>
          </cell>
          <cell r="S519">
            <v>59</v>
          </cell>
          <cell r="T519">
            <v>59</v>
          </cell>
          <cell r="U519">
            <v>59</v>
          </cell>
          <cell r="V519">
            <v>59</v>
          </cell>
          <cell r="W519">
            <v>59</v>
          </cell>
          <cell r="X519">
            <v>59</v>
          </cell>
          <cell r="Y519">
            <v>59</v>
          </cell>
          <cell r="Z519">
            <v>59</v>
          </cell>
          <cell r="AA519">
            <v>59</v>
          </cell>
          <cell r="AB519">
            <v>59</v>
          </cell>
          <cell r="AC519">
            <v>59</v>
          </cell>
          <cell r="AD519">
            <v>59</v>
          </cell>
          <cell r="AE519">
            <v>59</v>
          </cell>
          <cell r="AF519">
            <v>59</v>
          </cell>
          <cell r="AG519">
            <v>59</v>
          </cell>
          <cell r="AH519">
            <v>59</v>
          </cell>
          <cell r="AI519">
            <v>59</v>
          </cell>
          <cell r="AJ519">
            <v>59</v>
          </cell>
          <cell r="AK519">
            <v>59</v>
          </cell>
          <cell r="AL519">
            <v>59</v>
          </cell>
          <cell r="AM519">
            <v>59</v>
          </cell>
          <cell r="AN519">
            <v>59</v>
          </cell>
          <cell r="AO519">
            <v>59</v>
          </cell>
          <cell r="AP519">
            <v>59</v>
          </cell>
          <cell r="AQ519">
            <v>59</v>
          </cell>
          <cell r="AR519">
            <v>141</v>
          </cell>
          <cell r="AS519">
            <v>141</v>
          </cell>
          <cell r="AT519">
            <v>141</v>
          </cell>
          <cell r="AU519">
            <v>141</v>
          </cell>
          <cell r="AV519">
            <v>141</v>
          </cell>
          <cell r="AW519">
            <v>141</v>
          </cell>
          <cell r="AX519">
            <v>141</v>
          </cell>
          <cell r="AY519">
            <v>141</v>
          </cell>
          <cell r="AZ519">
            <v>141</v>
          </cell>
          <cell r="BA519">
            <v>141</v>
          </cell>
          <cell r="BK519">
            <v>59</v>
          </cell>
          <cell r="BL519">
            <v>82</v>
          </cell>
        </row>
        <row r="520">
          <cell r="A520" t="str">
            <v>New Century Casino (SJM)</v>
          </cell>
          <cell r="B520">
            <v>105</v>
          </cell>
          <cell r="C520">
            <v>105</v>
          </cell>
          <cell r="D520">
            <v>105</v>
          </cell>
          <cell r="E520">
            <v>105</v>
          </cell>
          <cell r="F520">
            <v>105</v>
          </cell>
          <cell r="G520">
            <v>105</v>
          </cell>
          <cell r="H520">
            <v>105</v>
          </cell>
          <cell r="I520">
            <v>105</v>
          </cell>
          <cell r="J520">
            <v>105</v>
          </cell>
          <cell r="K520">
            <v>105</v>
          </cell>
          <cell r="L520">
            <v>105</v>
          </cell>
          <cell r="M520">
            <v>105</v>
          </cell>
          <cell r="N520">
            <v>105</v>
          </cell>
          <cell r="O520">
            <v>105</v>
          </cell>
          <cell r="P520">
            <v>105</v>
          </cell>
          <cell r="Q520">
            <v>105</v>
          </cell>
          <cell r="R520">
            <v>105</v>
          </cell>
          <cell r="S520">
            <v>105</v>
          </cell>
          <cell r="T520">
            <v>105</v>
          </cell>
          <cell r="U520">
            <v>105</v>
          </cell>
          <cell r="V520">
            <v>105</v>
          </cell>
          <cell r="W520">
            <v>105</v>
          </cell>
          <cell r="X520">
            <v>105</v>
          </cell>
          <cell r="Y520">
            <v>105</v>
          </cell>
          <cell r="Z520">
            <v>105</v>
          </cell>
          <cell r="AA520">
            <v>105</v>
          </cell>
          <cell r="AB520">
            <v>105</v>
          </cell>
          <cell r="AC520">
            <v>105</v>
          </cell>
          <cell r="AD520">
            <v>105</v>
          </cell>
          <cell r="AE520">
            <v>105</v>
          </cell>
          <cell r="AF520">
            <v>0</v>
          </cell>
          <cell r="AG520">
            <v>78.75</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K520">
            <v>0</v>
          </cell>
          <cell r="BL520">
            <v>0</v>
          </cell>
        </row>
        <row r="521">
          <cell r="A521" t="str">
            <v>Pharoh's Palace &amp; Legend Club (SJM)</v>
          </cell>
          <cell r="B521">
            <v>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108</v>
          </cell>
          <cell r="Y521">
            <v>108</v>
          </cell>
          <cell r="Z521">
            <v>108</v>
          </cell>
          <cell r="AA521">
            <v>108</v>
          </cell>
          <cell r="AB521">
            <v>108</v>
          </cell>
          <cell r="AC521">
            <v>108</v>
          </cell>
          <cell r="AD521">
            <v>108</v>
          </cell>
          <cell r="AE521">
            <v>108</v>
          </cell>
          <cell r="AF521">
            <v>108</v>
          </cell>
          <cell r="AG521">
            <v>108</v>
          </cell>
          <cell r="AH521">
            <v>108</v>
          </cell>
          <cell r="AI521">
            <v>108</v>
          </cell>
          <cell r="AJ521">
            <v>108</v>
          </cell>
          <cell r="AK521">
            <v>383</v>
          </cell>
          <cell r="AL521">
            <v>176.75</v>
          </cell>
          <cell r="AM521">
            <v>383</v>
          </cell>
          <cell r="AN521">
            <v>383</v>
          </cell>
          <cell r="AO521">
            <v>383</v>
          </cell>
          <cell r="AP521">
            <v>383</v>
          </cell>
          <cell r="AQ521">
            <v>383</v>
          </cell>
          <cell r="AR521">
            <v>269</v>
          </cell>
          <cell r="AS521">
            <v>269</v>
          </cell>
          <cell r="AT521">
            <v>269</v>
          </cell>
          <cell r="AU521">
            <v>269</v>
          </cell>
          <cell r="AV521">
            <v>269</v>
          </cell>
          <cell r="AW521">
            <v>269</v>
          </cell>
          <cell r="AX521">
            <v>269</v>
          </cell>
          <cell r="AY521">
            <v>269</v>
          </cell>
          <cell r="AZ521">
            <v>269</v>
          </cell>
          <cell r="BA521">
            <v>269</v>
          </cell>
          <cell r="BK521">
            <v>383</v>
          </cell>
          <cell r="BL521">
            <v>-114</v>
          </cell>
        </row>
        <row r="522">
          <cell r="A522" t="str">
            <v>Hotel Emperor Casino (SJM)</v>
          </cell>
          <cell r="B522">
            <v>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333</v>
          </cell>
          <cell r="AN522">
            <v>333</v>
          </cell>
          <cell r="AO522">
            <v>333</v>
          </cell>
          <cell r="AP522">
            <v>333</v>
          </cell>
          <cell r="AQ522">
            <v>333</v>
          </cell>
          <cell r="AR522">
            <v>347</v>
          </cell>
          <cell r="AS522">
            <v>347</v>
          </cell>
          <cell r="AT522">
            <v>347</v>
          </cell>
          <cell r="AU522">
            <v>347</v>
          </cell>
          <cell r="AV522">
            <v>347</v>
          </cell>
          <cell r="AW522">
            <v>347</v>
          </cell>
          <cell r="AX522">
            <v>347</v>
          </cell>
          <cell r="AY522">
            <v>347</v>
          </cell>
          <cell r="AZ522">
            <v>347</v>
          </cell>
          <cell r="BA522">
            <v>347</v>
          </cell>
          <cell r="BK522">
            <v>333</v>
          </cell>
          <cell r="BL522">
            <v>14</v>
          </cell>
        </row>
        <row r="523">
          <cell r="A523" t="str">
            <v>Ponte 16 (SJM)</v>
          </cell>
          <cell r="B523">
            <v>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300</v>
          </cell>
          <cell r="AU523">
            <v>300</v>
          </cell>
          <cell r="AV523">
            <v>150</v>
          </cell>
          <cell r="AW523">
            <v>300</v>
          </cell>
          <cell r="AX523">
            <v>300</v>
          </cell>
          <cell r="AY523">
            <v>300</v>
          </cell>
          <cell r="AZ523">
            <v>300</v>
          </cell>
          <cell r="BA523">
            <v>300</v>
          </cell>
          <cell r="BK523">
            <v>150</v>
          </cell>
          <cell r="BL523">
            <v>0</v>
          </cell>
        </row>
        <row r="524">
          <cell r="A524" t="str">
            <v>Grand Lisboa (SJM)</v>
          </cell>
          <cell r="B524">
            <v>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242</v>
          </cell>
          <cell r="AS524">
            <v>484</v>
          </cell>
          <cell r="AT524">
            <v>484</v>
          </cell>
          <cell r="AU524">
            <v>484</v>
          </cell>
          <cell r="AV524">
            <v>423.5</v>
          </cell>
          <cell r="AW524">
            <v>484</v>
          </cell>
          <cell r="AX524">
            <v>484</v>
          </cell>
          <cell r="AY524">
            <v>484</v>
          </cell>
          <cell r="AZ524">
            <v>484</v>
          </cell>
          <cell r="BA524">
            <v>484</v>
          </cell>
          <cell r="BK524">
            <v>100</v>
          </cell>
          <cell r="BL524">
            <v>323.5</v>
          </cell>
        </row>
        <row r="525">
          <cell r="A525" t="str">
            <v>Babylon at Fisherman's Wharf (SJM)</v>
          </cell>
          <cell r="B525">
            <v>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339</v>
          </cell>
          <cell r="AS525">
            <v>339</v>
          </cell>
          <cell r="AT525">
            <v>339</v>
          </cell>
          <cell r="AU525">
            <v>339</v>
          </cell>
          <cell r="AV525">
            <v>339</v>
          </cell>
          <cell r="AW525">
            <v>339</v>
          </cell>
          <cell r="AX525">
            <v>339</v>
          </cell>
          <cell r="AY525">
            <v>339</v>
          </cell>
          <cell r="AZ525">
            <v>339</v>
          </cell>
          <cell r="BA525">
            <v>339</v>
          </cell>
          <cell r="BK525">
            <v>100</v>
          </cell>
          <cell r="BL525">
            <v>239</v>
          </cell>
        </row>
        <row r="526">
          <cell r="A526" t="str">
            <v>TigerSlot at Macau Tower (SJM)</v>
          </cell>
          <cell r="AH526">
            <v>0</v>
          </cell>
          <cell r="AI526">
            <v>0</v>
          </cell>
          <cell r="AJ526">
            <v>0</v>
          </cell>
          <cell r="AK526">
            <v>0</v>
          </cell>
          <cell r="AL526">
            <v>0</v>
          </cell>
          <cell r="AM526">
            <v>0</v>
          </cell>
          <cell r="AN526">
            <v>0</v>
          </cell>
          <cell r="AO526">
            <v>0</v>
          </cell>
          <cell r="AP526">
            <v>0</v>
          </cell>
          <cell r="AQ526">
            <v>0</v>
          </cell>
          <cell r="AR526">
            <v>202</v>
          </cell>
          <cell r="AS526">
            <v>202</v>
          </cell>
          <cell r="AT526">
            <v>202</v>
          </cell>
          <cell r="AU526">
            <v>202</v>
          </cell>
          <cell r="AV526">
            <v>202</v>
          </cell>
          <cell r="AW526">
            <v>202</v>
          </cell>
          <cell r="AX526">
            <v>202</v>
          </cell>
          <cell r="AY526">
            <v>202</v>
          </cell>
          <cell r="AZ526">
            <v>202</v>
          </cell>
          <cell r="BA526">
            <v>202</v>
          </cell>
        </row>
        <row r="527">
          <cell r="A527" t="str">
            <v>Yat Yuen (Dog racing area) (SJM)</v>
          </cell>
          <cell r="AH527">
            <v>0</v>
          </cell>
          <cell r="AI527">
            <v>0</v>
          </cell>
          <cell r="AJ527">
            <v>0</v>
          </cell>
          <cell r="AK527">
            <v>0</v>
          </cell>
          <cell r="AL527">
            <v>0</v>
          </cell>
          <cell r="AM527">
            <v>0</v>
          </cell>
          <cell r="AN527">
            <v>0</v>
          </cell>
          <cell r="AO527">
            <v>0</v>
          </cell>
          <cell r="AP527">
            <v>0</v>
          </cell>
          <cell r="AQ527">
            <v>0</v>
          </cell>
          <cell r="AR527">
            <v>97</v>
          </cell>
          <cell r="AS527">
            <v>97</v>
          </cell>
          <cell r="AT527">
            <v>97</v>
          </cell>
          <cell r="AU527">
            <v>97</v>
          </cell>
          <cell r="AV527">
            <v>97</v>
          </cell>
          <cell r="AW527">
            <v>97</v>
          </cell>
          <cell r="AX527">
            <v>97</v>
          </cell>
          <cell r="AY527">
            <v>97</v>
          </cell>
          <cell r="AZ527">
            <v>97</v>
          </cell>
          <cell r="BA527">
            <v>97</v>
          </cell>
        </row>
        <row r="528">
          <cell r="A528" t="str">
            <v>Treasure Hunt at ZAPE (SJM)</v>
          </cell>
          <cell r="AH528">
            <v>0</v>
          </cell>
          <cell r="AI528">
            <v>0</v>
          </cell>
          <cell r="AJ528">
            <v>0</v>
          </cell>
          <cell r="AK528">
            <v>0</v>
          </cell>
          <cell r="AL528">
            <v>0</v>
          </cell>
          <cell r="AM528">
            <v>0</v>
          </cell>
          <cell r="AN528">
            <v>0</v>
          </cell>
          <cell r="AO528">
            <v>0</v>
          </cell>
          <cell r="AP528">
            <v>0</v>
          </cell>
          <cell r="AQ528">
            <v>0</v>
          </cell>
          <cell r="AR528">
            <v>114</v>
          </cell>
          <cell r="AS528">
            <v>114</v>
          </cell>
          <cell r="AT528">
            <v>114</v>
          </cell>
          <cell r="AU528">
            <v>114</v>
          </cell>
          <cell r="AV528">
            <v>114</v>
          </cell>
          <cell r="AW528">
            <v>114</v>
          </cell>
          <cell r="AX528">
            <v>114</v>
          </cell>
          <cell r="AY528">
            <v>114</v>
          </cell>
          <cell r="AZ528">
            <v>114</v>
          </cell>
          <cell r="BA528">
            <v>114</v>
          </cell>
        </row>
        <row r="529">
          <cell r="A529" t="str">
            <v>Arc de Triomphe (SJM)</v>
          </cell>
          <cell r="B529">
            <v>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200</v>
          </cell>
          <cell r="AX529">
            <v>200</v>
          </cell>
          <cell r="AY529">
            <v>200</v>
          </cell>
          <cell r="AZ529">
            <v>200</v>
          </cell>
          <cell r="BA529">
            <v>200</v>
          </cell>
          <cell r="BK529">
            <v>0</v>
          </cell>
          <cell r="BL529">
            <v>0</v>
          </cell>
        </row>
        <row r="530">
          <cell r="A530" t="str">
            <v>Oceanus (SJM)</v>
          </cell>
          <cell r="B530">
            <v>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1000</v>
          </cell>
          <cell r="AY530">
            <v>1000</v>
          </cell>
          <cell r="AZ530">
            <v>1000</v>
          </cell>
          <cell r="BA530">
            <v>1000</v>
          </cell>
          <cell r="BK530">
            <v>0</v>
          </cell>
          <cell r="BL530">
            <v>0</v>
          </cell>
        </row>
        <row r="531">
          <cell r="A531" t="str">
            <v>Shun Tak Nam Van (SJM)</v>
          </cell>
          <cell r="B531">
            <v>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300</v>
          </cell>
          <cell r="AZ531">
            <v>300</v>
          </cell>
          <cell r="BA531">
            <v>300</v>
          </cell>
          <cell r="BK531">
            <v>0</v>
          </cell>
          <cell r="BL531">
            <v>0</v>
          </cell>
        </row>
        <row r="532">
          <cell r="A532" t="str">
            <v>Shun Tak Cotai (SJM)</v>
          </cell>
          <cell r="B532">
            <v>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1000</v>
          </cell>
          <cell r="BA532">
            <v>1000</v>
          </cell>
          <cell r="BK532">
            <v>0</v>
          </cell>
          <cell r="BL532">
            <v>0</v>
          </cell>
        </row>
        <row r="533">
          <cell r="A533" t="str">
            <v>Crown Macau (Melco/PBL)</v>
          </cell>
          <cell r="B533">
            <v>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333.33333333333331</v>
          </cell>
          <cell r="AT533">
            <v>500</v>
          </cell>
          <cell r="AU533">
            <v>500</v>
          </cell>
          <cell r="AV533">
            <v>333.33333333333331</v>
          </cell>
          <cell r="AW533">
            <v>500</v>
          </cell>
          <cell r="AX533">
            <v>500</v>
          </cell>
          <cell r="AY533">
            <v>500</v>
          </cell>
          <cell r="AZ533">
            <v>500</v>
          </cell>
          <cell r="BA533">
            <v>500</v>
          </cell>
          <cell r="BK533">
            <v>250</v>
          </cell>
          <cell r="BL533">
            <v>83.333333333333314</v>
          </cell>
        </row>
        <row r="534">
          <cell r="A534" t="str">
            <v>Penninsula Project (Melco/PBL)</v>
          </cell>
          <cell r="B534">
            <v>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250</v>
          </cell>
          <cell r="AY534">
            <v>500</v>
          </cell>
          <cell r="AZ534">
            <v>500</v>
          </cell>
          <cell r="BA534">
            <v>500</v>
          </cell>
          <cell r="BK534">
            <v>0</v>
          </cell>
          <cell r="BL534">
            <v>0</v>
          </cell>
        </row>
        <row r="535">
          <cell r="A535" t="str">
            <v>City of Dreams (Melco/PBL)</v>
          </cell>
          <cell r="B535">
            <v>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2500</v>
          </cell>
          <cell r="AY535">
            <v>2500</v>
          </cell>
          <cell r="AZ535">
            <v>2500</v>
          </cell>
          <cell r="BA535">
            <v>2500</v>
          </cell>
          <cell r="BK535">
            <v>0</v>
          </cell>
          <cell r="BL535">
            <v>0</v>
          </cell>
        </row>
        <row r="536">
          <cell r="A536" t="str">
            <v>Galaxy Waldo Hotel and Casino (Galaxy)</v>
          </cell>
          <cell r="B536">
            <v>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74</v>
          </cell>
          <cell r="AF536">
            <v>74</v>
          </cell>
          <cell r="AG536">
            <v>37</v>
          </cell>
          <cell r="AH536">
            <v>74</v>
          </cell>
          <cell r="AI536">
            <v>74</v>
          </cell>
          <cell r="AJ536">
            <v>74</v>
          </cell>
          <cell r="AK536">
            <v>75</v>
          </cell>
          <cell r="AL536">
            <v>74.25</v>
          </cell>
          <cell r="AM536">
            <v>75</v>
          </cell>
          <cell r="AN536">
            <v>75</v>
          </cell>
          <cell r="AO536">
            <v>75</v>
          </cell>
          <cell r="AP536">
            <v>75</v>
          </cell>
          <cell r="AQ536">
            <v>75</v>
          </cell>
          <cell r="AR536">
            <v>75</v>
          </cell>
          <cell r="AS536">
            <v>75</v>
          </cell>
          <cell r="AT536">
            <v>75</v>
          </cell>
          <cell r="AU536">
            <v>75</v>
          </cell>
          <cell r="AV536">
            <v>75</v>
          </cell>
          <cell r="AW536">
            <v>75</v>
          </cell>
          <cell r="AX536">
            <v>75</v>
          </cell>
          <cell r="AY536">
            <v>75</v>
          </cell>
          <cell r="AZ536">
            <v>75</v>
          </cell>
          <cell r="BA536">
            <v>75</v>
          </cell>
          <cell r="BK536">
            <v>75</v>
          </cell>
          <cell r="BL536">
            <v>0</v>
          </cell>
        </row>
        <row r="537">
          <cell r="A537" t="str">
            <v>Galaxy Rio Hotel City Club (Galaxy)</v>
          </cell>
          <cell r="B537">
            <v>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75</v>
          </cell>
          <cell r="AN537">
            <v>150</v>
          </cell>
          <cell r="AO537">
            <v>150</v>
          </cell>
          <cell r="AP537">
            <v>150</v>
          </cell>
          <cell r="AQ537">
            <v>131.25</v>
          </cell>
          <cell r="AR537">
            <v>150</v>
          </cell>
          <cell r="AS537">
            <v>150</v>
          </cell>
          <cell r="AT537">
            <v>150</v>
          </cell>
          <cell r="AU537">
            <v>150</v>
          </cell>
          <cell r="AV537">
            <v>150</v>
          </cell>
          <cell r="AW537">
            <v>150</v>
          </cell>
          <cell r="AX537">
            <v>150</v>
          </cell>
          <cell r="AY537">
            <v>150</v>
          </cell>
          <cell r="AZ537">
            <v>150</v>
          </cell>
          <cell r="BA537">
            <v>150</v>
          </cell>
          <cell r="BK537">
            <v>150</v>
          </cell>
          <cell r="BL537">
            <v>0</v>
          </cell>
        </row>
        <row r="538">
          <cell r="A538" t="str">
            <v>Hotel Presidente Casino (Galaxy)</v>
          </cell>
          <cell r="B538">
            <v>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K538">
            <v>0</v>
          </cell>
          <cell r="BL538">
            <v>0</v>
          </cell>
        </row>
        <row r="539">
          <cell r="A539" t="str">
            <v>Galaxy Grand Waldo (Galaxy)</v>
          </cell>
          <cell r="B539">
            <v>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167</v>
          </cell>
          <cell r="AO539">
            <v>334</v>
          </cell>
          <cell r="AP539">
            <v>334</v>
          </cell>
          <cell r="AQ539">
            <v>208.75</v>
          </cell>
          <cell r="AR539">
            <v>334</v>
          </cell>
          <cell r="AS539">
            <v>334</v>
          </cell>
          <cell r="AT539">
            <v>334</v>
          </cell>
          <cell r="AU539">
            <v>334</v>
          </cell>
          <cell r="AV539">
            <v>334</v>
          </cell>
          <cell r="AW539">
            <v>334</v>
          </cell>
          <cell r="AX539">
            <v>334</v>
          </cell>
          <cell r="AY539">
            <v>334</v>
          </cell>
          <cell r="AZ539">
            <v>334</v>
          </cell>
          <cell r="BA539">
            <v>334</v>
          </cell>
          <cell r="BK539">
            <v>334</v>
          </cell>
          <cell r="BL539">
            <v>0</v>
          </cell>
        </row>
        <row r="540">
          <cell r="A540" t="str">
            <v>Galaxy StarWorld (Galaxy)</v>
          </cell>
          <cell r="B540">
            <v>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277.71739130434781</v>
          </cell>
          <cell r="AQ540">
            <v>69.429347826086953</v>
          </cell>
          <cell r="AR540">
            <v>350</v>
          </cell>
          <cell r="AS540">
            <v>350</v>
          </cell>
          <cell r="AT540">
            <v>350</v>
          </cell>
          <cell r="AU540">
            <v>350</v>
          </cell>
          <cell r="AV540">
            <v>350</v>
          </cell>
          <cell r="AW540">
            <v>350</v>
          </cell>
          <cell r="AX540">
            <v>350</v>
          </cell>
          <cell r="AY540">
            <v>350</v>
          </cell>
          <cell r="AZ540">
            <v>350</v>
          </cell>
          <cell r="BA540">
            <v>350</v>
          </cell>
          <cell r="BK540">
            <v>371</v>
          </cell>
          <cell r="BL540">
            <v>-21</v>
          </cell>
        </row>
        <row r="541">
          <cell r="A541" t="str">
            <v>Galaxy Cotai Mega Resort (Galaxy)</v>
          </cell>
          <cell r="B541">
            <v>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500</v>
          </cell>
          <cell r="AX541">
            <v>1000</v>
          </cell>
          <cell r="AY541">
            <v>1000</v>
          </cell>
          <cell r="AZ541">
            <v>1000</v>
          </cell>
          <cell r="BA541">
            <v>1000</v>
          </cell>
          <cell r="BK541">
            <v>0</v>
          </cell>
          <cell r="BL541">
            <v>0</v>
          </cell>
        </row>
        <row r="542">
          <cell r="A542" t="str">
            <v>Sands Macao (LVS)</v>
          </cell>
          <cell r="B542">
            <v>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113.87912087912088</v>
          </cell>
          <cell r="AE542">
            <v>519</v>
          </cell>
          <cell r="AF542">
            <v>666</v>
          </cell>
          <cell r="AG542">
            <v>324.7197802197802</v>
          </cell>
          <cell r="AH542">
            <v>764</v>
          </cell>
          <cell r="AI542">
            <v>822</v>
          </cell>
          <cell r="AJ542">
            <v>802</v>
          </cell>
          <cell r="AK542">
            <v>778</v>
          </cell>
          <cell r="AL542">
            <v>791.5</v>
          </cell>
          <cell r="AM542">
            <v>907</v>
          </cell>
          <cell r="AN542">
            <v>895</v>
          </cell>
          <cell r="AO542">
            <v>934</v>
          </cell>
          <cell r="AP542">
            <v>1233</v>
          </cell>
          <cell r="AQ542">
            <v>992.25</v>
          </cell>
          <cell r="AR542">
            <v>1233</v>
          </cell>
          <cell r="AS542">
            <v>1233</v>
          </cell>
          <cell r="AT542">
            <v>1233</v>
          </cell>
          <cell r="AU542">
            <v>1233</v>
          </cell>
          <cell r="AV542">
            <v>1233</v>
          </cell>
          <cell r="AW542">
            <v>1233</v>
          </cell>
          <cell r="AX542">
            <v>1233</v>
          </cell>
          <cell r="AY542">
            <v>1233</v>
          </cell>
          <cell r="AZ542">
            <v>1233</v>
          </cell>
          <cell r="BA542">
            <v>1233</v>
          </cell>
          <cell r="BK542">
            <v>1254</v>
          </cell>
          <cell r="BL542">
            <v>-21</v>
          </cell>
        </row>
        <row r="543">
          <cell r="A543" t="str">
            <v>Venetian Macao (LVS)</v>
          </cell>
          <cell r="B543">
            <v>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4100</v>
          </cell>
          <cell r="AU543">
            <v>4100</v>
          </cell>
          <cell r="AV543">
            <v>2050</v>
          </cell>
          <cell r="AW543">
            <v>4100</v>
          </cell>
          <cell r="AX543">
            <v>4100</v>
          </cell>
          <cell r="AY543">
            <v>4100</v>
          </cell>
          <cell r="AZ543">
            <v>7000</v>
          </cell>
          <cell r="BA543">
            <v>7000</v>
          </cell>
          <cell r="BK543">
            <v>2000</v>
          </cell>
          <cell r="BL543">
            <v>50</v>
          </cell>
        </row>
        <row r="544">
          <cell r="A544" t="str">
            <v>Cotai Site 2 - Four Seasons (LVS)</v>
          </cell>
          <cell r="B544">
            <v>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400</v>
          </cell>
          <cell r="AX544">
            <v>400</v>
          </cell>
          <cell r="AY544">
            <v>400</v>
          </cell>
          <cell r="AZ544">
            <v>400</v>
          </cell>
          <cell r="BA544">
            <v>400</v>
          </cell>
          <cell r="BK544">
            <v>0</v>
          </cell>
          <cell r="BL544">
            <v>0</v>
          </cell>
        </row>
        <row r="545">
          <cell r="A545" t="str">
            <v>Cotai Site 3 - Far East (LVS)</v>
          </cell>
          <cell r="B545">
            <v>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875</v>
          </cell>
          <cell r="AY545">
            <v>1750</v>
          </cell>
          <cell r="AZ545">
            <v>1750</v>
          </cell>
          <cell r="BA545">
            <v>1750</v>
          </cell>
          <cell r="BK545">
            <v>0</v>
          </cell>
          <cell r="BL545">
            <v>0</v>
          </cell>
        </row>
        <row r="546">
          <cell r="A546" t="str">
            <v>Cotai Site 5 - Shangri-La/St.Regis/Traders (LVS)</v>
          </cell>
          <cell r="B546">
            <v>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875</v>
          </cell>
          <cell r="AX546">
            <v>1750</v>
          </cell>
          <cell r="AY546">
            <v>1750</v>
          </cell>
          <cell r="AZ546">
            <v>1750</v>
          </cell>
          <cell r="BA546">
            <v>1750</v>
          </cell>
          <cell r="BK546">
            <v>0</v>
          </cell>
          <cell r="BL546">
            <v>0</v>
          </cell>
        </row>
        <row r="547">
          <cell r="A547" t="str">
            <v>Cotai Site 6 - Starwood (LVS)</v>
          </cell>
          <cell r="B547">
            <v>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875</v>
          </cell>
          <cell r="AX547">
            <v>1750</v>
          </cell>
          <cell r="AY547">
            <v>1750</v>
          </cell>
          <cell r="AZ547">
            <v>1750</v>
          </cell>
          <cell r="BA547">
            <v>1750</v>
          </cell>
          <cell r="BK547">
            <v>0</v>
          </cell>
          <cell r="BL547">
            <v>0</v>
          </cell>
        </row>
        <row r="548">
          <cell r="A548" t="str">
            <v>Cotai Site 7 - Hilton (LVS)</v>
          </cell>
          <cell r="B548">
            <v>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875</v>
          </cell>
          <cell r="AY548">
            <v>1750</v>
          </cell>
          <cell r="AZ548">
            <v>1750</v>
          </cell>
          <cell r="BA548">
            <v>1750</v>
          </cell>
          <cell r="BK548">
            <v>0</v>
          </cell>
          <cell r="BL548">
            <v>0</v>
          </cell>
        </row>
        <row r="549">
          <cell r="A549" t="str">
            <v>Cotai Site 8 - FHR/Raffles (LVS)</v>
          </cell>
          <cell r="B549">
            <v>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875</v>
          </cell>
          <cell r="AY549">
            <v>1750</v>
          </cell>
          <cell r="AZ549">
            <v>1750</v>
          </cell>
          <cell r="BA549">
            <v>1750</v>
          </cell>
          <cell r="BK549">
            <v>0</v>
          </cell>
          <cell r="BL549">
            <v>0</v>
          </cell>
        </row>
        <row r="550">
          <cell r="A550" t="str">
            <v>Wynn Macau (WYNN)</v>
          </cell>
          <cell r="B550">
            <v>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101.90217391304348</v>
          </cell>
          <cell r="AP550">
            <v>366</v>
          </cell>
          <cell r="AQ550">
            <v>116.97554347826087</v>
          </cell>
          <cell r="AR550">
            <v>499</v>
          </cell>
          <cell r="AS550">
            <v>632</v>
          </cell>
          <cell r="AT550">
            <v>1280</v>
          </cell>
          <cell r="AU550">
            <v>1280</v>
          </cell>
          <cell r="AV550">
            <v>922.75</v>
          </cell>
          <cell r="AW550">
            <v>1280</v>
          </cell>
          <cell r="AX550">
            <v>1280</v>
          </cell>
          <cell r="AY550">
            <v>1280</v>
          </cell>
          <cell r="AZ550">
            <v>1280</v>
          </cell>
          <cell r="BA550">
            <v>1280</v>
          </cell>
          <cell r="BK550">
            <v>630</v>
          </cell>
          <cell r="BL550">
            <v>292.75</v>
          </cell>
        </row>
        <row r="551">
          <cell r="A551" t="str">
            <v>Wynn Cotai (WYNN)</v>
          </cell>
          <cell r="B551">
            <v>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3500</v>
          </cell>
          <cell r="AZ551">
            <v>3500</v>
          </cell>
          <cell r="BA551">
            <v>3500</v>
          </cell>
          <cell r="BK551">
            <v>0</v>
          </cell>
          <cell r="BL551">
            <v>0</v>
          </cell>
        </row>
        <row r="552">
          <cell r="A552" t="str">
            <v>Wynn Cotai #2 (WYNN)</v>
          </cell>
          <cell r="B552">
            <v>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3500</v>
          </cell>
          <cell r="AZ552">
            <v>3500</v>
          </cell>
          <cell r="BA552">
            <v>3500</v>
          </cell>
          <cell r="BK552">
            <v>0</v>
          </cell>
          <cell r="BL552">
            <v>0</v>
          </cell>
        </row>
        <row r="553">
          <cell r="A553" t="str">
            <v>MGM Grand (MGM)</v>
          </cell>
          <cell r="B553">
            <v>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1037</v>
          </cell>
          <cell r="AV553">
            <v>259.25</v>
          </cell>
          <cell r="AW553">
            <v>1037</v>
          </cell>
          <cell r="AX553">
            <v>1037</v>
          </cell>
          <cell r="AY553">
            <v>1037</v>
          </cell>
          <cell r="AZ553">
            <v>1037</v>
          </cell>
          <cell r="BA553">
            <v>1037</v>
          </cell>
          <cell r="BK553">
            <v>262.5</v>
          </cell>
          <cell r="BL553">
            <v>-3.25</v>
          </cell>
        </row>
        <row r="554">
          <cell r="A554" t="str">
            <v>MGM Cotai #1 (MGM)</v>
          </cell>
          <cell r="B554">
            <v>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3000</v>
          </cell>
          <cell r="BA554">
            <v>3000</v>
          </cell>
          <cell r="BK554">
            <v>262.5</v>
          </cell>
          <cell r="BL554">
            <v>-262.5</v>
          </cell>
        </row>
        <row r="555">
          <cell r="A555" t="str">
            <v>Mocha Slot Lounges (Melco)</v>
          </cell>
          <cell r="B555">
            <v>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65</v>
          </cell>
          <cell r="AB555">
            <v>16.25</v>
          </cell>
          <cell r="AC555">
            <v>65</v>
          </cell>
          <cell r="AD555">
            <v>209</v>
          </cell>
          <cell r="AE555">
            <v>503</v>
          </cell>
          <cell r="AF555">
            <v>503</v>
          </cell>
          <cell r="AG555">
            <v>320</v>
          </cell>
          <cell r="AH555">
            <v>503</v>
          </cell>
          <cell r="AI555">
            <v>647</v>
          </cell>
          <cell r="AJ555">
            <v>679</v>
          </cell>
          <cell r="AK555">
            <v>809</v>
          </cell>
          <cell r="AL555">
            <v>659.5</v>
          </cell>
          <cell r="AM555">
            <v>937</v>
          </cell>
          <cell r="AN555">
            <v>937</v>
          </cell>
          <cell r="AO555">
            <v>937</v>
          </cell>
          <cell r="AP555">
            <v>937</v>
          </cell>
          <cell r="AQ555">
            <v>937</v>
          </cell>
          <cell r="AR555">
            <v>1137</v>
          </cell>
          <cell r="AS555">
            <v>1137</v>
          </cell>
          <cell r="AT555">
            <v>1337</v>
          </cell>
          <cell r="AU555">
            <v>1537</v>
          </cell>
          <cell r="AV555">
            <v>1287</v>
          </cell>
          <cell r="AW555">
            <v>1987</v>
          </cell>
          <cell r="AX555">
            <v>2137</v>
          </cell>
          <cell r="AY555">
            <v>2737</v>
          </cell>
          <cell r="AZ555">
            <v>3337</v>
          </cell>
          <cell r="BA555">
            <v>3937</v>
          </cell>
          <cell r="BK555">
            <v>1775</v>
          </cell>
          <cell r="BL555">
            <v>-488</v>
          </cell>
        </row>
        <row r="556">
          <cell r="A556" t="str">
            <v>Macau Studio City (eSun)</v>
          </cell>
          <cell r="B556">
            <v>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1000</v>
          </cell>
          <cell r="AY556">
            <v>1000</v>
          </cell>
          <cell r="AZ556">
            <v>1600</v>
          </cell>
          <cell r="BA556">
            <v>1600</v>
          </cell>
          <cell r="BK556">
            <v>0</v>
          </cell>
          <cell r="BL556">
            <v>0</v>
          </cell>
        </row>
        <row r="557">
          <cell r="A557" t="str">
            <v>Adjustment</v>
          </cell>
          <cell r="B557">
            <v>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85.000000000000156</v>
          </cell>
          <cell r="AG557">
            <v>21.250000000000039</v>
          </cell>
          <cell r="AH557">
            <v>331</v>
          </cell>
          <cell r="AI557">
            <v>182.5</v>
          </cell>
          <cell r="AJ557">
            <v>323</v>
          </cell>
          <cell r="AK557">
            <v>265.5</v>
          </cell>
          <cell r="AL557">
            <v>275.5</v>
          </cell>
          <cell r="AM557">
            <v>322.5</v>
          </cell>
          <cell r="AN557">
            <v>372</v>
          </cell>
          <cell r="AO557">
            <v>535.09782608695605</v>
          </cell>
          <cell r="AP557">
            <v>700.78260869565202</v>
          </cell>
          <cell r="AQ557">
            <v>482.59510869565202</v>
          </cell>
          <cell r="AR557">
            <v>700.78260869565202</v>
          </cell>
          <cell r="AS557">
            <v>700.78260869565202</v>
          </cell>
          <cell r="AT557">
            <v>700.78260869565202</v>
          </cell>
          <cell r="AU557">
            <v>700.78260869565202</v>
          </cell>
          <cell r="AV557">
            <v>700.78260869565202</v>
          </cell>
          <cell r="AW557">
            <v>700.78260869565202</v>
          </cell>
          <cell r="AX557">
            <v>700.78260869565202</v>
          </cell>
          <cell r="AY557">
            <v>700.78260869565202</v>
          </cell>
          <cell r="AZ557">
            <v>700.78260869565202</v>
          </cell>
          <cell r="BA557">
            <v>700.78260869565202</v>
          </cell>
          <cell r="BK557">
            <v>155.23913043478206</v>
          </cell>
          <cell r="BL557">
            <v>545.54347826086996</v>
          </cell>
        </row>
        <row r="558">
          <cell r="B558" t="str">
            <v>______</v>
          </cell>
          <cell r="C558" t="str">
            <v>______</v>
          </cell>
          <cell r="D558" t="str">
            <v>______</v>
          </cell>
          <cell r="E558" t="str">
            <v>______</v>
          </cell>
          <cell r="F558" t="str">
            <v>______</v>
          </cell>
          <cell r="G558" t="str">
            <v>______</v>
          </cell>
          <cell r="H558" t="str">
            <v>______</v>
          </cell>
          <cell r="I558" t="str">
            <v>______</v>
          </cell>
          <cell r="J558" t="str">
            <v>______</v>
          </cell>
          <cell r="K558" t="str">
            <v>______</v>
          </cell>
          <cell r="L558" t="str">
            <v>______</v>
          </cell>
          <cell r="M558" t="str">
            <v>______</v>
          </cell>
          <cell r="N558" t="str">
            <v>______</v>
          </cell>
          <cell r="O558" t="str">
            <v>______</v>
          </cell>
          <cell r="P558" t="str">
            <v>______</v>
          </cell>
          <cell r="Q558" t="str">
            <v>______</v>
          </cell>
          <cell r="R558" t="str">
            <v>______</v>
          </cell>
          <cell r="S558" t="str">
            <v>______</v>
          </cell>
          <cell r="T558" t="str">
            <v>______</v>
          </cell>
          <cell r="U558" t="str">
            <v>______</v>
          </cell>
          <cell r="V558" t="str">
            <v>______</v>
          </cell>
          <cell r="W558" t="str">
            <v>______</v>
          </cell>
          <cell r="X558" t="str">
            <v>______</v>
          </cell>
          <cell r="Y558" t="str">
            <v>______</v>
          </cell>
          <cell r="Z558" t="str">
            <v>______</v>
          </cell>
          <cell r="AA558" t="str">
            <v>______</v>
          </cell>
          <cell r="AB558" t="str">
            <v>______</v>
          </cell>
          <cell r="AC558" t="str">
            <v>______</v>
          </cell>
          <cell r="AD558" t="str">
            <v>______</v>
          </cell>
          <cell r="AE558" t="str">
            <v>______</v>
          </cell>
          <cell r="AF558" t="str">
            <v>______</v>
          </cell>
          <cell r="AG558" t="str">
            <v>______</v>
          </cell>
          <cell r="AH558" t="str">
            <v>______</v>
          </cell>
          <cell r="AI558" t="str">
            <v>______</v>
          </cell>
          <cell r="AJ558" t="str">
            <v>______</v>
          </cell>
          <cell r="AK558" t="str">
            <v>______</v>
          </cell>
          <cell r="AL558" t="str">
            <v>______</v>
          </cell>
          <cell r="AM558" t="str">
            <v>______</v>
          </cell>
          <cell r="AN558" t="str">
            <v>______</v>
          </cell>
          <cell r="AO558" t="str">
            <v>______</v>
          </cell>
          <cell r="AP558" t="str">
            <v>______</v>
          </cell>
          <cell r="AQ558" t="str">
            <v>______</v>
          </cell>
          <cell r="AR558" t="str">
            <v>______</v>
          </cell>
          <cell r="AS558" t="str">
            <v>______</v>
          </cell>
          <cell r="AT558" t="str">
            <v>______</v>
          </cell>
          <cell r="AU558" t="str">
            <v>______</v>
          </cell>
          <cell r="AV558" t="str">
            <v>______</v>
          </cell>
          <cell r="AW558" t="str">
            <v>______</v>
          </cell>
          <cell r="AX558" t="str">
            <v>______</v>
          </cell>
          <cell r="AY558" t="str">
            <v>______</v>
          </cell>
          <cell r="AZ558" t="str">
            <v>______</v>
          </cell>
          <cell r="BA558" t="str">
            <v>______</v>
          </cell>
          <cell r="BK558" t="str">
            <v>______</v>
          </cell>
        </row>
        <row r="559">
          <cell r="A559" t="str">
            <v>Total Average Slots</v>
          </cell>
          <cell r="B559">
            <v>700</v>
          </cell>
          <cell r="C559">
            <v>700</v>
          </cell>
          <cell r="D559">
            <v>700</v>
          </cell>
          <cell r="E559">
            <v>700</v>
          </cell>
          <cell r="F559">
            <v>700</v>
          </cell>
          <cell r="G559">
            <v>700</v>
          </cell>
          <cell r="H559">
            <v>700</v>
          </cell>
          <cell r="I559">
            <v>700</v>
          </cell>
          <cell r="J559">
            <v>700</v>
          </cell>
          <cell r="K559">
            <v>700</v>
          </cell>
          <cell r="L559">
            <v>700</v>
          </cell>
          <cell r="M559">
            <v>700</v>
          </cell>
          <cell r="N559">
            <v>700</v>
          </cell>
          <cell r="O559">
            <v>700</v>
          </cell>
          <cell r="P559">
            <v>700</v>
          </cell>
          <cell r="Q559">
            <v>700</v>
          </cell>
          <cell r="R559">
            <v>700</v>
          </cell>
          <cell r="S559">
            <v>700</v>
          </cell>
          <cell r="T559">
            <v>700</v>
          </cell>
          <cell r="U559">
            <v>700</v>
          </cell>
          <cell r="V559">
            <v>700</v>
          </cell>
          <cell r="W559">
            <v>700</v>
          </cell>
          <cell r="X559">
            <v>808</v>
          </cell>
          <cell r="Y559">
            <v>808</v>
          </cell>
          <cell r="Z559">
            <v>808</v>
          </cell>
          <cell r="AA559">
            <v>873</v>
          </cell>
          <cell r="AB559">
            <v>824.25</v>
          </cell>
          <cell r="AC559">
            <v>873</v>
          </cell>
          <cell r="AD559">
            <v>1130.8791208791208</v>
          </cell>
          <cell r="AE559">
            <v>2027</v>
          </cell>
          <cell r="AF559">
            <v>2163.782608695652</v>
          </cell>
          <cell r="AG559">
            <v>1548.6654323936932</v>
          </cell>
          <cell r="AH559">
            <v>2721</v>
          </cell>
          <cell r="AI559">
            <v>2774.5</v>
          </cell>
          <cell r="AJ559">
            <v>2927</v>
          </cell>
          <cell r="AK559">
            <v>3251.5</v>
          </cell>
          <cell r="AL559">
            <v>2918.5</v>
          </cell>
          <cell r="AM559">
            <v>3988.5</v>
          </cell>
          <cell r="AN559">
            <v>4378</v>
          </cell>
          <cell r="AO559">
            <v>4849</v>
          </cell>
          <cell r="AP559">
            <v>5855.5</v>
          </cell>
          <cell r="AQ559">
            <v>4767.75</v>
          </cell>
          <cell r="AR559">
            <v>7518.782608695652</v>
          </cell>
          <cell r="AS559">
            <v>8227.115942028986</v>
          </cell>
          <cell r="AT559">
            <v>13641.782608695652</v>
          </cell>
          <cell r="AU559">
            <v>14878.782608695652</v>
          </cell>
          <cell r="AV559">
            <v>11066.615942028986</v>
          </cell>
          <cell r="AW559">
            <v>17875.782608695652</v>
          </cell>
          <cell r="AX559">
            <v>27650.782608695652</v>
          </cell>
          <cell r="AY559">
            <v>38425.782608695648</v>
          </cell>
          <cell r="AZ559">
            <v>46525.782608695648</v>
          </cell>
          <cell r="BA559">
            <v>47125.782608695648</v>
          </cell>
          <cell r="BK559">
            <v>9388.7391304347821</v>
          </cell>
          <cell r="BL559">
            <v>1677.8768115942039</v>
          </cell>
        </row>
        <row r="560">
          <cell r="A560" t="str">
            <v xml:space="preserve">  Growth</v>
          </cell>
          <cell r="AC560">
            <v>8.0445544554455406E-2</v>
          </cell>
          <cell r="AD560">
            <v>0.39960287237514946</v>
          </cell>
          <cell r="AE560">
            <v>1.5086633663366338</v>
          </cell>
          <cell r="AF560">
            <v>1.4785596892275512</v>
          </cell>
          <cell r="AG560">
            <v>0.87887829225804448</v>
          </cell>
          <cell r="AH560">
            <v>2.1168384879725086</v>
          </cell>
          <cell r="AI560">
            <v>1.4534010300262366</v>
          </cell>
          <cell r="AJ560">
            <v>0.44400592007893436</v>
          </cell>
          <cell r="AK560">
            <v>0.50269254727027968</v>
          </cell>
          <cell r="AL560">
            <v>0.88452582394702461</v>
          </cell>
          <cell r="AM560">
            <v>0.46582138919514882</v>
          </cell>
          <cell r="AN560">
            <v>0.57794197152640114</v>
          </cell>
          <cell r="AO560">
            <v>0.65664502903997257</v>
          </cell>
          <cell r="AP560">
            <v>0.80086114101184069</v>
          </cell>
          <cell r="AQ560">
            <v>0.63363028953229406</v>
          </cell>
          <cell r="AR560">
            <v>0.88511535883055092</v>
          </cell>
          <cell r="AS560">
            <v>0.87919505299885481</v>
          </cell>
          <cell r="AT560">
            <v>1.8133187479265112</v>
          </cell>
          <cell r="AU560">
            <v>1.5409926750398175</v>
          </cell>
          <cell r="AV560">
            <v>1.3211401482940559</v>
          </cell>
          <cell r="AW560">
            <v>0.61528896478703077</v>
          </cell>
          <cell r="AX560">
            <v>0.54682920541028301</v>
          </cell>
          <cell r="AY560">
            <v>0.38968155630471957</v>
          </cell>
          <cell r="AZ560">
            <v>0.21079596692890767</v>
          </cell>
          <cell r="BA560">
            <v>1.2896075387840211E-2</v>
          </cell>
          <cell r="BK560">
            <v>0.98914957126029623</v>
          </cell>
          <cell r="BL560">
            <v>0.33199057703375967</v>
          </cell>
        </row>
        <row r="561">
          <cell r="BL561">
            <v>0</v>
          </cell>
        </row>
        <row r="562">
          <cell r="A562" t="str">
            <v>Period-end total slots</v>
          </cell>
          <cell r="AA562">
            <v>814</v>
          </cell>
          <cell r="AB562">
            <v>814</v>
          </cell>
          <cell r="AC562">
            <v>873</v>
          </cell>
          <cell r="AD562">
            <v>1130.8791208791208</v>
          </cell>
          <cell r="AE562">
            <v>2027</v>
          </cell>
          <cell r="AF562">
            <v>2254</v>
          </cell>
          <cell r="AG562">
            <v>2254</v>
          </cell>
          <cell r="AH562">
            <v>2777</v>
          </cell>
          <cell r="AI562">
            <v>2772</v>
          </cell>
          <cell r="AJ562">
            <v>3082</v>
          </cell>
          <cell r="AK562">
            <v>3421</v>
          </cell>
          <cell r="AL562">
            <v>3421</v>
          </cell>
          <cell r="AM562">
            <v>4223</v>
          </cell>
          <cell r="AN562">
            <v>4533</v>
          </cell>
          <cell r="AO562">
            <v>5165</v>
          </cell>
          <cell r="AP562">
            <v>6546</v>
          </cell>
          <cell r="AQ562">
            <v>6546</v>
          </cell>
          <cell r="BL562">
            <v>0</v>
          </cell>
        </row>
        <row r="563">
          <cell r="BL563">
            <v>0</v>
          </cell>
        </row>
        <row r="564">
          <cell r="A564" t="str">
            <v>Total Average Positions</v>
          </cell>
          <cell r="BL564">
            <v>0</v>
          </cell>
        </row>
        <row r="565">
          <cell r="A565" t="str">
            <v>Casa Real Casino (SJM)</v>
          </cell>
          <cell r="B565">
            <v>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741</v>
          </cell>
          <cell r="AF565">
            <v>741</v>
          </cell>
          <cell r="AG565">
            <v>370.5</v>
          </cell>
          <cell r="AH565">
            <v>741</v>
          </cell>
          <cell r="AI565">
            <v>741</v>
          </cell>
          <cell r="AJ565">
            <v>741</v>
          </cell>
          <cell r="AK565">
            <v>741</v>
          </cell>
          <cell r="AL565">
            <v>741</v>
          </cell>
          <cell r="AM565">
            <v>741</v>
          </cell>
          <cell r="AN565">
            <v>531</v>
          </cell>
          <cell r="AO565">
            <v>531</v>
          </cell>
          <cell r="AP565">
            <v>531</v>
          </cell>
          <cell r="AQ565">
            <v>583.5</v>
          </cell>
          <cell r="AR565">
            <v>710</v>
          </cell>
          <cell r="AS565">
            <v>710</v>
          </cell>
          <cell r="AT565">
            <v>710</v>
          </cell>
          <cell r="AU565">
            <v>710</v>
          </cell>
          <cell r="AV565">
            <v>710</v>
          </cell>
          <cell r="AW565">
            <v>710</v>
          </cell>
          <cell r="AX565">
            <v>710</v>
          </cell>
          <cell r="AY565">
            <v>710</v>
          </cell>
          <cell r="AZ565">
            <v>710</v>
          </cell>
          <cell r="BA565">
            <v>710</v>
          </cell>
          <cell r="BK565">
            <v>539.20000000000005</v>
          </cell>
          <cell r="BL565">
            <v>170.79999999999995</v>
          </cell>
        </row>
        <row r="566">
          <cell r="A566" t="str">
            <v>Casino Lisboa (SJM)</v>
          </cell>
          <cell r="B566">
            <v>1495.6666666666667</v>
          </cell>
          <cell r="C566">
            <v>1495.6666666666667</v>
          </cell>
          <cell r="D566">
            <v>1495.6666666666667</v>
          </cell>
          <cell r="E566">
            <v>1495.6666666666667</v>
          </cell>
          <cell r="F566">
            <v>1495.6666666666667</v>
          </cell>
          <cell r="G566">
            <v>1495.6666666666667</v>
          </cell>
          <cell r="H566">
            <v>1495.6666666666667</v>
          </cell>
          <cell r="I566">
            <v>1495.6666666666667</v>
          </cell>
          <cell r="J566">
            <v>1495.6666666666667</v>
          </cell>
          <cell r="K566">
            <v>1495.6666666666667</v>
          </cell>
          <cell r="L566">
            <v>1495.6666666666667</v>
          </cell>
          <cell r="M566">
            <v>1495.6666666666667</v>
          </cell>
          <cell r="N566">
            <v>1495.6666666666667</v>
          </cell>
          <cell r="O566">
            <v>1495.6666666666667</v>
          </cell>
          <cell r="P566">
            <v>1495.6666666666667</v>
          </cell>
          <cell r="Q566">
            <v>1495.6666666666667</v>
          </cell>
          <cell r="R566">
            <v>1495.6666666666667</v>
          </cell>
          <cell r="S566">
            <v>1495.6666666666667</v>
          </cell>
          <cell r="T566">
            <v>1495.6666666666667</v>
          </cell>
          <cell r="U566">
            <v>1495.6666666666667</v>
          </cell>
          <cell r="V566">
            <v>1495.6666666666667</v>
          </cell>
          <cell r="W566">
            <v>1495.6666666666667</v>
          </cell>
          <cell r="X566">
            <v>1495.6666666666667</v>
          </cell>
          <cell r="Y566">
            <v>1495.6666666666667</v>
          </cell>
          <cell r="Z566">
            <v>1495.6666666666667</v>
          </cell>
          <cell r="AA566">
            <v>1495.6666666666667</v>
          </cell>
          <cell r="AB566">
            <v>1495.6666666666667</v>
          </cell>
          <cell r="AC566">
            <v>1495.6666666666667</v>
          </cell>
          <cell r="AD566">
            <v>1495.6666666666667</v>
          </cell>
          <cell r="AE566">
            <v>1495.6666666666667</v>
          </cell>
          <cell r="AF566">
            <v>1495.6666666666667</v>
          </cell>
          <cell r="AG566">
            <v>1495.6666666666667</v>
          </cell>
          <cell r="AH566">
            <v>1495.6666666666667</v>
          </cell>
          <cell r="AI566">
            <v>1495.6666666666667</v>
          </cell>
          <cell r="AJ566">
            <v>1495.6666666666667</v>
          </cell>
          <cell r="AK566">
            <v>1495.6666666666667</v>
          </cell>
          <cell r="AL566">
            <v>1495.6666666666667</v>
          </cell>
          <cell r="AM566">
            <v>1495.6666666666667</v>
          </cell>
          <cell r="AN566">
            <v>2672.3333333333335</v>
          </cell>
          <cell r="AO566">
            <v>2672.3333333333335</v>
          </cell>
          <cell r="AP566">
            <v>2672.3333333333335</v>
          </cell>
          <cell r="AQ566">
            <v>2378.1666666666665</v>
          </cell>
          <cell r="AR566">
            <v>2800.8</v>
          </cell>
          <cell r="AS566">
            <v>2800.8</v>
          </cell>
          <cell r="AT566">
            <v>2800.8</v>
          </cell>
          <cell r="AU566">
            <v>2800.8</v>
          </cell>
          <cell r="AV566">
            <v>2800.8</v>
          </cell>
          <cell r="AW566">
            <v>2823.5</v>
          </cell>
          <cell r="AX566">
            <v>2823.5</v>
          </cell>
          <cell r="AY566">
            <v>2823.5</v>
          </cell>
          <cell r="AZ566">
            <v>2823.5</v>
          </cell>
          <cell r="BA566">
            <v>2823.5</v>
          </cell>
          <cell r="BK566">
            <v>2686.8</v>
          </cell>
          <cell r="BL566">
            <v>114</v>
          </cell>
        </row>
        <row r="567">
          <cell r="A567" t="str">
            <v>Casino Macau Palace (SJM)</v>
          </cell>
          <cell r="B567">
            <v>137</v>
          </cell>
          <cell r="C567">
            <v>137</v>
          </cell>
          <cell r="D567">
            <v>137</v>
          </cell>
          <cell r="E567">
            <v>137</v>
          </cell>
          <cell r="F567">
            <v>137</v>
          </cell>
          <cell r="G567">
            <v>137</v>
          </cell>
          <cell r="H567">
            <v>137</v>
          </cell>
          <cell r="I567">
            <v>137</v>
          </cell>
          <cell r="J567">
            <v>137</v>
          </cell>
          <cell r="K567">
            <v>137</v>
          </cell>
          <cell r="L567">
            <v>137</v>
          </cell>
          <cell r="M567">
            <v>137</v>
          </cell>
          <cell r="N567">
            <v>137</v>
          </cell>
          <cell r="O567">
            <v>137</v>
          </cell>
          <cell r="P567">
            <v>137</v>
          </cell>
          <cell r="Q567">
            <v>137</v>
          </cell>
          <cell r="R567">
            <v>137</v>
          </cell>
          <cell r="S567">
            <v>137</v>
          </cell>
          <cell r="T567">
            <v>137</v>
          </cell>
          <cell r="U567">
            <v>137</v>
          </cell>
          <cell r="V567">
            <v>137</v>
          </cell>
          <cell r="W567">
            <v>137</v>
          </cell>
          <cell r="X567">
            <v>137</v>
          </cell>
          <cell r="Y567">
            <v>137</v>
          </cell>
          <cell r="Z567">
            <v>137</v>
          </cell>
          <cell r="AA567">
            <v>137</v>
          </cell>
          <cell r="AB567">
            <v>137</v>
          </cell>
          <cell r="AC567">
            <v>137</v>
          </cell>
          <cell r="AD567">
            <v>137</v>
          </cell>
          <cell r="AE567">
            <v>137</v>
          </cell>
          <cell r="AF567">
            <v>137</v>
          </cell>
          <cell r="AG567">
            <v>137</v>
          </cell>
          <cell r="AH567">
            <v>137</v>
          </cell>
          <cell r="AI567">
            <v>137</v>
          </cell>
          <cell r="AJ567">
            <v>137</v>
          </cell>
          <cell r="AK567">
            <v>137</v>
          </cell>
          <cell r="AL567">
            <v>137</v>
          </cell>
          <cell r="AM567">
            <v>137</v>
          </cell>
          <cell r="AN567">
            <v>267</v>
          </cell>
          <cell r="AO567">
            <v>267</v>
          </cell>
          <cell r="AP567">
            <v>267</v>
          </cell>
          <cell r="AQ567">
            <v>234.5</v>
          </cell>
          <cell r="AR567">
            <v>129.6</v>
          </cell>
          <cell r="AS567">
            <v>129.6</v>
          </cell>
          <cell r="AT567">
            <v>129.6</v>
          </cell>
          <cell r="AU567">
            <v>129.6</v>
          </cell>
          <cell r="AV567">
            <v>129.6</v>
          </cell>
          <cell r="AW567">
            <v>134.5</v>
          </cell>
          <cell r="AX567">
            <v>134.5</v>
          </cell>
          <cell r="AY567">
            <v>134.5</v>
          </cell>
          <cell r="AZ567">
            <v>134.5</v>
          </cell>
          <cell r="BA567">
            <v>134.5</v>
          </cell>
          <cell r="BK567">
            <v>270.39999999999998</v>
          </cell>
          <cell r="BL567">
            <v>-140.79999999999998</v>
          </cell>
        </row>
        <row r="568">
          <cell r="A568" t="str">
            <v>Casino Marina (SJM)</v>
          </cell>
          <cell r="B568">
            <v>212.33333333333334</v>
          </cell>
          <cell r="C568">
            <v>212.33333333333334</v>
          </cell>
          <cell r="D568">
            <v>212.33333333333334</v>
          </cell>
          <cell r="E568">
            <v>212.33333333333334</v>
          </cell>
          <cell r="F568">
            <v>212.33333333333334</v>
          </cell>
          <cell r="G568">
            <v>212.33333333333334</v>
          </cell>
          <cell r="H568">
            <v>212.33333333333334</v>
          </cell>
          <cell r="I568">
            <v>212.33333333333334</v>
          </cell>
          <cell r="J568">
            <v>212.33333333333334</v>
          </cell>
          <cell r="K568">
            <v>212.33333333333334</v>
          </cell>
          <cell r="L568">
            <v>212.33333333333334</v>
          </cell>
          <cell r="M568">
            <v>212.33333333333334</v>
          </cell>
          <cell r="N568">
            <v>212.33333333333334</v>
          </cell>
          <cell r="O568">
            <v>212.33333333333334</v>
          </cell>
          <cell r="P568">
            <v>212.33333333333334</v>
          </cell>
          <cell r="Q568">
            <v>212.33333333333334</v>
          </cell>
          <cell r="R568">
            <v>212.33333333333334</v>
          </cell>
          <cell r="S568">
            <v>212.33333333333334</v>
          </cell>
          <cell r="T568">
            <v>212.33333333333334</v>
          </cell>
          <cell r="U568">
            <v>212.33333333333334</v>
          </cell>
          <cell r="V568">
            <v>212.33333333333334</v>
          </cell>
          <cell r="W568">
            <v>212.33333333333334</v>
          </cell>
          <cell r="X568">
            <v>212.33333333333334</v>
          </cell>
          <cell r="Y568">
            <v>212.33333333333334</v>
          </cell>
          <cell r="Z568">
            <v>212.33333333333334</v>
          </cell>
          <cell r="AA568">
            <v>212.33333333333334</v>
          </cell>
          <cell r="AB568">
            <v>212.33333333333334</v>
          </cell>
          <cell r="AC568">
            <v>212.33333333333334</v>
          </cell>
          <cell r="AD568">
            <v>212.33333333333334</v>
          </cell>
          <cell r="AE568">
            <v>212.33333333333334</v>
          </cell>
          <cell r="AF568">
            <v>212.33333333333334</v>
          </cell>
          <cell r="AG568">
            <v>212.33333333333334</v>
          </cell>
          <cell r="AH568">
            <v>212.33333333333334</v>
          </cell>
          <cell r="AI568">
            <v>212.33333333333334</v>
          </cell>
          <cell r="AJ568">
            <v>212.33333333333334</v>
          </cell>
          <cell r="AK568">
            <v>212.33333333333334</v>
          </cell>
          <cell r="AL568">
            <v>212.33333333333334</v>
          </cell>
          <cell r="AM568">
            <v>212.33333333333334</v>
          </cell>
          <cell r="AN568">
            <v>212.33333333333334</v>
          </cell>
          <cell r="AO568">
            <v>212.33333333333334</v>
          </cell>
          <cell r="AP568">
            <v>212.33333333333334</v>
          </cell>
          <cell r="AQ568">
            <v>212.33333333333334</v>
          </cell>
          <cell r="AR568">
            <v>200</v>
          </cell>
          <cell r="AS568">
            <v>200</v>
          </cell>
          <cell r="AT568">
            <v>200</v>
          </cell>
          <cell r="AU568">
            <v>200</v>
          </cell>
          <cell r="AV568">
            <v>200</v>
          </cell>
          <cell r="AW568">
            <v>200</v>
          </cell>
          <cell r="AX568">
            <v>200</v>
          </cell>
          <cell r="AY568">
            <v>200</v>
          </cell>
          <cell r="AZ568">
            <v>200</v>
          </cell>
          <cell r="BA568">
            <v>200</v>
          </cell>
          <cell r="BK568">
            <v>214.8</v>
          </cell>
          <cell r="BL568">
            <v>-14.800000000000011</v>
          </cell>
        </row>
        <row r="569">
          <cell r="A569" t="str">
            <v>Casino Taipa (SJM)</v>
          </cell>
          <cell r="B569">
            <v>83.333333333333329</v>
          </cell>
          <cell r="C569">
            <v>83.333333333333329</v>
          </cell>
          <cell r="D569">
            <v>83.333333333333329</v>
          </cell>
          <cell r="E569">
            <v>83.333333333333329</v>
          </cell>
          <cell r="F569">
            <v>83.333333333333329</v>
          </cell>
          <cell r="G569">
            <v>83.333333333333329</v>
          </cell>
          <cell r="H569">
            <v>83.333333333333329</v>
          </cell>
          <cell r="I569">
            <v>83.333333333333329</v>
          </cell>
          <cell r="J569">
            <v>83.333333333333329</v>
          </cell>
          <cell r="K569">
            <v>83.333333333333329</v>
          </cell>
          <cell r="L569">
            <v>83.333333333333329</v>
          </cell>
          <cell r="M569">
            <v>83.333333333333329</v>
          </cell>
          <cell r="N569">
            <v>83.333333333333329</v>
          </cell>
          <cell r="O569">
            <v>83.333333333333329</v>
          </cell>
          <cell r="P569">
            <v>83.333333333333329</v>
          </cell>
          <cell r="Q569">
            <v>83.333333333333329</v>
          </cell>
          <cell r="R569">
            <v>83.333333333333329</v>
          </cell>
          <cell r="S569">
            <v>83.333333333333329</v>
          </cell>
          <cell r="T569">
            <v>83.333333333333329</v>
          </cell>
          <cell r="U569">
            <v>83.333333333333329</v>
          </cell>
          <cell r="V569">
            <v>83.333333333333329</v>
          </cell>
          <cell r="W569">
            <v>83.333333333333329</v>
          </cell>
          <cell r="X569">
            <v>83.333333333333329</v>
          </cell>
          <cell r="Y569">
            <v>83.333333333333329</v>
          </cell>
          <cell r="Z569">
            <v>83.333333333333329</v>
          </cell>
          <cell r="AA569">
            <v>83.333333333333329</v>
          </cell>
          <cell r="AB569">
            <v>83.333333333333329</v>
          </cell>
          <cell r="AC569">
            <v>83.333333333333329</v>
          </cell>
          <cell r="AD569">
            <v>83.333333333333329</v>
          </cell>
          <cell r="AE569">
            <v>83.333333333333329</v>
          </cell>
          <cell r="AF569">
            <v>83.333333333333329</v>
          </cell>
          <cell r="AG569">
            <v>83.333333333333329</v>
          </cell>
          <cell r="AH569">
            <v>83.333333333333329</v>
          </cell>
          <cell r="AI569">
            <v>83.333333333333329</v>
          </cell>
          <cell r="AJ569">
            <v>83.333333333333329</v>
          </cell>
          <cell r="AK569">
            <v>83.333333333333329</v>
          </cell>
          <cell r="AL569">
            <v>83.333333333333329</v>
          </cell>
          <cell r="AM569">
            <v>83.333333333333329</v>
          </cell>
          <cell r="AN569">
            <v>83.333333333333329</v>
          </cell>
          <cell r="AO569">
            <v>83.333333333333329</v>
          </cell>
          <cell r="AP569">
            <v>83.333333333333329</v>
          </cell>
          <cell r="AQ569">
            <v>83.333333333333329</v>
          </cell>
          <cell r="AR569">
            <v>80</v>
          </cell>
          <cell r="AS569">
            <v>80</v>
          </cell>
          <cell r="AT569">
            <v>80</v>
          </cell>
          <cell r="AU569">
            <v>80</v>
          </cell>
          <cell r="AV569">
            <v>80</v>
          </cell>
          <cell r="AW569">
            <v>80</v>
          </cell>
          <cell r="AX569">
            <v>80</v>
          </cell>
          <cell r="AY569">
            <v>80</v>
          </cell>
          <cell r="AZ569">
            <v>80</v>
          </cell>
          <cell r="BA569">
            <v>80</v>
          </cell>
          <cell r="BK569">
            <v>84</v>
          </cell>
          <cell r="BL569">
            <v>-4</v>
          </cell>
        </row>
        <row r="570">
          <cell r="A570" t="str">
            <v>Diamond Casino (SJM)</v>
          </cell>
          <cell r="B570">
            <v>70.666666666666671</v>
          </cell>
          <cell r="C570">
            <v>70.666666666666671</v>
          </cell>
          <cell r="D570">
            <v>70.666666666666671</v>
          </cell>
          <cell r="E570">
            <v>70.666666666666671</v>
          </cell>
          <cell r="F570">
            <v>70.666666666666671</v>
          </cell>
          <cell r="G570">
            <v>70.666666666666671</v>
          </cell>
          <cell r="H570">
            <v>70.666666666666671</v>
          </cell>
          <cell r="I570">
            <v>70.666666666666671</v>
          </cell>
          <cell r="J570">
            <v>70.666666666666671</v>
          </cell>
          <cell r="K570">
            <v>70.666666666666671</v>
          </cell>
          <cell r="L570">
            <v>70.666666666666671</v>
          </cell>
          <cell r="M570">
            <v>70.666666666666671</v>
          </cell>
          <cell r="N570">
            <v>70.666666666666671</v>
          </cell>
          <cell r="O570">
            <v>70.666666666666671</v>
          </cell>
          <cell r="P570">
            <v>70.666666666666671</v>
          </cell>
          <cell r="Q570">
            <v>70.666666666666671</v>
          </cell>
          <cell r="R570">
            <v>70.666666666666671</v>
          </cell>
          <cell r="S570">
            <v>70.666666666666671</v>
          </cell>
          <cell r="T570">
            <v>70.666666666666671</v>
          </cell>
          <cell r="U570">
            <v>70.666666666666671</v>
          </cell>
          <cell r="V570">
            <v>70.666666666666671</v>
          </cell>
          <cell r="W570">
            <v>70.666666666666671</v>
          </cell>
          <cell r="X570">
            <v>70.666666666666671</v>
          </cell>
          <cell r="Y570">
            <v>70.666666666666671</v>
          </cell>
          <cell r="Z570">
            <v>70.666666666666671</v>
          </cell>
          <cell r="AA570">
            <v>70.666666666666671</v>
          </cell>
          <cell r="AB570">
            <v>70.666666666666671</v>
          </cell>
          <cell r="AC570">
            <v>70.666666666666671</v>
          </cell>
          <cell r="AD570">
            <v>70.666666666666671</v>
          </cell>
          <cell r="AE570">
            <v>70.666666666666671</v>
          </cell>
          <cell r="AF570">
            <v>70.666666666666671</v>
          </cell>
          <cell r="AG570">
            <v>70.666666666666671</v>
          </cell>
          <cell r="AH570">
            <v>70.666666666666671</v>
          </cell>
          <cell r="AI570">
            <v>70.666666666666671</v>
          </cell>
          <cell r="AJ570">
            <v>70.666666666666671</v>
          </cell>
          <cell r="AK570">
            <v>70.666666666666671</v>
          </cell>
          <cell r="AL570">
            <v>70.666666666666671</v>
          </cell>
          <cell r="AM570">
            <v>535.66666666666663</v>
          </cell>
          <cell r="AN570">
            <v>555.66666666666663</v>
          </cell>
          <cell r="AO570">
            <v>555.66666666666663</v>
          </cell>
          <cell r="AP570">
            <v>555.66666666666663</v>
          </cell>
          <cell r="AQ570">
            <v>550.66666666666663</v>
          </cell>
          <cell r="AR570">
            <v>574</v>
          </cell>
          <cell r="AS570">
            <v>574</v>
          </cell>
          <cell r="AT570">
            <v>574</v>
          </cell>
          <cell r="AU570">
            <v>574</v>
          </cell>
          <cell r="AV570">
            <v>574</v>
          </cell>
          <cell r="AW570">
            <v>582.5</v>
          </cell>
          <cell r="AX570">
            <v>582.5</v>
          </cell>
          <cell r="AY570">
            <v>582.5</v>
          </cell>
          <cell r="AZ570">
            <v>582.5</v>
          </cell>
          <cell r="BA570">
            <v>582.5</v>
          </cell>
          <cell r="BK570">
            <v>558.79999999999995</v>
          </cell>
          <cell r="BL570">
            <v>15.200000000000045</v>
          </cell>
        </row>
        <row r="571">
          <cell r="A571" t="str">
            <v>Golden Dragon (SJM)</v>
          </cell>
          <cell r="B571">
            <v>0</v>
          </cell>
          <cell r="C571">
            <v>0</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741</v>
          </cell>
          <cell r="AI571">
            <v>741</v>
          </cell>
          <cell r="AJ571">
            <v>741</v>
          </cell>
          <cell r="AK571">
            <v>741</v>
          </cell>
          <cell r="AL571">
            <v>741</v>
          </cell>
          <cell r="AM571">
            <v>741</v>
          </cell>
          <cell r="AN571">
            <v>941</v>
          </cell>
          <cell r="AO571">
            <v>941</v>
          </cell>
          <cell r="AP571">
            <v>941</v>
          </cell>
          <cell r="AQ571">
            <v>891</v>
          </cell>
          <cell r="AR571">
            <v>841.6</v>
          </cell>
          <cell r="AS571">
            <v>841.6</v>
          </cell>
          <cell r="AT571">
            <v>841.6</v>
          </cell>
          <cell r="AU571">
            <v>841.6</v>
          </cell>
          <cell r="AV571">
            <v>841.6</v>
          </cell>
          <cell r="AW571">
            <v>854.5</v>
          </cell>
          <cell r="AX571">
            <v>854.5</v>
          </cell>
          <cell r="AY571">
            <v>854.5</v>
          </cell>
          <cell r="AZ571">
            <v>854.5</v>
          </cell>
          <cell r="BA571">
            <v>854.5</v>
          </cell>
          <cell r="BK571">
            <v>949.2</v>
          </cell>
          <cell r="BL571">
            <v>-107.60000000000002</v>
          </cell>
        </row>
        <row r="572">
          <cell r="A572" t="str">
            <v>Greek Mythology Casino (SJM)</v>
          </cell>
          <cell r="B572">
            <v>0</v>
          </cell>
          <cell r="C572">
            <v>0</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226.30434782608697</v>
          </cell>
          <cell r="AG572">
            <v>56.576086956521742</v>
          </cell>
          <cell r="AH572">
            <v>2313.3333333333335</v>
          </cell>
          <cell r="AI572">
            <v>2313.3333333333335</v>
          </cell>
          <cell r="AJ572">
            <v>2313.3333333333335</v>
          </cell>
          <cell r="AK572">
            <v>2313.3333333333335</v>
          </cell>
          <cell r="AL572">
            <v>2313.3333333333335</v>
          </cell>
          <cell r="AM572">
            <v>2313.3333333333335</v>
          </cell>
          <cell r="AN572">
            <v>2313.3333333333335</v>
          </cell>
          <cell r="AO572">
            <v>2313.3333333333335</v>
          </cell>
          <cell r="AP572">
            <v>2313.3333333333335</v>
          </cell>
          <cell r="AQ572">
            <v>2313.3333333333335</v>
          </cell>
          <cell r="AR572">
            <v>1280.8</v>
          </cell>
          <cell r="AS572">
            <v>1280.8</v>
          </cell>
          <cell r="AT572">
            <v>1280.8</v>
          </cell>
          <cell r="AU572">
            <v>1280.8</v>
          </cell>
          <cell r="AV572">
            <v>1280.8</v>
          </cell>
          <cell r="AW572">
            <v>1301</v>
          </cell>
          <cell r="AX572">
            <v>1301</v>
          </cell>
          <cell r="AY572">
            <v>1301</v>
          </cell>
          <cell r="AZ572">
            <v>1301</v>
          </cell>
          <cell r="BA572">
            <v>1301</v>
          </cell>
          <cell r="BK572">
            <v>2320</v>
          </cell>
          <cell r="BL572">
            <v>-1039.2</v>
          </cell>
        </row>
        <row r="573">
          <cell r="A573" t="str">
            <v>Hotel Fortuna Casino (SJM)</v>
          </cell>
          <cell r="B573">
            <v>0</v>
          </cell>
          <cell r="C573">
            <v>0</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206.11111111111111</v>
          </cell>
          <cell r="AI573">
            <v>350</v>
          </cell>
          <cell r="AJ573">
            <v>350</v>
          </cell>
          <cell r="AK573">
            <v>350</v>
          </cell>
          <cell r="AL573">
            <v>314.02777777777777</v>
          </cell>
          <cell r="AM573">
            <v>350</v>
          </cell>
          <cell r="AN573">
            <v>400</v>
          </cell>
          <cell r="AO573">
            <v>400</v>
          </cell>
          <cell r="AP573">
            <v>400</v>
          </cell>
          <cell r="AQ573">
            <v>387.5</v>
          </cell>
          <cell r="AR573">
            <v>450</v>
          </cell>
          <cell r="AS573">
            <v>450</v>
          </cell>
          <cell r="AT573">
            <v>450</v>
          </cell>
          <cell r="AU573">
            <v>450</v>
          </cell>
          <cell r="AV573">
            <v>450</v>
          </cell>
          <cell r="AW573">
            <v>450</v>
          </cell>
          <cell r="AX573">
            <v>450</v>
          </cell>
          <cell r="AY573">
            <v>450</v>
          </cell>
          <cell r="AZ573">
            <v>450</v>
          </cell>
          <cell r="BA573">
            <v>450</v>
          </cell>
          <cell r="BK573">
            <v>400</v>
          </cell>
          <cell r="BL573">
            <v>50</v>
          </cell>
        </row>
        <row r="574">
          <cell r="A574" t="str">
            <v>Jai Alai Casino (SJM)</v>
          </cell>
          <cell r="B574">
            <v>659.33333333333337</v>
          </cell>
          <cell r="C574">
            <v>659.33333333333337</v>
          </cell>
          <cell r="D574">
            <v>659.33333333333337</v>
          </cell>
          <cell r="E574">
            <v>659.33333333333337</v>
          </cell>
          <cell r="F574">
            <v>659.33333333333337</v>
          </cell>
          <cell r="G574">
            <v>659.33333333333337</v>
          </cell>
          <cell r="H574">
            <v>659.33333333333337</v>
          </cell>
          <cell r="I574">
            <v>659.33333333333337</v>
          </cell>
          <cell r="J574">
            <v>659.33333333333337</v>
          </cell>
          <cell r="K574">
            <v>659.33333333333337</v>
          </cell>
          <cell r="L574">
            <v>659.33333333333337</v>
          </cell>
          <cell r="M574">
            <v>659.33333333333337</v>
          </cell>
          <cell r="N574">
            <v>659.33333333333337</v>
          </cell>
          <cell r="O574">
            <v>659.33333333333337</v>
          </cell>
          <cell r="P574">
            <v>659.33333333333337</v>
          </cell>
          <cell r="Q574">
            <v>659.33333333333337</v>
          </cell>
          <cell r="R574">
            <v>659.33333333333337</v>
          </cell>
          <cell r="S574">
            <v>659.33333333333337</v>
          </cell>
          <cell r="T574">
            <v>659.33333333333337</v>
          </cell>
          <cell r="U574">
            <v>659.33333333333337</v>
          </cell>
          <cell r="V574">
            <v>659.33333333333337</v>
          </cell>
          <cell r="W574">
            <v>659.33333333333337</v>
          </cell>
          <cell r="X574">
            <v>659.33333333333337</v>
          </cell>
          <cell r="Y574">
            <v>659.33333333333337</v>
          </cell>
          <cell r="Z574">
            <v>659.33333333333337</v>
          </cell>
          <cell r="AA574">
            <v>659.33333333333337</v>
          </cell>
          <cell r="AB574">
            <v>659.33333333333337</v>
          </cell>
          <cell r="AC574">
            <v>659.33333333333337</v>
          </cell>
          <cell r="AD574">
            <v>659.33333333333337</v>
          </cell>
          <cell r="AE574">
            <v>659.33333333333337</v>
          </cell>
          <cell r="AF574">
            <v>659.33333333333337</v>
          </cell>
          <cell r="AG574">
            <v>659.33333333333337</v>
          </cell>
          <cell r="AH574">
            <v>659.33333333333337</v>
          </cell>
          <cell r="AI574">
            <v>659.33333333333337</v>
          </cell>
          <cell r="AJ574">
            <v>659.33333333333337</v>
          </cell>
          <cell r="AK574">
            <v>659.33333333333337</v>
          </cell>
          <cell r="AL574">
            <v>659.33333333333337</v>
          </cell>
          <cell r="AM574">
            <v>659.33333333333337</v>
          </cell>
          <cell r="AN574">
            <v>1229.3333333333333</v>
          </cell>
          <cell r="AO574">
            <v>1229.3333333333333</v>
          </cell>
          <cell r="AP574">
            <v>1229.3333333333333</v>
          </cell>
          <cell r="AQ574">
            <v>1086.8333333333333</v>
          </cell>
          <cell r="AR574">
            <v>1021.2</v>
          </cell>
          <cell r="AS574">
            <v>1021.2</v>
          </cell>
          <cell r="AT574">
            <v>1021.2</v>
          </cell>
          <cell r="AU574">
            <v>1021.2</v>
          </cell>
          <cell r="AV574">
            <v>1021.2</v>
          </cell>
          <cell r="AW574">
            <v>0</v>
          </cell>
          <cell r="AX574">
            <v>0</v>
          </cell>
          <cell r="AY574">
            <v>0</v>
          </cell>
          <cell r="AZ574">
            <v>0</v>
          </cell>
          <cell r="BA574">
            <v>0</v>
          </cell>
          <cell r="BK574">
            <v>1243.2</v>
          </cell>
          <cell r="BL574">
            <v>-222</v>
          </cell>
        </row>
        <row r="575">
          <cell r="A575" t="str">
            <v>Kam Pek Casino (SJM)</v>
          </cell>
          <cell r="B575">
            <v>263.66666666666669</v>
          </cell>
          <cell r="C575">
            <v>263.66666666666669</v>
          </cell>
          <cell r="D575">
            <v>263.66666666666669</v>
          </cell>
          <cell r="E575">
            <v>263.66666666666669</v>
          </cell>
          <cell r="F575">
            <v>263.66666666666669</v>
          </cell>
          <cell r="G575">
            <v>263.66666666666669</v>
          </cell>
          <cell r="H575">
            <v>263.66666666666669</v>
          </cell>
          <cell r="I575">
            <v>263.66666666666669</v>
          </cell>
          <cell r="J575">
            <v>263.66666666666669</v>
          </cell>
          <cell r="K575">
            <v>263.66666666666669</v>
          </cell>
          <cell r="L575">
            <v>263.66666666666669</v>
          </cell>
          <cell r="M575">
            <v>263.66666666666669</v>
          </cell>
          <cell r="N575">
            <v>263.66666666666669</v>
          </cell>
          <cell r="O575">
            <v>263.66666666666669</v>
          </cell>
          <cell r="P575">
            <v>263.66666666666669</v>
          </cell>
          <cell r="Q575">
            <v>263.66666666666669</v>
          </cell>
          <cell r="R575">
            <v>263.66666666666669</v>
          </cell>
          <cell r="S575">
            <v>263.66666666666669</v>
          </cell>
          <cell r="T575">
            <v>263.66666666666669</v>
          </cell>
          <cell r="U575">
            <v>263.66666666666669</v>
          </cell>
          <cell r="V575">
            <v>263.66666666666669</v>
          </cell>
          <cell r="W575">
            <v>263.66666666666669</v>
          </cell>
          <cell r="X575">
            <v>263.66666666666669</v>
          </cell>
          <cell r="Y575">
            <v>263.66666666666669</v>
          </cell>
          <cell r="Z575">
            <v>263.66666666666669</v>
          </cell>
          <cell r="AA575">
            <v>263.66666666666669</v>
          </cell>
          <cell r="AB575">
            <v>263.66666666666669</v>
          </cell>
          <cell r="AC575">
            <v>263.66666666666669</v>
          </cell>
          <cell r="AD575">
            <v>263.66666666666669</v>
          </cell>
          <cell r="AE575">
            <v>263.66666666666669</v>
          </cell>
          <cell r="AF575">
            <v>263.66666666666669</v>
          </cell>
          <cell r="AG575">
            <v>263.66666666666669</v>
          </cell>
          <cell r="AH575">
            <v>263.66666666666669</v>
          </cell>
          <cell r="AI575">
            <v>390.33333333333343</v>
          </cell>
          <cell r="AJ575">
            <v>643.66666666666663</v>
          </cell>
          <cell r="AK575">
            <v>643.66666666666663</v>
          </cell>
          <cell r="AL575">
            <v>485.33333333333343</v>
          </cell>
          <cell r="AM575">
            <v>643.66666666666663</v>
          </cell>
          <cell r="AN575">
            <v>693.66666666666663</v>
          </cell>
          <cell r="AO575">
            <v>693.66666666666663</v>
          </cell>
          <cell r="AP575">
            <v>693.66666666666663</v>
          </cell>
          <cell r="AQ575">
            <v>681.16666666666663</v>
          </cell>
          <cell r="AR575">
            <v>840</v>
          </cell>
          <cell r="AS575">
            <v>840</v>
          </cell>
          <cell r="AT575">
            <v>840</v>
          </cell>
          <cell r="AU575">
            <v>840</v>
          </cell>
          <cell r="AV575">
            <v>840</v>
          </cell>
          <cell r="AW575">
            <v>840</v>
          </cell>
          <cell r="AX575">
            <v>840</v>
          </cell>
          <cell r="AY575">
            <v>840</v>
          </cell>
          <cell r="AZ575">
            <v>840</v>
          </cell>
          <cell r="BA575">
            <v>840</v>
          </cell>
          <cell r="BK575">
            <v>698.4</v>
          </cell>
          <cell r="BL575">
            <v>141.60000000000002</v>
          </cell>
        </row>
        <row r="576">
          <cell r="A576" t="str">
            <v>Kingsway Hotel &amp; Casino (SJM)</v>
          </cell>
          <cell r="B576">
            <v>86.666666666666671</v>
          </cell>
          <cell r="C576">
            <v>86.666666666666671</v>
          </cell>
          <cell r="D576">
            <v>86.666666666666671</v>
          </cell>
          <cell r="E576">
            <v>86.666666666666671</v>
          </cell>
          <cell r="F576">
            <v>86.666666666666671</v>
          </cell>
          <cell r="G576">
            <v>86.666666666666671</v>
          </cell>
          <cell r="H576">
            <v>86.666666666666671</v>
          </cell>
          <cell r="I576">
            <v>86.666666666666671</v>
          </cell>
          <cell r="J576">
            <v>86.666666666666671</v>
          </cell>
          <cell r="K576">
            <v>86.666666666666671</v>
          </cell>
          <cell r="L576">
            <v>86.666666666666671</v>
          </cell>
          <cell r="M576">
            <v>86.666666666666671</v>
          </cell>
          <cell r="N576">
            <v>86.666666666666671</v>
          </cell>
          <cell r="O576">
            <v>86.666666666666671</v>
          </cell>
          <cell r="P576">
            <v>86.666666666666671</v>
          </cell>
          <cell r="Q576">
            <v>86.666666666666671</v>
          </cell>
          <cell r="R576">
            <v>86.666666666666671</v>
          </cell>
          <cell r="S576">
            <v>86.666666666666671</v>
          </cell>
          <cell r="T576">
            <v>86.666666666666671</v>
          </cell>
          <cell r="U576">
            <v>86.666666666666671</v>
          </cell>
          <cell r="V576">
            <v>86.666666666666671</v>
          </cell>
          <cell r="W576">
            <v>86.666666666666671</v>
          </cell>
          <cell r="X576">
            <v>86.666666666666671</v>
          </cell>
          <cell r="Y576">
            <v>86.666666666666671</v>
          </cell>
          <cell r="Z576">
            <v>86.666666666666671</v>
          </cell>
          <cell r="AA576">
            <v>86.666666666666671</v>
          </cell>
          <cell r="AB576">
            <v>86.666666666666671</v>
          </cell>
          <cell r="AC576">
            <v>86.666666666666671</v>
          </cell>
          <cell r="AD576">
            <v>86.666666666666671</v>
          </cell>
          <cell r="AE576">
            <v>86.666666666666671</v>
          </cell>
          <cell r="AF576">
            <v>86.666666666666671</v>
          </cell>
          <cell r="AG576">
            <v>86.666666666666671</v>
          </cell>
          <cell r="AH576">
            <v>86.666666666666671</v>
          </cell>
          <cell r="AI576">
            <v>86.666666666666671</v>
          </cell>
          <cell r="AJ576">
            <v>86.666666666666671</v>
          </cell>
          <cell r="AK576">
            <v>86.666666666666671</v>
          </cell>
          <cell r="AL576">
            <v>86.666666666666671</v>
          </cell>
          <cell r="AM576">
            <v>86.666666666666671</v>
          </cell>
          <cell r="AN576">
            <v>96.666666666666671</v>
          </cell>
          <cell r="AO576">
            <v>96.666666666666671</v>
          </cell>
          <cell r="AP576">
            <v>96.666666666666671</v>
          </cell>
          <cell r="AQ576">
            <v>94.166666666666671</v>
          </cell>
          <cell r="AR576">
            <v>80</v>
          </cell>
          <cell r="AS576">
            <v>80</v>
          </cell>
          <cell r="AT576">
            <v>80</v>
          </cell>
          <cell r="AU576">
            <v>80</v>
          </cell>
          <cell r="AV576">
            <v>80</v>
          </cell>
          <cell r="AW576">
            <v>80</v>
          </cell>
          <cell r="AX576">
            <v>80</v>
          </cell>
          <cell r="AY576">
            <v>80</v>
          </cell>
          <cell r="AZ576">
            <v>80</v>
          </cell>
          <cell r="BA576">
            <v>80</v>
          </cell>
          <cell r="BK576">
            <v>98</v>
          </cell>
          <cell r="BL576">
            <v>-18</v>
          </cell>
        </row>
        <row r="577">
          <cell r="A577" t="str">
            <v>Macau Jockey Club (MJC) Casino (SJM)</v>
          </cell>
          <cell r="B577">
            <v>130</v>
          </cell>
          <cell r="C577">
            <v>130</v>
          </cell>
          <cell r="D577">
            <v>130</v>
          </cell>
          <cell r="E577">
            <v>130</v>
          </cell>
          <cell r="F577">
            <v>130</v>
          </cell>
          <cell r="G577">
            <v>130</v>
          </cell>
          <cell r="H577">
            <v>130</v>
          </cell>
          <cell r="I577">
            <v>130</v>
          </cell>
          <cell r="J577">
            <v>130</v>
          </cell>
          <cell r="K577">
            <v>130</v>
          </cell>
          <cell r="L577">
            <v>130</v>
          </cell>
          <cell r="M577">
            <v>130</v>
          </cell>
          <cell r="N577">
            <v>130</v>
          </cell>
          <cell r="O577">
            <v>130</v>
          </cell>
          <cell r="P577">
            <v>130</v>
          </cell>
          <cell r="Q577">
            <v>130</v>
          </cell>
          <cell r="R577">
            <v>130</v>
          </cell>
          <cell r="S577">
            <v>130</v>
          </cell>
          <cell r="T577">
            <v>130</v>
          </cell>
          <cell r="U577">
            <v>130</v>
          </cell>
          <cell r="V577">
            <v>130</v>
          </cell>
          <cell r="W577">
            <v>130</v>
          </cell>
          <cell r="X577">
            <v>130</v>
          </cell>
          <cell r="Y577">
            <v>130</v>
          </cell>
          <cell r="Z577">
            <v>130</v>
          </cell>
          <cell r="AA577">
            <v>130</v>
          </cell>
          <cell r="AB577">
            <v>130</v>
          </cell>
          <cell r="AC577">
            <v>130</v>
          </cell>
          <cell r="AD577">
            <v>130</v>
          </cell>
          <cell r="AE577">
            <v>130</v>
          </cell>
          <cell r="AF577">
            <v>130</v>
          </cell>
          <cell r="AG577">
            <v>130</v>
          </cell>
          <cell r="AH577">
            <v>130</v>
          </cell>
          <cell r="AI577">
            <v>130</v>
          </cell>
          <cell r="AJ577">
            <v>510</v>
          </cell>
          <cell r="AK577">
            <v>510</v>
          </cell>
          <cell r="AL577">
            <v>320</v>
          </cell>
          <cell r="AM577">
            <v>510</v>
          </cell>
          <cell r="AN577">
            <v>210</v>
          </cell>
          <cell r="AO577">
            <v>210</v>
          </cell>
          <cell r="AP577">
            <v>210</v>
          </cell>
          <cell r="AQ577">
            <v>285</v>
          </cell>
          <cell r="AR577">
            <v>607.6</v>
          </cell>
          <cell r="AS577">
            <v>607.6</v>
          </cell>
          <cell r="AT577">
            <v>607.6</v>
          </cell>
          <cell r="AU577">
            <v>607.6</v>
          </cell>
          <cell r="AV577">
            <v>607.6</v>
          </cell>
          <cell r="AW577">
            <v>637</v>
          </cell>
          <cell r="AX577">
            <v>637</v>
          </cell>
          <cell r="AY577">
            <v>637</v>
          </cell>
          <cell r="AZ577">
            <v>637</v>
          </cell>
          <cell r="BA577">
            <v>637</v>
          </cell>
          <cell r="BK577">
            <v>210</v>
          </cell>
          <cell r="BL577">
            <v>397.6</v>
          </cell>
        </row>
        <row r="578">
          <cell r="A578" t="str">
            <v>Mandarin Oriental Casino (SJM)</v>
          </cell>
          <cell r="B578">
            <v>129.66666666666666</v>
          </cell>
          <cell r="C578">
            <v>129.66666666666666</v>
          </cell>
          <cell r="D578">
            <v>129.66666666666666</v>
          </cell>
          <cell r="E578">
            <v>129.66666666666666</v>
          </cell>
          <cell r="F578">
            <v>129.66666666666666</v>
          </cell>
          <cell r="G578">
            <v>129.66666666666666</v>
          </cell>
          <cell r="H578">
            <v>129.66666666666666</v>
          </cell>
          <cell r="I578">
            <v>129.66666666666666</v>
          </cell>
          <cell r="J578">
            <v>129.66666666666666</v>
          </cell>
          <cell r="K578">
            <v>129.66666666666666</v>
          </cell>
          <cell r="L578">
            <v>129.66666666666666</v>
          </cell>
          <cell r="M578">
            <v>129.66666666666666</v>
          </cell>
          <cell r="N578">
            <v>129.66666666666666</v>
          </cell>
          <cell r="O578">
            <v>129.66666666666666</v>
          </cell>
          <cell r="P578">
            <v>129.66666666666666</v>
          </cell>
          <cell r="Q578">
            <v>129.66666666666666</v>
          </cell>
          <cell r="R578">
            <v>129.66666666666666</v>
          </cell>
          <cell r="S578">
            <v>129.66666666666666</v>
          </cell>
          <cell r="T578">
            <v>129.66666666666666</v>
          </cell>
          <cell r="U578">
            <v>129.66666666666666</v>
          </cell>
          <cell r="V578">
            <v>129.66666666666666</v>
          </cell>
          <cell r="W578">
            <v>129.66666666666666</v>
          </cell>
          <cell r="X578">
            <v>129.66666666666666</v>
          </cell>
          <cell r="Y578">
            <v>129.66666666666666</v>
          </cell>
          <cell r="Z578">
            <v>129.66666666666666</v>
          </cell>
          <cell r="AA578">
            <v>129.66666666666666</v>
          </cell>
          <cell r="AB578">
            <v>129.66666666666666</v>
          </cell>
          <cell r="AC578">
            <v>129.66666666666666</v>
          </cell>
          <cell r="AD578">
            <v>129.66666666666666</v>
          </cell>
          <cell r="AE578">
            <v>129.66666666666666</v>
          </cell>
          <cell r="AF578">
            <v>129.66666666666666</v>
          </cell>
          <cell r="AG578">
            <v>129.66666666666666</v>
          </cell>
          <cell r="AH578">
            <v>129.66666666666666</v>
          </cell>
          <cell r="AI578">
            <v>129.66666666666666</v>
          </cell>
          <cell r="AJ578">
            <v>129.66666666666666</v>
          </cell>
          <cell r="AK578">
            <v>129.66666666666666</v>
          </cell>
          <cell r="AL578">
            <v>129.66666666666666</v>
          </cell>
          <cell r="AM578">
            <v>129.66666666666666</v>
          </cell>
          <cell r="AN578">
            <v>149.66666666666666</v>
          </cell>
          <cell r="AO578">
            <v>149.66666666666666</v>
          </cell>
          <cell r="AP578">
            <v>149.66666666666666</v>
          </cell>
          <cell r="AQ578">
            <v>144.66666666666666</v>
          </cell>
          <cell r="AR578">
            <v>306.39999999999998</v>
          </cell>
          <cell r="AS578">
            <v>306.39999999999998</v>
          </cell>
          <cell r="AT578">
            <v>306.39999999999998</v>
          </cell>
          <cell r="AU578">
            <v>306.39999999999998</v>
          </cell>
          <cell r="AV578">
            <v>306.39999999999998</v>
          </cell>
          <cell r="AW578">
            <v>320.5</v>
          </cell>
          <cell r="AX578">
            <v>320.5</v>
          </cell>
          <cell r="AY578">
            <v>320.5</v>
          </cell>
          <cell r="AZ578">
            <v>320.5</v>
          </cell>
          <cell r="BA578">
            <v>320.5</v>
          </cell>
          <cell r="BK578">
            <v>153.6</v>
          </cell>
          <cell r="BL578">
            <v>152.79999999999998</v>
          </cell>
        </row>
        <row r="579">
          <cell r="A579" t="str">
            <v>New Century Casino (SJM)</v>
          </cell>
          <cell r="B579">
            <v>375</v>
          </cell>
          <cell r="C579">
            <v>375</v>
          </cell>
          <cell r="D579">
            <v>375</v>
          </cell>
          <cell r="E579">
            <v>375</v>
          </cell>
          <cell r="F579">
            <v>375</v>
          </cell>
          <cell r="G579">
            <v>375</v>
          </cell>
          <cell r="H579">
            <v>375</v>
          </cell>
          <cell r="I579">
            <v>375</v>
          </cell>
          <cell r="J579">
            <v>375</v>
          </cell>
          <cell r="K579">
            <v>375</v>
          </cell>
          <cell r="L579">
            <v>375</v>
          </cell>
          <cell r="M579">
            <v>375</v>
          </cell>
          <cell r="N579">
            <v>375</v>
          </cell>
          <cell r="O579">
            <v>375</v>
          </cell>
          <cell r="P579">
            <v>375</v>
          </cell>
          <cell r="Q579">
            <v>375</v>
          </cell>
          <cell r="R579">
            <v>375</v>
          </cell>
          <cell r="S579">
            <v>375</v>
          </cell>
          <cell r="T579">
            <v>375</v>
          </cell>
          <cell r="U579">
            <v>375</v>
          </cell>
          <cell r="V579">
            <v>375</v>
          </cell>
          <cell r="W579">
            <v>375</v>
          </cell>
          <cell r="X579">
            <v>375</v>
          </cell>
          <cell r="Y579">
            <v>375</v>
          </cell>
          <cell r="Z579">
            <v>375</v>
          </cell>
          <cell r="AA579">
            <v>375</v>
          </cell>
          <cell r="AB579">
            <v>375</v>
          </cell>
          <cell r="AC579">
            <v>375</v>
          </cell>
          <cell r="AD579">
            <v>375</v>
          </cell>
          <cell r="AE579">
            <v>375</v>
          </cell>
          <cell r="AF579">
            <v>0</v>
          </cell>
          <cell r="AG579">
            <v>281.25</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K579">
            <v>0</v>
          </cell>
          <cell r="BL579">
            <v>0</v>
          </cell>
        </row>
        <row r="580">
          <cell r="A580" t="str">
            <v>Pharoh's Palace &amp; Legend Club (SJM)</v>
          </cell>
          <cell r="B580">
            <v>0</v>
          </cell>
          <cell r="C580">
            <v>0</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1036</v>
          </cell>
          <cell r="Y580">
            <v>1036</v>
          </cell>
          <cell r="Z580">
            <v>1036</v>
          </cell>
          <cell r="AA580">
            <v>1036</v>
          </cell>
          <cell r="AB580">
            <v>1036</v>
          </cell>
          <cell r="AC580">
            <v>1036</v>
          </cell>
          <cell r="AD580">
            <v>1036</v>
          </cell>
          <cell r="AE580">
            <v>1036</v>
          </cell>
          <cell r="AF580">
            <v>1036</v>
          </cell>
          <cell r="AG580">
            <v>1036</v>
          </cell>
          <cell r="AH580">
            <v>1036</v>
          </cell>
          <cell r="AI580">
            <v>1036</v>
          </cell>
          <cell r="AJ580">
            <v>1036</v>
          </cell>
          <cell r="AK580">
            <v>1127.6666666666667</v>
          </cell>
          <cell r="AL580">
            <v>1058.9166666666667</v>
          </cell>
          <cell r="AM580">
            <v>1127.6666666666667</v>
          </cell>
          <cell r="AN580">
            <v>1157.6666666666667</v>
          </cell>
          <cell r="AO580">
            <v>1157.6666666666667</v>
          </cell>
          <cell r="AP580">
            <v>1157.6666666666667</v>
          </cell>
          <cell r="AQ580">
            <v>1150.1666666666667</v>
          </cell>
          <cell r="AR580">
            <v>1287.5999999999999</v>
          </cell>
          <cell r="AS580">
            <v>1287.5999999999999</v>
          </cell>
          <cell r="AT580">
            <v>1287.5999999999999</v>
          </cell>
          <cell r="AU580">
            <v>1287.5999999999999</v>
          </cell>
          <cell r="AV580">
            <v>1287.5999999999999</v>
          </cell>
          <cell r="AW580">
            <v>1314.5</v>
          </cell>
          <cell r="AX580">
            <v>1314.5</v>
          </cell>
          <cell r="AY580">
            <v>1314.5</v>
          </cell>
          <cell r="AZ580">
            <v>1314.5</v>
          </cell>
          <cell r="BA580">
            <v>1314.5</v>
          </cell>
          <cell r="BK580">
            <v>1183.2</v>
          </cell>
          <cell r="BL580">
            <v>104.39999999999986</v>
          </cell>
        </row>
        <row r="581">
          <cell r="A581" t="str">
            <v>Hotel Emperor Casino (SJM)</v>
          </cell>
          <cell r="B581">
            <v>0</v>
          </cell>
          <cell r="C581">
            <v>0</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971</v>
          </cell>
          <cell r="AN581">
            <v>971</v>
          </cell>
          <cell r="AO581">
            <v>971</v>
          </cell>
          <cell r="AP581">
            <v>971</v>
          </cell>
          <cell r="AQ581">
            <v>971</v>
          </cell>
          <cell r="AR581">
            <v>898.8</v>
          </cell>
          <cell r="AS581">
            <v>1138.8</v>
          </cell>
          <cell r="AT581">
            <v>1138.8</v>
          </cell>
          <cell r="AU581">
            <v>1138.8</v>
          </cell>
          <cell r="AV581">
            <v>1078.8</v>
          </cell>
          <cell r="AW581">
            <v>1173.5</v>
          </cell>
          <cell r="AX581">
            <v>1173.5</v>
          </cell>
          <cell r="AY581">
            <v>1173.5</v>
          </cell>
          <cell r="AZ581">
            <v>1173.5</v>
          </cell>
          <cell r="BA581">
            <v>1173.5</v>
          </cell>
          <cell r="BK581">
            <v>1133.2</v>
          </cell>
          <cell r="BL581">
            <v>-54.400000000000091</v>
          </cell>
        </row>
        <row r="582">
          <cell r="A582" t="str">
            <v>Ponte 16 (SJM)</v>
          </cell>
          <cell r="B582">
            <v>0</v>
          </cell>
          <cell r="C582">
            <v>0</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1860</v>
          </cell>
          <cell r="AU582">
            <v>1860</v>
          </cell>
          <cell r="AV582">
            <v>930</v>
          </cell>
          <cell r="AW582">
            <v>1890</v>
          </cell>
          <cell r="AX582">
            <v>1890</v>
          </cell>
          <cell r="AY582">
            <v>1890</v>
          </cell>
          <cell r="AZ582">
            <v>1890</v>
          </cell>
          <cell r="BA582">
            <v>1890</v>
          </cell>
          <cell r="BK582">
            <v>930</v>
          </cell>
          <cell r="BL582">
            <v>0</v>
          </cell>
        </row>
        <row r="583">
          <cell r="A583" t="str">
            <v>Grand Lisboa (SJM)</v>
          </cell>
          <cell r="B583">
            <v>0</v>
          </cell>
          <cell r="C583">
            <v>0</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1296.8</v>
          </cell>
          <cell r="AS583">
            <v>2593.6</v>
          </cell>
          <cell r="AT583">
            <v>2893.6</v>
          </cell>
          <cell r="AU583">
            <v>2893.6</v>
          </cell>
          <cell r="AV583">
            <v>2419.4</v>
          </cell>
          <cell r="AW583">
            <v>2942</v>
          </cell>
          <cell r="AX583">
            <v>2942</v>
          </cell>
          <cell r="AY583">
            <v>2942</v>
          </cell>
          <cell r="AZ583">
            <v>2942</v>
          </cell>
          <cell r="BA583">
            <v>2942</v>
          </cell>
          <cell r="BK583">
            <v>5040</v>
          </cell>
          <cell r="BL583">
            <v>-2620.6</v>
          </cell>
        </row>
        <row r="584">
          <cell r="A584" t="str">
            <v>Babylon at Fisherman's Wharf (SJM)</v>
          </cell>
          <cell r="B584">
            <v>0</v>
          </cell>
          <cell r="C584">
            <v>0</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78.260869565217391</v>
          </cell>
          <cell r="AQ584">
            <v>19.565217391304348</v>
          </cell>
          <cell r="AR584">
            <v>915.6</v>
          </cell>
          <cell r="AS584">
            <v>915.6</v>
          </cell>
          <cell r="AT584">
            <v>915.6</v>
          </cell>
          <cell r="AU584">
            <v>1135.5999999999999</v>
          </cell>
          <cell r="AV584">
            <v>970.6</v>
          </cell>
          <cell r="AW584">
            <v>1169.5</v>
          </cell>
          <cell r="AX584">
            <v>1169.5</v>
          </cell>
          <cell r="AY584">
            <v>1169.5</v>
          </cell>
          <cell r="AZ584">
            <v>1169.5</v>
          </cell>
          <cell r="BA584">
            <v>1169.5</v>
          </cell>
          <cell r="BK584">
            <v>540</v>
          </cell>
          <cell r="BL584">
            <v>430.6</v>
          </cell>
        </row>
        <row r="585">
          <cell r="A585" t="str">
            <v>TigerSlot at Macau Tower (SJM)</v>
          </cell>
          <cell r="AH585">
            <v>0</v>
          </cell>
          <cell r="AI585">
            <v>0</v>
          </cell>
          <cell r="AJ585">
            <v>0</v>
          </cell>
          <cell r="AK585">
            <v>0</v>
          </cell>
          <cell r="AL585">
            <v>0</v>
          </cell>
          <cell r="AM585">
            <v>0</v>
          </cell>
          <cell r="AN585">
            <v>0</v>
          </cell>
          <cell r="AO585">
            <v>0</v>
          </cell>
          <cell r="AP585">
            <v>0</v>
          </cell>
          <cell r="AQ585">
            <v>0</v>
          </cell>
          <cell r="AR585">
            <v>202</v>
          </cell>
          <cell r="AS585">
            <v>202</v>
          </cell>
          <cell r="AT585">
            <v>202</v>
          </cell>
          <cell r="AU585">
            <v>202</v>
          </cell>
          <cell r="AV585">
            <v>202</v>
          </cell>
          <cell r="AW585">
            <v>202</v>
          </cell>
          <cell r="AX585">
            <v>202</v>
          </cell>
          <cell r="AY585">
            <v>202</v>
          </cell>
          <cell r="AZ585">
            <v>202</v>
          </cell>
          <cell r="BA585">
            <v>202</v>
          </cell>
        </row>
        <row r="586">
          <cell r="A586" t="str">
            <v>Yat Yuen (Dog racing area) (SJM)</v>
          </cell>
          <cell r="AH586">
            <v>0</v>
          </cell>
          <cell r="AI586">
            <v>0</v>
          </cell>
          <cell r="AJ586">
            <v>0</v>
          </cell>
          <cell r="AK586">
            <v>0</v>
          </cell>
          <cell r="AL586">
            <v>0</v>
          </cell>
          <cell r="AM586">
            <v>0</v>
          </cell>
          <cell r="AN586">
            <v>0</v>
          </cell>
          <cell r="AO586">
            <v>0</v>
          </cell>
          <cell r="AP586">
            <v>0</v>
          </cell>
          <cell r="AQ586">
            <v>0</v>
          </cell>
          <cell r="AR586">
            <v>97</v>
          </cell>
          <cell r="AS586">
            <v>97</v>
          </cell>
          <cell r="AT586">
            <v>97</v>
          </cell>
          <cell r="AU586">
            <v>97</v>
          </cell>
          <cell r="AV586">
            <v>97</v>
          </cell>
          <cell r="AW586">
            <v>97</v>
          </cell>
          <cell r="AX586">
            <v>97</v>
          </cell>
          <cell r="AY586">
            <v>97</v>
          </cell>
          <cell r="AZ586">
            <v>97</v>
          </cell>
          <cell r="BA586">
            <v>97</v>
          </cell>
        </row>
        <row r="587">
          <cell r="A587" t="str">
            <v>Treasure Hunt at ZAPE (SJM)</v>
          </cell>
          <cell r="AH587">
            <v>0</v>
          </cell>
          <cell r="AI587">
            <v>0</v>
          </cell>
          <cell r="AJ587">
            <v>0</v>
          </cell>
          <cell r="AK587">
            <v>0</v>
          </cell>
          <cell r="AL587">
            <v>0</v>
          </cell>
          <cell r="AM587">
            <v>0</v>
          </cell>
          <cell r="AN587">
            <v>0</v>
          </cell>
          <cell r="AO587">
            <v>0</v>
          </cell>
          <cell r="AP587">
            <v>0</v>
          </cell>
          <cell r="AQ587">
            <v>0</v>
          </cell>
          <cell r="AR587">
            <v>114</v>
          </cell>
          <cell r="AS587">
            <v>114</v>
          </cell>
          <cell r="AT587">
            <v>114</v>
          </cell>
          <cell r="AU587">
            <v>114</v>
          </cell>
          <cell r="AV587">
            <v>114</v>
          </cell>
          <cell r="AW587">
            <v>114</v>
          </cell>
          <cell r="AX587">
            <v>114</v>
          </cell>
          <cell r="AY587">
            <v>114</v>
          </cell>
          <cell r="AZ587">
            <v>114</v>
          </cell>
          <cell r="BA587">
            <v>114</v>
          </cell>
        </row>
        <row r="588">
          <cell r="A588" t="str">
            <v>Arc de Triomphe (SJM)</v>
          </cell>
          <cell r="B588">
            <v>0</v>
          </cell>
          <cell r="C588">
            <v>0</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1100</v>
          </cell>
          <cell r="AX588">
            <v>1100</v>
          </cell>
          <cell r="AY588">
            <v>1100</v>
          </cell>
          <cell r="AZ588">
            <v>1100</v>
          </cell>
          <cell r="BA588">
            <v>1100</v>
          </cell>
          <cell r="BK588">
            <v>0</v>
          </cell>
          <cell r="BL588">
            <v>0</v>
          </cell>
        </row>
        <row r="589">
          <cell r="A589" t="str">
            <v>Oceanus (SJM)</v>
          </cell>
          <cell r="B589">
            <v>0</v>
          </cell>
          <cell r="C589">
            <v>0</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6500</v>
          </cell>
          <cell r="AY589">
            <v>6500</v>
          </cell>
          <cell r="AZ589">
            <v>6500</v>
          </cell>
          <cell r="BA589">
            <v>6500</v>
          </cell>
          <cell r="BK589">
            <v>0</v>
          </cell>
          <cell r="BL589">
            <v>0</v>
          </cell>
        </row>
        <row r="590">
          <cell r="A590" t="str">
            <v>Shun Tak Nam Van (SJM)</v>
          </cell>
          <cell r="B590">
            <v>0</v>
          </cell>
          <cell r="C590">
            <v>0</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1950</v>
          </cell>
          <cell r="AZ590">
            <v>1950</v>
          </cell>
          <cell r="BA590">
            <v>1950</v>
          </cell>
          <cell r="BK590">
            <v>0</v>
          </cell>
          <cell r="BL590">
            <v>0</v>
          </cell>
        </row>
        <row r="591">
          <cell r="A591" t="str">
            <v>Shun Tak Cotai (SJM)</v>
          </cell>
          <cell r="B591">
            <v>0</v>
          </cell>
          <cell r="C591">
            <v>0</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6500</v>
          </cell>
          <cell r="BA591">
            <v>6500</v>
          </cell>
          <cell r="BK591">
            <v>0</v>
          </cell>
          <cell r="BL591">
            <v>0</v>
          </cell>
        </row>
        <row r="592">
          <cell r="A592" t="str">
            <v>Crown Macau (Melco/PBL)</v>
          </cell>
          <cell r="B592">
            <v>0</v>
          </cell>
          <cell r="C592">
            <v>0</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1599.9999999999998</v>
          </cell>
          <cell r="AT592">
            <v>2400</v>
          </cell>
          <cell r="AU592">
            <v>2400</v>
          </cell>
          <cell r="AV592">
            <v>1599.9999999999998</v>
          </cell>
          <cell r="AW592">
            <v>2450</v>
          </cell>
          <cell r="AX592">
            <v>2450</v>
          </cell>
          <cell r="AY592">
            <v>2450</v>
          </cell>
          <cell r="AZ592">
            <v>2450</v>
          </cell>
          <cell r="BA592">
            <v>2450</v>
          </cell>
          <cell r="BK592">
            <v>1200</v>
          </cell>
          <cell r="BL592">
            <v>399.99999999999977</v>
          </cell>
        </row>
        <row r="593">
          <cell r="A593" t="str">
            <v>Penninsula Project (Melco/PBL)</v>
          </cell>
          <cell r="B593">
            <v>0</v>
          </cell>
          <cell r="C593">
            <v>0</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1125</v>
          </cell>
          <cell r="AY593">
            <v>2250</v>
          </cell>
          <cell r="AZ593">
            <v>2250</v>
          </cell>
          <cell r="BA593">
            <v>2250</v>
          </cell>
          <cell r="BK593">
            <v>0</v>
          </cell>
          <cell r="BL593">
            <v>0</v>
          </cell>
        </row>
        <row r="594">
          <cell r="A594" t="str">
            <v>City of Dreams (Melco/PBL)</v>
          </cell>
          <cell r="B594">
            <v>0</v>
          </cell>
          <cell r="C594">
            <v>0</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5750</v>
          </cell>
          <cell r="AY594">
            <v>5750</v>
          </cell>
          <cell r="AZ594">
            <v>5750</v>
          </cell>
          <cell r="BA594">
            <v>5750</v>
          </cell>
          <cell r="BK594">
            <v>0</v>
          </cell>
          <cell r="BL594">
            <v>0</v>
          </cell>
        </row>
        <row r="595">
          <cell r="A595" t="str">
            <v>Galaxy Waldo Hotel and Casino (Galaxy)</v>
          </cell>
          <cell r="B595">
            <v>0</v>
          </cell>
          <cell r="C595">
            <v>0</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404.66666666666669</v>
          </cell>
          <cell r="AF595">
            <v>404.66666666666669</v>
          </cell>
          <cell r="AG595">
            <v>202.33333333333334</v>
          </cell>
          <cell r="AH595">
            <v>654.66666666666663</v>
          </cell>
          <cell r="AI595">
            <v>654.66666666666663</v>
          </cell>
          <cell r="AJ595">
            <v>654.66666666666663</v>
          </cell>
          <cell r="AK595">
            <v>655</v>
          </cell>
          <cell r="AL595">
            <v>654.75</v>
          </cell>
          <cell r="AM595">
            <v>655</v>
          </cell>
          <cell r="AN595">
            <v>655</v>
          </cell>
          <cell r="AO595">
            <v>655</v>
          </cell>
          <cell r="AP595">
            <v>655</v>
          </cell>
          <cell r="AQ595">
            <v>655</v>
          </cell>
          <cell r="AR595">
            <v>660</v>
          </cell>
          <cell r="AS595">
            <v>660</v>
          </cell>
          <cell r="AT595">
            <v>660</v>
          </cell>
          <cell r="AU595">
            <v>660</v>
          </cell>
          <cell r="AV595">
            <v>660</v>
          </cell>
          <cell r="AW595">
            <v>667.5</v>
          </cell>
          <cell r="AX595">
            <v>667.5</v>
          </cell>
          <cell r="AY595">
            <v>667.5</v>
          </cell>
          <cell r="AZ595">
            <v>667.5</v>
          </cell>
          <cell r="BA595">
            <v>667.5</v>
          </cell>
          <cell r="BK595">
            <v>660</v>
          </cell>
          <cell r="BL595">
            <v>0</v>
          </cell>
        </row>
        <row r="596">
          <cell r="A596" t="str">
            <v>Galaxy Rio Hotel City Club (Galaxy)</v>
          </cell>
          <cell r="B596">
            <v>0</v>
          </cell>
          <cell r="C596">
            <v>0</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475</v>
          </cell>
          <cell r="AN596">
            <v>950</v>
          </cell>
          <cell r="AO596">
            <v>950</v>
          </cell>
          <cell r="AP596">
            <v>950</v>
          </cell>
          <cell r="AQ596">
            <v>831.25</v>
          </cell>
          <cell r="AR596">
            <v>960</v>
          </cell>
          <cell r="AS596">
            <v>960</v>
          </cell>
          <cell r="AT596">
            <v>960</v>
          </cell>
          <cell r="AU596">
            <v>960</v>
          </cell>
          <cell r="AV596">
            <v>960</v>
          </cell>
          <cell r="AW596">
            <v>975</v>
          </cell>
          <cell r="AX596">
            <v>975</v>
          </cell>
          <cell r="AY596">
            <v>975</v>
          </cell>
          <cell r="AZ596">
            <v>975</v>
          </cell>
          <cell r="BA596">
            <v>975</v>
          </cell>
          <cell r="BK596">
            <v>960</v>
          </cell>
          <cell r="BL596">
            <v>0</v>
          </cell>
        </row>
        <row r="597">
          <cell r="A597" t="str">
            <v>Hotel Presidente Casino (Galaxy)</v>
          </cell>
          <cell r="B597">
            <v>0</v>
          </cell>
          <cell r="C597">
            <v>0</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500</v>
          </cell>
          <cell r="AO597">
            <v>750</v>
          </cell>
          <cell r="AP597">
            <v>750</v>
          </cell>
          <cell r="AQ597">
            <v>500</v>
          </cell>
          <cell r="AR597">
            <v>750</v>
          </cell>
          <cell r="AS597">
            <v>750</v>
          </cell>
          <cell r="AT597">
            <v>750</v>
          </cell>
          <cell r="AU597">
            <v>750</v>
          </cell>
          <cell r="AV597">
            <v>750</v>
          </cell>
          <cell r="AW597">
            <v>750</v>
          </cell>
          <cell r="AX597">
            <v>750</v>
          </cell>
          <cell r="AY597">
            <v>750</v>
          </cell>
          <cell r="AZ597">
            <v>750</v>
          </cell>
          <cell r="BA597">
            <v>750</v>
          </cell>
          <cell r="BK597">
            <v>750</v>
          </cell>
          <cell r="BL597">
            <v>0</v>
          </cell>
        </row>
        <row r="598">
          <cell r="A598" t="str">
            <v>Galaxy Grand Waldo (Galaxy)</v>
          </cell>
          <cell r="B598">
            <v>0</v>
          </cell>
          <cell r="C598">
            <v>0</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895.66666666666663</v>
          </cell>
          <cell r="AO598">
            <v>1791.3333333333333</v>
          </cell>
          <cell r="AP598">
            <v>1791.3333333333333</v>
          </cell>
          <cell r="AQ598">
            <v>1119.5833333333333</v>
          </cell>
          <cell r="AR598">
            <v>1813.6</v>
          </cell>
          <cell r="AS598">
            <v>1813.6</v>
          </cell>
          <cell r="AT598">
            <v>1813.6</v>
          </cell>
          <cell r="AU598">
            <v>1813.6</v>
          </cell>
          <cell r="AV598">
            <v>1813.6</v>
          </cell>
          <cell r="AW598">
            <v>1847</v>
          </cell>
          <cell r="AX598">
            <v>1847</v>
          </cell>
          <cell r="AY598">
            <v>1847</v>
          </cell>
          <cell r="AZ598">
            <v>1847</v>
          </cell>
          <cell r="BA598">
            <v>1847</v>
          </cell>
          <cell r="BK598">
            <v>1813.6</v>
          </cell>
          <cell r="BL598">
            <v>0</v>
          </cell>
        </row>
        <row r="599">
          <cell r="A599" t="str">
            <v>Galaxy StarWorld (Galaxy)</v>
          </cell>
          <cell r="B599">
            <v>0</v>
          </cell>
          <cell r="C599">
            <v>0</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1447.0169082125606</v>
          </cell>
          <cell r="AQ599">
            <v>361.75422705314014</v>
          </cell>
          <cell r="AR599">
            <v>2250</v>
          </cell>
          <cell r="AS599">
            <v>3030</v>
          </cell>
          <cell r="AT599">
            <v>3030</v>
          </cell>
          <cell r="AU599">
            <v>3030</v>
          </cell>
          <cell r="AV599">
            <v>2835</v>
          </cell>
          <cell r="AW599">
            <v>3065</v>
          </cell>
          <cell r="AX599">
            <v>3065</v>
          </cell>
          <cell r="AY599">
            <v>3065</v>
          </cell>
          <cell r="AZ599">
            <v>3065</v>
          </cell>
          <cell r="BA599">
            <v>3065</v>
          </cell>
          <cell r="BK599">
            <v>3048.4</v>
          </cell>
          <cell r="BL599">
            <v>-213.40000000000009</v>
          </cell>
        </row>
        <row r="600">
          <cell r="A600" t="str">
            <v>Galaxy Cotai Mega Resort (Galaxy)</v>
          </cell>
          <cell r="B600">
            <v>0</v>
          </cell>
          <cell r="C600">
            <v>0</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2500</v>
          </cell>
          <cell r="AX600">
            <v>5000</v>
          </cell>
          <cell r="AY600">
            <v>5000</v>
          </cell>
          <cell r="AZ600">
            <v>5000</v>
          </cell>
          <cell r="BA600">
            <v>5000</v>
          </cell>
          <cell r="BK600">
            <v>0</v>
          </cell>
          <cell r="BL600">
            <v>0</v>
          </cell>
        </row>
        <row r="601">
          <cell r="A601" t="str">
            <v>Sands Macao (LVS)</v>
          </cell>
          <cell r="B601">
            <v>0</v>
          </cell>
          <cell r="C601">
            <v>0</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1176.7509157509155</v>
          </cell>
          <cell r="AE601">
            <v>2983</v>
          </cell>
          <cell r="AF601">
            <v>3222</v>
          </cell>
          <cell r="AG601">
            <v>1845.4377289377287</v>
          </cell>
          <cell r="AH601">
            <v>3614.6666666666665</v>
          </cell>
          <cell r="AI601">
            <v>3834</v>
          </cell>
          <cell r="AJ601">
            <v>3887.3333333333335</v>
          </cell>
          <cell r="AK601">
            <v>4159.333333333333</v>
          </cell>
          <cell r="AL601">
            <v>3873.8333333333335</v>
          </cell>
          <cell r="AM601">
            <v>4642.333333333333</v>
          </cell>
          <cell r="AN601">
            <v>4838.333333333333</v>
          </cell>
          <cell r="AO601">
            <v>6121.333333333333</v>
          </cell>
          <cell r="AP601">
            <v>8131</v>
          </cell>
          <cell r="AQ601">
            <v>5933.25</v>
          </cell>
          <cell r="AR601">
            <v>8213.2000000000007</v>
          </cell>
          <cell r="AS601">
            <v>8213.2000000000007</v>
          </cell>
          <cell r="AT601">
            <v>8213.2000000000007</v>
          </cell>
          <cell r="AU601">
            <v>8213.2000000000007</v>
          </cell>
          <cell r="AV601">
            <v>8213.2000000000007</v>
          </cell>
          <cell r="AW601">
            <v>8336.5</v>
          </cell>
          <cell r="AX601">
            <v>8336.5</v>
          </cell>
          <cell r="AY601">
            <v>8336.5</v>
          </cell>
          <cell r="AZ601">
            <v>8336.5</v>
          </cell>
          <cell r="BA601">
            <v>8336.5</v>
          </cell>
          <cell r="BK601">
            <v>7901.6</v>
          </cell>
          <cell r="BL601">
            <v>311.60000000000036</v>
          </cell>
        </row>
        <row r="602">
          <cell r="A602" t="str">
            <v>Venetian Macao (LVS)</v>
          </cell>
          <cell r="B602">
            <v>0</v>
          </cell>
          <cell r="C602">
            <v>0</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9140</v>
          </cell>
          <cell r="AU602">
            <v>9140</v>
          </cell>
          <cell r="AV602">
            <v>4570</v>
          </cell>
          <cell r="AW602">
            <v>10550</v>
          </cell>
          <cell r="AX602">
            <v>10550</v>
          </cell>
          <cell r="AY602">
            <v>10550</v>
          </cell>
          <cell r="AZ602">
            <v>15000</v>
          </cell>
          <cell r="BA602">
            <v>15000</v>
          </cell>
          <cell r="BK602">
            <v>4550</v>
          </cell>
          <cell r="BL602">
            <v>20</v>
          </cell>
        </row>
        <row r="603">
          <cell r="A603" t="str">
            <v>Cotai Site 2 - Four Seasons (LVS)</v>
          </cell>
          <cell r="B603">
            <v>0</v>
          </cell>
          <cell r="C603">
            <v>0</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1500</v>
          </cell>
          <cell r="AX603">
            <v>1500</v>
          </cell>
          <cell r="AY603">
            <v>1500</v>
          </cell>
          <cell r="AZ603">
            <v>1500</v>
          </cell>
          <cell r="BA603">
            <v>1500</v>
          </cell>
          <cell r="BK603">
            <v>0</v>
          </cell>
          <cell r="BL603">
            <v>0</v>
          </cell>
        </row>
        <row r="604">
          <cell r="A604" t="str">
            <v>Cotai Site 3 - Far East (LVS)</v>
          </cell>
          <cell r="B604">
            <v>0</v>
          </cell>
          <cell r="C604">
            <v>0</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2062.5</v>
          </cell>
          <cell r="AY604">
            <v>4125</v>
          </cell>
          <cell r="AZ604">
            <v>4125</v>
          </cell>
          <cell r="BA604">
            <v>4125</v>
          </cell>
          <cell r="BK604">
            <v>0</v>
          </cell>
          <cell r="BL604">
            <v>0</v>
          </cell>
        </row>
        <row r="605">
          <cell r="A605" t="str">
            <v>Cotai Site 5 - Shangri-La/St.Regis/Traders (LVS)</v>
          </cell>
          <cell r="B605">
            <v>0</v>
          </cell>
          <cell r="C605">
            <v>0</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2062.5</v>
          </cell>
          <cell r="AX605">
            <v>4125</v>
          </cell>
          <cell r="AY605">
            <v>4125</v>
          </cell>
          <cell r="AZ605">
            <v>4125</v>
          </cell>
          <cell r="BA605">
            <v>4125</v>
          </cell>
          <cell r="BK605">
            <v>0</v>
          </cell>
          <cell r="BL605">
            <v>0</v>
          </cell>
        </row>
        <row r="606">
          <cell r="A606" t="str">
            <v>Cotai Site 6 - Starwood (LVS)</v>
          </cell>
          <cell r="B606">
            <v>0</v>
          </cell>
          <cell r="C606">
            <v>0</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2062.5</v>
          </cell>
          <cell r="AX606">
            <v>4125</v>
          </cell>
          <cell r="AY606">
            <v>4125</v>
          </cell>
          <cell r="AZ606">
            <v>4125</v>
          </cell>
          <cell r="BA606">
            <v>4125</v>
          </cell>
          <cell r="BK606">
            <v>0</v>
          </cell>
          <cell r="BL606">
            <v>0</v>
          </cell>
        </row>
        <row r="607">
          <cell r="A607" t="str">
            <v>Cotai Site 7 - Hilton (LVS)</v>
          </cell>
          <cell r="B607">
            <v>0</v>
          </cell>
          <cell r="C607">
            <v>0</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2062.5</v>
          </cell>
          <cell r="AY607">
            <v>4125</v>
          </cell>
          <cell r="AZ607">
            <v>4125</v>
          </cell>
          <cell r="BA607">
            <v>4125</v>
          </cell>
          <cell r="BK607">
            <v>0</v>
          </cell>
          <cell r="BL607">
            <v>0</v>
          </cell>
        </row>
        <row r="608">
          <cell r="A608" t="str">
            <v>Cotai Site 8 - FHR/Raffles (LVS)</v>
          </cell>
          <cell r="B608">
            <v>0</v>
          </cell>
          <cell r="C608">
            <v>0</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2062.5</v>
          </cell>
          <cell r="AY608">
            <v>4125</v>
          </cell>
          <cell r="AZ608">
            <v>4125</v>
          </cell>
          <cell r="BA608">
            <v>4125</v>
          </cell>
          <cell r="BK608">
            <v>0</v>
          </cell>
          <cell r="BL608">
            <v>0</v>
          </cell>
        </row>
        <row r="609">
          <cell r="A609" t="str">
            <v>Wynn Macau (WYNN)</v>
          </cell>
          <cell r="B609">
            <v>0</v>
          </cell>
          <cell r="C609">
            <v>0</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v>0</v>
          </cell>
          <cell r="V609">
            <v>0</v>
          </cell>
          <cell r="W609">
            <v>0</v>
          </cell>
          <cell r="X609">
            <v>0</v>
          </cell>
          <cell r="Y609">
            <v>0</v>
          </cell>
          <cell r="Z609">
            <v>0</v>
          </cell>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604.61956521739137</v>
          </cell>
          <cell r="AP609">
            <v>2362</v>
          </cell>
          <cell r="AQ609">
            <v>741.65489130434798</v>
          </cell>
          <cell r="AR609">
            <v>2689.6</v>
          </cell>
          <cell r="AS609">
            <v>3392.8</v>
          </cell>
          <cell r="AT609">
            <v>4712</v>
          </cell>
          <cell r="AU609">
            <v>4712</v>
          </cell>
          <cell r="AV609">
            <v>3876.6</v>
          </cell>
          <cell r="AW609">
            <v>4840</v>
          </cell>
          <cell r="AX609">
            <v>5140</v>
          </cell>
          <cell r="AY609">
            <v>5140</v>
          </cell>
          <cell r="AZ609">
            <v>5140</v>
          </cell>
          <cell r="BA609">
            <v>5140</v>
          </cell>
          <cell r="BK609">
            <v>3427</v>
          </cell>
          <cell r="BL609">
            <v>449.59999999999991</v>
          </cell>
        </row>
        <row r="610">
          <cell r="A610" t="str">
            <v>Wynn Cotai (WYNN)</v>
          </cell>
          <cell r="B610">
            <v>0</v>
          </cell>
          <cell r="C610">
            <v>0</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6750</v>
          </cell>
          <cell r="AZ610">
            <v>6750</v>
          </cell>
          <cell r="BA610">
            <v>6750</v>
          </cell>
          <cell r="BK610">
            <v>0</v>
          </cell>
          <cell r="BL610">
            <v>0</v>
          </cell>
        </row>
        <row r="611">
          <cell r="A611" t="str">
            <v>Wynn Cotai #2 (WYNN)</v>
          </cell>
          <cell r="B611">
            <v>0</v>
          </cell>
          <cell r="C611">
            <v>0</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6750</v>
          </cell>
          <cell r="AZ611">
            <v>6750</v>
          </cell>
          <cell r="BA611">
            <v>6750</v>
          </cell>
          <cell r="BK611">
            <v>0</v>
          </cell>
          <cell r="BL611">
            <v>0</v>
          </cell>
        </row>
        <row r="612">
          <cell r="A612" t="str">
            <v>MGM Grand (MGM)</v>
          </cell>
          <cell r="B612">
            <v>0</v>
          </cell>
          <cell r="C612">
            <v>0</v>
          </cell>
          <cell r="D612">
            <v>0</v>
          </cell>
          <cell r="E612">
            <v>0</v>
          </cell>
          <cell r="F612">
            <v>0</v>
          </cell>
          <cell r="G612">
            <v>0</v>
          </cell>
          <cell r="H612">
            <v>0</v>
          </cell>
          <cell r="I612">
            <v>0</v>
          </cell>
          <cell r="J612">
            <v>0</v>
          </cell>
          <cell r="K612">
            <v>0</v>
          </cell>
          <cell r="L612">
            <v>0</v>
          </cell>
          <cell r="M612">
            <v>0</v>
          </cell>
          <cell r="N612">
            <v>0</v>
          </cell>
          <cell r="O612">
            <v>0</v>
          </cell>
          <cell r="P612">
            <v>0</v>
          </cell>
          <cell r="Q612">
            <v>0</v>
          </cell>
          <cell r="R612">
            <v>0</v>
          </cell>
          <cell r="S612">
            <v>0</v>
          </cell>
          <cell r="T612">
            <v>0</v>
          </cell>
          <cell r="U612">
            <v>0</v>
          </cell>
          <cell r="V612">
            <v>0</v>
          </cell>
          <cell r="W612">
            <v>0</v>
          </cell>
          <cell r="X612">
            <v>0</v>
          </cell>
          <cell r="Y612">
            <v>0</v>
          </cell>
          <cell r="Z612">
            <v>0</v>
          </cell>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3884.8</v>
          </cell>
          <cell r="AV612">
            <v>971.2</v>
          </cell>
          <cell r="AW612">
            <v>3988.5</v>
          </cell>
          <cell r="AX612">
            <v>3988.5</v>
          </cell>
          <cell r="AY612">
            <v>3988.5</v>
          </cell>
          <cell r="AZ612">
            <v>3988.5</v>
          </cell>
          <cell r="BA612">
            <v>3988.5</v>
          </cell>
          <cell r="BK612">
            <v>0</v>
          </cell>
          <cell r="BL612">
            <v>971.2</v>
          </cell>
        </row>
        <row r="613">
          <cell r="A613" t="str">
            <v>MGM Cotai #1 (MGM)</v>
          </cell>
          <cell r="B613">
            <v>0</v>
          </cell>
          <cell r="C613">
            <v>0</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6500</v>
          </cell>
          <cell r="BA613">
            <v>6500</v>
          </cell>
          <cell r="BK613">
            <v>0</v>
          </cell>
          <cell r="BL613">
            <v>0</v>
          </cell>
        </row>
        <row r="614">
          <cell r="A614" t="str">
            <v>Mocha Slot Lounges (Melco)</v>
          </cell>
          <cell r="B614">
            <v>0</v>
          </cell>
          <cell r="C614">
            <v>0</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21.666666666666664</v>
          </cell>
          <cell r="AB614">
            <v>5.4166666666666661</v>
          </cell>
          <cell r="AC614">
            <v>21.666666666666664</v>
          </cell>
          <cell r="AD614">
            <v>69.666666666666657</v>
          </cell>
          <cell r="AE614">
            <v>167.66666666666666</v>
          </cell>
          <cell r="AF614">
            <v>167.66666666666666</v>
          </cell>
          <cell r="AG614">
            <v>106.66666666666666</v>
          </cell>
          <cell r="AH614">
            <v>167.66666666666666</v>
          </cell>
          <cell r="AI614">
            <v>215.66666666666666</v>
          </cell>
          <cell r="AJ614">
            <v>226.33333333333331</v>
          </cell>
          <cell r="AK614">
            <v>269.66666666666663</v>
          </cell>
          <cell r="AL614">
            <v>219.83333333333331</v>
          </cell>
          <cell r="AM614">
            <v>312.33333333333331</v>
          </cell>
          <cell r="AN614">
            <v>312.33333333333331</v>
          </cell>
          <cell r="AO614">
            <v>312.33333333333331</v>
          </cell>
          <cell r="AP614">
            <v>312.33333333333331</v>
          </cell>
          <cell r="AQ614">
            <v>312.33333333333331</v>
          </cell>
          <cell r="AR614">
            <v>454.8</v>
          </cell>
          <cell r="AS614">
            <v>454.8</v>
          </cell>
          <cell r="AT614">
            <v>534.80000000000007</v>
          </cell>
          <cell r="AU614">
            <v>614.80000000000007</v>
          </cell>
          <cell r="AV614">
            <v>514.80000000000007</v>
          </cell>
          <cell r="AW614">
            <v>993.5</v>
          </cell>
          <cell r="AX614">
            <v>1068.5</v>
          </cell>
          <cell r="AY614">
            <v>1368.5</v>
          </cell>
          <cell r="AZ614">
            <v>1668.5</v>
          </cell>
          <cell r="BA614">
            <v>1968.5</v>
          </cell>
          <cell r="BK614">
            <v>0</v>
          </cell>
          <cell r="BL614">
            <v>514.80000000000007</v>
          </cell>
        </row>
        <row r="615">
          <cell r="A615" t="str">
            <v>Macau Studio City (eSun)</v>
          </cell>
          <cell r="B615">
            <v>0</v>
          </cell>
          <cell r="C615">
            <v>0</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4500</v>
          </cell>
          <cell r="AY615">
            <v>4500</v>
          </cell>
          <cell r="AZ615">
            <v>7300</v>
          </cell>
          <cell r="BA615">
            <v>7300</v>
          </cell>
          <cell r="BK615">
            <v>0</v>
          </cell>
          <cell r="BL615">
            <v>0</v>
          </cell>
        </row>
        <row r="616">
          <cell r="A616" t="str">
            <v>Adjustment</v>
          </cell>
          <cell r="B616">
            <v>0</v>
          </cell>
          <cell r="C616">
            <v>0</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300</v>
          </cell>
          <cell r="AE616">
            <v>-1500</v>
          </cell>
          <cell r="AF616">
            <v>1018.3333333333331</v>
          </cell>
          <cell r="AG616">
            <v>-45.416666666666728</v>
          </cell>
          <cell r="AH616">
            <v>-245.77777777777754</v>
          </cell>
          <cell r="AI616">
            <v>-0.83333333333182225</v>
          </cell>
          <cell r="AJ616">
            <v>-297.33333333333337</v>
          </cell>
          <cell r="AK616">
            <v>118.5</v>
          </cell>
          <cell r="AL616">
            <v>-106.36111111111067</v>
          </cell>
          <cell r="AM616">
            <v>117.5</v>
          </cell>
          <cell r="AN616">
            <v>-276</v>
          </cell>
          <cell r="AO616">
            <v>-227.28623188405953</v>
          </cell>
          <cell r="AP616">
            <v>-766.40579710144937</v>
          </cell>
          <cell r="AQ616">
            <v>-288.04800724637721</v>
          </cell>
          <cell r="AR616">
            <v>-719.68695652173915</v>
          </cell>
          <cell r="AS616">
            <v>-719.68695652173915</v>
          </cell>
          <cell r="AT616">
            <v>-719.68695652173915</v>
          </cell>
          <cell r="AU616">
            <v>-719.68695652173915</v>
          </cell>
          <cell r="AV616">
            <v>-719.68695652173915</v>
          </cell>
          <cell r="AW616">
            <v>-649.60869565217399</v>
          </cell>
          <cell r="AX616">
            <v>-649.60869565217399</v>
          </cell>
          <cell r="AY616">
            <v>-649.60869565217399</v>
          </cell>
          <cell r="AZ616">
            <v>-649.60869565217399</v>
          </cell>
          <cell r="BA616">
            <v>-649.60869565217399</v>
          </cell>
          <cell r="BK616">
            <v>-503.55652173913205</v>
          </cell>
          <cell r="BL616">
            <v>-216.1304347826071</v>
          </cell>
        </row>
        <row r="617">
          <cell r="B617" t="str">
            <v>______</v>
          </cell>
          <cell r="C617" t="str">
            <v>______</v>
          </cell>
          <cell r="D617" t="str">
            <v>______</v>
          </cell>
          <cell r="E617" t="str">
            <v>______</v>
          </cell>
          <cell r="F617" t="str">
            <v>______</v>
          </cell>
          <cell r="G617" t="str">
            <v>______</v>
          </cell>
          <cell r="H617" t="str">
            <v>______</v>
          </cell>
          <cell r="I617" t="str">
            <v>______</v>
          </cell>
          <cell r="J617" t="str">
            <v>______</v>
          </cell>
          <cell r="K617" t="str">
            <v>______</v>
          </cell>
          <cell r="L617" t="str">
            <v>______</v>
          </cell>
          <cell r="M617" t="str">
            <v>______</v>
          </cell>
          <cell r="N617" t="str">
            <v>______</v>
          </cell>
          <cell r="O617" t="str">
            <v>______</v>
          </cell>
          <cell r="P617" t="str">
            <v>______</v>
          </cell>
          <cell r="Q617" t="str">
            <v>______</v>
          </cell>
          <cell r="R617" t="str">
            <v>______</v>
          </cell>
          <cell r="S617" t="str">
            <v>______</v>
          </cell>
          <cell r="T617" t="str">
            <v>______</v>
          </cell>
          <cell r="U617" t="str">
            <v>______</v>
          </cell>
          <cell r="V617" t="str">
            <v>______</v>
          </cell>
          <cell r="W617" t="str">
            <v>______</v>
          </cell>
          <cell r="X617" t="str">
            <v>______</v>
          </cell>
          <cell r="Y617" t="str">
            <v>______</v>
          </cell>
          <cell r="Z617" t="str">
            <v>______</v>
          </cell>
          <cell r="AA617" t="str">
            <v>______</v>
          </cell>
          <cell r="AB617" t="str">
            <v>______</v>
          </cell>
          <cell r="AC617" t="str">
            <v>______</v>
          </cell>
          <cell r="AD617" t="str">
            <v>______</v>
          </cell>
          <cell r="AE617" t="str">
            <v>______</v>
          </cell>
          <cell r="AF617" t="str">
            <v>______</v>
          </cell>
          <cell r="AG617" t="str">
            <v>______</v>
          </cell>
          <cell r="AH617" t="str">
            <v>______</v>
          </cell>
          <cell r="AI617" t="str">
            <v>______</v>
          </cell>
          <cell r="AJ617" t="str">
            <v>______</v>
          </cell>
          <cell r="AK617" t="str">
            <v>______</v>
          </cell>
          <cell r="AL617" t="str">
            <v>______</v>
          </cell>
          <cell r="AM617" t="str">
            <v>______</v>
          </cell>
          <cell r="AN617" t="str">
            <v>______</v>
          </cell>
          <cell r="AO617" t="str">
            <v>______</v>
          </cell>
          <cell r="AP617" t="str">
            <v>______</v>
          </cell>
          <cell r="AQ617" t="str">
            <v>______</v>
          </cell>
          <cell r="AR617" t="str">
            <v>______</v>
          </cell>
          <cell r="AS617" t="str">
            <v>______</v>
          </cell>
          <cell r="AT617" t="str">
            <v>______</v>
          </cell>
          <cell r="AU617" t="str">
            <v>______</v>
          </cell>
          <cell r="AV617" t="str">
            <v>______</v>
          </cell>
          <cell r="AW617" t="str">
            <v>______</v>
          </cell>
          <cell r="AX617" t="str">
            <v>______</v>
          </cell>
          <cell r="AY617" t="str">
            <v>______</v>
          </cell>
          <cell r="AZ617" t="str">
            <v>______</v>
          </cell>
          <cell r="BA617" t="str">
            <v>______</v>
          </cell>
          <cell r="BK617" t="str">
            <v>______</v>
          </cell>
          <cell r="BL617" t="e">
            <v>#VALUE!</v>
          </cell>
        </row>
        <row r="618">
          <cell r="A618" t="str">
            <v>Total Average Positions</v>
          </cell>
          <cell r="B618">
            <v>3643.333333333333</v>
          </cell>
          <cell r="C618">
            <v>3643.333333333333</v>
          </cell>
          <cell r="D618">
            <v>3643.333333333333</v>
          </cell>
          <cell r="E618">
            <v>3643.333333333333</v>
          </cell>
          <cell r="F618">
            <v>3643.333333333333</v>
          </cell>
          <cell r="G618">
            <v>3643.333333333333</v>
          </cell>
          <cell r="H618">
            <v>3643.333333333333</v>
          </cell>
          <cell r="I618">
            <v>3643.333333333333</v>
          </cell>
          <cell r="J618">
            <v>3643.333333333333</v>
          </cell>
          <cell r="K618">
            <v>3643.333333333333</v>
          </cell>
          <cell r="L618">
            <v>3643.333333333333</v>
          </cell>
          <cell r="M618">
            <v>3643.333333333333</v>
          </cell>
          <cell r="N618">
            <v>3643.333333333333</v>
          </cell>
          <cell r="O618">
            <v>3643.333333333333</v>
          </cell>
          <cell r="P618">
            <v>3643.333333333333</v>
          </cell>
          <cell r="Q618">
            <v>3643.333333333333</v>
          </cell>
          <cell r="R618">
            <v>3643.333333333333</v>
          </cell>
          <cell r="S618">
            <v>3643.333333333333</v>
          </cell>
          <cell r="T618">
            <v>3643.333333333333</v>
          </cell>
          <cell r="U618">
            <v>3643.333333333333</v>
          </cell>
          <cell r="V618">
            <v>3643.333333333333</v>
          </cell>
          <cell r="W618">
            <v>3643.333333333333</v>
          </cell>
          <cell r="X618">
            <v>4679.333333333333</v>
          </cell>
          <cell r="Y618">
            <v>4679.333333333333</v>
          </cell>
          <cell r="Z618">
            <v>4679.333333333333</v>
          </cell>
          <cell r="AA618">
            <v>4701</v>
          </cell>
          <cell r="AB618">
            <v>4684.75</v>
          </cell>
          <cell r="AC618">
            <v>4701</v>
          </cell>
          <cell r="AD618">
            <v>6225.7509157509157</v>
          </cell>
          <cell r="AE618">
            <v>7475.6666666666661</v>
          </cell>
          <cell r="AF618">
            <v>10084.304347826088</v>
          </cell>
          <cell r="AG618">
            <v>7121.6804825609161</v>
          </cell>
          <cell r="AH618">
            <v>12497</v>
          </cell>
          <cell r="AI618">
            <v>13279.833333333334</v>
          </cell>
          <cell r="AJ618">
            <v>13680.666666666668</v>
          </cell>
          <cell r="AK618">
            <v>14503.833333333334</v>
          </cell>
          <cell r="AL618">
            <v>13490.333333333334</v>
          </cell>
          <cell r="AM618">
            <v>16939.499999999996</v>
          </cell>
          <cell r="AN618">
            <v>20359.333333333328</v>
          </cell>
          <cell r="AO618">
            <v>23441.333333333328</v>
          </cell>
          <cell r="AP618">
            <v>28194.538647342993</v>
          </cell>
          <cell r="AQ618">
            <v>22233.676328502414</v>
          </cell>
          <cell r="AR618">
            <v>31805.313043478258</v>
          </cell>
          <cell r="AS618">
            <v>36425.313043478258</v>
          </cell>
          <cell r="AT618">
            <v>49924.513043478255</v>
          </cell>
          <cell r="AU618">
            <v>54109.313043478258</v>
          </cell>
          <cell r="AV618">
            <v>43066.113043478254</v>
          </cell>
          <cell r="AW618">
            <v>64954.391304347824</v>
          </cell>
          <cell r="AX618">
            <v>96016.891304347824</v>
          </cell>
          <cell r="AY618">
            <v>119079.39130434782</v>
          </cell>
          <cell r="AZ618">
            <v>139629.39130434784</v>
          </cell>
          <cell r="BA618">
            <v>139929.39130434784</v>
          </cell>
          <cell r="BK618">
            <v>44799.843478260867</v>
          </cell>
          <cell r="BL618">
            <v>-1733.7304347826139</v>
          </cell>
        </row>
        <row r="619">
          <cell r="A619" t="str">
            <v xml:space="preserve">  Growth</v>
          </cell>
          <cell r="AC619">
            <v>4.6302892149878705E-3</v>
          </cell>
          <cell r="AD619">
            <v>0.33047818401857443</v>
          </cell>
          <cell r="AE619">
            <v>0.59759224960820623</v>
          </cell>
          <cell r="AF619">
            <v>1.1451402569296083</v>
          </cell>
          <cell r="AG619">
            <v>0.52018367737038607</v>
          </cell>
          <cell r="AH619">
            <v>1.658370559455435</v>
          </cell>
          <cell r="AI619">
            <v>1.1330492518960011</v>
          </cell>
          <cell r="AJ619">
            <v>0.8300263075756904</v>
          </cell>
          <cell r="AK619">
            <v>0.43825819144976319</v>
          </cell>
          <cell r="AL619">
            <v>0.89426264859362048</v>
          </cell>
          <cell r="AM619">
            <v>0.35548531647595394</v>
          </cell>
          <cell r="AN619">
            <v>0.5331015700498245</v>
          </cell>
          <cell r="AO619">
            <v>0.71346425612786857</v>
          </cell>
          <cell r="AP619">
            <v>0.94393702680967051</v>
          </cell>
          <cell r="AQ619">
            <v>0.64811912197640864</v>
          </cell>
          <cell r="AR619">
            <v>0.87758275294301868</v>
          </cell>
          <cell r="AS619">
            <v>0.78912110957193748</v>
          </cell>
          <cell r="AT619">
            <v>1.1297642217512482</v>
          </cell>
          <cell r="AU619">
            <v>0.91914163662250337</v>
          </cell>
          <cell r="AV619">
            <v>0.93697670179131576</v>
          </cell>
          <cell r="AW619">
            <v>0.50824828882912709</v>
          </cell>
          <cell r="AX619">
            <v>0.47822016920233668</v>
          </cell>
          <cell r="AY619">
            <v>0.24019211293665044</v>
          </cell>
          <cell r="AZ619">
            <v>0.17257394226577394</v>
          </cell>
          <cell r="BA619">
            <v>2.1485447812781278E-3</v>
          </cell>
          <cell r="BK619">
            <v>0.94087187960905649</v>
          </cell>
          <cell r="BL619">
            <v>-3.8951778177407359E-3</v>
          </cell>
        </row>
        <row r="620">
          <cell r="BL620">
            <v>0</v>
          </cell>
        </row>
        <row r="621">
          <cell r="A621" t="str">
            <v>Mass Market Positions</v>
          </cell>
          <cell r="BL621">
            <v>0</v>
          </cell>
        </row>
        <row r="622">
          <cell r="A622" t="str">
            <v>Average Tables</v>
          </cell>
          <cell r="BL622">
            <v>0</v>
          </cell>
        </row>
        <row r="623">
          <cell r="A623" t="str">
            <v>Sands Macao</v>
          </cell>
          <cell r="X623">
            <v>0</v>
          </cell>
          <cell r="Y623">
            <v>0</v>
          </cell>
          <cell r="Z623">
            <v>0</v>
          </cell>
          <cell r="AA623">
            <v>0</v>
          </cell>
          <cell r="AB623">
            <v>0</v>
          </cell>
          <cell r="AC623">
            <v>0</v>
          </cell>
          <cell r="AD623">
            <v>113.87912087912088</v>
          </cell>
          <cell r="AE623">
            <v>258</v>
          </cell>
          <cell r="AF623">
            <v>258</v>
          </cell>
          <cell r="AG623">
            <v>157.4697802197802</v>
          </cell>
          <cell r="AH623">
            <v>288.5</v>
          </cell>
          <cell r="AI623">
            <v>303</v>
          </cell>
          <cell r="AJ623">
            <v>309</v>
          </cell>
          <cell r="AK623">
            <v>335</v>
          </cell>
          <cell r="AL623">
            <v>308.875</v>
          </cell>
          <cell r="AM623">
            <v>379</v>
          </cell>
          <cell r="AN623">
            <v>391</v>
          </cell>
          <cell r="AO623">
            <v>508</v>
          </cell>
          <cell r="AP623">
            <v>697</v>
          </cell>
          <cell r="AQ623">
            <v>493.75</v>
          </cell>
          <cell r="AR623">
            <v>697</v>
          </cell>
          <cell r="AS623">
            <v>697</v>
          </cell>
          <cell r="AT623">
            <v>697</v>
          </cell>
          <cell r="AU623">
            <v>697</v>
          </cell>
          <cell r="AV623">
            <v>697</v>
          </cell>
          <cell r="AW623">
            <v>697</v>
          </cell>
          <cell r="AX623">
            <v>697</v>
          </cell>
          <cell r="AY623">
            <v>697</v>
          </cell>
          <cell r="AZ623">
            <v>697</v>
          </cell>
          <cell r="BA623">
            <v>697</v>
          </cell>
          <cell r="BK623">
            <v>665</v>
          </cell>
          <cell r="BL623">
            <v>32</v>
          </cell>
        </row>
        <row r="624">
          <cell r="A624" t="str">
            <v>Venetian Macao</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625</v>
          </cell>
          <cell r="AU624">
            <v>625</v>
          </cell>
          <cell r="AV624">
            <v>312.5</v>
          </cell>
          <cell r="AW624">
            <v>725</v>
          </cell>
          <cell r="AX624">
            <v>725</v>
          </cell>
          <cell r="AY624">
            <v>725</v>
          </cell>
          <cell r="AZ624">
            <v>1000</v>
          </cell>
          <cell r="BA624">
            <v>1000</v>
          </cell>
          <cell r="BK624">
            <v>312.5</v>
          </cell>
          <cell r="BL624">
            <v>0</v>
          </cell>
        </row>
        <row r="625">
          <cell r="A625" t="str">
            <v>Cotai Site 2 - Four Seasons (LVS)</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115</v>
          </cell>
          <cell r="AX625">
            <v>115</v>
          </cell>
          <cell r="AY625">
            <v>115</v>
          </cell>
          <cell r="AZ625">
            <v>115</v>
          </cell>
          <cell r="BA625">
            <v>115</v>
          </cell>
          <cell r="BK625">
            <v>0</v>
          </cell>
          <cell r="BL625">
            <v>0</v>
          </cell>
        </row>
        <row r="626">
          <cell r="A626" t="str">
            <v>Cotai Site 3 - Far East (LVS)</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142.5</v>
          </cell>
          <cell r="AY626">
            <v>285</v>
          </cell>
          <cell r="AZ626">
            <v>285</v>
          </cell>
          <cell r="BA626">
            <v>285</v>
          </cell>
          <cell r="BK626">
            <v>0</v>
          </cell>
          <cell r="BL626">
            <v>0</v>
          </cell>
        </row>
        <row r="627">
          <cell r="A627" t="str">
            <v>Cotai Site 5 - Shangri-La/St.Regis/Traders (LVS)</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143.75</v>
          </cell>
          <cell r="AX627">
            <v>287.5</v>
          </cell>
          <cell r="AY627">
            <v>250</v>
          </cell>
          <cell r="AZ627">
            <v>250</v>
          </cell>
          <cell r="BA627">
            <v>250</v>
          </cell>
          <cell r="BK627">
            <v>0</v>
          </cell>
          <cell r="BL627">
            <v>0</v>
          </cell>
        </row>
        <row r="628">
          <cell r="A628" t="str">
            <v>Cotai Site 6 - Starwood (LVS)</v>
          </cell>
          <cell r="X628">
            <v>0</v>
          </cell>
          <cell r="Y628">
            <v>0</v>
          </cell>
          <cell r="Z628">
            <v>0</v>
          </cell>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143.75</v>
          </cell>
          <cell r="AX628">
            <v>287.5</v>
          </cell>
          <cell r="AY628">
            <v>250</v>
          </cell>
          <cell r="AZ628">
            <v>250</v>
          </cell>
          <cell r="BA628">
            <v>250</v>
          </cell>
          <cell r="BK628">
            <v>0</v>
          </cell>
          <cell r="BL628">
            <v>0</v>
          </cell>
        </row>
        <row r="629">
          <cell r="A629" t="str">
            <v>Cotai Site 7 - Hilton (LVS)</v>
          </cell>
          <cell r="X629">
            <v>0</v>
          </cell>
          <cell r="Y629">
            <v>0</v>
          </cell>
          <cell r="Z629">
            <v>0</v>
          </cell>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143.75</v>
          </cell>
          <cell r="AY629">
            <v>287.5</v>
          </cell>
          <cell r="AZ629">
            <v>250</v>
          </cell>
          <cell r="BA629">
            <v>250</v>
          </cell>
          <cell r="BK629">
            <v>0</v>
          </cell>
          <cell r="BL629">
            <v>0</v>
          </cell>
        </row>
        <row r="630">
          <cell r="A630" t="str">
            <v>Cotai Site 8 - FHR/Raffles (LVS)</v>
          </cell>
          <cell r="X630">
            <v>0</v>
          </cell>
          <cell r="Y630">
            <v>0</v>
          </cell>
          <cell r="Z630">
            <v>0</v>
          </cell>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143.75</v>
          </cell>
          <cell r="AY630">
            <v>287.5</v>
          </cell>
          <cell r="AZ630">
            <v>250</v>
          </cell>
          <cell r="BA630">
            <v>250</v>
          </cell>
          <cell r="BK630">
            <v>0</v>
          </cell>
          <cell r="BL630">
            <v>0</v>
          </cell>
        </row>
        <row r="631">
          <cell r="A631" t="str">
            <v>Wynn Macau (WYNN)</v>
          </cell>
          <cell r="X631">
            <v>0</v>
          </cell>
          <cell r="Y631">
            <v>0</v>
          </cell>
          <cell r="Z631">
            <v>0</v>
          </cell>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46.195652173913047</v>
          </cell>
          <cell r="AP631">
            <v>184</v>
          </cell>
          <cell r="AQ631">
            <v>57.548913043478265</v>
          </cell>
          <cell r="AR631">
            <v>184</v>
          </cell>
          <cell r="AS631">
            <v>249</v>
          </cell>
          <cell r="AT631">
            <v>355</v>
          </cell>
          <cell r="AU631">
            <v>355</v>
          </cell>
          <cell r="AV631">
            <v>285.75</v>
          </cell>
          <cell r="AW631">
            <v>355</v>
          </cell>
          <cell r="AX631">
            <v>355</v>
          </cell>
          <cell r="AY631">
            <v>355</v>
          </cell>
          <cell r="AZ631">
            <v>355</v>
          </cell>
          <cell r="BA631">
            <v>355</v>
          </cell>
          <cell r="BK631">
            <v>277.5</v>
          </cell>
          <cell r="BL631">
            <v>8.25</v>
          </cell>
        </row>
        <row r="632">
          <cell r="A632" t="str">
            <v>Wynn Cotai (WYNN)</v>
          </cell>
          <cell r="X632">
            <v>0</v>
          </cell>
          <cell r="Y632">
            <v>0</v>
          </cell>
          <cell r="Z632">
            <v>0</v>
          </cell>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425</v>
          </cell>
          <cell r="AZ632">
            <v>425</v>
          </cell>
          <cell r="BA632">
            <v>425</v>
          </cell>
          <cell r="BK632">
            <v>0</v>
          </cell>
          <cell r="BL632">
            <v>0</v>
          </cell>
        </row>
        <row r="633">
          <cell r="A633" t="str">
            <v>Wynn Cotai #2 (WYNN)</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425</v>
          </cell>
          <cell r="AZ633">
            <v>425</v>
          </cell>
          <cell r="BA633">
            <v>425</v>
          </cell>
          <cell r="BK633">
            <v>0</v>
          </cell>
          <cell r="BL633">
            <v>0</v>
          </cell>
        </row>
        <row r="634">
          <cell r="A634" t="str">
            <v>MGM Grand (MGM)</v>
          </cell>
          <cell r="X634">
            <v>0</v>
          </cell>
          <cell r="Y634">
            <v>0</v>
          </cell>
          <cell r="Z634">
            <v>0</v>
          </cell>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302</v>
          </cell>
          <cell r="AV634">
            <v>75.5</v>
          </cell>
          <cell r="AW634">
            <v>302</v>
          </cell>
          <cell r="AX634">
            <v>302</v>
          </cell>
          <cell r="AY634">
            <v>302</v>
          </cell>
          <cell r="AZ634">
            <v>302</v>
          </cell>
          <cell r="BA634">
            <v>302</v>
          </cell>
          <cell r="BK634">
            <v>69.75</v>
          </cell>
          <cell r="BL634">
            <v>5.75</v>
          </cell>
        </row>
        <row r="635">
          <cell r="A635" t="str">
            <v>MGM Cotai #1 (MGM)</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400</v>
          </cell>
          <cell r="BA635">
            <v>400</v>
          </cell>
          <cell r="BK635">
            <v>69.75</v>
          </cell>
          <cell r="BL635">
            <v>-69.75</v>
          </cell>
        </row>
        <row r="636">
          <cell r="A636" t="str">
            <v>Crown Macau (PBL/Melco)</v>
          </cell>
          <cell r="X636">
            <v>0</v>
          </cell>
          <cell r="Y636">
            <v>0</v>
          </cell>
          <cell r="Z636">
            <v>0</v>
          </cell>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116.66666666666666</v>
          </cell>
          <cell r="AT636">
            <v>175</v>
          </cell>
          <cell r="AU636">
            <v>175</v>
          </cell>
          <cell r="AV636">
            <v>116.66666666666666</v>
          </cell>
          <cell r="AW636">
            <v>160</v>
          </cell>
          <cell r="AX636">
            <v>160</v>
          </cell>
          <cell r="AY636">
            <v>160</v>
          </cell>
          <cell r="AZ636">
            <v>160</v>
          </cell>
          <cell r="BA636">
            <v>160</v>
          </cell>
          <cell r="BK636">
            <v>50</v>
          </cell>
          <cell r="BL636">
            <v>66.666666666666657</v>
          </cell>
        </row>
        <row r="637">
          <cell r="A637" t="str">
            <v>Penninsula Project (PBL/Melco)</v>
          </cell>
          <cell r="X637">
            <v>0</v>
          </cell>
          <cell r="Y637">
            <v>0</v>
          </cell>
          <cell r="Z637">
            <v>0</v>
          </cell>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60</v>
          </cell>
          <cell r="AY637">
            <v>160</v>
          </cell>
          <cell r="AZ637">
            <v>160</v>
          </cell>
          <cell r="BA637">
            <v>160</v>
          </cell>
          <cell r="BK637">
            <v>0</v>
          </cell>
          <cell r="BL637">
            <v>0</v>
          </cell>
        </row>
        <row r="638">
          <cell r="A638" t="str">
            <v>City of Dreams (PBL/Melco)</v>
          </cell>
          <cell r="X638">
            <v>0</v>
          </cell>
          <cell r="Y638">
            <v>0</v>
          </cell>
          <cell r="Z638">
            <v>0</v>
          </cell>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400</v>
          </cell>
          <cell r="AY638">
            <v>400</v>
          </cell>
          <cell r="AZ638">
            <v>400</v>
          </cell>
          <cell r="BA638">
            <v>400</v>
          </cell>
          <cell r="BK638">
            <v>0</v>
          </cell>
          <cell r="BL638">
            <v>0</v>
          </cell>
        </row>
        <row r="639">
          <cell r="A639" t="str">
            <v>Galaxy Waldo (Galaxy)</v>
          </cell>
          <cell r="X639">
            <v>0</v>
          </cell>
          <cell r="Y639">
            <v>0</v>
          </cell>
          <cell r="Z639">
            <v>0</v>
          </cell>
          <cell r="AA639">
            <v>0</v>
          </cell>
          <cell r="AB639">
            <v>0</v>
          </cell>
          <cell r="AC639">
            <v>0</v>
          </cell>
          <cell r="AD639">
            <v>0</v>
          </cell>
          <cell r="AE639">
            <v>20</v>
          </cell>
          <cell r="AF639">
            <v>20</v>
          </cell>
          <cell r="AG639">
            <v>10</v>
          </cell>
          <cell r="AH639">
            <v>20</v>
          </cell>
          <cell r="AI639">
            <v>20</v>
          </cell>
          <cell r="AJ639">
            <v>20</v>
          </cell>
          <cell r="AK639">
            <v>20</v>
          </cell>
          <cell r="AL639">
            <v>20</v>
          </cell>
          <cell r="AM639">
            <v>20</v>
          </cell>
          <cell r="AN639">
            <v>20</v>
          </cell>
          <cell r="AO639">
            <v>20</v>
          </cell>
          <cell r="AP639">
            <v>20</v>
          </cell>
          <cell r="AQ639">
            <v>20</v>
          </cell>
          <cell r="AR639">
            <v>20</v>
          </cell>
          <cell r="AS639">
            <v>20</v>
          </cell>
          <cell r="AT639">
            <v>20</v>
          </cell>
          <cell r="AU639">
            <v>20</v>
          </cell>
          <cell r="AV639">
            <v>20</v>
          </cell>
          <cell r="AW639">
            <v>20</v>
          </cell>
          <cell r="AX639">
            <v>20</v>
          </cell>
          <cell r="AY639">
            <v>20</v>
          </cell>
          <cell r="AZ639">
            <v>20</v>
          </cell>
          <cell r="BA639">
            <v>20</v>
          </cell>
          <cell r="BK639">
            <v>20</v>
          </cell>
          <cell r="BL639">
            <v>0</v>
          </cell>
        </row>
        <row r="640">
          <cell r="A640" t="str">
            <v>Galaxy Rio (Galaxy)</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37.5</v>
          </cell>
          <cell r="AN640">
            <v>75</v>
          </cell>
          <cell r="AO640">
            <v>75</v>
          </cell>
          <cell r="AP640">
            <v>75</v>
          </cell>
          <cell r="AQ640">
            <v>65.625</v>
          </cell>
          <cell r="AR640">
            <v>75</v>
          </cell>
          <cell r="AS640">
            <v>75</v>
          </cell>
          <cell r="AT640">
            <v>75</v>
          </cell>
          <cell r="AU640">
            <v>75</v>
          </cell>
          <cell r="AV640">
            <v>75</v>
          </cell>
          <cell r="AW640">
            <v>75</v>
          </cell>
          <cell r="AX640">
            <v>75</v>
          </cell>
          <cell r="AY640">
            <v>75</v>
          </cell>
          <cell r="AZ640">
            <v>75</v>
          </cell>
          <cell r="BA640">
            <v>75</v>
          </cell>
          <cell r="BK640">
            <v>75</v>
          </cell>
          <cell r="BL640">
            <v>0</v>
          </cell>
        </row>
        <row r="641">
          <cell r="A641" t="str">
            <v>Galaxy President (Galaxy)</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36.666666666666664</v>
          </cell>
          <cell r="AO641">
            <v>55</v>
          </cell>
          <cell r="AP641">
            <v>55</v>
          </cell>
          <cell r="AQ641">
            <v>36.666666666666664</v>
          </cell>
          <cell r="AR641">
            <v>55</v>
          </cell>
          <cell r="AS641">
            <v>55</v>
          </cell>
          <cell r="AT641">
            <v>55</v>
          </cell>
          <cell r="AU641">
            <v>55</v>
          </cell>
          <cell r="AV641">
            <v>55</v>
          </cell>
          <cell r="AW641">
            <v>55</v>
          </cell>
          <cell r="AX641">
            <v>55</v>
          </cell>
          <cell r="AY641">
            <v>55</v>
          </cell>
          <cell r="AZ641">
            <v>55</v>
          </cell>
          <cell r="BA641">
            <v>55</v>
          </cell>
          <cell r="BK641">
            <v>55</v>
          </cell>
          <cell r="BL641">
            <v>0</v>
          </cell>
        </row>
        <row r="642">
          <cell r="A642" t="str">
            <v>Galaxy Grand Waldo (Galaxy)</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50</v>
          </cell>
          <cell r="AO642">
            <v>100</v>
          </cell>
          <cell r="AP642">
            <v>100</v>
          </cell>
          <cell r="AQ642">
            <v>62.5</v>
          </cell>
          <cell r="AR642">
            <v>100</v>
          </cell>
          <cell r="AS642">
            <v>100</v>
          </cell>
          <cell r="AT642">
            <v>100</v>
          </cell>
          <cell r="AU642">
            <v>100</v>
          </cell>
          <cell r="AV642">
            <v>100</v>
          </cell>
          <cell r="AW642">
            <v>100</v>
          </cell>
          <cell r="AX642">
            <v>100</v>
          </cell>
          <cell r="AY642">
            <v>100</v>
          </cell>
          <cell r="AZ642">
            <v>100</v>
          </cell>
          <cell r="BA642">
            <v>100</v>
          </cell>
          <cell r="BK642">
            <v>100</v>
          </cell>
          <cell r="BL642">
            <v>0</v>
          </cell>
        </row>
        <row r="643">
          <cell r="A643" t="str">
            <v>Galaxy Starworld (Galaxy)</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131.44444444444446</v>
          </cell>
          <cell r="AQ643">
            <v>32.861111111111114</v>
          </cell>
          <cell r="AR643">
            <v>199</v>
          </cell>
          <cell r="AS643">
            <v>199</v>
          </cell>
          <cell r="AT643">
            <v>199</v>
          </cell>
          <cell r="AU643">
            <v>199</v>
          </cell>
          <cell r="AV643">
            <v>199</v>
          </cell>
          <cell r="AW643">
            <v>199</v>
          </cell>
          <cell r="AX643">
            <v>199</v>
          </cell>
          <cell r="AY643">
            <v>199</v>
          </cell>
          <cell r="AZ643">
            <v>199</v>
          </cell>
          <cell r="BA643">
            <v>199</v>
          </cell>
          <cell r="BK643">
            <v>200</v>
          </cell>
          <cell r="BL643">
            <v>-1</v>
          </cell>
        </row>
        <row r="644">
          <cell r="A644" t="str">
            <v>Galaxy Cotai (Galaxy)</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205</v>
          </cell>
          <cell r="AX644">
            <v>410</v>
          </cell>
          <cell r="AY644">
            <v>400</v>
          </cell>
          <cell r="AZ644">
            <v>400</v>
          </cell>
          <cell r="BA644">
            <v>400</v>
          </cell>
          <cell r="BK644">
            <v>0</v>
          </cell>
          <cell r="BL644">
            <v>0</v>
          </cell>
        </row>
        <row r="645">
          <cell r="A645" t="str">
            <v>Ponte 16</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150</v>
          </cell>
          <cell r="AU645">
            <v>150</v>
          </cell>
          <cell r="AV645">
            <v>75</v>
          </cell>
          <cell r="AW645">
            <v>150</v>
          </cell>
          <cell r="AX645">
            <v>150</v>
          </cell>
          <cell r="AY645">
            <v>150</v>
          </cell>
          <cell r="AZ645">
            <v>150</v>
          </cell>
          <cell r="BA645">
            <v>150</v>
          </cell>
          <cell r="BK645">
            <v>75</v>
          </cell>
          <cell r="BL645">
            <v>0</v>
          </cell>
        </row>
        <row r="646">
          <cell r="A646" t="str">
            <v>Grand Lisboa</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120</v>
          </cell>
          <cell r="AS646">
            <v>240</v>
          </cell>
          <cell r="AT646">
            <v>240</v>
          </cell>
          <cell r="AU646">
            <v>240</v>
          </cell>
          <cell r="AV646">
            <v>210</v>
          </cell>
          <cell r="AW646">
            <v>240</v>
          </cell>
          <cell r="AX646">
            <v>240</v>
          </cell>
          <cell r="AY646">
            <v>240</v>
          </cell>
          <cell r="AZ646">
            <v>240</v>
          </cell>
          <cell r="BA646">
            <v>240</v>
          </cell>
          <cell r="BK646">
            <v>350</v>
          </cell>
          <cell r="BL646">
            <v>-140</v>
          </cell>
        </row>
        <row r="647">
          <cell r="A647" t="str">
            <v>Babylon</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7.8260869565217392</v>
          </cell>
          <cell r="AQ647">
            <v>1.9565217391304348</v>
          </cell>
          <cell r="AR647">
            <v>78</v>
          </cell>
          <cell r="AS647">
            <v>78</v>
          </cell>
          <cell r="AT647">
            <v>78</v>
          </cell>
          <cell r="AU647">
            <v>90</v>
          </cell>
          <cell r="AV647">
            <v>81</v>
          </cell>
          <cell r="AW647">
            <v>90</v>
          </cell>
          <cell r="AX647">
            <v>90</v>
          </cell>
          <cell r="AY647">
            <v>90</v>
          </cell>
          <cell r="AZ647">
            <v>90</v>
          </cell>
          <cell r="BA647">
            <v>90</v>
          </cell>
          <cell r="BK647">
            <v>45</v>
          </cell>
          <cell r="BL647">
            <v>36</v>
          </cell>
        </row>
        <row r="648">
          <cell r="A648" t="str">
            <v>Arc de Triomphe</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60</v>
          </cell>
          <cell r="AX648">
            <v>60</v>
          </cell>
          <cell r="AY648">
            <v>60</v>
          </cell>
          <cell r="AZ648">
            <v>60</v>
          </cell>
          <cell r="BA648">
            <v>60</v>
          </cell>
          <cell r="BK648">
            <v>0</v>
          </cell>
          <cell r="BL648">
            <v>0</v>
          </cell>
        </row>
        <row r="649">
          <cell r="A649" t="str">
            <v>Oceanus</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500</v>
          </cell>
          <cell r="AY649">
            <v>500</v>
          </cell>
          <cell r="AZ649">
            <v>500</v>
          </cell>
          <cell r="BA649">
            <v>500</v>
          </cell>
          <cell r="BK649">
            <v>0</v>
          </cell>
          <cell r="BL649">
            <v>0</v>
          </cell>
        </row>
        <row r="650">
          <cell r="A650" t="str">
            <v>Shun Tak Nam Van</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150</v>
          </cell>
          <cell r="AZ650">
            <v>150</v>
          </cell>
          <cell r="BA650">
            <v>150</v>
          </cell>
          <cell r="BK650">
            <v>0</v>
          </cell>
          <cell r="BL650">
            <v>0</v>
          </cell>
        </row>
        <row r="651">
          <cell r="A651" t="str">
            <v>Shun Tak Cotai</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500</v>
          </cell>
          <cell r="BA651">
            <v>500</v>
          </cell>
          <cell r="BK651">
            <v>0</v>
          </cell>
          <cell r="BL651">
            <v>0</v>
          </cell>
        </row>
        <row r="652">
          <cell r="A652" t="str">
            <v>Macau Studio City (eSun)</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360</v>
          </cell>
          <cell r="AY652">
            <v>360</v>
          </cell>
          <cell r="AZ652">
            <v>585</v>
          </cell>
          <cell r="BA652">
            <v>585</v>
          </cell>
          <cell r="BK652">
            <v>0</v>
          </cell>
          <cell r="BL652">
            <v>0</v>
          </cell>
        </row>
        <row r="653">
          <cell r="A653" t="str">
            <v>Other</v>
          </cell>
          <cell r="X653">
            <v>258</v>
          </cell>
          <cell r="Y653">
            <v>258</v>
          </cell>
          <cell r="Z653">
            <v>258</v>
          </cell>
          <cell r="AA653">
            <v>258</v>
          </cell>
          <cell r="AB653">
            <v>258</v>
          </cell>
          <cell r="AC653">
            <v>258</v>
          </cell>
          <cell r="AD653">
            <v>286.12087912087912</v>
          </cell>
          <cell r="AE653">
            <v>218</v>
          </cell>
          <cell r="AF653">
            <v>431</v>
          </cell>
          <cell r="AG653">
            <v>298.2802197802198</v>
          </cell>
          <cell r="AH653">
            <v>574.5</v>
          </cell>
          <cell r="AI653">
            <v>626.5</v>
          </cell>
          <cell r="AJ653">
            <v>653.5</v>
          </cell>
          <cell r="AK653">
            <v>692.5</v>
          </cell>
          <cell r="AL653">
            <v>636.75</v>
          </cell>
          <cell r="AM653">
            <v>750.5</v>
          </cell>
          <cell r="AN653">
            <v>818.33333333333337</v>
          </cell>
          <cell r="AO653">
            <v>818.33333333333337</v>
          </cell>
          <cell r="AP653">
            <v>818.33333333333337</v>
          </cell>
          <cell r="AQ653">
            <v>801.37500000000011</v>
          </cell>
          <cell r="AR653">
            <v>818.33333333333337</v>
          </cell>
          <cell r="AS653">
            <v>818.33333333333337</v>
          </cell>
          <cell r="AT653">
            <v>818.33333333333337</v>
          </cell>
          <cell r="AU653">
            <v>818.33333333333337</v>
          </cell>
          <cell r="AV653">
            <v>818.33333333333337</v>
          </cell>
          <cell r="AW653">
            <v>818.33333333333337</v>
          </cell>
          <cell r="AX653">
            <v>818.33333333333337</v>
          </cell>
          <cell r="AY653">
            <v>818.33333333333337</v>
          </cell>
          <cell r="AZ653">
            <v>818.33333333333337</v>
          </cell>
          <cell r="BA653">
            <v>818.33333333333337</v>
          </cell>
          <cell r="BK653">
            <v>801.875</v>
          </cell>
          <cell r="BL653">
            <v>16.458333333333371</v>
          </cell>
        </row>
        <row r="654">
          <cell r="X654" t="str">
            <v>______</v>
          </cell>
          <cell r="Y654" t="str">
            <v>______</v>
          </cell>
          <cell r="Z654" t="str">
            <v>______</v>
          </cell>
          <cell r="AA654" t="str">
            <v>______</v>
          </cell>
          <cell r="AB654" t="str">
            <v>______</v>
          </cell>
          <cell r="AC654" t="str">
            <v>______</v>
          </cell>
          <cell r="AD654" t="str">
            <v>______</v>
          </cell>
          <cell r="AE654" t="str">
            <v>______</v>
          </cell>
          <cell r="AF654" t="str">
            <v>______</v>
          </cell>
          <cell r="AG654" t="str">
            <v>______</v>
          </cell>
          <cell r="AH654" t="str">
            <v>______</v>
          </cell>
          <cell r="AI654" t="str">
            <v>______</v>
          </cell>
          <cell r="AJ654" t="str">
            <v>______</v>
          </cell>
          <cell r="AK654" t="str">
            <v>______</v>
          </cell>
          <cell r="AL654" t="str">
            <v>______</v>
          </cell>
          <cell r="AM654" t="str">
            <v>______</v>
          </cell>
          <cell r="AN654" t="str">
            <v>______</v>
          </cell>
          <cell r="AO654" t="str">
            <v>______</v>
          </cell>
          <cell r="AP654" t="str">
            <v>______</v>
          </cell>
          <cell r="AQ654" t="str">
            <v>______</v>
          </cell>
          <cell r="AR654" t="str">
            <v>______</v>
          </cell>
          <cell r="AS654" t="str">
            <v>______</v>
          </cell>
          <cell r="AT654" t="str">
            <v>______</v>
          </cell>
          <cell r="AU654" t="str">
            <v>______</v>
          </cell>
          <cell r="AV654" t="str">
            <v>______</v>
          </cell>
          <cell r="AW654" t="str">
            <v>______</v>
          </cell>
          <cell r="AX654" t="str">
            <v>______</v>
          </cell>
          <cell r="AY654" t="str">
            <v>______</v>
          </cell>
          <cell r="AZ654" t="str">
            <v>______</v>
          </cell>
          <cell r="BA654" t="str">
            <v>______</v>
          </cell>
          <cell r="BK654" t="str">
            <v>______</v>
          </cell>
          <cell r="BL654" t="e">
            <v>#VALUE!</v>
          </cell>
        </row>
        <row r="655">
          <cell r="A655" t="str">
            <v>Total Average Mass Market Tables</v>
          </cell>
          <cell r="X655">
            <v>258</v>
          </cell>
          <cell r="Y655">
            <v>258</v>
          </cell>
          <cell r="Z655">
            <v>258</v>
          </cell>
          <cell r="AA655">
            <v>258</v>
          </cell>
          <cell r="AB655">
            <v>258</v>
          </cell>
          <cell r="AC655">
            <v>258</v>
          </cell>
          <cell r="AD655">
            <v>400</v>
          </cell>
          <cell r="AE655">
            <v>496</v>
          </cell>
          <cell r="AF655">
            <v>709</v>
          </cell>
          <cell r="AG655">
            <v>465.75</v>
          </cell>
          <cell r="AH655">
            <v>883</v>
          </cell>
          <cell r="AI655">
            <v>949.5</v>
          </cell>
          <cell r="AJ655">
            <v>982.5</v>
          </cell>
          <cell r="AK655">
            <v>1047.5</v>
          </cell>
          <cell r="AL655">
            <v>965.625</v>
          </cell>
          <cell r="AM655">
            <v>1187</v>
          </cell>
          <cell r="AN655">
            <v>1391</v>
          </cell>
          <cell r="AO655">
            <v>1622.5289855072465</v>
          </cell>
          <cell r="AP655">
            <v>2088.6038647342993</v>
          </cell>
          <cell r="AQ655">
            <v>1572.2832125603863</v>
          </cell>
          <cell r="AR655">
            <v>2346.3333333333335</v>
          </cell>
          <cell r="AS655">
            <v>2648</v>
          </cell>
          <cell r="AT655">
            <v>3587.3333333333335</v>
          </cell>
          <cell r="AU655">
            <v>3901.3333333333335</v>
          </cell>
          <cell r="AV655">
            <v>3120.7500000000005</v>
          </cell>
          <cell r="AW655">
            <v>4653.833333333333</v>
          </cell>
          <cell r="AX655">
            <v>6896.333333333333</v>
          </cell>
          <cell r="AY655">
            <v>8341.3333333333339</v>
          </cell>
          <cell r="AZ655">
            <v>9666.3333333333339</v>
          </cell>
          <cell r="BA655">
            <v>9666.3333333333339</v>
          </cell>
          <cell r="BK655">
            <v>3096.625</v>
          </cell>
          <cell r="BL655">
            <v>24.125000000000455</v>
          </cell>
        </row>
        <row r="656">
          <cell r="A656" t="str">
            <v xml:space="preserve">  Growth</v>
          </cell>
          <cell r="AC656">
            <v>0</v>
          </cell>
          <cell r="AD656">
            <v>0.5503875968992249</v>
          </cell>
          <cell r="AE656">
            <v>0.92248062015503884</v>
          </cell>
          <cell r="AF656">
            <v>1.748062015503876</v>
          </cell>
          <cell r="AG656">
            <v>0.80523255813953498</v>
          </cell>
          <cell r="AH656">
            <v>2.4224806201550386</v>
          </cell>
          <cell r="AI656">
            <v>1.3737499999999998</v>
          </cell>
          <cell r="AJ656">
            <v>0.98084677419354849</v>
          </cell>
          <cell r="AK656">
            <v>0.47743300423131174</v>
          </cell>
          <cell r="AL656">
            <v>1.0732689210950079</v>
          </cell>
          <cell r="AM656">
            <v>0.34428086070215169</v>
          </cell>
          <cell r="AN656">
            <v>0.46498156924697209</v>
          </cell>
          <cell r="AO656">
            <v>0.65142899288269374</v>
          </cell>
          <cell r="AP656">
            <v>0.99389390428095403</v>
          </cell>
          <cell r="AQ656">
            <v>0.62825445960946169</v>
          </cell>
          <cell r="AR656">
            <v>0.97669194046616137</v>
          </cell>
          <cell r="AS656">
            <v>0.90366642703091293</v>
          </cell>
          <cell r="AT656">
            <v>1.2109517705853716</v>
          </cell>
          <cell r="AU656">
            <v>0.86791444716092192</v>
          </cell>
          <cell r="AV656">
            <v>0.98485233135448391</v>
          </cell>
          <cell r="AW656">
            <v>0.49125477315816135</v>
          </cell>
          <cell r="AX656">
            <v>0.48186083157253878</v>
          </cell>
          <cell r="AY656">
            <v>0.20953163516844708</v>
          </cell>
          <cell r="AZ656">
            <v>0.15884750639386191</v>
          </cell>
          <cell r="BA656">
            <v>0</v>
          </cell>
          <cell r="BK656">
            <v>0.91696114461175471</v>
          </cell>
          <cell r="BL656">
            <v>6.7891186742729204E-2</v>
          </cell>
        </row>
        <row r="657">
          <cell r="BL657">
            <v>0</v>
          </cell>
        </row>
        <row r="658">
          <cell r="A658" t="str">
            <v>Period-end total mass market tables</v>
          </cell>
          <cell r="AD658">
            <v>400</v>
          </cell>
          <cell r="AE658">
            <v>592</v>
          </cell>
          <cell r="AF658">
            <v>826</v>
          </cell>
          <cell r="AG658">
            <v>826</v>
          </cell>
          <cell r="AH658">
            <v>940</v>
          </cell>
          <cell r="AI658">
            <v>959</v>
          </cell>
          <cell r="AJ658">
            <v>1006</v>
          </cell>
          <cell r="AK658">
            <v>1089</v>
          </cell>
          <cell r="AL658">
            <v>1089</v>
          </cell>
          <cell r="AM658">
            <v>1285</v>
          </cell>
          <cell r="AN658">
            <v>1497</v>
          </cell>
          <cell r="BL658">
            <v>0</v>
          </cell>
        </row>
        <row r="659">
          <cell r="BL659">
            <v>0</v>
          </cell>
        </row>
        <row r="660">
          <cell r="A660" t="str">
            <v>Typical Ratio for Non-Mass-Focused casinos</v>
          </cell>
          <cell r="AD660">
            <v>0.6074753272205502</v>
          </cell>
          <cell r="AE660">
            <v>0.59649122807017541</v>
          </cell>
          <cell r="AF660">
            <v>0.70878032114793299</v>
          </cell>
          <cell r="AG660">
            <v>0.63324507054970569</v>
          </cell>
          <cell r="AH660">
            <v>0.72235722964763061</v>
          </cell>
          <cell r="AI660">
            <v>0.73507674815235935</v>
          </cell>
          <cell r="AJ660">
            <v>0.74133186571271326</v>
          </cell>
          <cell r="AK660">
            <v>0.74842436974789917</v>
          </cell>
          <cell r="AL660">
            <v>0.73730002806623629</v>
          </cell>
          <cell r="AM660">
            <v>0.71694764862466731</v>
          </cell>
          <cell r="AN660">
            <v>0.69637883008356549</v>
          </cell>
          <cell r="AO660">
            <v>0.69173094608036345</v>
          </cell>
          <cell r="AP660">
            <v>0.72088733556623452</v>
          </cell>
          <cell r="AQ660">
            <v>0.70576939997619148</v>
          </cell>
          <cell r="AR660">
            <v>0.78024234955843097</v>
          </cell>
          <cell r="AS660">
            <v>0.78540323985368388</v>
          </cell>
          <cell r="AT660">
            <v>0.77408692778053223</v>
          </cell>
          <cell r="AU660">
            <v>0.77162007520026166</v>
          </cell>
          <cell r="AV660">
            <v>0.77759241373254906</v>
          </cell>
          <cell r="AW660">
            <v>0.78981617048966957</v>
          </cell>
          <cell r="AX660">
            <v>0.79240936097975012</v>
          </cell>
          <cell r="AY660">
            <v>0.80169472873335557</v>
          </cell>
          <cell r="AZ660">
            <v>0.80608702672156307</v>
          </cell>
          <cell r="BA660">
            <v>0.80608702672156307</v>
          </cell>
          <cell r="BK660">
            <v>0.67964555037902707</v>
          </cell>
          <cell r="BL660">
            <v>9.7946863353521985E-2</v>
          </cell>
        </row>
        <row r="661">
          <cell r="A661" t="str">
            <v>Overall Ratio</v>
          </cell>
          <cell r="AD661">
            <v>0.6839019990981513</v>
          </cell>
          <cell r="AE661">
            <v>0.72941176470588232</v>
          </cell>
          <cell r="AF661">
            <v>0.75723241235198513</v>
          </cell>
          <cell r="AG661">
            <v>0.70509865119735848</v>
          </cell>
          <cell r="AH661">
            <v>0.76186367558239865</v>
          </cell>
          <cell r="AI661">
            <v>0.76851477134763257</v>
          </cell>
          <cell r="AJ661">
            <v>0.77331759149940971</v>
          </cell>
          <cell r="AK661">
            <v>0.78055141579731746</v>
          </cell>
          <cell r="AL661">
            <v>0.77142001198322352</v>
          </cell>
          <cell r="AM661">
            <v>0.76040999359385009</v>
          </cell>
          <cell r="AN661">
            <v>0.73597883597883595</v>
          </cell>
          <cell r="AO661">
            <v>0.74342679748327445</v>
          </cell>
          <cell r="AP661">
            <v>0.79587978439833285</v>
          </cell>
          <cell r="AQ661">
            <v>0.7616017938893449</v>
          </cell>
          <cell r="AR661">
            <v>0.82183304144775249</v>
          </cell>
          <cell r="AS661">
            <v>0.80518953983377251</v>
          </cell>
          <cell r="AT661">
            <v>0.81124679632142327</v>
          </cell>
          <cell r="AU661">
            <v>0.8143045989007166</v>
          </cell>
          <cell r="AV661">
            <v>0.81287171695246374</v>
          </cell>
          <cell r="AW661">
            <v>0.833870871408947</v>
          </cell>
          <cell r="AX661">
            <v>0.84117013274786034</v>
          </cell>
          <cell r="AY661">
            <v>0.83697906214462514</v>
          </cell>
          <cell r="AZ661">
            <v>0.8321567952249771</v>
          </cell>
          <cell r="BA661">
            <v>0.8321567952249771</v>
          </cell>
          <cell r="BK661">
            <v>0.75445832715408567</v>
          </cell>
          <cell r="BL661">
            <v>5.8413389798378068E-2</v>
          </cell>
        </row>
        <row r="662">
          <cell r="BL662">
            <v>0</v>
          </cell>
        </row>
        <row r="663">
          <cell r="A663" t="str">
            <v>Average Slots</v>
          </cell>
          <cell r="BL663">
            <v>0</v>
          </cell>
        </row>
        <row r="664">
          <cell r="A664" t="str">
            <v>Sands Macao</v>
          </cell>
          <cell r="X664">
            <v>0</v>
          </cell>
          <cell r="Y664">
            <v>0</v>
          </cell>
          <cell r="Z664">
            <v>0</v>
          </cell>
          <cell r="AA664">
            <v>0</v>
          </cell>
          <cell r="AB664">
            <v>0</v>
          </cell>
          <cell r="AC664">
            <v>0</v>
          </cell>
          <cell r="AD664">
            <v>113.87912087912088</v>
          </cell>
          <cell r="AE664">
            <v>519</v>
          </cell>
          <cell r="AF664">
            <v>666</v>
          </cell>
          <cell r="AG664">
            <v>324.7197802197802</v>
          </cell>
          <cell r="AH664">
            <v>764</v>
          </cell>
          <cell r="AI664">
            <v>822</v>
          </cell>
          <cell r="AJ664">
            <v>802</v>
          </cell>
          <cell r="AK664">
            <v>778</v>
          </cell>
          <cell r="AL664">
            <v>791.5</v>
          </cell>
          <cell r="AM664">
            <v>907</v>
          </cell>
          <cell r="AN664">
            <v>895</v>
          </cell>
          <cell r="AO664">
            <v>934</v>
          </cell>
          <cell r="AP664">
            <v>1233</v>
          </cell>
          <cell r="AQ664">
            <v>992.25</v>
          </cell>
          <cell r="AR664">
            <v>1233</v>
          </cell>
          <cell r="AS664">
            <v>1233</v>
          </cell>
          <cell r="AT664">
            <v>1233</v>
          </cell>
          <cell r="AU664">
            <v>1233</v>
          </cell>
          <cell r="AV664">
            <v>1233</v>
          </cell>
          <cell r="AW664">
            <v>1233</v>
          </cell>
          <cell r="AX664">
            <v>1233</v>
          </cell>
          <cell r="AY664">
            <v>1233</v>
          </cell>
          <cell r="AZ664">
            <v>1233</v>
          </cell>
          <cell r="BA664">
            <v>1233</v>
          </cell>
          <cell r="BK664">
            <v>1254</v>
          </cell>
          <cell r="BL664">
            <v>-21</v>
          </cell>
        </row>
        <row r="665">
          <cell r="A665" t="str">
            <v>Venetian Macao</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4100</v>
          </cell>
          <cell r="AU665">
            <v>4100</v>
          </cell>
          <cell r="AV665">
            <v>2050</v>
          </cell>
          <cell r="AW665">
            <v>4100</v>
          </cell>
          <cell r="AX665">
            <v>4100</v>
          </cell>
          <cell r="AY665">
            <v>4100</v>
          </cell>
          <cell r="AZ665">
            <v>7000</v>
          </cell>
          <cell r="BA665">
            <v>7000</v>
          </cell>
          <cell r="BK665">
            <v>2000</v>
          </cell>
          <cell r="BL665">
            <v>50</v>
          </cell>
        </row>
        <row r="666">
          <cell r="A666" t="str">
            <v>Cotai Site 2 - Four Seasons (LVS)</v>
          </cell>
          <cell r="X666">
            <v>0</v>
          </cell>
          <cell r="Y666">
            <v>0</v>
          </cell>
          <cell r="Z666">
            <v>0</v>
          </cell>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400</v>
          </cell>
          <cell r="AX666">
            <v>400</v>
          </cell>
          <cell r="AY666">
            <v>400</v>
          </cell>
          <cell r="AZ666">
            <v>400</v>
          </cell>
          <cell r="BA666">
            <v>400</v>
          </cell>
          <cell r="BK666">
            <v>0</v>
          </cell>
          <cell r="BL666">
            <v>0</v>
          </cell>
        </row>
        <row r="667">
          <cell r="A667" t="str">
            <v>Cotai Site 3 - Far East (LVS)</v>
          </cell>
          <cell r="X667">
            <v>0</v>
          </cell>
          <cell r="Y667">
            <v>0</v>
          </cell>
          <cell r="Z667">
            <v>0</v>
          </cell>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875</v>
          </cell>
          <cell r="AY667">
            <v>1750</v>
          </cell>
          <cell r="AZ667">
            <v>1750</v>
          </cell>
          <cell r="BA667">
            <v>1750</v>
          </cell>
          <cell r="BK667">
            <v>0</v>
          </cell>
          <cell r="BL667">
            <v>0</v>
          </cell>
        </row>
        <row r="668">
          <cell r="A668" t="str">
            <v>Cotai Site 5 - Shangri-La/St.Regis/Traders (LVS)</v>
          </cell>
          <cell r="X668">
            <v>0</v>
          </cell>
          <cell r="Y668">
            <v>0</v>
          </cell>
          <cell r="Z668">
            <v>0</v>
          </cell>
          <cell r="AA668">
            <v>0</v>
          </cell>
          <cell r="AB668">
            <v>0</v>
          </cell>
          <cell r="AC668">
            <v>0</v>
          </cell>
          <cell r="AD668">
            <v>0</v>
          </cell>
          <cell r="AE668">
            <v>0</v>
          </cell>
          <cell r="AF668">
            <v>0</v>
          </cell>
          <cell r="AG668">
            <v>0</v>
          </cell>
          <cell r="AH668">
            <v>0</v>
          </cell>
          <cell r="AI668">
            <v>0</v>
          </cell>
          <cell r="AJ668">
            <v>0</v>
          </cell>
          <cell r="AK668">
            <v>0</v>
          </cell>
          <cell r="AL668">
            <v>0</v>
          </cell>
          <cell r="AM668">
            <v>0</v>
          </cell>
          <cell r="AN668">
            <v>0</v>
          </cell>
          <cell r="AO668">
            <v>0</v>
          </cell>
          <cell r="AP668">
            <v>0</v>
          </cell>
          <cell r="AQ668">
            <v>0</v>
          </cell>
          <cell r="AR668">
            <v>0</v>
          </cell>
          <cell r="AS668">
            <v>0</v>
          </cell>
          <cell r="AT668">
            <v>0</v>
          </cell>
          <cell r="AU668">
            <v>0</v>
          </cell>
          <cell r="AV668">
            <v>0</v>
          </cell>
          <cell r="AW668">
            <v>875</v>
          </cell>
          <cell r="AX668">
            <v>1750</v>
          </cell>
          <cell r="AY668">
            <v>1750</v>
          </cell>
          <cell r="AZ668">
            <v>1750</v>
          </cell>
          <cell r="BA668">
            <v>1750</v>
          </cell>
          <cell r="BK668">
            <v>0</v>
          </cell>
          <cell r="BL668">
            <v>0</v>
          </cell>
        </row>
        <row r="669">
          <cell r="A669" t="str">
            <v>Cotai Site 6 - Starwood (LVS)</v>
          </cell>
          <cell r="X669">
            <v>0</v>
          </cell>
          <cell r="Y669">
            <v>0</v>
          </cell>
          <cell r="Z669">
            <v>0</v>
          </cell>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cell r="AS669">
            <v>0</v>
          </cell>
          <cell r="AT669">
            <v>0</v>
          </cell>
          <cell r="AU669">
            <v>0</v>
          </cell>
          <cell r="AV669">
            <v>0</v>
          </cell>
          <cell r="AW669">
            <v>875</v>
          </cell>
          <cell r="AX669">
            <v>1750</v>
          </cell>
          <cell r="AY669">
            <v>1750</v>
          </cell>
          <cell r="AZ669">
            <v>1750</v>
          </cell>
          <cell r="BA669">
            <v>1750</v>
          </cell>
          <cell r="BK669">
            <v>0</v>
          </cell>
          <cell r="BL669">
            <v>0</v>
          </cell>
        </row>
        <row r="670">
          <cell r="A670" t="str">
            <v>Cotai Site 7 - Hilton (LVS)</v>
          </cell>
          <cell r="X670">
            <v>0</v>
          </cell>
          <cell r="Y670">
            <v>0</v>
          </cell>
          <cell r="Z670">
            <v>0</v>
          </cell>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cell r="AO670">
            <v>0</v>
          </cell>
          <cell r="AP670">
            <v>0</v>
          </cell>
          <cell r="AQ670">
            <v>0</v>
          </cell>
          <cell r="AR670">
            <v>0</v>
          </cell>
          <cell r="AS670">
            <v>0</v>
          </cell>
          <cell r="AT670">
            <v>0</v>
          </cell>
          <cell r="AU670">
            <v>0</v>
          </cell>
          <cell r="AV670">
            <v>0</v>
          </cell>
          <cell r="AW670">
            <v>0</v>
          </cell>
          <cell r="AX670">
            <v>875</v>
          </cell>
          <cell r="AY670">
            <v>1750</v>
          </cell>
          <cell r="AZ670">
            <v>1750</v>
          </cell>
          <cell r="BA670">
            <v>1750</v>
          </cell>
          <cell r="BK670">
            <v>0</v>
          </cell>
          <cell r="BL670">
            <v>0</v>
          </cell>
        </row>
        <row r="671">
          <cell r="A671" t="str">
            <v>Cotai Site 8 - FHR/Raffles (LVS)</v>
          </cell>
          <cell r="X671">
            <v>0</v>
          </cell>
          <cell r="Y671">
            <v>0</v>
          </cell>
          <cell r="Z671">
            <v>0</v>
          </cell>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cell r="AS671">
            <v>0</v>
          </cell>
          <cell r="AT671">
            <v>0</v>
          </cell>
          <cell r="AU671">
            <v>0</v>
          </cell>
          <cell r="AV671">
            <v>0</v>
          </cell>
          <cell r="AW671">
            <v>0</v>
          </cell>
          <cell r="AX671">
            <v>875</v>
          </cell>
          <cell r="AY671">
            <v>1750</v>
          </cell>
          <cell r="AZ671">
            <v>1750</v>
          </cell>
          <cell r="BA671">
            <v>1750</v>
          </cell>
          <cell r="BK671">
            <v>0</v>
          </cell>
          <cell r="BL671">
            <v>0</v>
          </cell>
        </row>
        <row r="672">
          <cell r="A672" t="str">
            <v>Wynn Macau (WYNN)</v>
          </cell>
          <cell r="X672">
            <v>0</v>
          </cell>
          <cell r="Y672">
            <v>0</v>
          </cell>
          <cell r="Z672">
            <v>0</v>
          </cell>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101.90217391304348</v>
          </cell>
          <cell r="AP672">
            <v>366</v>
          </cell>
          <cell r="AQ672">
            <v>116.97554347826087</v>
          </cell>
          <cell r="AR672">
            <v>499</v>
          </cell>
          <cell r="AS672">
            <v>632</v>
          </cell>
          <cell r="AT672">
            <v>1280</v>
          </cell>
          <cell r="AU672">
            <v>1280</v>
          </cell>
          <cell r="AV672">
            <v>922.75</v>
          </cell>
          <cell r="AW672">
            <v>1280</v>
          </cell>
          <cell r="AX672">
            <v>1280</v>
          </cell>
          <cell r="AY672">
            <v>1280</v>
          </cell>
          <cell r="AZ672">
            <v>1280</v>
          </cell>
          <cell r="BA672">
            <v>1280</v>
          </cell>
          <cell r="BK672">
            <v>630</v>
          </cell>
          <cell r="BL672">
            <v>292.75</v>
          </cell>
        </row>
        <row r="673">
          <cell r="A673" t="str">
            <v>Wynn Cotai (WYNN)</v>
          </cell>
          <cell r="X673">
            <v>0</v>
          </cell>
          <cell r="Y673">
            <v>0</v>
          </cell>
          <cell r="Z673">
            <v>0</v>
          </cell>
          <cell r="AA673">
            <v>0</v>
          </cell>
          <cell r="AB673">
            <v>0</v>
          </cell>
          <cell r="AC673">
            <v>0</v>
          </cell>
          <cell r="AD673">
            <v>0</v>
          </cell>
          <cell r="AE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cell r="AS673">
            <v>0</v>
          </cell>
          <cell r="AT673">
            <v>0</v>
          </cell>
          <cell r="AU673">
            <v>0</v>
          </cell>
          <cell r="AV673">
            <v>0</v>
          </cell>
          <cell r="AW673">
            <v>0</v>
          </cell>
          <cell r="AX673">
            <v>0</v>
          </cell>
          <cell r="AY673">
            <v>3500</v>
          </cell>
          <cell r="AZ673">
            <v>3500</v>
          </cell>
          <cell r="BA673">
            <v>3500</v>
          </cell>
          <cell r="BK673">
            <v>0</v>
          </cell>
          <cell r="BL673">
            <v>0</v>
          </cell>
        </row>
        <row r="674">
          <cell r="A674" t="str">
            <v>Wynn Cotai #2 (WYNN)</v>
          </cell>
          <cell r="X674">
            <v>0</v>
          </cell>
          <cell r="Y674">
            <v>0</v>
          </cell>
          <cell r="Z674">
            <v>0</v>
          </cell>
          <cell r="AA674">
            <v>0</v>
          </cell>
          <cell r="AB674">
            <v>0</v>
          </cell>
          <cell r="AC674">
            <v>0</v>
          </cell>
          <cell r="AD674">
            <v>0</v>
          </cell>
          <cell r="AE674">
            <v>0</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cell r="AS674">
            <v>0</v>
          </cell>
          <cell r="AT674">
            <v>0</v>
          </cell>
          <cell r="AU674">
            <v>0</v>
          </cell>
          <cell r="AV674">
            <v>0</v>
          </cell>
          <cell r="AW674">
            <v>0</v>
          </cell>
          <cell r="AX674">
            <v>0</v>
          </cell>
          <cell r="AY674">
            <v>3500</v>
          </cell>
          <cell r="AZ674">
            <v>3500</v>
          </cell>
          <cell r="BA674">
            <v>3500</v>
          </cell>
          <cell r="BK674">
            <v>0</v>
          </cell>
          <cell r="BL674">
            <v>0</v>
          </cell>
        </row>
        <row r="675">
          <cell r="A675" t="str">
            <v>MGM Grand (MGM)</v>
          </cell>
          <cell r="X675">
            <v>0</v>
          </cell>
          <cell r="Y675">
            <v>0</v>
          </cell>
          <cell r="Z675">
            <v>0</v>
          </cell>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0</v>
          </cell>
          <cell r="AS675">
            <v>0</v>
          </cell>
          <cell r="AT675">
            <v>0</v>
          </cell>
          <cell r="AU675">
            <v>1037</v>
          </cell>
          <cell r="AV675">
            <v>259.25</v>
          </cell>
          <cell r="AW675">
            <v>1037</v>
          </cell>
          <cell r="AX675">
            <v>1037</v>
          </cell>
          <cell r="AY675">
            <v>1037</v>
          </cell>
          <cell r="AZ675">
            <v>1037</v>
          </cell>
          <cell r="BA675">
            <v>1037</v>
          </cell>
          <cell r="BK675">
            <v>262.5</v>
          </cell>
          <cell r="BL675">
            <v>-3.25</v>
          </cell>
        </row>
        <row r="676">
          <cell r="A676" t="str">
            <v>MGM Cotai #1 (MGM)</v>
          </cell>
          <cell r="X676">
            <v>0</v>
          </cell>
          <cell r="Y676">
            <v>0</v>
          </cell>
          <cell r="Z676">
            <v>0</v>
          </cell>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0</v>
          </cell>
          <cell r="AO676">
            <v>0</v>
          </cell>
          <cell r="AP676">
            <v>0</v>
          </cell>
          <cell r="AQ676">
            <v>0</v>
          </cell>
          <cell r="AR676">
            <v>0</v>
          </cell>
          <cell r="AS676">
            <v>0</v>
          </cell>
          <cell r="AT676">
            <v>0</v>
          </cell>
          <cell r="AU676">
            <v>0</v>
          </cell>
          <cell r="AV676">
            <v>0</v>
          </cell>
          <cell r="AW676">
            <v>0</v>
          </cell>
          <cell r="AX676">
            <v>0</v>
          </cell>
          <cell r="AY676">
            <v>0</v>
          </cell>
          <cell r="AZ676">
            <v>3000</v>
          </cell>
          <cell r="BA676">
            <v>3000</v>
          </cell>
          <cell r="BK676">
            <v>262.5</v>
          </cell>
          <cell r="BL676">
            <v>-262.5</v>
          </cell>
        </row>
        <row r="677">
          <cell r="A677" t="str">
            <v>Crown Macau (PBL/Melco)</v>
          </cell>
          <cell r="X677">
            <v>0</v>
          </cell>
          <cell r="Y677">
            <v>0</v>
          </cell>
          <cell r="Z677">
            <v>0</v>
          </cell>
          <cell r="AA677">
            <v>0</v>
          </cell>
          <cell r="AB677">
            <v>0</v>
          </cell>
          <cell r="AC677">
            <v>0</v>
          </cell>
          <cell r="AD677">
            <v>0</v>
          </cell>
          <cell r="AE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cell r="AS677">
            <v>333.33333333333331</v>
          </cell>
          <cell r="AT677">
            <v>500</v>
          </cell>
          <cell r="AU677">
            <v>500</v>
          </cell>
          <cell r="AV677">
            <v>333.33333333333331</v>
          </cell>
          <cell r="AW677">
            <v>500</v>
          </cell>
          <cell r="AX677">
            <v>500</v>
          </cell>
          <cell r="AY677">
            <v>500</v>
          </cell>
          <cell r="AZ677">
            <v>500</v>
          </cell>
          <cell r="BA677">
            <v>500</v>
          </cell>
          <cell r="BK677">
            <v>250</v>
          </cell>
          <cell r="BL677">
            <v>83.333333333333314</v>
          </cell>
        </row>
        <row r="678">
          <cell r="A678" t="str">
            <v>Penninsula Project (PBL/Melco)</v>
          </cell>
          <cell r="X678">
            <v>0</v>
          </cell>
          <cell r="Y678">
            <v>0</v>
          </cell>
          <cell r="Z678">
            <v>0</v>
          </cell>
          <cell r="AA678">
            <v>0</v>
          </cell>
          <cell r="AB678">
            <v>0</v>
          </cell>
          <cell r="AC678">
            <v>0</v>
          </cell>
          <cell r="AD678">
            <v>0</v>
          </cell>
          <cell r="AE678">
            <v>0</v>
          </cell>
          <cell r="AF678">
            <v>0</v>
          </cell>
          <cell r="AG678">
            <v>0</v>
          </cell>
          <cell r="AH678">
            <v>0</v>
          </cell>
          <cell r="AI678">
            <v>0</v>
          </cell>
          <cell r="AJ678">
            <v>0</v>
          </cell>
          <cell r="AK678">
            <v>0</v>
          </cell>
          <cell r="AL678">
            <v>0</v>
          </cell>
          <cell r="AM678">
            <v>0</v>
          </cell>
          <cell r="AN678">
            <v>0</v>
          </cell>
          <cell r="AO678">
            <v>0</v>
          </cell>
          <cell r="AP678">
            <v>0</v>
          </cell>
          <cell r="AQ678">
            <v>0</v>
          </cell>
          <cell r="AR678">
            <v>0</v>
          </cell>
          <cell r="AS678">
            <v>0</v>
          </cell>
          <cell r="AT678">
            <v>0</v>
          </cell>
          <cell r="AU678">
            <v>0</v>
          </cell>
          <cell r="AV678">
            <v>0</v>
          </cell>
          <cell r="AW678">
            <v>0</v>
          </cell>
          <cell r="AX678">
            <v>250</v>
          </cell>
          <cell r="AY678">
            <v>500</v>
          </cell>
          <cell r="AZ678">
            <v>500</v>
          </cell>
          <cell r="BA678">
            <v>500</v>
          </cell>
          <cell r="BK678">
            <v>0</v>
          </cell>
          <cell r="BL678">
            <v>0</v>
          </cell>
        </row>
        <row r="679">
          <cell r="A679" t="str">
            <v>City of Dreams (PBL/Melco)</v>
          </cell>
          <cell r="X679">
            <v>0</v>
          </cell>
          <cell r="Y679">
            <v>0</v>
          </cell>
          <cell r="Z679">
            <v>0</v>
          </cell>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cell r="AO679">
            <v>0</v>
          </cell>
          <cell r="AP679">
            <v>0</v>
          </cell>
          <cell r="AQ679">
            <v>0</v>
          </cell>
          <cell r="AR679">
            <v>0</v>
          </cell>
          <cell r="AS679">
            <v>0</v>
          </cell>
          <cell r="AT679">
            <v>0</v>
          </cell>
          <cell r="AU679">
            <v>0</v>
          </cell>
          <cell r="AV679">
            <v>0</v>
          </cell>
          <cell r="AW679">
            <v>0</v>
          </cell>
          <cell r="AX679">
            <v>2500</v>
          </cell>
          <cell r="AY679">
            <v>2500</v>
          </cell>
          <cell r="AZ679">
            <v>2500</v>
          </cell>
          <cell r="BA679">
            <v>2500</v>
          </cell>
          <cell r="BK679">
            <v>0</v>
          </cell>
          <cell r="BL679">
            <v>0</v>
          </cell>
        </row>
        <row r="680">
          <cell r="A680" t="str">
            <v>Galaxy Waldo (Galaxy)</v>
          </cell>
          <cell r="X680">
            <v>0</v>
          </cell>
          <cell r="Y680">
            <v>0</v>
          </cell>
          <cell r="Z680">
            <v>0</v>
          </cell>
          <cell r="AA680">
            <v>0</v>
          </cell>
          <cell r="AB680">
            <v>0</v>
          </cell>
          <cell r="AC680">
            <v>0</v>
          </cell>
          <cell r="AD680">
            <v>0</v>
          </cell>
          <cell r="AE680">
            <v>74</v>
          </cell>
          <cell r="AF680">
            <v>74</v>
          </cell>
          <cell r="AG680">
            <v>37</v>
          </cell>
          <cell r="AH680">
            <v>74</v>
          </cell>
          <cell r="AI680">
            <v>74</v>
          </cell>
          <cell r="AJ680">
            <v>74</v>
          </cell>
          <cell r="AK680">
            <v>75</v>
          </cell>
          <cell r="AL680">
            <v>74.25</v>
          </cell>
          <cell r="AM680">
            <v>75</v>
          </cell>
          <cell r="AN680">
            <v>75</v>
          </cell>
          <cell r="AO680">
            <v>75</v>
          </cell>
          <cell r="AP680">
            <v>75</v>
          </cell>
          <cell r="AQ680">
            <v>75</v>
          </cell>
          <cell r="AR680">
            <v>75</v>
          </cell>
          <cell r="AS680">
            <v>75</v>
          </cell>
          <cell r="AT680">
            <v>75</v>
          </cell>
          <cell r="AU680">
            <v>75</v>
          </cell>
          <cell r="AV680">
            <v>75</v>
          </cell>
          <cell r="AW680">
            <v>75</v>
          </cell>
          <cell r="AX680">
            <v>75</v>
          </cell>
          <cell r="AY680">
            <v>75</v>
          </cell>
          <cell r="AZ680">
            <v>75</v>
          </cell>
          <cell r="BA680">
            <v>75</v>
          </cell>
          <cell r="BK680">
            <v>75</v>
          </cell>
          <cell r="BL680">
            <v>0</v>
          </cell>
        </row>
        <row r="681">
          <cell r="A681" t="str">
            <v>Galaxy Rio (Galaxy)</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75</v>
          </cell>
          <cell r="AN681">
            <v>150</v>
          </cell>
          <cell r="AO681">
            <v>150</v>
          </cell>
          <cell r="AP681">
            <v>150</v>
          </cell>
          <cell r="AQ681">
            <v>131.25</v>
          </cell>
          <cell r="AR681">
            <v>150</v>
          </cell>
          <cell r="AS681">
            <v>150</v>
          </cell>
          <cell r="AT681">
            <v>150</v>
          </cell>
          <cell r="AU681">
            <v>150</v>
          </cell>
          <cell r="AV681">
            <v>150</v>
          </cell>
          <cell r="AW681">
            <v>150</v>
          </cell>
          <cell r="AX681">
            <v>150</v>
          </cell>
          <cell r="AY681">
            <v>150</v>
          </cell>
          <cell r="AZ681">
            <v>150</v>
          </cell>
          <cell r="BA681">
            <v>150</v>
          </cell>
          <cell r="BK681">
            <v>150</v>
          </cell>
          <cell r="BL681">
            <v>0</v>
          </cell>
        </row>
        <row r="682">
          <cell r="A682" t="str">
            <v>Galaxy President (Galaxy)</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K682">
            <v>0</v>
          </cell>
          <cell r="BL682">
            <v>0</v>
          </cell>
        </row>
        <row r="683">
          <cell r="A683" t="str">
            <v>Galaxy Grand Waldo (Galaxy)</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167</v>
          </cell>
          <cell r="AO683">
            <v>334</v>
          </cell>
          <cell r="AP683">
            <v>334</v>
          </cell>
          <cell r="AQ683">
            <v>208.75</v>
          </cell>
          <cell r="AR683">
            <v>334</v>
          </cell>
          <cell r="AS683">
            <v>334</v>
          </cell>
          <cell r="AT683">
            <v>334</v>
          </cell>
          <cell r="AU683">
            <v>334</v>
          </cell>
          <cell r="AV683">
            <v>334</v>
          </cell>
          <cell r="AW683">
            <v>334</v>
          </cell>
          <cell r="AX683">
            <v>334</v>
          </cell>
          <cell r="AY683">
            <v>334</v>
          </cell>
          <cell r="AZ683">
            <v>334</v>
          </cell>
          <cell r="BA683">
            <v>334</v>
          </cell>
          <cell r="BK683">
            <v>334</v>
          </cell>
          <cell r="BL683">
            <v>0</v>
          </cell>
        </row>
        <row r="684">
          <cell r="A684" t="str">
            <v>Galaxy Starworld (Galaxy)</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277.71739130434781</v>
          </cell>
          <cell r="AQ684">
            <v>69.429347826086953</v>
          </cell>
          <cell r="AR684">
            <v>350</v>
          </cell>
          <cell r="AS684">
            <v>350</v>
          </cell>
          <cell r="AT684">
            <v>350</v>
          </cell>
          <cell r="AU684">
            <v>350</v>
          </cell>
          <cell r="AV684">
            <v>350</v>
          </cell>
          <cell r="AW684">
            <v>350</v>
          </cell>
          <cell r="AX684">
            <v>350</v>
          </cell>
          <cell r="AY684">
            <v>350</v>
          </cell>
          <cell r="AZ684">
            <v>350</v>
          </cell>
          <cell r="BA684">
            <v>350</v>
          </cell>
          <cell r="BK684">
            <v>371</v>
          </cell>
          <cell r="BL684">
            <v>-21</v>
          </cell>
        </row>
        <row r="685">
          <cell r="A685" t="str">
            <v>Galaxy Cotai (Galaxy)</v>
          </cell>
          <cell r="X685">
            <v>0</v>
          </cell>
          <cell r="Y685">
            <v>0</v>
          </cell>
          <cell r="Z685">
            <v>0</v>
          </cell>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0</v>
          </cell>
          <cell r="AS685">
            <v>0</v>
          </cell>
          <cell r="AT685">
            <v>0</v>
          </cell>
          <cell r="AU685">
            <v>0</v>
          </cell>
          <cell r="AV685">
            <v>0</v>
          </cell>
          <cell r="AW685">
            <v>500</v>
          </cell>
          <cell r="AX685">
            <v>1000</v>
          </cell>
          <cell r="AY685">
            <v>1000</v>
          </cell>
          <cell r="AZ685">
            <v>1000</v>
          </cell>
          <cell r="BA685">
            <v>1000</v>
          </cell>
          <cell r="BK685">
            <v>0</v>
          </cell>
          <cell r="BL685">
            <v>0</v>
          </cell>
        </row>
        <row r="686">
          <cell r="A686" t="str">
            <v>Ponte 16</v>
          </cell>
          <cell r="X686">
            <v>0</v>
          </cell>
          <cell r="Y686">
            <v>0</v>
          </cell>
          <cell r="Z686">
            <v>0</v>
          </cell>
          <cell r="AA686">
            <v>0</v>
          </cell>
          <cell r="AB686">
            <v>0</v>
          </cell>
          <cell r="AC686">
            <v>0</v>
          </cell>
          <cell r="AD686">
            <v>0</v>
          </cell>
          <cell r="AE686">
            <v>0</v>
          </cell>
          <cell r="AF686">
            <v>0</v>
          </cell>
          <cell r="AG686">
            <v>0</v>
          </cell>
          <cell r="AH686">
            <v>0</v>
          </cell>
          <cell r="AI686">
            <v>0</v>
          </cell>
          <cell r="AJ686">
            <v>0</v>
          </cell>
          <cell r="AK686">
            <v>0</v>
          </cell>
          <cell r="AL686">
            <v>0</v>
          </cell>
          <cell r="AM686">
            <v>0</v>
          </cell>
          <cell r="AN686">
            <v>0</v>
          </cell>
          <cell r="AO686">
            <v>0</v>
          </cell>
          <cell r="AP686">
            <v>0</v>
          </cell>
          <cell r="AQ686">
            <v>0</v>
          </cell>
          <cell r="AR686">
            <v>0</v>
          </cell>
          <cell r="AS686">
            <v>0</v>
          </cell>
          <cell r="AT686">
            <v>300</v>
          </cell>
          <cell r="AU686">
            <v>300</v>
          </cell>
          <cell r="AV686">
            <v>150</v>
          </cell>
          <cell r="AW686">
            <v>300</v>
          </cell>
          <cell r="AX686">
            <v>300</v>
          </cell>
          <cell r="AY686">
            <v>300</v>
          </cell>
          <cell r="AZ686">
            <v>300</v>
          </cell>
          <cell r="BA686">
            <v>300</v>
          </cell>
          <cell r="BK686">
            <v>150</v>
          </cell>
          <cell r="BL686">
            <v>0</v>
          </cell>
        </row>
        <row r="687">
          <cell r="A687" t="str">
            <v>Grand Lisboa</v>
          </cell>
          <cell r="X687">
            <v>0</v>
          </cell>
          <cell r="Y687">
            <v>0</v>
          </cell>
          <cell r="Z687">
            <v>0</v>
          </cell>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cell r="AR687">
            <v>242</v>
          </cell>
          <cell r="AS687">
            <v>484</v>
          </cell>
          <cell r="AT687">
            <v>484</v>
          </cell>
          <cell r="AU687">
            <v>484</v>
          </cell>
          <cell r="AV687">
            <v>423.5</v>
          </cell>
          <cell r="AW687">
            <v>484</v>
          </cell>
          <cell r="AX687">
            <v>484</v>
          </cell>
          <cell r="AY687">
            <v>484</v>
          </cell>
          <cell r="AZ687">
            <v>484</v>
          </cell>
          <cell r="BA687">
            <v>484</v>
          </cell>
          <cell r="BK687">
            <v>100</v>
          </cell>
          <cell r="BL687">
            <v>323.5</v>
          </cell>
        </row>
        <row r="688">
          <cell r="A688" t="str">
            <v>Babylon</v>
          </cell>
          <cell r="X688">
            <v>0</v>
          </cell>
          <cell r="Y688">
            <v>0</v>
          </cell>
          <cell r="Z688">
            <v>0</v>
          </cell>
          <cell r="AA688">
            <v>0</v>
          </cell>
          <cell r="AB688">
            <v>0</v>
          </cell>
          <cell r="AC688">
            <v>0</v>
          </cell>
          <cell r="AD688">
            <v>0</v>
          </cell>
          <cell r="AE688">
            <v>0</v>
          </cell>
          <cell r="AF688">
            <v>0</v>
          </cell>
          <cell r="AG688">
            <v>0</v>
          </cell>
          <cell r="AH688">
            <v>0</v>
          </cell>
          <cell r="AI688">
            <v>0</v>
          </cell>
          <cell r="AJ688">
            <v>0</v>
          </cell>
          <cell r="AK688">
            <v>0</v>
          </cell>
          <cell r="AL688">
            <v>0</v>
          </cell>
          <cell r="AM688">
            <v>0</v>
          </cell>
          <cell r="AN688">
            <v>0</v>
          </cell>
          <cell r="AO688">
            <v>0</v>
          </cell>
          <cell r="AP688">
            <v>0</v>
          </cell>
          <cell r="AQ688">
            <v>0</v>
          </cell>
          <cell r="AR688">
            <v>339</v>
          </cell>
          <cell r="AS688">
            <v>339</v>
          </cell>
          <cell r="AT688">
            <v>339</v>
          </cell>
          <cell r="AU688">
            <v>339</v>
          </cell>
          <cell r="AV688">
            <v>339</v>
          </cell>
          <cell r="AW688">
            <v>339</v>
          </cell>
          <cell r="AX688">
            <v>339</v>
          </cell>
          <cell r="AY688">
            <v>339</v>
          </cell>
          <cell r="AZ688">
            <v>339</v>
          </cell>
          <cell r="BA688">
            <v>339</v>
          </cell>
          <cell r="BK688">
            <v>100</v>
          </cell>
          <cell r="BL688">
            <v>239</v>
          </cell>
        </row>
        <row r="689">
          <cell r="A689" t="str">
            <v>Arc de Triomphe</v>
          </cell>
          <cell r="X689">
            <v>0</v>
          </cell>
          <cell r="Y689">
            <v>0</v>
          </cell>
          <cell r="Z689">
            <v>0</v>
          </cell>
          <cell r="AA689">
            <v>0</v>
          </cell>
          <cell r="AB689">
            <v>0</v>
          </cell>
          <cell r="AC689">
            <v>0</v>
          </cell>
          <cell r="AD689">
            <v>0</v>
          </cell>
          <cell r="AE689">
            <v>0</v>
          </cell>
          <cell r="AF689">
            <v>0</v>
          </cell>
          <cell r="AG689">
            <v>0</v>
          </cell>
          <cell r="AH689">
            <v>0</v>
          </cell>
          <cell r="AI689">
            <v>0</v>
          </cell>
          <cell r="AJ689">
            <v>0</v>
          </cell>
          <cell r="AK689">
            <v>0</v>
          </cell>
          <cell r="AL689">
            <v>0</v>
          </cell>
          <cell r="AM689">
            <v>0</v>
          </cell>
          <cell r="AN689">
            <v>0</v>
          </cell>
          <cell r="AO689">
            <v>0</v>
          </cell>
          <cell r="AP689">
            <v>0</v>
          </cell>
          <cell r="AQ689">
            <v>0</v>
          </cell>
          <cell r="AR689">
            <v>0</v>
          </cell>
          <cell r="AS689">
            <v>0</v>
          </cell>
          <cell r="AT689">
            <v>0</v>
          </cell>
          <cell r="AU689">
            <v>0</v>
          </cell>
          <cell r="AV689">
            <v>0</v>
          </cell>
          <cell r="AW689">
            <v>200</v>
          </cell>
          <cell r="AX689">
            <v>200</v>
          </cell>
          <cell r="AY689">
            <v>200</v>
          </cell>
          <cell r="AZ689">
            <v>200</v>
          </cell>
          <cell r="BA689">
            <v>200</v>
          </cell>
          <cell r="BK689">
            <v>0</v>
          </cell>
          <cell r="BL689">
            <v>0</v>
          </cell>
        </row>
        <row r="690">
          <cell r="A690" t="str">
            <v>Oceanus</v>
          </cell>
          <cell r="X690">
            <v>0</v>
          </cell>
          <cell r="Y690">
            <v>0</v>
          </cell>
          <cell r="Z690">
            <v>0</v>
          </cell>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1000</v>
          </cell>
          <cell r="AY690">
            <v>1000</v>
          </cell>
          <cell r="AZ690">
            <v>1000</v>
          </cell>
          <cell r="BA690">
            <v>1000</v>
          </cell>
          <cell r="BK690">
            <v>0</v>
          </cell>
          <cell r="BL690">
            <v>0</v>
          </cell>
        </row>
        <row r="691">
          <cell r="A691" t="str">
            <v>Shun Tak Nam Van</v>
          </cell>
          <cell r="X691">
            <v>0</v>
          </cell>
          <cell r="Y691">
            <v>0</v>
          </cell>
          <cell r="Z691">
            <v>0</v>
          </cell>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300</v>
          </cell>
          <cell r="AZ691">
            <v>300</v>
          </cell>
          <cell r="BA691">
            <v>300</v>
          </cell>
          <cell r="BK691">
            <v>0</v>
          </cell>
          <cell r="BL691">
            <v>0</v>
          </cell>
        </row>
        <row r="692">
          <cell r="A692" t="str">
            <v>Shun Tak Cotai</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1000</v>
          </cell>
          <cell r="BA692">
            <v>1000</v>
          </cell>
          <cell r="BK692">
            <v>0</v>
          </cell>
          <cell r="BL692">
            <v>0</v>
          </cell>
        </row>
        <row r="693">
          <cell r="A693" t="str">
            <v>Macau Studio City (eSun)</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1000</v>
          </cell>
          <cell r="AY693">
            <v>1000</v>
          </cell>
          <cell r="AZ693">
            <v>1600</v>
          </cell>
          <cell r="BA693">
            <v>1600</v>
          </cell>
          <cell r="BK693">
            <v>0</v>
          </cell>
          <cell r="BL693">
            <v>0</v>
          </cell>
        </row>
        <row r="694">
          <cell r="A694" t="str">
            <v>Other</v>
          </cell>
          <cell r="X694">
            <v>808</v>
          </cell>
          <cell r="Y694">
            <v>808</v>
          </cell>
          <cell r="Z694">
            <v>808</v>
          </cell>
          <cell r="AA694">
            <v>873</v>
          </cell>
          <cell r="AB694">
            <v>824.25</v>
          </cell>
          <cell r="AC694">
            <v>873</v>
          </cell>
          <cell r="AD694">
            <v>1017</v>
          </cell>
          <cell r="AE694">
            <v>1434</v>
          </cell>
          <cell r="AF694">
            <v>1423.782608695652</v>
          </cell>
          <cell r="AG694">
            <v>1186.945652173913</v>
          </cell>
          <cell r="AH694">
            <v>1883</v>
          </cell>
          <cell r="AI694">
            <v>1878.5</v>
          </cell>
          <cell r="AJ694">
            <v>2051</v>
          </cell>
          <cell r="AK694">
            <v>2398.5</v>
          </cell>
          <cell r="AL694">
            <v>2052.75</v>
          </cell>
          <cell r="AM694">
            <v>2931.5</v>
          </cell>
          <cell r="AN694">
            <v>3091</v>
          </cell>
          <cell r="AO694">
            <v>3254.0978260869565</v>
          </cell>
          <cell r="AP694">
            <v>3419.782608695652</v>
          </cell>
          <cell r="AQ694">
            <v>3174.095108695652</v>
          </cell>
          <cell r="AR694">
            <v>4296.782608695652</v>
          </cell>
          <cell r="AS694">
            <v>4296.782608695652</v>
          </cell>
          <cell r="AT694">
            <v>4496.782608695652</v>
          </cell>
          <cell r="AU694">
            <v>4696.782608695652</v>
          </cell>
          <cell r="AV694">
            <v>4446.782608695652</v>
          </cell>
          <cell r="AW694">
            <v>4843.782608695652</v>
          </cell>
          <cell r="AX694">
            <v>4993.782608695652</v>
          </cell>
          <cell r="AY694">
            <v>5593.7826086956484</v>
          </cell>
          <cell r="AZ694">
            <v>6193.7826086956484</v>
          </cell>
          <cell r="BA694">
            <v>6793.7826086956484</v>
          </cell>
          <cell r="BK694">
            <v>3712.2391304347821</v>
          </cell>
          <cell r="BL694">
            <v>734.54347826086996</v>
          </cell>
        </row>
        <row r="695">
          <cell r="X695" t="str">
            <v>______</v>
          </cell>
          <cell r="Y695" t="str">
            <v>______</v>
          </cell>
          <cell r="Z695" t="str">
            <v>______</v>
          </cell>
          <cell r="AA695" t="str">
            <v>______</v>
          </cell>
          <cell r="AB695" t="str">
            <v>______</v>
          </cell>
          <cell r="AC695" t="str">
            <v>______</v>
          </cell>
          <cell r="AD695" t="str">
            <v>______</v>
          </cell>
          <cell r="AE695" t="str">
            <v>______</v>
          </cell>
          <cell r="AF695" t="str">
            <v>______</v>
          </cell>
          <cell r="AG695" t="str">
            <v>______</v>
          </cell>
          <cell r="AH695" t="str">
            <v>______</v>
          </cell>
          <cell r="AI695" t="str">
            <v>______</v>
          </cell>
          <cell r="AJ695" t="str">
            <v>______</v>
          </cell>
          <cell r="AK695" t="str">
            <v>______</v>
          </cell>
          <cell r="AL695" t="str">
            <v>______</v>
          </cell>
          <cell r="AM695" t="str">
            <v>______</v>
          </cell>
          <cell r="AN695" t="str">
            <v>______</v>
          </cell>
          <cell r="AO695" t="str">
            <v>______</v>
          </cell>
          <cell r="AP695" t="str">
            <v>______</v>
          </cell>
          <cell r="AQ695" t="str">
            <v>______</v>
          </cell>
          <cell r="AR695" t="str">
            <v>______</v>
          </cell>
          <cell r="AS695" t="str">
            <v>______</v>
          </cell>
          <cell r="AT695" t="str">
            <v>______</v>
          </cell>
          <cell r="AU695" t="str">
            <v>______</v>
          </cell>
          <cell r="AV695" t="str">
            <v>______</v>
          </cell>
          <cell r="AW695" t="str">
            <v>______</v>
          </cell>
          <cell r="AX695" t="str">
            <v>______</v>
          </cell>
          <cell r="AY695" t="str">
            <v>______</v>
          </cell>
          <cell r="AZ695" t="str">
            <v>______</v>
          </cell>
          <cell r="BA695" t="str">
            <v>______</v>
          </cell>
          <cell r="BK695" t="str">
            <v>______</v>
          </cell>
          <cell r="BL695" t="e">
            <v>#VALUE!</v>
          </cell>
        </row>
        <row r="696">
          <cell r="A696" t="str">
            <v>Total Average Mass Market Slots</v>
          </cell>
          <cell r="X696">
            <v>808</v>
          </cell>
          <cell r="Y696">
            <v>808</v>
          </cell>
          <cell r="Z696">
            <v>808</v>
          </cell>
          <cell r="AA696">
            <v>873</v>
          </cell>
          <cell r="AB696">
            <v>824.25</v>
          </cell>
          <cell r="AC696">
            <v>873</v>
          </cell>
          <cell r="AD696">
            <v>1130.8791208791208</v>
          </cell>
          <cell r="AE696">
            <v>2027</v>
          </cell>
          <cell r="AF696">
            <v>2163.782608695652</v>
          </cell>
          <cell r="AG696">
            <v>1548.6654323936932</v>
          </cell>
          <cell r="AH696">
            <v>2721</v>
          </cell>
          <cell r="AI696">
            <v>2774.5</v>
          </cell>
          <cell r="AJ696">
            <v>2927</v>
          </cell>
          <cell r="AK696">
            <v>3251.5</v>
          </cell>
          <cell r="AL696">
            <v>2918.5</v>
          </cell>
          <cell r="AM696">
            <v>3988.5</v>
          </cell>
          <cell r="AN696">
            <v>4378</v>
          </cell>
          <cell r="AO696">
            <v>4849</v>
          </cell>
          <cell r="AP696">
            <v>5855.5</v>
          </cell>
          <cell r="AQ696">
            <v>4767.75</v>
          </cell>
          <cell r="AR696">
            <v>7518.782608695652</v>
          </cell>
          <cell r="AS696">
            <v>8227.115942028986</v>
          </cell>
          <cell r="AT696">
            <v>13641.782608695652</v>
          </cell>
          <cell r="AU696">
            <v>14878.782608695652</v>
          </cell>
          <cell r="AV696">
            <v>11066.615942028984</v>
          </cell>
          <cell r="AW696">
            <v>17875.782608695652</v>
          </cell>
          <cell r="AX696">
            <v>27650.782608695652</v>
          </cell>
          <cell r="AY696">
            <v>38425.782608695648</v>
          </cell>
          <cell r="AZ696">
            <v>46525.782608695648</v>
          </cell>
          <cell r="BA696">
            <v>47125.782608695648</v>
          </cell>
          <cell r="BK696">
            <v>9388.7391304347821</v>
          </cell>
          <cell r="BL696">
            <v>1677.8768115942021</v>
          </cell>
        </row>
        <row r="697">
          <cell r="BL697">
            <v>0</v>
          </cell>
        </row>
        <row r="698">
          <cell r="A698" t="str">
            <v>Total Average Mass Market Positions</v>
          </cell>
          <cell r="BL698">
            <v>0</v>
          </cell>
        </row>
        <row r="699">
          <cell r="A699" t="str">
            <v>Sands Macao</v>
          </cell>
          <cell r="X699">
            <v>0</v>
          </cell>
          <cell r="Y699">
            <v>0</v>
          </cell>
          <cell r="Z699">
            <v>0</v>
          </cell>
          <cell r="AA699">
            <v>0</v>
          </cell>
          <cell r="AB699">
            <v>0</v>
          </cell>
          <cell r="AC699">
            <v>0</v>
          </cell>
          <cell r="AD699">
            <v>1176.7509157509155</v>
          </cell>
          <cell r="AE699">
            <v>2753</v>
          </cell>
          <cell r="AF699">
            <v>2802</v>
          </cell>
          <cell r="AG699">
            <v>1682.9377289377287</v>
          </cell>
          <cell r="AH699">
            <v>3139.6666666666665</v>
          </cell>
          <cell r="AI699">
            <v>3304</v>
          </cell>
          <cell r="AJ699">
            <v>3357.3333333333335</v>
          </cell>
          <cell r="AK699">
            <v>3609.3333333333335</v>
          </cell>
          <cell r="AL699">
            <v>3352.5833333333335</v>
          </cell>
          <cell r="AM699">
            <v>4092.3333333333335</v>
          </cell>
          <cell r="AN699">
            <v>4208.333333333333</v>
          </cell>
          <cell r="AO699">
            <v>5391.333333333333</v>
          </cell>
          <cell r="AP699">
            <v>7381</v>
          </cell>
          <cell r="AQ699">
            <v>5268.25</v>
          </cell>
          <cell r="AR699">
            <v>7463.2</v>
          </cell>
          <cell r="AS699">
            <v>7463.2</v>
          </cell>
          <cell r="AT699">
            <v>7463.2</v>
          </cell>
          <cell r="AU699">
            <v>7463.2</v>
          </cell>
          <cell r="AV699">
            <v>7463.2</v>
          </cell>
          <cell r="AW699">
            <v>7586.5</v>
          </cell>
          <cell r="AX699">
            <v>7586.5</v>
          </cell>
          <cell r="AY699">
            <v>7586.5</v>
          </cell>
          <cell r="AZ699">
            <v>7586.5</v>
          </cell>
          <cell r="BA699">
            <v>7586.5</v>
          </cell>
          <cell r="BK699">
            <v>7151.6</v>
          </cell>
          <cell r="BL699">
            <v>311.59999999999945</v>
          </cell>
          <cell r="BN699" t="str">
            <v>gt:lvs:sandsMacao:positions</v>
          </cell>
        </row>
        <row r="700">
          <cell r="A700" t="str">
            <v>Venetian Macao</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7890</v>
          </cell>
          <cell r="AU700">
            <v>7890</v>
          </cell>
          <cell r="AV700">
            <v>3945</v>
          </cell>
          <cell r="AW700">
            <v>9300</v>
          </cell>
          <cell r="AX700">
            <v>9300</v>
          </cell>
          <cell r="AY700">
            <v>9300</v>
          </cell>
          <cell r="AZ700">
            <v>13500</v>
          </cell>
          <cell r="BA700">
            <v>13500</v>
          </cell>
          <cell r="BK700">
            <v>3925</v>
          </cell>
          <cell r="BL700">
            <v>20</v>
          </cell>
          <cell r="BN700" t="str">
            <v>gt:lvs:venetianMacao:positions</v>
          </cell>
        </row>
        <row r="701">
          <cell r="A701" t="str">
            <v>Cotai Site 2 - Four Seasons (LVS)</v>
          </cell>
          <cell r="X701">
            <v>0</v>
          </cell>
          <cell r="Y701">
            <v>0</v>
          </cell>
          <cell r="Z701">
            <v>0</v>
          </cell>
          <cell r="AA701">
            <v>0</v>
          </cell>
          <cell r="AB701">
            <v>0</v>
          </cell>
          <cell r="AC701">
            <v>0</v>
          </cell>
          <cell r="AD701">
            <v>0</v>
          </cell>
          <cell r="AE701">
            <v>0</v>
          </cell>
          <cell r="AF701">
            <v>0</v>
          </cell>
          <cell r="AG701">
            <v>0</v>
          </cell>
          <cell r="AH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1350</v>
          </cell>
          <cell r="AX701">
            <v>1350</v>
          </cell>
          <cell r="AY701">
            <v>1350</v>
          </cell>
          <cell r="AZ701">
            <v>1350</v>
          </cell>
          <cell r="BA701">
            <v>1350</v>
          </cell>
          <cell r="BK701">
            <v>0</v>
          </cell>
          <cell r="BL701">
            <v>0</v>
          </cell>
        </row>
        <row r="702">
          <cell r="A702" t="str">
            <v>Cotai Site 3 - Far East (LVS)</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1862.5</v>
          </cell>
          <cell r="AY702">
            <v>3725</v>
          </cell>
          <cell r="AZ702">
            <v>3725</v>
          </cell>
          <cell r="BA702">
            <v>3725</v>
          </cell>
          <cell r="BK702">
            <v>0</v>
          </cell>
          <cell r="BL702">
            <v>0</v>
          </cell>
        </row>
        <row r="703">
          <cell r="A703" t="str">
            <v>Cotai Site 5 - Shangri-La/St.Regis/Traders (LVS)</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1875</v>
          </cell>
          <cell r="AX703">
            <v>3750</v>
          </cell>
          <cell r="AY703">
            <v>3375</v>
          </cell>
          <cell r="AZ703">
            <v>3375</v>
          </cell>
          <cell r="BA703">
            <v>3375</v>
          </cell>
          <cell r="BK703">
            <v>0</v>
          </cell>
          <cell r="BL703">
            <v>0</v>
          </cell>
        </row>
        <row r="704">
          <cell r="A704" t="str">
            <v>Cotai Site 6 - Starwood (LVS)</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1875</v>
          </cell>
          <cell r="AX704">
            <v>3750</v>
          </cell>
          <cell r="AY704">
            <v>3375</v>
          </cell>
          <cell r="AZ704">
            <v>3375</v>
          </cell>
          <cell r="BA704">
            <v>3375</v>
          </cell>
          <cell r="BK704">
            <v>0</v>
          </cell>
          <cell r="BL704">
            <v>0</v>
          </cell>
        </row>
        <row r="705">
          <cell r="A705" t="str">
            <v>Cotai Site 7 - Hilton (LVS)</v>
          </cell>
          <cell r="X705">
            <v>0</v>
          </cell>
          <cell r="Y705">
            <v>0</v>
          </cell>
          <cell r="Z705">
            <v>0</v>
          </cell>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0</v>
          </cell>
          <cell r="AP705">
            <v>0</v>
          </cell>
          <cell r="AQ705">
            <v>0</v>
          </cell>
          <cell r="AR705">
            <v>0</v>
          </cell>
          <cell r="AS705">
            <v>0</v>
          </cell>
          <cell r="AT705">
            <v>0</v>
          </cell>
          <cell r="AU705">
            <v>0</v>
          </cell>
          <cell r="AV705">
            <v>0</v>
          </cell>
          <cell r="AW705">
            <v>0</v>
          </cell>
          <cell r="AX705">
            <v>1875</v>
          </cell>
          <cell r="AY705">
            <v>3750</v>
          </cell>
          <cell r="AZ705">
            <v>3375</v>
          </cell>
          <cell r="BA705">
            <v>3375</v>
          </cell>
          <cell r="BK705">
            <v>0</v>
          </cell>
          <cell r="BL705">
            <v>0</v>
          </cell>
        </row>
        <row r="706">
          <cell r="A706" t="str">
            <v>Cotai Site 8 - FHR/Raffles (LVS)</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1875</v>
          </cell>
          <cell r="AY706">
            <v>3750</v>
          </cell>
          <cell r="AZ706">
            <v>3375</v>
          </cell>
          <cell r="BA706">
            <v>3375</v>
          </cell>
          <cell r="BK706">
            <v>0</v>
          </cell>
          <cell r="BL706">
            <v>0</v>
          </cell>
        </row>
        <row r="707">
          <cell r="A707" t="str">
            <v>Wynn Macau (WYNN)</v>
          </cell>
          <cell r="X707">
            <v>0</v>
          </cell>
          <cell r="Y707">
            <v>0</v>
          </cell>
          <cell r="Z707">
            <v>0</v>
          </cell>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495.92391304347831</v>
          </cell>
          <cell r="AP707">
            <v>1962</v>
          </cell>
          <cell r="AQ707">
            <v>614.48097826086962</v>
          </cell>
          <cell r="AR707">
            <v>2039.6</v>
          </cell>
          <cell r="AS707">
            <v>2742.8</v>
          </cell>
          <cell r="AT707">
            <v>4062</v>
          </cell>
          <cell r="AU707">
            <v>4062</v>
          </cell>
          <cell r="AV707">
            <v>3226.6</v>
          </cell>
          <cell r="AW707">
            <v>4190</v>
          </cell>
          <cell r="AX707">
            <v>4190</v>
          </cell>
          <cell r="AY707">
            <v>4190</v>
          </cell>
          <cell r="AZ707">
            <v>4190</v>
          </cell>
          <cell r="BA707">
            <v>4190</v>
          </cell>
          <cell r="BK707">
            <v>3027</v>
          </cell>
          <cell r="BL707">
            <v>199.59999999999991</v>
          </cell>
        </row>
        <row r="708">
          <cell r="A708" t="str">
            <v>Wynn Cotai (WYNN)</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6000</v>
          </cell>
          <cell r="AZ708">
            <v>6000</v>
          </cell>
          <cell r="BA708">
            <v>6000</v>
          </cell>
          <cell r="BK708">
            <v>0</v>
          </cell>
          <cell r="BL708">
            <v>0</v>
          </cell>
        </row>
        <row r="709">
          <cell r="A709" t="str">
            <v>Wynn Cotai #2 (WYNN)</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6000</v>
          </cell>
          <cell r="AZ709">
            <v>6000</v>
          </cell>
          <cell r="BA709">
            <v>6000</v>
          </cell>
          <cell r="BK709">
            <v>0</v>
          </cell>
          <cell r="BL709">
            <v>0</v>
          </cell>
        </row>
        <row r="710">
          <cell r="A710" t="str">
            <v>MGM Grand (MGM)</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3434.8</v>
          </cell>
          <cell r="AV710">
            <v>858.7</v>
          </cell>
          <cell r="AW710">
            <v>3538.5</v>
          </cell>
          <cell r="AX710">
            <v>3538.5</v>
          </cell>
          <cell r="AY710">
            <v>3538.5</v>
          </cell>
          <cell r="AZ710">
            <v>3538.5</v>
          </cell>
          <cell r="BA710">
            <v>3538.5</v>
          </cell>
          <cell r="BK710">
            <v>802.5</v>
          </cell>
          <cell r="BL710">
            <v>56.200000000000045</v>
          </cell>
        </row>
        <row r="711">
          <cell r="A711" t="str">
            <v>MGM Cotai #1 (MGM)</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5500</v>
          </cell>
          <cell r="BA711">
            <v>5500</v>
          </cell>
          <cell r="BK711">
            <v>802.5</v>
          </cell>
          <cell r="BL711">
            <v>-802.5</v>
          </cell>
        </row>
        <row r="712">
          <cell r="A712" t="str">
            <v>Crown Macau (PBL/Melco)</v>
          </cell>
          <cell r="X712">
            <v>0</v>
          </cell>
          <cell r="Y712">
            <v>0</v>
          </cell>
          <cell r="Z712">
            <v>0</v>
          </cell>
          <cell r="AA712">
            <v>0</v>
          </cell>
          <cell r="AB712">
            <v>0</v>
          </cell>
          <cell r="AC712">
            <v>0</v>
          </cell>
          <cell r="AD712">
            <v>0</v>
          </cell>
          <cell r="AE712">
            <v>0</v>
          </cell>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1299.9999999999998</v>
          </cell>
          <cell r="AT712">
            <v>1950</v>
          </cell>
          <cell r="AU712">
            <v>1950</v>
          </cell>
          <cell r="AV712">
            <v>1299.9999999999998</v>
          </cell>
          <cell r="AW712">
            <v>1850</v>
          </cell>
          <cell r="AX712">
            <v>1850</v>
          </cell>
          <cell r="AY712">
            <v>1850</v>
          </cell>
          <cell r="AZ712">
            <v>1850</v>
          </cell>
          <cell r="BA712">
            <v>1850</v>
          </cell>
          <cell r="BK712">
            <v>600</v>
          </cell>
          <cell r="BL712">
            <v>699.99999999999977</v>
          </cell>
        </row>
        <row r="713">
          <cell r="A713" t="str">
            <v>Penninsula Project (PBL/Melco)</v>
          </cell>
          <cell r="X713">
            <v>0</v>
          </cell>
          <cell r="Y713">
            <v>0</v>
          </cell>
          <cell r="Z713">
            <v>0</v>
          </cell>
          <cell r="AA713">
            <v>0</v>
          </cell>
          <cell r="AB713">
            <v>0</v>
          </cell>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725</v>
          </cell>
          <cell r="AY713">
            <v>1850</v>
          </cell>
          <cell r="AZ713">
            <v>1850</v>
          </cell>
          <cell r="BA713">
            <v>1850</v>
          </cell>
          <cell r="BK713">
            <v>0</v>
          </cell>
          <cell r="BL713">
            <v>0</v>
          </cell>
        </row>
        <row r="714">
          <cell r="A714" t="str">
            <v>City of Dreams (PBL/Melco)</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5250</v>
          </cell>
          <cell r="AY714">
            <v>5250</v>
          </cell>
          <cell r="AZ714">
            <v>5250</v>
          </cell>
          <cell r="BA714">
            <v>5250</v>
          </cell>
          <cell r="BK714">
            <v>0</v>
          </cell>
          <cell r="BL714">
            <v>0</v>
          </cell>
        </row>
        <row r="715">
          <cell r="A715" t="str">
            <v>Galaxy Waldo (Galaxy)</v>
          </cell>
          <cell r="X715">
            <v>0</v>
          </cell>
          <cell r="Y715">
            <v>0</v>
          </cell>
          <cell r="Z715">
            <v>0</v>
          </cell>
          <cell r="AA715">
            <v>0</v>
          </cell>
          <cell r="AB715">
            <v>0</v>
          </cell>
          <cell r="AC715">
            <v>0</v>
          </cell>
          <cell r="AD715">
            <v>0</v>
          </cell>
          <cell r="AE715">
            <v>224.66666666666666</v>
          </cell>
          <cell r="AF715">
            <v>224.66666666666666</v>
          </cell>
          <cell r="AG715">
            <v>112.33333333333333</v>
          </cell>
          <cell r="AH715">
            <v>224.66666666666666</v>
          </cell>
          <cell r="AI715">
            <v>224.66666666666666</v>
          </cell>
          <cell r="AJ715">
            <v>224.66666666666666</v>
          </cell>
          <cell r="AK715">
            <v>225</v>
          </cell>
          <cell r="AL715">
            <v>224.75</v>
          </cell>
          <cell r="AM715">
            <v>225</v>
          </cell>
          <cell r="AN715">
            <v>225</v>
          </cell>
          <cell r="AO715">
            <v>225</v>
          </cell>
          <cell r="AP715">
            <v>225</v>
          </cell>
          <cell r="AQ715">
            <v>225</v>
          </cell>
          <cell r="AR715">
            <v>230</v>
          </cell>
          <cell r="AS715">
            <v>230</v>
          </cell>
          <cell r="AT715">
            <v>230</v>
          </cell>
          <cell r="AU715">
            <v>230</v>
          </cell>
          <cell r="AV715">
            <v>230</v>
          </cell>
          <cell r="AW715">
            <v>237.5</v>
          </cell>
          <cell r="AX715">
            <v>237.5</v>
          </cell>
          <cell r="AY715">
            <v>237.5</v>
          </cell>
          <cell r="AZ715">
            <v>237.5</v>
          </cell>
          <cell r="BA715">
            <v>237.5</v>
          </cell>
          <cell r="BK715">
            <v>230</v>
          </cell>
          <cell r="BL715">
            <v>0</v>
          </cell>
        </row>
        <row r="716">
          <cell r="A716" t="str">
            <v>Galaxy Rio (Galaxy)</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400</v>
          </cell>
          <cell r="AN716">
            <v>800</v>
          </cell>
          <cell r="AO716">
            <v>800</v>
          </cell>
          <cell r="AP716">
            <v>800</v>
          </cell>
          <cell r="AQ716">
            <v>700</v>
          </cell>
          <cell r="AR716">
            <v>810</v>
          </cell>
          <cell r="AS716">
            <v>810</v>
          </cell>
          <cell r="AT716">
            <v>810</v>
          </cell>
          <cell r="AU716">
            <v>810</v>
          </cell>
          <cell r="AV716">
            <v>810</v>
          </cell>
          <cell r="AW716">
            <v>825</v>
          </cell>
          <cell r="AX716">
            <v>825</v>
          </cell>
          <cell r="AY716">
            <v>825</v>
          </cell>
          <cell r="AZ716">
            <v>825</v>
          </cell>
          <cell r="BA716">
            <v>825</v>
          </cell>
          <cell r="BK716">
            <v>810</v>
          </cell>
          <cell r="BL716">
            <v>0</v>
          </cell>
        </row>
        <row r="717">
          <cell r="A717" t="str">
            <v>Galaxy President (Galaxy)</v>
          </cell>
          <cell r="X717">
            <v>0</v>
          </cell>
          <cell r="Y717">
            <v>0</v>
          </cell>
          <cell r="Z717">
            <v>0</v>
          </cell>
          <cell r="AA717">
            <v>0</v>
          </cell>
          <cell r="AB717">
            <v>0</v>
          </cell>
          <cell r="AC717">
            <v>0</v>
          </cell>
          <cell r="AD717">
            <v>0</v>
          </cell>
          <cell r="AE717">
            <v>0</v>
          </cell>
          <cell r="AF717">
            <v>0</v>
          </cell>
          <cell r="AG717">
            <v>0</v>
          </cell>
          <cell r="AH717">
            <v>0</v>
          </cell>
          <cell r="AI717">
            <v>0</v>
          </cell>
          <cell r="AJ717">
            <v>0</v>
          </cell>
          <cell r="AK717">
            <v>0</v>
          </cell>
          <cell r="AL717">
            <v>0</v>
          </cell>
          <cell r="AM717">
            <v>0</v>
          </cell>
          <cell r="AN717">
            <v>366.66666666666663</v>
          </cell>
          <cell r="AO717">
            <v>550</v>
          </cell>
          <cell r="AP717">
            <v>550</v>
          </cell>
          <cell r="AQ717">
            <v>366.66666666666663</v>
          </cell>
          <cell r="AR717">
            <v>550</v>
          </cell>
          <cell r="AS717">
            <v>550</v>
          </cell>
          <cell r="AT717">
            <v>550</v>
          </cell>
          <cell r="AU717">
            <v>550</v>
          </cell>
          <cell r="AV717">
            <v>550</v>
          </cell>
          <cell r="AW717">
            <v>550</v>
          </cell>
          <cell r="AX717">
            <v>550</v>
          </cell>
          <cell r="AY717">
            <v>550</v>
          </cell>
          <cell r="AZ717">
            <v>550</v>
          </cell>
          <cell r="BA717">
            <v>550</v>
          </cell>
          <cell r="BK717">
            <v>550</v>
          </cell>
          <cell r="BL717">
            <v>0</v>
          </cell>
        </row>
        <row r="718">
          <cell r="A718" t="str">
            <v>Galaxy Grand Waldo (Galaxy)</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555.66666666666663</v>
          </cell>
          <cell r="AO718">
            <v>1111.3333333333333</v>
          </cell>
          <cell r="AP718">
            <v>1111.3333333333333</v>
          </cell>
          <cell r="AQ718">
            <v>694.58333333333337</v>
          </cell>
          <cell r="AR718">
            <v>1133.5999999999999</v>
          </cell>
          <cell r="AS718">
            <v>1133.5999999999999</v>
          </cell>
          <cell r="AT718">
            <v>1133.5999999999999</v>
          </cell>
          <cell r="AU718">
            <v>1133.5999999999999</v>
          </cell>
          <cell r="AV718">
            <v>1133.5999999999999</v>
          </cell>
          <cell r="AW718">
            <v>1167</v>
          </cell>
          <cell r="AX718">
            <v>1167</v>
          </cell>
          <cell r="AY718">
            <v>1167</v>
          </cell>
          <cell r="AZ718">
            <v>1167</v>
          </cell>
          <cell r="BA718">
            <v>1167</v>
          </cell>
          <cell r="BK718">
            <v>1133.5999999999999</v>
          </cell>
          <cell r="BL718">
            <v>0</v>
          </cell>
        </row>
        <row r="719">
          <cell r="A719" t="str">
            <v>Galaxy Starworld (Galaxy)</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1407.0169082125606</v>
          </cell>
          <cell r="AQ719">
            <v>351.75422705314014</v>
          </cell>
          <cell r="AR719">
            <v>2130</v>
          </cell>
          <cell r="AS719">
            <v>2130</v>
          </cell>
          <cell r="AT719">
            <v>2130</v>
          </cell>
          <cell r="AU719">
            <v>2130</v>
          </cell>
          <cell r="AV719">
            <v>2130</v>
          </cell>
          <cell r="AW719">
            <v>2165</v>
          </cell>
          <cell r="AX719">
            <v>2165</v>
          </cell>
          <cell r="AY719">
            <v>2165</v>
          </cell>
          <cell r="AZ719">
            <v>2165</v>
          </cell>
          <cell r="BA719">
            <v>2165</v>
          </cell>
          <cell r="BK719">
            <v>2148.4</v>
          </cell>
          <cell r="BL719">
            <v>-18.400000000000091</v>
          </cell>
        </row>
        <row r="720">
          <cell r="A720" t="str">
            <v>Galaxy Cotai (Galaxy)</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2300</v>
          </cell>
          <cell r="AX720">
            <v>4600</v>
          </cell>
          <cell r="AY720">
            <v>4500</v>
          </cell>
          <cell r="AZ720">
            <v>4500</v>
          </cell>
          <cell r="BA720">
            <v>4500</v>
          </cell>
          <cell r="BK720">
            <v>0</v>
          </cell>
          <cell r="BL720">
            <v>0</v>
          </cell>
        </row>
        <row r="721">
          <cell r="A721" t="str">
            <v>Ponte 16</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1620</v>
          </cell>
          <cell r="AU721">
            <v>1620</v>
          </cell>
          <cell r="AV721">
            <v>810</v>
          </cell>
          <cell r="AW721">
            <v>1650</v>
          </cell>
          <cell r="AX721">
            <v>1650</v>
          </cell>
          <cell r="AY721">
            <v>1650</v>
          </cell>
          <cell r="AZ721">
            <v>1650</v>
          </cell>
          <cell r="BA721">
            <v>1650</v>
          </cell>
          <cell r="BK721">
            <v>810</v>
          </cell>
          <cell r="BL721">
            <v>0</v>
          </cell>
        </row>
        <row r="722">
          <cell r="A722" t="str">
            <v>Grand Lisboa</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1296.8</v>
          </cell>
          <cell r="AS722">
            <v>2593.6</v>
          </cell>
          <cell r="AT722">
            <v>2593.6</v>
          </cell>
          <cell r="AU722">
            <v>2593.6</v>
          </cell>
          <cell r="AV722">
            <v>2269.4</v>
          </cell>
          <cell r="AW722">
            <v>2642</v>
          </cell>
          <cell r="AX722">
            <v>2642</v>
          </cell>
          <cell r="AY722">
            <v>2642</v>
          </cell>
          <cell r="AZ722">
            <v>2642</v>
          </cell>
          <cell r="BA722">
            <v>2642</v>
          </cell>
          <cell r="BK722">
            <v>3540</v>
          </cell>
          <cell r="BL722">
            <v>-1270.5999999999999</v>
          </cell>
        </row>
        <row r="723">
          <cell r="A723" t="str">
            <v>Babylon</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78.260869565217391</v>
          </cell>
          <cell r="AQ723">
            <v>19.565217391304348</v>
          </cell>
          <cell r="AR723">
            <v>915.6</v>
          </cell>
          <cell r="AS723">
            <v>915.6</v>
          </cell>
          <cell r="AT723">
            <v>915.6</v>
          </cell>
          <cell r="AU723">
            <v>1035.5999999999999</v>
          </cell>
          <cell r="AV723">
            <v>945.6</v>
          </cell>
          <cell r="AW723">
            <v>1069.5</v>
          </cell>
          <cell r="AX723">
            <v>1069.5</v>
          </cell>
          <cell r="AY723">
            <v>1069.5</v>
          </cell>
          <cell r="AZ723">
            <v>1069.5</v>
          </cell>
          <cell r="BA723">
            <v>1069.5</v>
          </cell>
          <cell r="BK723">
            <v>490</v>
          </cell>
          <cell r="BL723">
            <v>455.6</v>
          </cell>
        </row>
        <row r="724">
          <cell r="A724" t="str">
            <v>Arc de Triomphe</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700</v>
          </cell>
          <cell r="AX724">
            <v>700</v>
          </cell>
          <cell r="AY724">
            <v>700</v>
          </cell>
          <cell r="AZ724">
            <v>700</v>
          </cell>
          <cell r="BA724">
            <v>700</v>
          </cell>
          <cell r="BK724">
            <v>0</v>
          </cell>
          <cell r="BL724">
            <v>0</v>
          </cell>
        </row>
        <row r="725">
          <cell r="A725" t="str">
            <v>Oceanus</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5500</v>
          </cell>
          <cell r="AY725">
            <v>5500</v>
          </cell>
          <cell r="AZ725">
            <v>5500</v>
          </cell>
          <cell r="BA725">
            <v>5500</v>
          </cell>
          <cell r="BK725">
            <v>0</v>
          </cell>
          <cell r="BL725">
            <v>0</v>
          </cell>
        </row>
        <row r="726">
          <cell r="A726" t="str">
            <v>Shun Tak Nam Van</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1650</v>
          </cell>
          <cell r="AZ726">
            <v>1650</v>
          </cell>
          <cell r="BA726">
            <v>1650</v>
          </cell>
          <cell r="BK726">
            <v>0</v>
          </cell>
          <cell r="BL726">
            <v>0</v>
          </cell>
        </row>
        <row r="727">
          <cell r="A727" t="str">
            <v>Shun Tak Cotai</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5500</v>
          </cell>
          <cell r="BA727">
            <v>5500</v>
          </cell>
          <cell r="BK727">
            <v>0</v>
          </cell>
          <cell r="BL727">
            <v>0</v>
          </cell>
        </row>
        <row r="728">
          <cell r="A728" t="str">
            <v>Macau Studio City (eSun)</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4100</v>
          </cell>
          <cell r="AY728">
            <v>4100</v>
          </cell>
          <cell r="AZ728">
            <v>6650</v>
          </cell>
          <cell r="BA728">
            <v>6650</v>
          </cell>
          <cell r="BK728">
            <v>0</v>
          </cell>
          <cell r="BL728">
            <v>0</v>
          </cell>
        </row>
        <row r="729">
          <cell r="A729" t="str">
            <v>Other</v>
          </cell>
          <cell r="X729">
            <v>2849.3333333333335</v>
          </cell>
          <cell r="Y729">
            <v>2849.3333333333335</v>
          </cell>
          <cell r="Z729">
            <v>2849.3333333333335</v>
          </cell>
          <cell r="AA729">
            <v>2871</v>
          </cell>
          <cell r="AB729">
            <v>2854.75</v>
          </cell>
          <cell r="AC729">
            <v>2871</v>
          </cell>
          <cell r="AD729">
            <v>3200.2087912087914</v>
          </cell>
          <cell r="AE729">
            <v>2658</v>
          </cell>
          <cell r="AF729">
            <v>4784.594202898551</v>
          </cell>
          <cell r="AG729">
            <v>3378.4507485268355</v>
          </cell>
          <cell r="AH729">
            <v>6372.666666666667</v>
          </cell>
          <cell r="AI729">
            <v>6891.166666666667</v>
          </cell>
          <cell r="AJ729">
            <v>7218.666666666667</v>
          </cell>
          <cell r="AK729">
            <v>7724.5</v>
          </cell>
          <cell r="AL729">
            <v>7051.75</v>
          </cell>
          <cell r="AM729">
            <v>8482.1666666666661</v>
          </cell>
          <cell r="AN729">
            <v>9213.6666666666679</v>
          </cell>
          <cell r="AO729">
            <v>9268.032608695652</v>
          </cell>
          <cell r="AP729">
            <v>9323.2608695652179</v>
          </cell>
          <cell r="AQ729">
            <v>9071.7817028985519</v>
          </cell>
          <cell r="AR729">
            <v>9902.0463768115951</v>
          </cell>
          <cell r="AS729">
            <v>9902.0463768115951</v>
          </cell>
          <cell r="AT729">
            <v>9982.0463768115951</v>
          </cell>
          <cell r="AU729">
            <v>10062.046376811595</v>
          </cell>
          <cell r="AV729">
            <v>9962.0463768115951</v>
          </cell>
          <cell r="AW729">
            <v>10605.22463768116</v>
          </cell>
          <cell r="AX729">
            <v>10680.22463768116</v>
          </cell>
          <cell r="AY729">
            <v>10980.224637681158</v>
          </cell>
          <cell r="AZ729">
            <v>11280.224637681158</v>
          </cell>
          <cell r="BA729">
            <v>11580.224637681158</v>
          </cell>
          <cell r="BK729">
            <v>9503.6456521739128</v>
          </cell>
          <cell r="BL729">
            <v>458.40072463768229</v>
          </cell>
        </row>
        <row r="730">
          <cell r="X730" t="str">
            <v>______</v>
          </cell>
          <cell r="Y730" t="str">
            <v>______</v>
          </cell>
          <cell r="Z730" t="str">
            <v>______</v>
          </cell>
          <cell r="AA730" t="str">
            <v>______</v>
          </cell>
          <cell r="AB730" t="str">
            <v>______</v>
          </cell>
          <cell r="AC730" t="str">
            <v>______</v>
          </cell>
          <cell r="AD730" t="str">
            <v>______</v>
          </cell>
          <cell r="AE730" t="str">
            <v>______</v>
          </cell>
          <cell r="AF730" t="str">
            <v>______</v>
          </cell>
          <cell r="AG730" t="str">
            <v>______</v>
          </cell>
          <cell r="AH730" t="str">
            <v>______</v>
          </cell>
          <cell r="AI730" t="str">
            <v>______</v>
          </cell>
          <cell r="AJ730" t="str">
            <v>______</v>
          </cell>
          <cell r="AK730" t="str">
            <v>______</v>
          </cell>
          <cell r="AL730" t="str">
            <v>______</v>
          </cell>
          <cell r="AM730" t="str">
            <v>______</v>
          </cell>
          <cell r="AN730" t="str">
            <v>______</v>
          </cell>
          <cell r="AO730" t="str">
            <v>______</v>
          </cell>
          <cell r="AP730" t="str">
            <v>______</v>
          </cell>
          <cell r="AQ730" t="str">
            <v>______</v>
          </cell>
          <cell r="AR730" t="str">
            <v>______</v>
          </cell>
          <cell r="AS730" t="str">
            <v>______</v>
          </cell>
          <cell r="AT730" t="str">
            <v>______</v>
          </cell>
          <cell r="AU730" t="str">
            <v>______</v>
          </cell>
          <cell r="AV730" t="str">
            <v>______</v>
          </cell>
          <cell r="AW730" t="str">
            <v>______</v>
          </cell>
          <cell r="AX730" t="str">
            <v>______</v>
          </cell>
          <cell r="AY730" t="str">
            <v>______</v>
          </cell>
          <cell r="AZ730" t="str">
            <v>______</v>
          </cell>
          <cell r="BA730" t="str">
            <v>______</v>
          </cell>
          <cell r="BK730" t="str">
            <v>______</v>
          </cell>
          <cell r="BL730" t="e">
            <v>#VALUE!</v>
          </cell>
        </row>
        <row r="731">
          <cell r="A731" t="str">
            <v>Total Average Mass Market Positions</v>
          </cell>
          <cell r="X731">
            <v>2849.3333333333335</v>
          </cell>
          <cell r="Y731">
            <v>2849.3333333333335</v>
          </cell>
          <cell r="Z731">
            <v>2849.3333333333335</v>
          </cell>
          <cell r="AA731">
            <v>2871</v>
          </cell>
          <cell r="AB731">
            <v>2854.75</v>
          </cell>
          <cell r="AC731">
            <v>2871</v>
          </cell>
          <cell r="AD731">
            <v>4376.9597069597066</v>
          </cell>
          <cell r="AE731">
            <v>5635.6666666666661</v>
          </cell>
          <cell r="AF731">
            <v>7811.2608695652179</v>
          </cell>
          <cell r="AG731">
            <v>5173.721810797897</v>
          </cell>
          <cell r="AH731">
            <v>9737</v>
          </cell>
          <cell r="AI731">
            <v>10419.833333333334</v>
          </cell>
          <cell r="AJ731">
            <v>10800.666666666668</v>
          </cell>
          <cell r="AK731">
            <v>11558.833333333334</v>
          </cell>
          <cell r="AL731">
            <v>10629.083333333334</v>
          </cell>
          <cell r="AM731">
            <v>13199.5</v>
          </cell>
          <cell r="AN731">
            <v>15369.333333333336</v>
          </cell>
          <cell r="AO731">
            <v>17841.623188405796</v>
          </cell>
          <cell r="AP731">
            <v>22837.871980676333</v>
          </cell>
          <cell r="AQ731">
            <v>17312.082125603865</v>
          </cell>
          <cell r="AR731">
            <v>26470.846376811594</v>
          </cell>
          <cell r="AS731">
            <v>29770.846376811594</v>
          </cell>
          <cell r="AT731">
            <v>41330.046376811588</v>
          </cell>
          <cell r="AU731">
            <v>44964.846376811591</v>
          </cell>
          <cell r="AV731">
            <v>35634.146376811594</v>
          </cell>
          <cell r="AW731">
            <v>55476.22463768116</v>
          </cell>
          <cell r="AX731">
            <v>82788.724637681153</v>
          </cell>
          <cell r="AY731">
            <v>102626.22463768115</v>
          </cell>
          <cell r="AZ731">
            <v>119926.22463768115</v>
          </cell>
          <cell r="BA731">
            <v>120226.22463768115</v>
          </cell>
          <cell r="BK731">
            <v>34721.745652173908</v>
          </cell>
          <cell r="BL731">
            <v>912.40072463768593</v>
          </cell>
        </row>
        <row r="732">
          <cell r="BL732">
            <v>0</v>
          </cell>
        </row>
        <row r="733">
          <cell r="A733" t="str">
            <v>Las Vegas Sands</v>
          </cell>
          <cell r="X733">
            <v>0</v>
          </cell>
          <cell r="Y733">
            <v>0</v>
          </cell>
          <cell r="Z733">
            <v>0</v>
          </cell>
          <cell r="AA733">
            <v>0</v>
          </cell>
          <cell r="AB733">
            <v>0</v>
          </cell>
          <cell r="AC733">
            <v>0</v>
          </cell>
          <cell r="AD733">
            <v>1176.7509157509155</v>
          </cell>
          <cell r="AE733">
            <v>2753</v>
          </cell>
          <cell r="AF733">
            <v>2802</v>
          </cell>
          <cell r="AG733">
            <v>1682.9377289377287</v>
          </cell>
          <cell r="AH733">
            <v>3139.6666666666665</v>
          </cell>
          <cell r="AI733">
            <v>3304</v>
          </cell>
          <cell r="AJ733">
            <v>3357.3333333333335</v>
          </cell>
          <cell r="AK733">
            <v>3609.3333333333335</v>
          </cell>
          <cell r="AL733">
            <v>3352.5833333333335</v>
          </cell>
          <cell r="AM733">
            <v>4092.3333333333335</v>
          </cell>
          <cell r="AN733">
            <v>4208.333333333333</v>
          </cell>
          <cell r="AO733">
            <v>5391.333333333333</v>
          </cell>
          <cell r="AP733">
            <v>7381</v>
          </cell>
          <cell r="AQ733">
            <v>5268.25</v>
          </cell>
          <cell r="AR733">
            <v>7463.2</v>
          </cell>
          <cell r="AS733">
            <v>7463.2</v>
          </cell>
          <cell r="AT733">
            <v>15353.2</v>
          </cell>
          <cell r="AU733">
            <v>15353.2</v>
          </cell>
          <cell r="AV733">
            <v>11408.2</v>
          </cell>
          <cell r="AW733">
            <v>21986.5</v>
          </cell>
          <cell r="AX733">
            <v>31349</v>
          </cell>
          <cell r="AY733">
            <v>36211.5</v>
          </cell>
          <cell r="AZ733">
            <v>39661.5</v>
          </cell>
          <cell r="BA733">
            <v>39661.5</v>
          </cell>
          <cell r="BK733">
            <v>11076.6</v>
          </cell>
          <cell r="BL733">
            <v>331.60000000000036</v>
          </cell>
        </row>
        <row r="734">
          <cell r="A734" t="str">
            <v>Wynn</v>
          </cell>
          <cell r="X734">
            <v>0</v>
          </cell>
          <cell r="Y734">
            <v>0</v>
          </cell>
          <cell r="Z734">
            <v>0</v>
          </cell>
          <cell r="AA734">
            <v>0</v>
          </cell>
          <cell r="AB734">
            <v>0</v>
          </cell>
          <cell r="AC734">
            <v>0</v>
          </cell>
          <cell r="AD734">
            <v>0</v>
          </cell>
          <cell r="AE734">
            <v>0</v>
          </cell>
          <cell r="AF734">
            <v>0</v>
          </cell>
          <cell r="AG734">
            <v>0</v>
          </cell>
          <cell r="AH734">
            <v>0</v>
          </cell>
          <cell r="AI734">
            <v>0</v>
          </cell>
          <cell r="AJ734">
            <v>0</v>
          </cell>
          <cell r="AK734">
            <v>0</v>
          </cell>
          <cell r="AL734">
            <v>0</v>
          </cell>
          <cell r="AM734">
            <v>0</v>
          </cell>
          <cell r="AN734">
            <v>0</v>
          </cell>
          <cell r="AO734">
            <v>495.92391304347831</v>
          </cell>
          <cell r="AP734">
            <v>1962</v>
          </cell>
          <cell r="AQ734">
            <v>614.48097826086962</v>
          </cell>
          <cell r="AR734">
            <v>2039.6</v>
          </cell>
          <cell r="AS734">
            <v>2742.8</v>
          </cell>
          <cell r="AT734">
            <v>4062</v>
          </cell>
          <cell r="AU734">
            <v>4062</v>
          </cell>
          <cell r="AV734">
            <v>3226.6</v>
          </cell>
          <cell r="AW734">
            <v>4190</v>
          </cell>
          <cell r="AX734">
            <v>4190</v>
          </cell>
          <cell r="AY734">
            <v>16190</v>
          </cell>
          <cell r="AZ734">
            <v>16190</v>
          </cell>
          <cell r="BA734">
            <v>16190</v>
          </cell>
          <cell r="BK734">
            <v>3027</v>
          </cell>
          <cell r="BL734">
            <v>199.59999999999991</v>
          </cell>
        </row>
        <row r="735">
          <cell r="A735" t="str">
            <v>MGM</v>
          </cell>
          <cell r="X735">
            <v>0</v>
          </cell>
          <cell r="Y735">
            <v>0</v>
          </cell>
          <cell r="Z735">
            <v>0</v>
          </cell>
          <cell r="AA735">
            <v>0</v>
          </cell>
          <cell r="AB735">
            <v>0</v>
          </cell>
          <cell r="AC735">
            <v>0</v>
          </cell>
          <cell r="AD735">
            <v>0</v>
          </cell>
          <cell r="AE735">
            <v>0</v>
          </cell>
          <cell r="AF735">
            <v>0</v>
          </cell>
          <cell r="AG735">
            <v>0</v>
          </cell>
          <cell r="AH735">
            <v>0</v>
          </cell>
          <cell r="AI735">
            <v>0</v>
          </cell>
          <cell r="AJ735">
            <v>0</v>
          </cell>
          <cell r="AK735">
            <v>0</v>
          </cell>
          <cell r="AL735">
            <v>0</v>
          </cell>
          <cell r="AM735">
            <v>0</v>
          </cell>
          <cell r="AN735">
            <v>0</v>
          </cell>
          <cell r="AO735">
            <v>0</v>
          </cell>
          <cell r="AP735">
            <v>0</v>
          </cell>
          <cell r="AQ735">
            <v>0</v>
          </cell>
          <cell r="AR735">
            <v>0</v>
          </cell>
          <cell r="AS735">
            <v>0</v>
          </cell>
          <cell r="AT735">
            <v>0</v>
          </cell>
          <cell r="AU735">
            <v>3434.8</v>
          </cell>
          <cell r="AV735">
            <v>858.7</v>
          </cell>
          <cell r="AW735">
            <v>3538.5</v>
          </cell>
          <cell r="AX735">
            <v>3538.5</v>
          </cell>
          <cell r="AY735">
            <v>3538.5</v>
          </cell>
          <cell r="AZ735">
            <v>9038.5</v>
          </cell>
          <cell r="BA735">
            <v>9038.5</v>
          </cell>
          <cell r="BK735">
            <v>802.5</v>
          </cell>
          <cell r="BL735">
            <v>56.200000000000045</v>
          </cell>
        </row>
        <row r="736">
          <cell r="A736" t="str">
            <v>PBL/Melco</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1299.9999999999998</v>
          </cell>
          <cell r="AT736">
            <v>1950</v>
          </cell>
          <cell r="AU736">
            <v>1950</v>
          </cell>
          <cell r="AV736">
            <v>1299.9999999999998</v>
          </cell>
          <cell r="AW736">
            <v>1850</v>
          </cell>
          <cell r="AX736">
            <v>7825</v>
          </cell>
          <cell r="AY736">
            <v>8950</v>
          </cell>
          <cell r="AZ736">
            <v>8950</v>
          </cell>
          <cell r="BA736">
            <v>8950</v>
          </cell>
          <cell r="BK736">
            <v>600</v>
          </cell>
          <cell r="BL736">
            <v>699.99999999999977</v>
          </cell>
        </row>
        <row r="737">
          <cell r="A737" t="str">
            <v>Galaxy Resorts</v>
          </cell>
          <cell r="X737">
            <v>0</v>
          </cell>
          <cell r="Y737">
            <v>0</v>
          </cell>
          <cell r="Z737">
            <v>0</v>
          </cell>
          <cell r="AA737">
            <v>0</v>
          </cell>
          <cell r="AB737">
            <v>0</v>
          </cell>
          <cell r="AC737">
            <v>0</v>
          </cell>
          <cell r="AD737">
            <v>0</v>
          </cell>
          <cell r="AE737">
            <v>0</v>
          </cell>
          <cell r="AF737">
            <v>0</v>
          </cell>
          <cell r="AG737">
            <v>0</v>
          </cell>
          <cell r="AH737">
            <v>0</v>
          </cell>
          <cell r="AI737">
            <v>0</v>
          </cell>
          <cell r="AJ737">
            <v>0</v>
          </cell>
          <cell r="AK737">
            <v>0</v>
          </cell>
          <cell r="AL737">
            <v>0</v>
          </cell>
          <cell r="AM737">
            <v>0</v>
          </cell>
          <cell r="AN737">
            <v>0</v>
          </cell>
          <cell r="AO737">
            <v>0</v>
          </cell>
          <cell r="AP737">
            <v>1407.0169082125606</v>
          </cell>
          <cell r="AQ737">
            <v>351.75422705314014</v>
          </cell>
          <cell r="AR737">
            <v>2130</v>
          </cell>
          <cell r="AS737">
            <v>2130</v>
          </cell>
          <cell r="AT737">
            <v>2130</v>
          </cell>
          <cell r="AU737">
            <v>2130</v>
          </cell>
          <cell r="AV737">
            <v>2130</v>
          </cell>
          <cell r="AW737">
            <v>4465</v>
          </cell>
          <cell r="AX737">
            <v>6765</v>
          </cell>
          <cell r="AY737">
            <v>6665</v>
          </cell>
          <cell r="AZ737">
            <v>6665</v>
          </cell>
          <cell r="BA737">
            <v>6665</v>
          </cell>
          <cell r="BK737">
            <v>2148.4</v>
          </cell>
          <cell r="BL737">
            <v>-18.400000000000091</v>
          </cell>
        </row>
        <row r="738">
          <cell r="A738" t="str">
            <v>Galaxy City Clubs</v>
          </cell>
          <cell r="X738">
            <v>0</v>
          </cell>
          <cell r="Y738">
            <v>0</v>
          </cell>
          <cell r="Z738">
            <v>0</v>
          </cell>
          <cell r="AA738">
            <v>0</v>
          </cell>
          <cell r="AB738">
            <v>0</v>
          </cell>
          <cell r="AC738">
            <v>0</v>
          </cell>
          <cell r="AD738">
            <v>0</v>
          </cell>
          <cell r="AE738">
            <v>224.66666666666666</v>
          </cell>
          <cell r="AF738">
            <v>224.66666666666666</v>
          </cell>
          <cell r="AG738">
            <v>112.33333333333333</v>
          </cell>
          <cell r="AH738">
            <v>224.66666666666666</v>
          </cell>
          <cell r="AI738">
            <v>224.66666666666666</v>
          </cell>
          <cell r="AJ738">
            <v>224.66666666666666</v>
          </cell>
          <cell r="AK738">
            <v>225</v>
          </cell>
          <cell r="AL738">
            <v>224.75</v>
          </cell>
          <cell r="AM738">
            <v>625</v>
          </cell>
          <cell r="AN738">
            <v>1947.333333333333</v>
          </cell>
          <cell r="AO738">
            <v>2686.333333333333</v>
          </cell>
          <cell r="AP738">
            <v>2686.333333333333</v>
          </cell>
          <cell r="AQ738">
            <v>1986.25</v>
          </cell>
          <cell r="AR738">
            <v>2723.6</v>
          </cell>
          <cell r="AS738">
            <v>2723.6</v>
          </cell>
          <cell r="AT738">
            <v>2723.6</v>
          </cell>
          <cell r="AU738">
            <v>2723.6</v>
          </cell>
          <cell r="AV738">
            <v>2723.6</v>
          </cell>
          <cell r="AW738">
            <v>2779.5</v>
          </cell>
          <cell r="AX738">
            <v>2779.5</v>
          </cell>
          <cell r="AY738">
            <v>2779.5</v>
          </cell>
          <cell r="AZ738">
            <v>2779.5</v>
          </cell>
          <cell r="BA738">
            <v>2779.5</v>
          </cell>
          <cell r="BK738">
            <v>2723.6</v>
          </cell>
          <cell r="BL738">
            <v>0</v>
          </cell>
        </row>
        <row r="739">
          <cell r="A739" t="str">
            <v>Macau Studio City (eSun)</v>
          </cell>
          <cell r="AL739">
            <v>0</v>
          </cell>
          <cell r="AM739">
            <v>0</v>
          </cell>
          <cell r="AN739">
            <v>0</v>
          </cell>
          <cell r="AO739">
            <v>0</v>
          </cell>
          <cell r="AP739">
            <v>0</v>
          </cell>
          <cell r="AQ739">
            <v>0</v>
          </cell>
          <cell r="AR739">
            <v>0</v>
          </cell>
          <cell r="AS739">
            <v>0</v>
          </cell>
          <cell r="AT739">
            <v>0</v>
          </cell>
          <cell r="AU739">
            <v>0</v>
          </cell>
          <cell r="AV739">
            <v>0</v>
          </cell>
          <cell r="AW739">
            <v>0</v>
          </cell>
          <cell r="AX739">
            <v>4100</v>
          </cell>
          <cell r="AY739">
            <v>4100</v>
          </cell>
          <cell r="AZ739">
            <v>6650</v>
          </cell>
          <cell r="BA739">
            <v>6650</v>
          </cell>
        </row>
        <row r="740">
          <cell r="A740" t="str">
            <v>New SJM</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78.260869565217391</v>
          </cell>
          <cell r="AQ740">
            <v>19.565217391304348</v>
          </cell>
          <cell r="AR740">
            <v>2212.4</v>
          </cell>
          <cell r="AS740">
            <v>3509.2</v>
          </cell>
          <cell r="AT740">
            <v>5129.2000000000007</v>
          </cell>
          <cell r="AU740">
            <v>5249.2000000000007</v>
          </cell>
          <cell r="AV740">
            <v>4025</v>
          </cell>
          <cell r="AW740">
            <v>6061.5</v>
          </cell>
          <cell r="AX740">
            <v>11561.5</v>
          </cell>
          <cell r="AY740">
            <v>13211.5</v>
          </cell>
          <cell r="AZ740">
            <v>18711.5</v>
          </cell>
          <cell r="BA740">
            <v>18711.5</v>
          </cell>
          <cell r="BK740">
            <v>4840</v>
          </cell>
          <cell r="BL740">
            <v>-815</v>
          </cell>
        </row>
        <row r="741">
          <cell r="A741" t="str">
            <v>Old SJM</v>
          </cell>
          <cell r="X741">
            <v>2849.3333333333335</v>
          </cell>
          <cell r="Y741">
            <v>2849.3333333333335</v>
          </cell>
          <cell r="Z741">
            <v>2849.3333333333335</v>
          </cell>
          <cell r="AA741">
            <v>2871</v>
          </cell>
          <cell r="AB741">
            <v>2854.75</v>
          </cell>
          <cell r="AC741">
            <v>2871</v>
          </cell>
          <cell r="AD741">
            <v>3200.2087912087914</v>
          </cell>
          <cell r="AE741">
            <v>2658</v>
          </cell>
          <cell r="AF741">
            <v>4784.594202898551</v>
          </cell>
          <cell r="AG741">
            <v>3378.4507485268355</v>
          </cell>
          <cell r="AH741">
            <v>6372.666666666667</v>
          </cell>
          <cell r="AI741">
            <v>6891.166666666667</v>
          </cell>
          <cell r="AJ741">
            <v>7218.666666666667</v>
          </cell>
          <cell r="AK741">
            <v>7724.5</v>
          </cell>
          <cell r="AL741">
            <v>7051.75</v>
          </cell>
          <cell r="AM741">
            <v>8482.1666666666661</v>
          </cell>
          <cell r="AN741">
            <v>9213.6666666666679</v>
          </cell>
          <cell r="AO741">
            <v>9268.032608695652</v>
          </cell>
          <cell r="AP741">
            <v>9323.2608695652179</v>
          </cell>
          <cell r="AQ741">
            <v>9071.7817028985519</v>
          </cell>
          <cell r="AR741">
            <v>9902.0463768115951</v>
          </cell>
          <cell r="AS741">
            <v>9902.0463768115951</v>
          </cell>
          <cell r="AT741">
            <v>9982.0463768115951</v>
          </cell>
          <cell r="AU741">
            <v>10062.046376811595</v>
          </cell>
          <cell r="AV741">
            <v>9962.0463768115951</v>
          </cell>
          <cell r="AW741">
            <v>10605.22463768116</v>
          </cell>
          <cell r="AX741">
            <v>10680.22463768116</v>
          </cell>
          <cell r="AY741">
            <v>10980.224637681158</v>
          </cell>
          <cell r="AZ741">
            <v>11280.224637681158</v>
          </cell>
          <cell r="BA741">
            <v>11580.224637681158</v>
          </cell>
          <cell r="BK741">
            <v>9503.6456521739128</v>
          </cell>
          <cell r="BL741">
            <v>458.40072463768229</v>
          </cell>
        </row>
        <row r="742">
          <cell r="A742" t="str">
            <v xml:space="preserve">  Check</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K742">
            <v>0</v>
          </cell>
          <cell r="BL742">
            <v>0</v>
          </cell>
        </row>
        <row r="743">
          <cell r="BL743">
            <v>0</v>
          </cell>
        </row>
        <row r="744">
          <cell r="A744" t="str">
            <v>Slots scaling factor</v>
          </cell>
          <cell r="B744">
            <v>0.33333333333333331</v>
          </cell>
          <cell r="C744">
            <v>0.33333333333333331</v>
          </cell>
          <cell r="D744">
            <v>0.33333333333333331</v>
          </cell>
          <cell r="E744">
            <v>0.33333333333333331</v>
          </cell>
          <cell r="F744">
            <v>0.33333333333333331</v>
          </cell>
          <cell r="G744">
            <v>0.33333333333333331</v>
          </cell>
          <cell r="H744">
            <v>0.33333333333333331</v>
          </cell>
          <cell r="I744">
            <v>0.33333333333333331</v>
          </cell>
          <cell r="J744">
            <v>0.33333333333333331</v>
          </cell>
          <cell r="K744">
            <v>0.33333333333333331</v>
          </cell>
          <cell r="L744">
            <v>0.33333333333333331</v>
          </cell>
          <cell r="M744">
            <v>0.33333333333333331</v>
          </cell>
          <cell r="N744">
            <v>0.33333333333333331</v>
          </cell>
          <cell r="O744">
            <v>0.33333333333333331</v>
          </cell>
          <cell r="P744">
            <v>0.33333333333333331</v>
          </cell>
          <cell r="Q744">
            <v>0.33333333333333331</v>
          </cell>
          <cell r="R744">
            <v>0.33333333333333331</v>
          </cell>
          <cell r="S744">
            <v>0.33333333333333331</v>
          </cell>
          <cell r="T744">
            <v>0.33333333333333331</v>
          </cell>
          <cell r="U744">
            <v>0.33333333333333331</v>
          </cell>
          <cell r="V744">
            <v>0.33333333333333331</v>
          </cell>
          <cell r="W744">
            <v>0.33333333333333331</v>
          </cell>
          <cell r="X744">
            <v>0.33333333333333331</v>
          </cell>
          <cell r="Y744">
            <v>0.33333333333333331</v>
          </cell>
          <cell r="Z744">
            <v>0.33333333333333331</v>
          </cell>
          <cell r="AA744">
            <v>0.33333333333333331</v>
          </cell>
          <cell r="AB744">
            <v>0.33333333333333331</v>
          </cell>
          <cell r="AC744">
            <v>0.33333333333333331</v>
          </cell>
          <cell r="AD744">
            <v>0.33333333333333331</v>
          </cell>
          <cell r="AE744">
            <v>0.33333333333333331</v>
          </cell>
          <cell r="AF744">
            <v>0.33333333333333331</v>
          </cell>
          <cell r="AG744">
            <v>0.33333333333333331</v>
          </cell>
          <cell r="AH744">
            <v>0.33333333333333331</v>
          </cell>
          <cell r="AI744">
            <v>0.33333333333333331</v>
          </cell>
          <cell r="AJ744">
            <v>0.33333333333333331</v>
          </cell>
          <cell r="AK744">
            <v>0.33333333333333331</v>
          </cell>
          <cell r="AL744">
            <v>0.33333333333333331</v>
          </cell>
          <cell r="AM744">
            <v>0.33333333333333331</v>
          </cell>
          <cell r="AN744">
            <v>0.33333333333333331</v>
          </cell>
          <cell r="AO744">
            <v>0.33333333333333331</v>
          </cell>
          <cell r="AP744">
            <v>0.33333333333333331</v>
          </cell>
          <cell r="AQ744">
            <v>0.33333333333333331</v>
          </cell>
          <cell r="AR744">
            <v>0.4</v>
          </cell>
          <cell r="AS744">
            <v>0.4</v>
          </cell>
          <cell r="AT744">
            <v>0.4</v>
          </cell>
          <cell r="AU744">
            <v>0.4</v>
          </cell>
          <cell r="AV744">
            <v>0.4</v>
          </cell>
          <cell r="AW744">
            <v>0.5</v>
          </cell>
          <cell r="AX744">
            <v>0.5</v>
          </cell>
          <cell r="AY744">
            <v>0.5</v>
          </cell>
          <cell r="AZ744">
            <v>0.5</v>
          </cell>
          <cell r="BA744">
            <v>0.5</v>
          </cell>
          <cell r="BK744">
            <v>0.4</v>
          </cell>
          <cell r="BL744">
            <v>0</v>
          </cell>
        </row>
        <row r="745">
          <cell r="A745" t="str">
            <v>Positions per table</v>
          </cell>
          <cell r="B745">
            <v>10</v>
          </cell>
          <cell r="C745">
            <v>10</v>
          </cell>
          <cell r="D745">
            <v>10</v>
          </cell>
          <cell r="E745">
            <v>10</v>
          </cell>
          <cell r="F745">
            <v>10</v>
          </cell>
          <cell r="G745">
            <v>10</v>
          </cell>
          <cell r="H745">
            <v>10</v>
          </cell>
          <cell r="I745">
            <v>10</v>
          </cell>
          <cell r="J745">
            <v>10</v>
          </cell>
          <cell r="K745">
            <v>10</v>
          </cell>
          <cell r="L745">
            <v>10</v>
          </cell>
          <cell r="M745">
            <v>10</v>
          </cell>
          <cell r="N745">
            <v>10</v>
          </cell>
          <cell r="O745">
            <v>10</v>
          </cell>
          <cell r="P745">
            <v>10</v>
          </cell>
          <cell r="Q745">
            <v>10</v>
          </cell>
          <cell r="R745">
            <v>10</v>
          </cell>
          <cell r="S745">
            <v>10</v>
          </cell>
          <cell r="T745">
            <v>10</v>
          </cell>
          <cell r="U745">
            <v>10</v>
          </cell>
          <cell r="V745">
            <v>10</v>
          </cell>
          <cell r="W745">
            <v>10</v>
          </cell>
          <cell r="X745">
            <v>10</v>
          </cell>
          <cell r="Y745">
            <v>10</v>
          </cell>
          <cell r="Z745">
            <v>10</v>
          </cell>
          <cell r="AA745">
            <v>10</v>
          </cell>
          <cell r="AB745">
            <v>10</v>
          </cell>
          <cell r="AC745">
            <v>10</v>
          </cell>
          <cell r="AD745">
            <v>10</v>
          </cell>
          <cell r="AE745">
            <v>10</v>
          </cell>
          <cell r="AF745">
            <v>10</v>
          </cell>
          <cell r="AG745">
            <v>10</v>
          </cell>
          <cell r="AH745">
            <v>10</v>
          </cell>
          <cell r="AI745">
            <v>10</v>
          </cell>
          <cell r="AJ745">
            <v>10</v>
          </cell>
          <cell r="AK745">
            <v>10</v>
          </cell>
          <cell r="AL745">
            <v>10</v>
          </cell>
          <cell r="AM745">
            <v>10</v>
          </cell>
          <cell r="AN745">
            <v>10</v>
          </cell>
          <cell r="AO745">
            <v>10</v>
          </cell>
          <cell r="AP745">
            <v>10</v>
          </cell>
          <cell r="AQ745">
            <v>10</v>
          </cell>
          <cell r="AR745">
            <v>10</v>
          </cell>
          <cell r="AS745">
            <v>10</v>
          </cell>
          <cell r="AT745">
            <v>10</v>
          </cell>
          <cell r="AU745">
            <v>10</v>
          </cell>
          <cell r="AV745">
            <v>10</v>
          </cell>
          <cell r="AW745">
            <v>10</v>
          </cell>
          <cell r="AX745">
            <v>10</v>
          </cell>
          <cell r="AY745">
            <v>10</v>
          </cell>
          <cell r="AZ745">
            <v>10</v>
          </cell>
          <cell r="BA745">
            <v>10</v>
          </cell>
          <cell r="BK745">
            <v>10</v>
          </cell>
          <cell r="BL745">
            <v>0</v>
          </cell>
        </row>
        <row r="746">
          <cell r="BL746">
            <v>0</v>
          </cell>
        </row>
        <row r="747">
          <cell r="A747" t="str">
            <v>Average Hotel Rooms</v>
          </cell>
          <cell r="BL747">
            <v>0</v>
          </cell>
        </row>
        <row r="748">
          <cell r="A748" t="str">
            <v>Ponte 16 (SJM)</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210</v>
          </cell>
          <cell r="AX748">
            <v>420</v>
          </cell>
          <cell r="AY748">
            <v>420</v>
          </cell>
          <cell r="AZ748">
            <v>420</v>
          </cell>
          <cell r="BA748">
            <v>420</v>
          </cell>
          <cell r="BK748">
            <v>0</v>
          </cell>
          <cell r="BL748">
            <v>0</v>
          </cell>
        </row>
        <row r="749">
          <cell r="A749" t="str">
            <v>Grand Lisboa (SJM)</v>
          </cell>
          <cell r="X749">
            <v>0</v>
          </cell>
          <cell r="Y749">
            <v>0</v>
          </cell>
          <cell r="Z749">
            <v>0</v>
          </cell>
          <cell r="AA749">
            <v>0</v>
          </cell>
          <cell r="AB749">
            <v>0</v>
          </cell>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650</v>
          </cell>
          <cell r="AU749">
            <v>650</v>
          </cell>
          <cell r="AV749">
            <v>325</v>
          </cell>
          <cell r="AW749">
            <v>650</v>
          </cell>
          <cell r="AX749">
            <v>650</v>
          </cell>
          <cell r="AY749">
            <v>650</v>
          </cell>
          <cell r="AZ749">
            <v>650</v>
          </cell>
          <cell r="BA749">
            <v>650</v>
          </cell>
          <cell r="BK749">
            <v>650</v>
          </cell>
          <cell r="BL749">
            <v>-325</v>
          </cell>
        </row>
        <row r="750">
          <cell r="A750" t="str">
            <v>Arc de Triomphe (SJM)</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400</v>
          </cell>
          <cell r="AX750">
            <v>400</v>
          </cell>
          <cell r="AY750">
            <v>400</v>
          </cell>
          <cell r="AZ750">
            <v>400</v>
          </cell>
          <cell r="BA750">
            <v>400</v>
          </cell>
          <cell r="BK750">
            <v>0</v>
          </cell>
          <cell r="BL750">
            <v>0</v>
          </cell>
        </row>
        <row r="751">
          <cell r="A751" t="str">
            <v>Oceanus (SJM)</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600</v>
          </cell>
          <cell r="AY751">
            <v>600</v>
          </cell>
          <cell r="AZ751">
            <v>600</v>
          </cell>
          <cell r="BA751">
            <v>600</v>
          </cell>
          <cell r="BK751">
            <v>0</v>
          </cell>
          <cell r="BL751">
            <v>0</v>
          </cell>
        </row>
        <row r="752">
          <cell r="A752" t="str">
            <v>Shun Tak Nam Van (SJM)</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500</v>
          </cell>
          <cell r="AZ752">
            <v>500</v>
          </cell>
          <cell r="BA752">
            <v>500</v>
          </cell>
          <cell r="BK752">
            <v>0</v>
          </cell>
          <cell r="BL752">
            <v>0</v>
          </cell>
        </row>
        <row r="753">
          <cell r="A753" t="str">
            <v>Shun Tak Cotai (SJM)</v>
          </cell>
          <cell r="X753">
            <v>0</v>
          </cell>
          <cell r="Y753">
            <v>0</v>
          </cell>
          <cell r="Z753">
            <v>0</v>
          </cell>
          <cell r="AA753">
            <v>0</v>
          </cell>
          <cell r="AB753">
            <v>0</v>
          </cell>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2000</v>
          </cell>
          <cell r="BA753">
            <v>2000</v>
          </cell>
          <cell r="BK753">
            <v>0</v>
          </cell>
          <cell r="BL753">
            <v>0</v>
          </cell>
        </row>
        <row r="754">
          <cell r="A754" t="str">
            <v>Crown Macau (Melco/PBL)</v>
          </cell>
          <cell r="X754">
            <v>0</v>
          </cell>
          <cell r="Y754">
            <v>0</v>
          </cell>
          <cell r="Z754">
            <v>0</v>
          </cell>
          <cell r="AA754">
            <v>0</v>
          </cell>
          <cell r="AB754">
            <v>0</v>
          </cell>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171.69230769230768</v>
          </cell>
          <cell r="AT754">
            <v>248</v>
          </cell>
          <cell r="AU754">
            <v>248</v>
          </cell>
          <cell r="AV754">
            <v>166.92307692307691</v>
          </cell>
          <cell r="AW754">
            <v>248</v>
          </cell>
          <cell r="AX754">
            <v>248</v>
          </cell>
          <cell r="AY754">
            <v>248</v>
          </cell>
          <cell r="AZ754">
            <v>248</v>
          </cell>
          <cell r="BA754">
            <v>248</v>
          </cell>
          <cell r="BK754">
            <v>180</v>
          </cell>
          <cell r="BL754">
            <v>-13.076923076923094</v>
          </cell>
        </row>
        <row r="755">
          <cell r="A755" t="str">
            <v>Penninsula Project (Melco/PBL)</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75</v>
          </cell>
          <cell r="AY755">
            <v>150</v>
          </cell>
          <cell r="AZ755">
            <v>150</v>
          </cell>
          <cell r="BA755">
            <v>150</v>
          </cell>
          <cell r="BK755">
            <v>0</v>
          </cell>
          <cell r="BL755">
            <v>0</v>
          </cell>
        </row>
        <row r="756">
          <cell r="A756" t="str">
            <v>City of Dreams (Melco/PBL)</v>
          </cell>
          <cell r="X756">
            <v>0</v>
          </cell>
          <cell r="Y756">
            <v>0</v>
          </cell>
          <cell r="Z756">
            <v>0</v>
          </cell>
          <cell r="AA756">
            <v>0</v>
          </cell>
          <cell r="AB756">
            <v>0</v>
          </cell>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1140</v>
          </cell>
          <cell r="AY756">
            <v>1640</v>
          </cell>
          <cell r="AZ756">
            <v>1640</v>
          </cell>
          <cell r="BA756">
            <v>1640</v>
          </cell>
          <cell r="BK756">
            <v>0</v>
          </cell>
          <cell r="BL756">
            <v>0</v>
          </cell>
        </row>
        <row r="757">
          <cell r="A757" t="str">
            <v>Galaxy Grand Waldo (Galaxy)</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160</v>
          </cell>
          <cell r="AO757">
            <v>320</v>
          </cell>
          <cell r="AP757">
            <v>320</v>
          </cell>
          <cell r="AQ757">
            <v>200</v>
          </cell>
          <cell r="AR757">
            <v>320</v>
          </cell>
          <cell r="AS757">
            <v>320</v>
          </cell>
          <cell r="AT757">
            <v>320</v>
          </cell>
          <cell r="AU757">
            <v>320</v>
          </cell>
          <cell r="AV757">
            <v>320</v>
          </cell>
          <cell r="AW757">
            <v>320</v>
          </cell>
          <cell r="AX757">
            <v>320</v>
          </cell>
          <cell r="AY757">
            <v>320</v>
          </cell>
          <cell r="AZ757">
            <v>320</v>
          </cell>
          <cell r="BA757">
            <v>320</v>
          </cell>
          <cell r="BK757">
            <v>320</v>
          </cell>
          <cell r="BL757">
            <v>0</v>
          </cell>
        </row>
        <row r="758">
          <cell r="A758" t="str">
            <v>Galaxy StarWorld (Galaxy)</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203.84782608695653</v>
          </cell>
          <cell r="AQ758">
            <v>50.961956521739133</v>
          </cell>
          <cell r="AR758">
            <v>461.33333333333331</v>
          </cell>
          <cell r="AS758">
            <v>507</v>
          </cell>
          <cell r="AT758">
            <v>507</v>
          </cell>
          <cell r="AU758">
            <v>507</v>
          </cell>
          <cell r="AV758">
            <v>495.58333333333331</v>
          </cell>
          <cell r="AW758">
            <v>507</v>
          </cell>
          <cell r="AX758">
            <v>507</v>
          </cell>
          <cell r="AY758">
            <v>507</v>
          </cell>
          <cell r="AZ758">
            <v>507</v>
          </cell>
          <cell r="BA758">
            <v>507</v>
          </cell>
          <cell r="BK758">
            <v>500</v>
          </cell>
          <cell r="BL758">
            <v>-4.4166666666666856</v>
          </cell>
        </row>
        <row r="759">
          <cell r="A759" t="str">
            <v>Galaxy Cotai Mega Resort (Galaxy)</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750</v>
          </cell>
          <cell r="AX759">
            <v>1500</v>
          </cell>
          <cell r="AY759">
            <v>1500</v>
          </cell>
          <cell r="AZ759">
            <v>1500</v>
          </cell>
          <cell r="BA759">
            <v>1500</v>
          </cell>
          <cell r="BK759">
            <v>0</v>
          </cell>
          <cell r="BL759">
            <v>0</v>
          </cell>
        </row>
        <row r="760">
          <cell r="A760" t="str">
            <v>Sands Macao (LVS)</v>
          </cell>
          <cell r="X760">
            <v>0</v>
          </cell>
          <cell r="Y760">
            <v>0</v>
          </cell>
          <cell r="Z760">
            <v>0</v>
          </cell>
          <cell r="AA760">
            <v>0</v>
          </cell>
          <cell r="AB760">
            <v>0</v>
          </cell>
          <cell r="AC760">
            <v>0</v>
          </cell>
          <cell r="AD760">
            <v>0</v>
          </cell>
          <cell r="AE760">
            <v>25.5</v>
          </cell>
          <cell r="AF760">
            <v>51</v>
          </cell>
          <cell r="AG760">
            <v>19.125</v>
          </cell>
          <cell r="AH760">
            <v>51</v>
          </cell>
          <cell r="AI760">
            <v>51</v>
          </cell>
          <cell r="AJ760">
            <v>51</v>
          </cell>
          <cell r="AK760">
            <v>51</v>
          </cell>
          <cell r="AL760">
            <v>51</v>
          </cell>
          <cell r="AM760">
            <v>51</v>
          </cell>
          <cell r="AN760">
            <v>51</v>
          </cell>
          <cell r="AO760">
            <v>51</v>
          </cell>
          <cell r="AP760">
            <v>51</v>
          </cell>
          <cell r="AQ760">
            <v>51</v>
          </cell>
          <cell r="AR760">
            <v>51</v>
          </cell>
          <cell r="AS760">
            <v>51</v>
          </cell>
          <cell r="AT760">
            <v>231</v>
          </cell>
          <cell r="AU760">
            <v>231</v>
          </cell>
          <cell r="AV760">
            <v>141</v>
          </cell>
          <cell r="AW760">
            <v>231</v>
          </cell>
          <cell r="AX760">
            <v>231</v>
          </cell>
          <cell r="AY760">
            <v>231</v>
          </cell>
          <cell r="AZ760">
            <v>231</v>
          </cell>
          <cell r="BA760">
            <v>231</v>
          </cell>
          <cell r="BK760">
            <v>141</v>
          </cell>
          <cell r="BL760">
            <v>0</v>
          </cell>
        </row>
        <row r="761">
          <cell r="A761" t="str">
            <v>Venetian Macao (LVS)</v>
          </cell>
          <cell r="X761">
            <v>0</v>
          </cell>
          <cell r="Y761">
            <v>0</v>
          </cell>
          <cell r="Z761">
            <v>0</v>
          </cell>
          <cell r="AA761">
            <v>0</v>
          </cell>
          <cell r="AB761">
            <v>0</v>
          </cell>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3000</v>
          </cell>
          <cell r="AU761">
            <v>3000</v>
          </cell>
          <cell r="AV761">
            <v>1500</v>
          </cell>
          <cell r="AW761">
            <v>3000</v>
          </cell>
          <cell r="AX761">
            <v>3000</v>
          </cell>
          <cell r="AY761">
            <v>3000</v>
          </cell>
          <cell r="AZ761">
            <v>3000</v>
          </cell>
          <cell r="BA761">
            <v>3000</v>
          </cell>
          <cell r="BK761">
            <v>1500</v>
          </cell>
          <cell r="BL761">
            <v>0</v>
          </cell>
        </row>
        <row r="762">
          <cell r="A762" t="str">
            <v>Cotai Site 2 - Four Seasons (LVS)</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400</v>
          </cell>
          <cell r="AX762">
            <v>400</v>
          </cell>
          <cell r="AY762">
            <v>400</v>
          </cell>
          <cell r="AZ762">
            <v>400</v>
          </cell>
          <cell r="BA762">
            <v>400</v>
          </cell>
          <cell r="BK762">
            <v>0</v>
          </cell>
          <cell r="BL762">
            <v>0</v>
          </cell>
        </row>
        <row r="763">
          <cell r="A763" t="str">
            <v>Cotai Site 3 - Far East (LVS)</v>
          </cell>
          <cell r="X763">
            <v>0</v>
          </cell>
          <cell r="Y763">
            <v>0</v>
          </cell>
          <cell r="Z763">
            <v>0</v>
          </cell>
          <cell r="AA763">
            <v>0</v>
          </cell>
          <cell r="AB763">
            <v>0</v>
          </cell>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1800</v>
          </cell>
          <cell r="AY763">
            <v>3600</v>
          </cell>
          <cell r="AZ763">
            <v>3600</v>
          </cell>
          <cell r="BA763">
            <v>3600</v>
          </cell>
          <cell r="BK763">
            <v>0</v>
          </cell>
          <cell r="BL763">
            <v>0</v>
          </cell>
        </row>
        <row r="764">
          <cell r="A764" t="str">
            <v>Cotai Site 5 - Shangri-La/St.Regis/Traders (LVS)</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900</v>
          </cell>
          <cell r="AX764">
            <v>2200</v>
          </cell>
          <cell r="AY764">
            <v>2200</v>
          </cell>
          <cell r="AZ764">
            <v>2200</v>
          </cell>
          <cell r="BA764">
            <v>2200</v>
          </cell>
          <cell r="BK764">
            <v>0</v>
          </cell>
          <cell r="BL764">
            <v>0</v>
          </cell>
        </row>
        <row r="765">
          <cell r="A765" t="str">
            <v>Cotai Site 6 - Sheraton (LVS)</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1000</v>
          </cell>
          <cell r="AX765">
            <v>4000</v>
          </cell>
          <cell r="AY765">
            <v>4000</v>
          </cell>
          <cell r="AZ765">
            <v>4000</v>
          </cell>
          <cell r="BA765">
            <v>4000</v>
          </cell>
          <cell r="BK765">
            <v>0</v>
          </cell>
          <cell r="BL765">
            <v>0</v>
          </cell>
        </row>
        <row r="766">
          <cell r="A766" t="str">
            <v>Cotai Site 7 - Hilton (LVS)</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750</v>
          </cell>
          <cell r="AY766">
            <v>3000</v>
          </cell>
          <cell r="AZ766">
            <v>3000</v>
          </cell>
          <cell r="BA766">
            <v>3000</v>
          </cell>
          <cell r="BK766">
            <v>0</v>
          </cell>
          <cell r="BL766">
            <v>0</v>
          </cell>
        </row>
        <row r="767">
          <cell r="A767" t="str">
            <v>Cotai Site 8 - FHR/Raffles (LVS)</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750</v>
          </cell>
          <cell r="AY767">
            <v>3000</v>
          </cell>
          <cell r="AZ767">
            <v>3000</v>
          </cell>
          <cell r="BA767">
            <v>3000</v>
          </cell>
          <cell r="BK767">
            <v>0</v>
          </cell>
          <cell r="BL767">
            <v>0</v>
          </cell>
        </row>
        <row r="768">
          <cell r="A768" t="str">
            <v>Wynn Macau (WYNN)</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163.04347826086956</v>
          </cell>
          <cell r="AP768">
            <v>600</v>
          </cell>
          <cell r="AQ768">
            <v>190.76086956521738</v>
          </cell>
          <cell r="AR768">
            <v>600</v>
          </cell>
          <cell r="AS768">
            <v>600</v>
          </cell>
          <cell r="AT768">
            <v>600</v>
          </cell>
          <cell r="AU768">
            <v>600</v>
          </cell>
          <cell r="AV768">
            <v>600</v>
          </cell>
          <cell r="AW768">
            <v>600</v>
          </cell>
          <cell r="AX768">
            <v>1100</v>
          </cell>
          <cell r="AY768">
            <v>1100</v>
          </cell>
          <cell r="AZ768">
            <v>1100</v>
          </cell>
          <cell r="BA768">
            <v>1100</v>
          </cell>
          <cell r="BK768">
            <v>600</v>
          </cell>
          <cell r="BL768">
            <v>0</v>
          </cell>
        </row>
        <row r="769">
          <cell r="A769" t="str">
            <v>Wynn Cotai (WYNN)</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3000</v>
          </cell>
          <cell r="AZ769">
            <v>3000</v>
          </cell>
          <cell r="BA769">
            <v>3000</v>
          </cell>
          <cell r="BK769">
            <v>0</v>
          </cell>
          <cell r="BL769">
            <v>0</v>
          </cell>
        </row>
        <row r="770">
          <cell r="A770" t="str">
            <v>Wynn Cotai #2 (WYNN)</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3000</v>
          </cell>
          <cell r="AZ770">
            <v>3000</v>
          </cell>
          <cell r="BA770">
            <v>3000</v>
          </cell>
          <cell r="BK770">
            <v>0</v>
          </cell>
          <cell r="BL770">
            <v>0</v>
          </cell>
        </row>
        <row r="771">
          <cell r="A771" t="str">
            <v>MGM Grand (MGM)</v>
          </cell>
          <cell r="X771">
            <v>0</v>
          </cell>
          <cell r="Y771">
            <v>0</v>
          </cell>
          <cell r="Z771">
            <v>0</v>
          </cell>
          <cell r="AA771">
            <v>0</v>
          </cell>
          <cell r="AB771">
            <v>0</v>
          </cell>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600</v>
          </cell>
          <cell r="AV771">
            <v>150</v>
          </cell>
          <cell r="AW771">
            <v>600</v>
          </cell>
          <cell r="AX771">
            <v>600</v>
          </cell>
          <cell r="AY771">
            <v>600</v>
          </cell>
          <cell r="AZ771">
            <v>600</v>
          </cell>
          <cell r="BA771">
            <v>600</v>
          </cell>
          <cell r="BK771">
            <v>150</v>
          </cell>
          <cell r="BL771">
            <v>0</v>
          </cell>
        </row>
        <row r="772">
          <cell r="A772" t="str">
            <v>MGM Cotai #1 (MGM)</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600</v>
          </cell>
          <cell r="AZ772">
            <v>600</v>
          </cell>
          <cell r="BA772">
            <v>600</v>
          </cell>
        </row>
        <row r="773">
          <cell r="A773" t="str">
            <v>Macau Studio City (eSun)</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1500</v>
          </cell>
          <cell r="AY773">
            <v>1500</v>
          </cell>
          <cell r="AZ773">
            <v>1500</v>
          </cell>
          <cell r="BA773">
            <v>1500</v>
          </cell>
          <cell r="BK773">
            <v>0</v>
          </cell>
          <cell r="BL773">
            <v>0</v>
          </cell>
        </row>
        <row r="774">
          <cell r="A774" t="str">
            <v>Mandarin Oriental (Shun Tak)</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210</v>
          </cell>
          <cell r="AY774">
            <v>210</v>
          </cell>
          <cell r="AZ774">
            <v>210</v>
          </cell>
          <cell r="BA774">
            <v>210</v>
          </cell>
          <cell r="BK774">
            <v>0</v>
          </cell>
          <cell r="BL774">
            <v>0</v>
          </cell>
        </row>
        <row r="775">
          <cell r="A775" t="str">
            <v>Nova de Taipa Phase 5 (Shun Tak)</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600</v>
          </cell>
          <cell r="AZ775">
            <v>600</v>
          </cell>
          <cell r="BA775">
            <v>600</v>
          </cell>
          <cell r="BK775">
            <v>0</v>
          </cell>
          <cell r="BL775">
            <v>0</v>
          </cell>
        </row>
        <row r="776">
          <cell r="A776" t="str">
            <v>Other</v>
          </cell>
          <cell r="X776">
            <v>8944.3333333333339</v>
          </cell>
          <cell r="Y776">
            <v>8922.6666666666661</v>
          </cell>
          <cell r="Z776">
            <v>8858.3333333333339</v>
          </cell>
          <cell r="AA776">
            <v>9087.3333333333339</v>
          </cell>
          <cell r="AB776">
            <v>8953.1666666666679</v>
          </cell>
          <cell r="AC776">
            <v>9232.3333333333339</v>
          </cell>
          <cell r="AD776">
            <v>9310.3333333333339</v>
          </cell>
          <cell r="AE776">
            <v>9228.1666666666661</v>
          </cell>
          <cell r="AF776">
            <v>9082.6666666666661</v>
          </cell>
          <cell r="AG776">
            <v>9213.375</v>
          </cell>
          <cell r="AH776">
            <v>10171.333333333334</v>
          </cell>
          <cell r="AI776">
            <v>10502.666666666666</v>
          </cell>
          <cell r="AJ776">
            <v>10545.666666666666</v>
          </cell>
          <cell r="AK776">
            <v>10715.666666666666</v>
          </cell>
          <cell r="AL776">
            <v>10483.833333333332</v>
          </cell>
          <cell r="AM776">
            <v>11066.666666666666</v>
          </cell>
          <cell r="AN776">
            <v>11254.333333333334</v>
          </cell>
          <cell r="AO776">
            <v>11463.95652173913</v>
          </cell>
          <cell r="AP776">
            <v>11521.81884057971</v>
          </cell>
          <cell r="AQ776">
            <v>11326.69384057971</v>
          </cell>
          <cell r="AR776">
            <v>11521.81884057971</v>
          </cell>
          <cell r="AS776">
            <v>11521.81884057971</v>
          </cell>
          <cell r="AT776">
            <v>11521.81884057971</v>
          </cell>
          <cell r="AU776">
            <v>11521.81884057971</v>
          </cell>
          <cell r="AV776">
            <v>11521.81884057971</v>
          </cell>
          <cell r="AW776">
            <v>11521.81884057971</v>
          </cell>
          <cell r="AX776">
            <v>11521.81884057971</v>
          </cell>
          <cell r="AY776">
            <v>11521.81884057971</v>
          </cell>
          <cell r="AZ776">
            <v>11521.81884057971</v>
          </cell>
          <cell r="BA776">
            <v>11521.81884057971</v>
          </cell>
          <cell r="BK776">
            <v>11254.333333333334</v>
          </cell>
          <cell r="BL776">
            <v>267.48550724637607</v>
          </cell>
        </row>
        <row r="777">
          <cell r="X777" t="str">
            <v>______</v>
          </cell>
          <cell r="Y777" t="str">
            <v>______</v>
          </cell>
          <cell r="Z777" t="str">
            <v>______</v>
          </cell>
          <cell r="AA777" t="str">
            <v>______</v>
          </cell>
          <cell r="AB777" t="str">
            <v>______</v>
          </cell>
          <cell r="AC777" t="str">
            <v>______</v>
          </cell>
          <cell r="AD777" t="str">
            <v>______</v>
          </cell>
          <cell r="AE777" t="str">
            <v>______</v>
          </cell>
          <cell r="AF777" t="str">
            <v>______</v>
          </cell>
          <cell r="AG777" t="str">
            <v>______</v>
          </cell>
          <cell r="AH777" t="str">
            <v>______</v>
          </cell>
          <cell r="AI777" t="str">
            <v>______</v>
          </cell>
          <cell r="AJ777" t="str">
            <v>______</v>
          </cell>
          <cell r="AK777" t="str">
            <v>______</v>
          </cell>
          <cell r="AL777" t="str">
            <v>______</v>
          </cell>
          <cell r="AM777" t="str">
            <v>______</v>
          </cell>
          <cell r="AN777" t="str">
            <v>______</v>
          </cell>
          <cell r="AO777" t="str">
            <v>______</v>
          </cell>
          <cell r="AP777" t="str">
            <v>______</v>
          </cell>
          <cell r="AQ777" t="str">
            <v>______</v>
          </cell>
          <cell r="AR777" t="str">
            <v>______</v>
          </cell>
          <cell r="AS777" t="str">
            <v>______</v>
          </cell>
          <cell r="AT777" t="str">
            <v>______</v>
          </cell>
          <cell r="AU777" t="str">
            <v>______</v>
          </cell>
          <cell r="AV777" t="str">
            <v>______</v>
          </cell>
          <cell r="AW777" t="str">
            <v>______</v>
          </cell>
          <cell r="AX777" t="str">
            <v>______</v>
          </cell>
          <cell r="AY777" t="str">
            <v>______</v>
          </cell>
          <cell r="AZ777" t="str">
            <v>______</v>
          </cell>
          <cell r="BA777" t="str">
            <v>______</v>
          </cell>
          <cell r="BK777" t="str">
            <v>______</v>
          </cell>
          <cell r="BL777" t="e">
            <v>#VALUE!</v>
          </cell>
        </row>
        <row r="778">
          <cell r="A778" t="str">
            <v>Total Average Hotel Rooms</v>
          </cell>
          <cell r="X778">
            <v>8944.3333333333339</v>
          </cell>
          <cell r="Y778">
            <v>8922.6666666666661</v>
          </cell>
          <cell r="Z778">
            <v>8858.3333333333339</v>
          </cell>
          <cell r="AA778">
            <v>9087.3333333333339</v>
          </cell>
          <cell r="AB778">
            <v>8953.1666666666679</v>
          </cell>
          <cell r="AC778">
            <v>9232.3333333333339</v>
          </cell>
          <cell r="AD778">
            <v>9310.3333333333339</v>
          </cell>
          <cell r="AE778">
            <v>9253.6666666666661</v>
          </cell>
          <cell r="AF778">
            <v>9133.6666666666661</v>
          </cell>
          <cell r="AG778">
            <v>9232.5</v>
          </cell>
          <cell r="AH778">
            <v>10222.333333333334</v>
          </cell>
          <cell r="AI778">
            <v>10553.666666666666</v>
          </cell>
          <cell r="AJ778">
            <v>10596.666666666666</v>
          </cell>
          <cell r="AK778">
            <v>10766.666666666666</v>
          </cell>
          <cell r="AL778">
            <v>10534.833333333332</v>
          </cell>
          <cell r="AM778">
            <v>11117.666666666666</v>
          </cell>
          <cell r="AN778">
            <v>11465.333333333334</v>
          </cell>
          <cell r="AO778">
            <v>11998</v>
          </cell>
          <cell r="AP778">
            <v>12696.666666666666</v>
          </cell>
          <cell r="AQ778">
            <v>11819.416666666666</v>
          </cell>
          <cell r="AR778">
            <v>12954.152173913044</v>
          </cell>
          <cell r="AS778">
            <v>13171.511148272017</v>
          </cell>
          <cell r="AT778">
            <v>17077.818840579712</v>
          </cell>
          <cell r="AU778">
            <v>17677.818840579712</v>
          </cell>
          <cell r="AV778">
            <v>15220.32525083612</v>
          </cell>
          <cell r="AW778">
            <v>21337.818840579712</v>
          </cell>
          <cell r="AX778">
            <v>33922.818840579712</v>
          </cell>
          <cell r="AY778">
            <v>48497.818840579712</v>
          </cell>
          <cell r="AZ778">
            <v>50497.818840579712</v>
          </cell>
          <cell r="BA778">
            <v>50497.818840579712</v>
          </cell>
          <cell r="BK778">
            <v>15295.333333333334</v>
          </cell>
          <cell r="BL778">
            <v>-75.008082497213763</v>
          </cell>
        </row>
        <row r="779">
          <cell r="A779" t="str">
            <v xml:space="preserve">  Growth</v>
          </cell>
          <cell r="AC779">
            <v>3.2199157753512564E-2</v>
          </cell>
          <cell r="AD779">
            <v>4.3447399880454318E-2</v>
          </cell>
          <cell r="AE779">
            <v>4.4628410159924581E-2</v>
          </cell>
          <cell r="AF779">
            <v>5.0986721443766481E-3</v>
          </cell>
          <cell r="AG779">
            <v>3.1199389415290435E-2</v>
          </cell>
          <cell r="AH779">
            <v>0.10723183016211135</v>
          </cell>
          <cell r="AI779">
            <v>0.13354337474490685</v>
          </cell>
          <cell r="AJ779">
            <v>0.14513165952235152</v>
          </cell>
          <cell r="AK779">
            <v>0.17878909528849318</v>
          </cell>
          <cell r="AL779">
            <v>0.14105966242440648</v>
          </cell>
          <cell r="AM779">
            <v>8.758600449995102E-2</v>
          </cell>
          <cell r="AN779">
            <v>8.6383879220492288E-2</v>
          </cell>
          <cell r="AO779">
            <v>0.13224284366152883</v>
          </cell>
          <cell r="AP779">
            <v>0.17925696594427243</v>
          </cell>
          <cell r="AQ779">
            <v>0.12193674951351863</v>
          </cell>
          <cell r="AR779">
            <v>0.16518623577306801</v>
          </cell>
          <cell r="AS779">
            <v>0.14881188059123285</v>
          </cell>
          <cell r="AT779">
            <v>0.42338880151522851</v>
          </cell>
          <cell r="AU779">
            <v>0.39231967765132936</v>
          </cell>
          <cell r="AV779">
            <v>0.28773912284188774</v>
          </cell>
          <cell r="AW779">
            <v>0.40192922877305337</v>
          </cell>
          <cell r="AX779">
            <v>0.58979786519070876</v>
          </cell>
          <cell r="AY779">
            <v>0.42965179481384541</v>
          </cell>
          <cell r="AZ779">
            <v>4.1238968015743671E-2</v>
          </cell>
          <cell r="BA779">
            <v>0</v>
          </cell>
          <cell r="BK779">
            <v>0.29242566927957458</v>
          </cell>
          <cell r="BL779">
            <v>-4.6865464376868449E-3</v>
          </cell>
        </row>
        <row r="782">
          <cell r="A782" t="str">
            <v>Sources:</v>
          </cell>
        </row>
        <row r="783">
          <cell r="A783" t="str">
            <v>Gross Receipts, gratuity exluded</v>
          </cell>
          <cell r="B783" t="str">
            <v>e_bet_pub_</v>
          </cell>
          <cell r="C783" t="str">
            <v>Economic Bulletin</v>
          </cell>
        </row>
        <row r="784">
          <cell r="A784" t="str">
            <v>Revenue from gambling tax</v>
          </cell>
          <cell r="B784" t="str">
            <v>e_bet_pub_</v>
          </cell>
          <cell r="C784" t="str">
            <v>Economic Bulletin</v>
          </cell>
        </row>
        <row r="785">
          <cell r="A785" t="str">
            <v>Non-resident workers (period-end)</v>
          </cell>
          <cell r="B785" t="str">
            <v>e_bet_pub_</v>
          </cell>
          <cell r="C785" t="str">
            <v>Economic Bulletin</v>
          </cell>
        </row>
        <row r="786">
          <cell r="A786" t="str">
            <v>Total employed population</v>
          </cell>
          <cell r="B786" t="str">
            <v>e_bet_pub_</v>
          </cell>
          <cell r="C786" t="str">
            <v>Economic Bulletin</v>
          </cell>
        </row>
        <row r="787">
          <cell r="A787" t="str">
            <v>Total employed population</v>
          </cell>
          <cell r="B787" t="str">
            <v>e_ie_pub_</v>
          </cell>
          <cell r="C787" t="str">
            <v>Employment Survey (quarterly)</v>
          </cell>
        </row>
        <row r="788">
          <cell r="A788" t="str">
            <v>Population (period-end)</v>
          </cell>
          <cell r="B788" t="str">
            <v>e_bet_pub_</v>
          </cell>
          <cell r="C788" t="str">
            <v>Economic Bulletin</v>
          </cell>
        </row>
        <row r="789">
          <cell r="A789" t="str">
            <v>Hotel &amp; restaurant employment</v>
          </cell>
          <cell r="B789" t="str">
            <v>e_ie_pub_</v>
          </cell>
          <cell r="C789" t="str">
            <v>Employment Survey (quarterly)</v>
          </cell>
        </row>
        <row r="790">
          <cell r="A790" t="str">
            <v>Other employment (includes gaming)</v>
          </cell>
          <cell r="B790" t="str">
            <v>e_ie_pub_</v>
          </cell>
          <cell r="C790" t="str">
            <v>Employment Survey (quarterly)</v>
          </cell>
        </row>
        <row r="791">
          <cell r="A791" t="str">
            <v>Construction Employment</v>
          </cell>
          <cell r="B791" t="str">
            <v>e_ie_pub_</v>
          </cell>
          <cell r="C791" t="str">
            <v>Employment Survey (quarterly)</v>
          </cell>
        </row>
        <row r="792">
          <cell r="A792" t="str">
            <v>Gaming Employment, Employment Survey</v>
          </cell>
          <cell r="B792" t="str">
            <v>e_ie_pub_</v>
          </cell>
          <cell r="C792" t="str">
            <v>Employment Survey (quarterly)</v>
          </cell>
        </row>
        <row r="793">
          <cell r="A793" t="str">
            <v>Unemployment Rate</v>
          </cell>
          <cell r="B793" t="str">
            <v>e_ie_pub_</v>
          </cell>
          <cell r="C793" t="str">
            <v>Employment Survey (quarterly)</v>
          </cell>
        </row>
        <row r="794">
          <cell r="A794" t="str">
            <v>Gambling Expenditures of Non-Residents (nominal)</v>
          </cell>
          <cell r="B794" t="str">
            <v>e_pib_fr_</v>
          </cell>
          <cell r="C794" t="str">
            <v>Gross Domestic Product</v>
          </cell>
        </row>
        <row r="795">
          <cell r="A795" t="str">
            <v>Gambling Expenditures of Non-Residents (1996 prices)</v>
          </cell>
          <cell r="B795" t="str">
            <v>e_pib_fr_</v>
          </cell>
          <cell r="C795" t="str">
            <v>Gross Domestic Product</v>
          </cell>
        </row>
        <row r="796">
          <cell r="A796" t="str">
            <v>GDP (nominal)</v>
          </cell>
          <cell r="B796" t="str">
            <v>e_pib_fr_</v>
          </cell>
          <cell r="C796" t="str">
            <v>Gross Domestic Product</v>
          </cell>
        </row>
        <row r="797">
          <cell r="A797" t="str">
            <v>Implicit GDP Deflator</v>
          </cell>
          <cell r="B797" t="str">
            <v>e_pib_fr_</v>
          </cell>
          <cell r="C797" t="str">
            <v>Gross Domestic Product</v>
          </cell>
        </row>
        <row r="798">
          <cell r="A798" t="str">
            <v>Unit counts</v>
          </cell>
          <cell r="B798" t="str">
            <v>Casino City</v>
          </cell>
        </row>
        <row r="799">
          <cell r="A799" t="str">
            <v>Real Estate</v>
          </cell>
          <cell r="B799" t="str">
            <v>e_ecp_fr</v>
          </cell>
          <cell r="C799" t="str">
            <v>Private Sector Construction Statistics</v>
          </cell>
        </row>
      </sheetData>
      <sheetData sheetId="2" refreshError="1">
        <row r="1">
          <cell r="B1" t="str">
            <v>Macau Monthly Data</v>
          </cell>
        </row>
        <row r="3">
          <cell r="B3" t="str">
            <v>Frequency</v>
          </cell>
          <cell r="C3" t="str">
            <v>A</v>
          </cell>
          <cell r="D3" t="str">
            <v>A</v>
          </cell>
          <cell r="E3" t="str">
            <v>A</v>
          </cell>
          <cell r="F3" t="str">
            <v>A</v>
          </cell>
          <cell r="G3" t="str">
            <v>A</v>
          </cell>
          <cell r="H3" t="str">
            <v>A</v>
          </cell>
          <cell r="I3" t="str">
            <v>A</v>
          </cell>
          <cell r="J3" t="str">
            <v>A</v>
          </cell>
          <cell r="K3" t="str">
            <v>A</v>
          </cell>
          <cell r="L3" t="str">
            <v>M</v>
          </cell>
          <cell r="M3" t="str">
            <v>M</v>
          </cell>
          <cell r="N3" t="str">
            <v>M</v>
          </cell>
          <cell r="O3" t="str">
            <v>M</v>
          </cell>
          <cell r="P3" t="str">
            <v>M</v>
          </cell>
          <cell r="Q3" t="str">
            <v>M</v>
          </cell>
          <cell r="R3" t="str">
            <v>M</v>
          </cell>
          <cell r="S3" t="str">
            <v>M</v>
          </cell>
          <cell r="T3" t="str">
            <v>M</v>
          </cell>
          <cell r="U3" t="str">
            <v>M</v>
          </cell>
          <cell r="V3" t="str">
            <v>M</v>
          </cell>
          <cell r="W3" t="str">
            <v>M</v>
          </cell>
          <cell r="X3" t="str">
            <v>M</v>
          </cell>
          <cell r="Y3" t="str">
            <v>M</v>
          </cell>
          <cell r="Z3" t="str">
            <v>M</v>
          </cell>
          <cell r="AA3" t="str">
            <v>M</v>
          </cell>
          <cell r="AB3" t="str">
            <v>M</v>
          </cell>
          <cell r="AC3" t="str">
            <v>M</v>
          </cell>
          <cell r="AD3" t="str">
            <v>M</v>
          </cell>
          <cell r="AE3" t="str">
            <v>M</v>
          </cell>
          <cell r="AF3" t="str">
            <v>M</v>
          </cell>
          <cell r="AG3" t="str">
            <v>M</v>
          </cell>
          <cell r="AH3" t="str">
            <v>M</v>
          </cell>
          <cell r="AI3" t="str">
            <v>M</v>
          </cell>
          <cell r="AJ3" t="str">
            <v>M</v>
          </cell>
          <cell r="AK3" t="str">
            <v>M</v>
          </cell>
          <cell r="AL3" t="str">
            <v>M</v>
          </cell>
          <cell r="AM3" t="str">
            <v>M</v>
          </cell>
          <cell r="AN3" t="str">
            <v>M</v>
          </cell>
          <cell r="AO3" t="str">
            <v>M</v>
          </cell>
          <cell r="AP3" t="str">
            <v>M</v>
          </cell>
          <cell r="AQ3" t="str">
            <v>M</v>
          </cell>
          <cell r="AR3" t="str">
            <v>M</v>
          </cell>
          <cell r="AS3" t="str">
            <v>M</v>
          </cell>
          <cell r="AT3" t="str">
            <v>M</v>
          </cell>
          <cell r="AU3" t="str">
            <v>M</v>
          </cell>
          <cell r="AV3" t="str">
            <v>M</v>
          </cell>
          <cell r="AW3" t="str">
            <v>M</v>
          </cell>
          <cell r="AX3" t="str">
            <v>M</v>
          </cell>
          <cell r="AY3" t="str">
            <v>M</v>
          </cell>
          <cell r="AZ3" t="str">
            <v>M</v>
          </cell>
          <cell r="BA3" t="str">
            <v>M</v>
          </cell>
          <cell r="BB3" t="str">
            <v>M</v>
          </cell>
          <cell r="BC3" t="str">
            <v>M</v>
          </cell>
          <cell r="BD3" t="str">
            <v>M</v>
          </cell>
          <cell r="BE3" t="str">
            <v>M</v>
          </cell>
          <cell r="BF3" t="str">
            <v>M</v>
          </cell>
          <cell r="BG3" t="str">
            <v>M</v>
          </cell>
          <cell r="BH3" t="str">
            <v>M</v>
          </cell>
          <cell r="BI3" t="str">
            <v>M</v>
          </cell>
          <cell r="BJ3" t="str">
            <v>M</v>
          </cell>
          <cell r="BK3" t="str">
            <v>M</v>
          </cell>
          <cell r="BL3" t="str">
            <v>M</v>
          </cell>
          <cell r="BM3" t="str">
            <v>M</v>
          </cell>
          <cell r="BN3" t="str">
            <v>M</v>
          </cell>
          <cell r="BO3" t="str">
            <v>M</v>
          </cell>
          <cell r="BP3" t="str">
            <v>M</v>
          </cell>
          <cell r="BQ3" t="str">
            <v>M</v>
          </cell>
          <cell r="BR3" t="str">
            <v>M</v>
          </cell>
          <cell r="BS3" t="str">
            <v>M</v>
          </cell>
          <cell r="BT3" t="str">
            <v>M</v>
          </cell>
          <cell r="BU3" t="str">
            <v>M</v>
          </cell>
          <cell r="BV3" t="str">
            <v>M</v>
          </cell>
          <cell r="BW3" t="str">
            <v>M</v>
          </cell>
          <cell r="BX3" t="str">
            <v>M</v>
          </cell>
          <cell r="BY3" t="str">
            <v>M</v>
          </cell>
          <cell r="BZ3" t="str">
            <v>M</v>
          </cell>
          <cell r="CA3" t="str">
            <v>M</v>
          </cell>
          <cell r="CB3" t="str">
            <v>M</v>
          </cell>
          <cell r="CC3" t="str">
            <v>M</v>
          </cell>
          <cell r="CD3" t="str">
            <v>M</v>
          </cell>
          <cell r="CE3" t="str">
            <v>M</v>
          </cell>
          <cell r="CF3" t="str">
            <v>M</v>
          </cell>
          <cell r="CG3" t="str">
            <v>M</v>
          </cell>
          <cell r="CH3" t="str">
            <v>M</v>
          </cell>
          <cell r="CI3" t="str">
            <v>M</v>
          </cell>
          <cell r="CJ3" t="str">
            <v>M</v>
          </cell>
          <cell r="CK3" t="str">
            <v>M</v>
          </cell>
          <cell r="CL3" t="str">
            <v>M</v>
          </cell>
          <cell r="CM3" t="str">
            <v>M</v>
          </cell>
          <cell r="CN3" t="str">
            <v>M</v>
          </cell>
          <cell r="CO3" t="str">
            <v>M</v>
          </cell>
          <cell r="CP3" t="str">
            <v>M</v>
          </cell>
          <cell r="CQ3" t="str">
            <v>M</v>
          </cell>
          <cell r="CR3" t="str">
            <v>M</v>
          </cell>
          <cell r="CS3" t="str">
            <v>M</v>
          </cell>
          <cell r="CT3" t="str">
            <v>M</v>
          </cell>
        </row>
        <row r="4">
          <cell r="B4" t="str">
            <v>Date</v>
          </cell>
          <cell r="C4">
            <v>33603</v>
          </cell>
          <cell r="D4">
            <v>33969</v>
          </cell>
          <cell r="E4">
            <v>34334</v>
          </cell>
          <cell r="F4">
            <v>34699</v>
          </cell>
          <cell r="G4">
            <v>35064</v>
          </cell>
          <cell r="H4">
            <v>35430</v>
          </cell>
          <cell r="I4">
            <v>35795</v>
          </cell>
          <cell r="J4">
            <v>36160</v>
          </cell>
          <cell r="K4">
            <v>36525</v>
          </cell>
          <cell r="L4">
            <v>36526</v>
          </cell>
          <cell r="M4">
            <v>36557</v>
          </cell>
          <cell r="N4">
            <v>36586</v>
          </cell>
          <cell r="O4">
            <v>36617</v>
          </cell>
          <cell r="P4">
            <v>36647</v>
          </cell>
          <cell r="Q4">
            <v>36678</v>
          </cell>
          <cell r="R4">
            <v>36708</v>
          </cell>
          <cell r="S4">
            <v>36739</v>
          </cell>
          <cell r="T4">
            <v>36770</v>
          </cell>
          <cell r="U4">
            <v>36800</v>
          </cell>
          <cell r="V4">
            <v>36831</v>
          </cell>
          <cell r="W4">
            <v>36861</v>
          </cell>
          <cell r="X4">
            <v>36892</v>
          </cell>
          <cell r="Y4">
            <v>36923</v>
          </cell>
          <cell r="Z4">
            <v>36951</v>
          </cell>
          <cell r="AA4">
            <v>36982</v>
          </cell>
          <cell r="AB4">
            <v>37012</v>
          </cell>
          <cell r="AC4">
            <v>37043</v>
          </cell>
          <cell r="AD4">
            <v>37073</v>
          </cell>
          <cell r="AE4">
            <v>37104</v>
          </cell>
          <cell r="AF4">
            <v>37135</v>
          </cell>
          <cell r="AG4">
            <v>37165</v>
          </cell>
          <cell r="AH4">
            <v>37196</v>
          </cell>
          <cell r="AI4">
            <v>37226</v>
          </cell>
          <cell r="AJ4">
            <v>37257</v>
          </cell>
          <cell r="AK4">
            <v>37288</v>
          </cell>
          <cell r="AL4">
            <v>37316</v>
          </cell>
          <cell r="AM4">
            <v>37347</v>
          </cell>
          <cell r="AN4">
            <v>37377</v>
          </cell>
          <cell r="AO4">
            <v>37408</v>
          </cell>
          <cell r="AP4">
            <v>37438</v>
          </cell>
          <cell r="AQ4">
            <v>37469</v>
          </cell>
          <cell r="AR4">
            <v>37500</v>
          </cell>
          <cell r="AS4">
            <v>37530</v>
          </cell>
          <cell r="AT4">
            <v>37561</v>
          </cell>
          <cell r="AU4">
            <v>37591</v>
          </cell>
          <cell r="AV4">
            <v>37622</v>
          </cell>
          <cell r="AW4">
            <v>37653</v>
          </cell>
          <cell r="AX4">
            <v>37681</v>
          </cell>
          <cell r="AY4">
            <v>37712</v>
          </cell>
          <cell r="AZ4">
            <v>37742</v>
          </cell>
          <cell r="BA4">
            <v>37773</v>
          </cell>
          <cell r="BB4">
            <v>37803</v>
          </cell>
          <cell r="BC4">
            <v>37834</v>
          </cell>
          <cell r="BD4">
            <v>37865</v>
          </cell>
          <cell r="BE4">
            <v>37895</v>
          </cell>
          <cell r="BF4">
            <v>37926</v>
          </cell>
          <cell r="BG4">
            <v>37956</v>
          </cell>
          <cell r="BH4">
            <v>37987</v>
          </cell>
          <cell r="BI4">
            <v>38018</v>
          </cell>
          <cell r="BJ4">
            <v>38047</v>
          </cell>
          <cell r="BK4">
            <v>38078</v>
          </cell>
          <cell r="BL4">
            <v>38108</v>
          </cell>
          <cell r="BM4">
            <v>38139</v>
          </cell>
          <cell r="BN4">
            <v>38169</v>
          </cell>
          <cell r="BO4">
            <v>38200</v>
          </cell>
          <cell r="BP4">
            <v>38231</v>
          </cell>
          <cell r="BQ4">
            <v>38261</v>
          </cell>
          <cell r="BR4">
            <v>38292</v>
          </cell>
          <cell r="BS4">
            <v>38322</v>
          </cell>
          <cell r="BT4">
            <v>38353</v>
          </cell>
          <cell r="BU4">
            <v>38384</v>
          </cell>
          <cell r="BV4">
            <v>38412</v>
          </cell>
          <cell r="BW4">
            <v>38443</v>
          </cell>
          <cell r="BX4">
            <v>38473</v>
          </cell>
          <cell r="BY4">
            <v>38504</v>
          </cell>
          <cell r="BZ4">
            <v>38534</v>
          </cell>
          <cell r="CA4">
            <v>38565</v>
          </cell>
          <cell r="CB4">
            <v>38596</v>
          </cell>
          <cell r="CC4">
            <v>38626</v>
          </cell>
          <cell r="CD4">
            <v>38657</v>
          </cell>
          <cell r="CE4">
            <v>38687</v>
          </cell>
          <cell r="CF4">
            <v>38718</v>
          </cell>
          <cell r="CG4">
            <v>38749</v>
          </cell>
          <cell r="CH4">
            <v>38777</v>
          </cell>
          <cell r="CI4">
            <v>38808</v>
          </cell>
          <cell r="CJ4">
            <v>38838</v>
          </cell>
          <cell r="CK4">
            <v>38869</v>
          </cell>
          <cell r="CL4">
            <v>38899</v>
          </cell>
          <cell r="CM4">
            <v>38930</v>
          </cell>
          <cell r="CN4">
            <v>38961</v>
          </cell>
          <cell r="CO4">
            <v>38991</v>
          </cell>
          <cell r="CP4">
            <v>39022</v>
          </cell>
          <cell r="CQ4">
            <v>39052</v>
          </cell>
          <cell r="CR4">
            <v>39083</v>
          </cell>
          <cell r="CS4">
            <v>39114</v>
          </cell>
          <cell r="CT4">
            <v>39142</v>
          </cell>
        </row>
        <row r="5">
          <cell r="B5" t="str">
            <v>Year</v>
          </cell>
          <cell r="C5">
            <v>33603</v>
          </cell>
          <cell r="D5">
            <v>33969</v>
          </cell>
          <cell r="E5">
            <v>34334</v>
          </cell>
          <cell r="F5">
            <v>34699</v>
          </cell>
          <cell r="G5">
            <v>35064</v>
          </cell>
          <cell r="H5">
            <v>35430</v>
          </cell>
          <cell r="I5">
            <v>35795</v>
          </cell>
          <cell r="J5">
            <v>36160</v>
          </cell>
          <cell r="K5">
            <v>36525</v>
          </cell>
          <cell r="L5">
            <v>2000</v>
          </cell>
          <cell r="M5">
            <v>2000</v>
          </cell>
          <cell r="N5">
            <v>2000</v>
          </cell>
          <cell r="O5">
            <v>2000</v>
          </cell>
          <cell r="P5">
            <v>2000</v>
          </cell>
          <cell r="Q5">
            <v>2000</v>
          </cell>
          <cell r="R5">
            <v>2000</v>
          </cell>
          <cell r="S5">
            <v>2000</v>
          </cell>
          <cell r="T5">
            <v>2000</v>
          </cell>
          <cell r="U5">
            <v>2000</v>
          </cell>
          <cell r="V5">
            <v>2000</v>
          </cell>
          <cell r="W5">
            <v>2000</v>
          </cell>
          <cell r="X5">
            <v>2001</v>
          </cell>
          <cell r="Y5">
            <v>2001</v>
          </cell>
          <cell r="Z5">
            <v>2001</v>
          </cell>
          <cell r="AA5">
            <v>2001</v>
          </cell>
          <cell r="AB5">
            <v>2001</v>
          </cell>
          <cell r="AC5">
            <v>2001</v>
          </cell>
          <cell r="AD5">
            <v>2001</v>
          </cell>
          <cell r="AE5">
            <v>2001</v>
          </cell>
          <cell r="AF5">
            <v>2001</v>
          </cell>
          <cell r="AG5">
            <v>2001</v>
          </cell>
          <cell r="AH5">
            <v>2001</v>
          </cell>
          <cell r="AI5">
            <v>2001</v>
          </cell>
          <cell r="AJ5">
            <v>2002</v>
          </cell>
          <cell r="AK5">
            <v>2002</v>
          </cell>
          <cell r="AL5">
            <v>2002</v>
          </cell>
          <cell r="AM5">
            <v>2002</v>
          </cell>
          <cell r="AN5">
            <v>2002</v>
          </cell>
          <cell r="AO5">
            <v>2002</v>
          </cell>
          <cell r="AP5">
            <v>2002</v>
          </cell>
          <cell r="AQ5">
            <v>2002</v>
          </cell>
          <cell r="AR5">
            <v>2002</v>
          </cell>
          <cell r="AS5">
            <v>2002</v>
          </cell>
          <cell r="AT5">
            <v>2002</v>
          </cell>
          <cell r="AU5">
            <v>2002</v>
          </cell>
          <cell r="AV5">
            <v>2003</v>
          </cell>
          <cell r="AW5">
            <v>2003</v>
          </cell>
          <cell r="AX5">
            <v>2003</v>
          </cell>
          <cell r="AY5">
            <v>2003</v>
          </cell>
          <cell r="AZ5">
            <v>2003</v>
          </cell>
          <cell r="BA5">
            <v>2003</v>
          </cell>
          <cell r="BB5">
            <v>2003</v>
          </cell>
          <cell r="BC5">
            <v>2003</v>
          </cell>
          <cell r="BD5">
            <v>2003</v>
          </cell>
          <cell r="BE5">
            <v>2003</v>
          </cell>
          <cell r="BF5">
            <v>2003</v>
          </cell>
          <cell r="BG5">
            <v>2003</v>
          </cell>
          <cell r="BH5">
            <v>2004</v>
          </cell>
          <cell r="BI5">
            <v>2004</v>
          </cell>
          <cell r="BJ5">
            <v>2004</v>
          </cell>
          <cell r="BK5">
            <v>2004</v>
          </cell>
          <cell r="BL5">
            <v>2004</v>
          </cell>
          <cell r="BM5">
            <v>2004</v>
          </cell>
          <cell r="BN5">
            <v>2004</v>
          </cell>
          <cell r="BO5">
            <v>2004</v>
          </cell>
          <cell r="BP5">
            <v>2004</v>
          </cell>
          <cell r="BQ5">
            <v>2004</v>
          </cell>
          <cell r="BR5">
            <v>2004</v>
          </cell>
          <cell r="BS5">
            <v>2004</v>
          </cell>
          <cell r="BT5">
            <v>2005</v>
          </cell>
          <cell r="BU5">
            <v>2005</v>
          </cell>
          <cell r="BV5">
            <v>2005</v>
          </cell>
          <cell r="BW5">
            <v>2005</v>
          </cell>
          <cell r="BX5">
            <v>2005</v>
          </cell>
          <cell r="BY5">
            <v>2005</v>
          </cell>
          <cell r="BZ5">
            <v>2005</v>
          </cell>
          <cell r="CA5">
            <v>2005</v>
          </cell>
          <cell r="CB5">
            <v>2005</v>
          </cell>
          <cell r="CC5">
            <v>2005</v>
          </cell>
          <cell r="CD5">
            <v>2005</v>
          </cell>
          <cell r="CE5">
            <v>2005</v>
          </cell>
          <cell r="CF5">
            <v>2006</v>
          </cell>
          <cell r="CG5">
            <v>2006</v>
          </cell>
          <cell r="CH5">
            <v>2006</v>
          </cell>
          <cell r="CI5">
            <v>2006</v>
          </cell>
          <cell r="CJ5">
            <v>2006</v>
          </cell>
          <cell r="CK5">
            <v>2006</v>
          </cell>
          <cell r="CL5">
            <v>2006</v>
          </cell>
          <cell r="CM5">
            <v>2006</v>
          </cell>
          <cell r="CN5">
            <v>2006</v>
          </cell>
          <cell r="CO5">
            <v>2006</v>
          </cell>
          <cell r="CP5">
            <v>2006</v>
          </cell>
          <cell r="CQ5">
            <v>2006</v>
          </cell>
          <cell r="CR5">
            <v>2007</v>
          </cell>
          <cell r="CS5">
            <v>2007</v>
          </cell>
          <cell r="CT5">
            <v>2007</v>
          </cell>
        </row>
        <row r="6">
          <cell r="B6" t="str">
            <v>Quarter</v>
          </cell>
          <cell r="L6" t="str">
            <v>2000q1</v>
          </cell>
          <cell r="M6" t="str">
            <v>2000q1</v>
          </cell>
          <cell r="N6" t="str">
            <v>2000q1</v>
          </cell>
          <cell r="O6" t="str">
            <v>2000q2</v>
          </cell>
          <cell r="P6" t="str">
            <v>2000q2</v>
          </cell>
          <cell r="Q6" t="str">
            <v>2000q2</v>
          </cell>
          <cell r="R6" t="str">
            <v>2000q3</v>
          </cell>
          <cell r="S6" t="str">
            <v>2000q3</v>
          </cell>
          <cell r="T6" t="str">
            <v>2000q3</v>
          </cell>
          <cell r="U6" t="str">
            <v>2000q4</v>
          </cell>
          <cell r="V6" t="str">
            <v>2000q4</v>
          </cell>
          <cell r="W6" t="str">
            <v>2000q4</v>
          </cell>
          <cell r="X6" t="str">
            <v>2001q1</v>
          </cell>
          <cell r="Y6" t="str">
            <v>2001q1</v>
          </cell>
          <cell r="Z6" t="str">
            <v>2001q1</v>
          </cell>
          <cell r="AA6" t="str">
            <v>2001q2</v>
          </cell>
          <cell r="AB6" t="str">
            <v>2001q2</v>
          </cell>
          <cell r="AC6" t="str">
            <v>2001q2</v>
          </cell>
          <cell r="AD6" t="str">
            <v>2001q3</v>
          </cell>
          <cell r="AE6" t="str">
            <v>2001q3</v>
          </cell>
          <cell r="AF6" t="str">
            <v>2001q3</v>
          </cell>
          <cell r="AG6" t="str">
            <v>2001q4</v>
          </cell>
          <cell r="AH6" t="str">
            <v>2001q4</v>
          </cell>
          <cell r="AI6" t="str">
            <v>2001q4</v>
          </cell>
          <cell r="AJ6" t="str">
            <v>2002q1</v>
          </cell>
          <cell r="AK6" t="str">
            <v>2002q1</v>
          </cell>
          <cell r="AL6" t="str">
            <v>2002q1</v>
          </cell>
          <cell r="AM6" t="str">
            <v>2002q2</v>
          </cell>
          <cell r="AN6" t="str">
            <v>2002q2</v>
          </cell>
          <cell r="AO6" t="str">
            <v>2002q2</v>
          </cell>
          <cell r="AP6" t="str">
            <v>2002q3</v>
          </cell>
          <cell r="AQ6" t="str">
            <v>2002q3</v>
          </cell>
          <cell r="AR6" t="str">
            <v>2002q3</v>
          </cell>
          <cell r="AS6" t="str">
            <v>2002q4</v>
          </cell>
          <cell r="AT6" t="str">
            <v>2002q4</v>
          </cell>
          <cell r="AU6" t="str">
            <v>2002q4</v>
          </cell>
          <cell r="AV6" t="str">
            <v>2003q1</v>
          </cell>
          <cell r="AW6" t="str">
            <v>2003q1</v>
          </cell>
          <cell r="AX6" t="str">
            <v>2003q1</v>
          </cell>
          <cell r="AY6" t="str">
            <v>2003q2</v>
          </cell>
          <cell r="AZ6" t="str">
            <v>2003q2</v>
          </cell>
          <cell r="BA6" t="str">
            <v>2003q2</v>
          </cell>
          <cell r="BB6" t="str">
            <v>2003q3</v>
          </cell>
          <cell r="BC6" t="str">
            <v>2003q3</v>
          </cell>
          <cell r="BD6" t="str">
            <v>2003q3</v>
          </cell>
          <cell r="BE6" t="str">
            <v>2003q4</v>
          </cell>
          <cell r="BF6" t="str">
            <v>2003q4</v>
          </cell>
          <cell r="BG6" t="str">
            <v>2003q4</v>
          </cell>
          <cell r="BH6" t="str">
            <v>2004q1</v>
          </cell>
          <cell r="BI6" t="str">
            <v>2004q1</v>
          </cell>
          <cell r="BJ6" t="str">
            <v>2004q1</v>
          </cell>
          <cell r="BK6" t="str">
            <v>2004q2</v>
          </cell>
          <cell r="BL6" t="str">
            <v>2004q2</v>
          </cell>
          <cell r="BM6" t="str">
            <v>2004q2</v>
          </cell>
          <cell r="BN6" t="str">
            <v>2004q3</v>
          </cell>
          <cell r="BO6" t="str">
            <v>2004q3</v>
          </cell>
          <cell r="BP6" t="str">
            <v>2004q3</v>
          </cell>
          <cell r="BQ6" t="str">
            <v>2004q4</v>
          </cell>
          <cell r="BR6" t="str">
            <v>2004q4</v>
          </cell>
          <cell r="BS6" t="str">
            <v>2004q4</v>
          </cell>
          <cell r="BT6" t="str">
            <v>2005q1</v>
          </cell>
          <cell r="BU6" t="str">
            <v>2005q1</v>
          </cell>
          <cell r="BV6" t="str">
            <v>2005q1</v>
          </cell>
          <cell r="BW6" t="str">
            <v>2005q2</v>
          </cell>
          <cell r="BX6" t="str">
            <v>2005q2</v>
          </cell>
          <cell r="BY6" t="str">
            <v>2005q2</v>
          </cell>
          <cell r="BZ6" t="str">
            <v>2005q3</v>
          </cell>
          <cell r="CA6" t="str">
            <v>2005q3</v>
          </cell>
          <cell r="CB6" t="str">
            <v>2005q3</v>
          </cell>
          <cell r="CC6" t="str">
            <v>2005q4</v>
          </cell>
          <cell r="CD6" t="str">
            <v>2005q4</v>
          </cell>
          <cell r="CE6" t="str">
            <v>2005q4</v>
          </cell>
          <cell r="CF6" t="str">
            <v>2006q1</v>
          </cell>
          <cell r="CG6" t="str">
            <v>2006q1</v>
          </cell>
          <cell r="CH6" t="str">
            <v>2006q1</v>
          </cell>
          <cell r="CI6" t="str">
            <v>2006q2</v>
          </cell>
          <cell r="CJ6" t="str">
            <v>2006q2</v>
          </cell>
          <cell r="CK6" t="str">
            <v>2006q2</v>
          </cell>
          <cell r="CL6" t="str">
            <v>2006q3</v>
          </cell>
          <cell r="CM6" t="str">
            <v>2006q3</v>
          </cell>
          <cell r="CN6" t="str">
            <v>2006q3</v>
          </cell>
          <cell r="CO6" t="str">
            <v>2006q4</v>
          </cell>
          <cell r="CP6" t="str">
            <v>2006q4</v>
          </cell>
          <cell r="CQ6" t="str">
            <v>2006q4</v>
          </cell>
          <cell r="CR6" t="str">
            <v>2007q1</v>
          </cell>
          <cell r="CS6" t="str">
            <v>2007q1</v>
          </cell>
          <cell r="CT6" t="str">
            <v>2007q1</v>
          </cell>
        </row>
        <row r="7">
          <cell r="B7" t="str">
            <v>Month</v>
          </cell>
          <cell r="L7" t="str">
            <v>2000m1</v>
          </cell>
          <cell r="M7" t="str">
            <v>2000m2</v>
          </cell>
          <cell r="N7" t="str">
            <v>2000m3</v>
          </cell>
          <cell r="O7" t="str">
            <v>2000m4</v>
          </cell>
          <cell r="P7" t="str">
            <v>2000m5</v>
          </cell>
          <cell r="Q7" t="str">
            <v>2000m6</v>
          </cell>
          <cell r="R7" t="str">
            <v>2000m7</v>
          </cell>
          <cell r="S7" t="str">
            <v>2000m8</v>
          </cell>
          <cell r="T7" t="str">
            <v>2000m9</v>
          </cell>
          <cell r="U7" t="str">
            <v>2000m10</v>
          </cell>
          <cell r="V7" t="str">
            <v>2000m11</v>
          </cell>
          <cell r="W7" t="str">
            <v>2000m12</v>
          </cell>
          <cell r="X7" t="str">
            <v>2001m1</v>
          </cell>
          <cell r="Y7" t="str">
            <v>2001m2</v>
          </cell>
          <cell r="Z7" t="str">
            <v>2001m3</v>
          </cell>
          <cell r="AA7" t="str">
            <v>2001m4</v>
          </cell>
          <cell r="AB7" t="str">
            <v>2001m5</v>
          </cell>
          <cell r="AC7" t="str">
            <v>2001m6</v>
          </cell>
          <cell r="AD7" t="str">
            <v>2001m7</v>
          </cell>
          <cell r="AE7" t="str">
            <v>2001m8</v>
          </cell>
          <cell r="AF7" t="str">
            <v>2001m9</v>
          </cell>
          <cell r="AG7" t="str">
            <v>2001m10</v>
          </cell>
          <cell r="AH7" t="str">
            <v>2001m11</v>
          </cell>
          <cell r="AI7" t="str">
            <v>2001m12</v>
          </cell>
          <cell r="AJ7" t="str">
            <v>2002m1</v>
          </cell>
          <cell r="AK7" t="str">
            <v>2002m2</v>
          </cell>
          <cell r="AL7" t="str">
            <v>2002m3</v>
          </cell>
          <cell r="AM7" t="str">
            <v>2002m4</v>
          </cell>
          <cell r="AN7" t="str">
            <v>2002m5</v>
          </cell>
          <cell r="AO7" t="str">
            <v>2002m6</v>
          </cell>
          <cell r="AP7" t="str">
            <v>2002m7</v>
          </cell>
          <cell r="AQ7" t="str">
            <v>2002m8</v>
          </cell>
          <cell r="AR7" t="str">
            <v>2002m9</v>
          </cell>
          <cell r="AS7" t="str">
            <v>2002m10</v>
          </cell>
          <cell r="AT7" t="str">
            <v>2002m11</v>
          </cell>
          <cell r="AU7" t="str">
            <v>2002m12</v>
          </cell>
          <cell r="AV7" t="str">
            <v>2003m1</v>
          </cell>
          <cell r="AW7" t="str">
            <v>2003m2</v>
          </cell>
          <cell r="AX7" t="str">
            <v>2003m3</v>
          </cell>
          <cell r="AY7" t="str">
            <v>2003m4</v>
          </cell>
          <cell r="AZ7" t="str">
            <v>2003m5</v>
          </cell>
          <cell r="BA7" t="str">
            <v>2003m6</v>
          </cell>
          <cell r="BB7" t="str">
            <v>2003m7</v>
          </cell>
          <cell r="BC7" t="str">
            <v>2003m8</v>
          </cell>
          <cell r="BD7" t="str">
            <v>2003m9</v>
          </cell>
          <cell r="BE7" t="str">
            <v>2003m10</v>
          </cell>
          <cell r="BF7" t="str">
            <v>2003m11</v>
          </cell>
          <cell r="BG7" t="str">
            <v>2003m12</v>
          </cell>
          <cell r="BH7" t="str">
            <v>2004m1</v>
          </cell>
          <cell r="BI7" t="str">
            <v>2004m2</v>
          </cell>
          <cell r="BJ7" t="str">
            <v>2004m3</v>
          </cell>
          <cell r="BK7" t="str">
            <v>2004m4</v>
          </cell>
          <cell r="BL7" t="str">
            <v>2004m5</v>
          </cell>
          <cell r="BM7" t="str">
            <v>2004m6</v>
          </cell>
          <cell r="BN7" t="str">
            <v>2004m7</v>
          </cell>
          <cell r="BO7" t="str">
            <v>2004m8</v>
          </cell>
          <cell r="BP7" t="str">
            <v>2004m9</v>
          </cell>
          <cell r="BQ7" t="str">
            <v>2004m10</v>
          </cell>
          <cell r="BR7" t="str">
            <v>2004m11</v>
          </cell>
          <cell r="BS7" t="str">
            <v>2004m12</v>
          </cell>
          <cell r="BT7" t="str">
            <v>2005m1</v>
          </cell>
          <cell r="BU7" t="str">
            <v>2005m2</v>
          </cell>
          <cell r="BV7" t="str">
            <v>2005m3</v>
          </cell>
          <cell r="BW7" t="str">
            <v>2005m4</v>
          </cell>
          <cell r="BX7" t="str">
            <v>2005m5</v>
          </cell>
          <cell r="BY7" t="str">
            <v>2005m6</v>
          </cell>
          <cell r="BZ7" t="str">
            <v>2005m7</v>
          </cell>
          <cell r="CA7" t="str">
            <v>2005m8</v>
          </cell>
          <cell r="CB7" t="str">
            <v>2005m9</v>
          </cell>
          <cell r="CC7" t="str">
            <v>2005m10</v>
          </cell>
          <cell r="CD7" t="str">
            <v>2005m11</v>
          </cell>
          <cell r="CE7" t="str">
            <v>2005m12</v>
          </cell>
          <cell r="CF7" t="str">
            <v>2006m1</v>
          </cell>
          <cell r="CG7" t="str">
            <v>2006m2</v>
          </cell>
          <cell r="CH7" t="str">
            <v>2006m3</v>
          </cell>
          <cell r="CI7" t="str">
            <v>2006m4</v>
          </cell>
          <cell r="CJ7" t="str">
            <v>2006m5</v>
          </cell>
          <cell r="CK7" t="str">
            <v>2006m6</v>
          </cell>
          <cell r="CL7" t="str">
            <v>2006m7</v>
          </cell>
          <cell r="CM7" t="str">
            <v>2006m8</v>
          </cell>
          <cell r="CN7" t="str">
            <v>2006m9</v>
          </cell>
          <cell r="CO7" t="str">
            <v>2006m10</v>
          </cell>
          <cell r="CP7" t="str">
            <v>2006m11</v>
          </cell>
          <cell r="CQ7" t="str">
            <v>2006m12</v>
          </cell>
          <cell r="CR7" t="str">
            <v>2007m1</v>
          </cell>
          <cell r="CS7" t="str">
            <v>2007m2</v>
          </cell>
          <cell r="CT7" t="str">
            <v>2007m3</v>
          </cell>
        </row>
        <row r="10">
          <cell r="B10" t="str">
            <v>Gross Gaming Receipts</v>
          </cell>
        </row>
        <row r="11">
          <cell r="B11" t="str">
            <v>Games of Fortune</v>
          </cell>
          <cell r="BN11">
            <v>4240.3040000000001</v>
          </cell>
          <cell r="BO11">
            <v>3668.652</v>
          </cell>
          <cell r="BP11">
            <v>2998.614</v>
          </cell>
          <cell r="BQ11">
            <v>3848.8780000000002</v>
          </cell>
          <cell r="BR11">
            <v>3639.7170000000001</v>
          </cell>
          <cell r="BS11">
            <v>3386.98</v>
          </cell>
          <cell r="BT11">
            <v>3670.527</v>
          </cell>
          <cell r="BU11">
            <v>3007.2640000000001</v>
          </cell>
          <cell r="BV11">
            <v>3922.248</v>
          </cell>
          <cell r="BW11">
            <v>3533.482</v>
          </cell>
          <cell r="BX11">
            <v>4186.4970000000003</v>
          </cell>
          <cell r="BY11">
            <v>3620.45</v>
          </cell>
          <cell r="BZ11">
            <v>3775.8069999999998</v>
          </cell>
          <cell r="CA11">
            <v>4336.732</v>
          </cell>
          <cell r="CB11">
            <v>3283.26</v>
          </cell>
          <cell r="CC11">
            <v>3990.5340000000001</v>
          </cell>
          <cell r="CD11">
            <v>3646.4250000000002</v>
          </cell>
          <cell r="CE11">
            <v>3751.3939999999998</v>
          </cell>
          <cell r="CF11">
            <v>3500.3270000000002</v>
          </cell>
          <cell r="CG11">
            <v>4298.4120000000003</v>
          </cell>
          <cell r="CH11">
            <v>4552.8180000000002</v>
          </cell>
          <cell r="CI11">
            <v>4390.8810000000003</v>
          </cell>
          <cell r="CJ11">
            <v>4342.5039999999999</v>
          </cell>
          <cell r="CK11">
            <v>3926.4720000000002</v>
          </cell>
          <cell r="CL11">
            <v>4471.1289999999999</v>
          </cell>
          <cell r="CM11">
            <v>4593.9709999999995</v>
          </cell>
          <cell r="CN11">
            <v>4483.9000000000005</v>
          </cell>
          <cell r="CO11">
            <v>5740.54</v>
          </cell>
          <cell r="CP11">
            <v>4799.018</v>
          </cell>
          <cell r="CQ11">
            <v>5897.2520000000004</v>
          </cell>
          <cell r="CR11">
            <v>6000.17</v>
          </cell>
          <cell r="CS11">
            <v>5734.9049999999997</v>
          </cell>
        </row>
        <row r="12">
          <cell r="B12" t="str">
            <v>Other (lottery, racing, etc.)</v>
          </cell>
          <cell r="BN12">
            <v>158.93700000000001</v>
          </cell>
          <cell r="BO12">
            <v>163.13800000000001</v>
          </cell>
          <cell r="BP12">
            <v>81.332999999999998</v>
          </cell>
          <cell r="BQ12">
            <v>149.935</v>
          </cell>
          <cell r="BR12">
            <v>142.47999999999999</v>
          </cell>
          <cell r="BS12">
            <v>104.15900000000001</v>
          </cell>
          <cell r="BT12">
            <v>141.43100000000001</v>
          </cell>
          <cell r="BU12">
            <v>114</v>
          </cell>
          <cell r="BV12">
            <v>97.91</v>
          </cell>
          <cell r="BW12">
            <v>105.08199999999999</v>
          </cell>
          <cell r="BX12">
            <v>100.47799999999999</v>
          </cell>
          <cell r="BY12">
            <v>73.63</v>
          </cell>
          <cell r="BZ12">
            <v>68.935000000000002</v>
          </cell>
          <cell r="CA12">
            <v>81.426000000000002</v>
          </cell>
          <cell r="CB12">
            <v>58.231000000000002</v>
          </cell>
          <cell r="CC12">
            <v>88.471999999999994</v>
          </cell>
          <cell r="CD12">
            <v>68.165999999999997</v>
          </cell>
          <cell r="CE12">
            <v>78.069000000000003</v>
          </cell>
          <cell r="CF12">
            <v>83.650999999999996</v>
          </cell>
          <cell r="CG12">
            <v>80.003999999999991</v>
          </cell>
          <cell r="CH12">
            <v>73.905000000000001</v>
          </cell>
          <cell r="CI12">
            <v>83.915000000000006</v>
          </cell>
          <cell r="CJ12">
            <v>80.185000000000002</v>
          </cell>
          <cell r="CK12">
            <v>76.088999999999999</v>
          </cell>
          <cell r="CL12">
            <v>81.191999999999993</v>
          </cell>
          <cell r="CM12">
            <v>78.369</v>
          </cell>
          <cell r="CN12">
            <v>54.165999999999997</v>
          </cell>
          <cell r="CO12">
            <v>70.096000000000004</v>
          </cell>
          <cell r="CP12">
            <v>71.19</v>
          </cell>
          <cell r="CQ12">
            <v>53.808999999999997</v>
          </cell>
          <cell r="CR12">
            <v>61.8645</v>
          </cell>
          <cell r="CS12">
            <v>58.191000000000003</v>
          </cell>
        </row>
        <row r="13">
          <cell r="BN13" t="str">
            <v>______</v>
          </cell>
          <cell r="BO13" t="str">
            <v>______</v>
          </cell>
          <cell r="BP13" t="str">
            <v>______</v>
          </cell>
          <cell r="BQ13" t="str">
            <v>______</v>
          </cell>
          <cell r="BR13" t="str">
            <v>______</v>
          </cell>
          <cell r="BS13" t="str">
            <v>______</v>
          </cell>
          <cell r="BT13" t="str">
            <v>______</v>
          </cell>
          <cell r="BU13" t="str">
            <v>______</v>
          </cell>
          <cell r="BV13" t="str">
            <v>______</v>
          </cell>
          <cell r="BW13" t="str">
            <v>______</v>
          </cell>
          <cell r="BX13" t="str">
            <v>______</v>
          </cell>
          <cell r="BY13" t="str">
            <v>______</v>
          </cell>
          <cell r="BZ13" t="str">
            <v>______</v>
          </cell>
          <cell r="CA13" t="str">
            <v>______</v>
          </cell>
          <cell r="CB13" t="str">
            <v>______</v>
          </cell>
          <cell r="CC13" t="str">
            <v>______</v>
          </cell>
          <cell r="CD13" t="str">
            <v>______</v>
          </cell>
          <cell r="CE13" t="str">
            <v>______</v>
          </cell>
          <cell r="CF13" t="str">
            <v>______</v>
          </cell>
          <cell r="CG13" t="str">
            <v>______</v>
          </cell>
          <cell r="CH13" t="str">
            <v>______</v>
          </cell>
          <cell r="CI13" t="str">
            <v>______</v>
          </cell>
          <cell r="CJ13" t="str">
            <v>______</v>
          </cell>
          <cell r="CK13" t="str">
            <v>______</v>
          </cell>
          <cell r="CL13" t="str">
            <v>______</v>
          </cell>
          <cell r="CM13" t="str">
            <v>______</v>
          </cell>
          <cell r="CN13" t="str">
            <v>______</v>
          </cell>
          <cell r="CO13" t="str">
            <v>______</v>
          </cell>
          <cell r="CP13" t="str">
            <v>______</v>
          </cell>
          <cell r="CQ13" t="str">
            <v>______</v>
          </cell>
          <cell r="CR13" t="str">
            <v>______</v>
          </cell>
          <cell r="CS13" t="str">
            <v>______</v>
          </cell>
        </row>
        <row r="14">
          <cell r="B14" t="str">
            <v>Total</v>
          </cell>
          <cell r="BN14">
            <v>4399.241</v>
          </cell>
          <cell r="BO14">
            <v>3831.79</v>
          </cell>
          <cell r="BP14">
            <v>3079.9470000000001</v>
          </cell>
          <cell r="BQ14">
            <v>3998.8130000000001</v>
          </cell>
          <cell r="BR14">
            <v>3782.1970000000001</v>
          </cell>
          <cell r="BS14">
            <v>3491.1390000000001</v>
          </cell>
          <cell r="BT14">
            <v>3811.9580000000001</v>
          </cell>
          <cell r="BU14">
            <v>3121.2640000000001</v>
          </cell>
          <cell r="BV14">
            <v>4020.1579999999999</v>
          </cell>
          <cell r="BW14">
            <v>3638.5639999999999</v>
          </cell>
          <cell r="BX14">
            <v>4286.9750000000004</v>
          </cell>
          <cell r="BY14">
            <v>3694.08</v>
          </cell>
          <cell r="BZ14">
            <v>3844.7419999999997</v>
          </cell>
          <cell r="CA14">
            <v>4418.1580000000004</v>
          </cell>
          <cell r="CB14">
            <v>3341.4910000000004</v>
          </cell>
          <cell r="CC14">
            <v>4079.0060000000003</v>
          </cell>
          <cell r="CD14">
            <v>3714.5910000000003</v>
          </cell>
          <cell r="CE14">
            <v>3829.4629999999997</v>
          </cell>
          <cell r="CF14">
            <v>3583.9780000000001</v>
          </cell>
          <cell r="CG14">
            <v>4378.4160000000002</v>
          </cell>
          <cell r="CH14">
            <v>4626.723</v>
          </cell>
          <cell r="CI14">
            <v>4474.7960000000003</v>
          </cell>
          <cell r="CJ14">
            <v>4422.6890000000003</v>
          </cell>
          <cell r="CK14">
            <v>4002.5610000000001</v>
          </cell>
          <cell r="CL14">
            <v>4552.3209999999999</v>
          </cell>
          <cell r="CM14">
            <v>4672.3399999999992</v>
          </cell>
          <cell r="CN14">
            <v>4538.0660000000007</v>
          </cell>
          <cell r="CO14">
            <v>5810.6360000000004</v>
          </cell>
          <cell r="CP14">
            <v>4870.2079999999996</v>
          </cell>
          <cell r="CQ14">
            <v>5951.0610000000006</v>
          </cell>
          <cell r="CR14">
            <v>6062.0344999999998</v>
          </cell>
          <cell r="CS14">
            <v>5793.0959999999995</v>
          </cell>
          <cell r="CT14">
            <v>6064.9249999999993</v>
          </cell>
        </row>
        <row r="15">
          <cell r="B15" t="str">
            <v>% Change</v>
          </cell>
          <cell r="BZ15">
            <v>-0.1260442426318541</v>
          </cell>
          <cell r="CA15">
            <v>0.15302717528883369</v>
          </cell>
          <cell r="CB15">
            <v>8.4918344374107946E-2</v>
          </cell>
          <cell r="CC15">
            <v>2.0054201084171774E-2</v>
          </cell>
          <cell r="CD15">
            <v>-1.7874796051078223E-2</v>
          </cell>
          <cell r="CE15">
            <v>9.6909346777656058E-2</v>
          </cell>
          <cell r="CF15">
            <v>-5.9806535119222182E-2</v>
          </cell>
          <cell r="CG15">
            <v>0.40277015978142194</v>
          </cell>
          <cell r="CH15">
            <v>0.15088088577613123</v>
          </cell>
          <cell r="CI15">
            <v>0.22982473305402906</v>
          </cell>
          <cell r="CJ15">
            <v>3.165728748126595E-2</v>
          </cell>
          <cell r="CK15">
            <v>8.3506854209979275E-2</v>
          </cell>
          <cell r="CL15">
            <v>0.1840380967045383</v>
          </cell>
          <cell r="CM15">
            <v>5.7531215497498955E-2</v>
          </cell>
          <cell r="CN15">
            <v>0.35809613133777707</v>
          </cell>
          <cell r="CO15">
            <v>0.4245225429920918</v>
          </cell>
          <cell r="CP15">
            <v>0.31110208364797076</v>
          </cell>
          <cell r="CQ15">
            <v>0.55401971503576375</v>
          </cell>
          <cell r="CR15">
            <v>0.69142625875493646</v>
          </cell>
          <cell r="CS15">
            <v>0.32310314963219566</v>
          </cell>
        </row>
        <row r="16">
          <cell r="B16" t="str">
            <v>Games of Fortune % Change</v>
          </cell>
          <cell r="BZ16">
            <v>-0.1095433251955521</v>
          </cell>
          <cell r="CA16">
            <v>0.18210503476481277</v>
          </cell>
          <cell r="CB16">
            <v>9.4925855745354504E-2</v>
          </cell>
          <cell r="CC16">
            <v>3.6804492114325349E-2</v>
          </cell>
          <cell r="CD16">
            <v>1.8430004310774351E-3</v>
          </cell>
          <cell r="CE16">
            <v>0.10759260462122588</v>
          </cell>
          <cell r="CF16">
            <v>-4.6369363309410327E-2</v>
          </cell>
          <cell r="CG16">
            <v>0.4293430839460719</v>
          </cell>
          <cell r="CH16">
            <v>0.1607674986385359</v>
          </cell>
          <cell r="CI16">
            <v>0.24264988473126525</v>
          </cell>
          <cell r="CJ16">
            <v>3.7264328626056553E-2</v>
          </cell>
          <cell r="CK16">
            <v>8.4525956718087603E-2</v>
          </cell>
          <cell r="CL16">
            <v>0.18415189123808506</v>
          </cell>
          <cell r="CM16">
            <v>5.9316323904728074E-2</v>
          </cell>
          <cell r="CN16">
            <v>0.36568532495142025</v>
          </cell>
          <cell r="CO16">
            <v>0.43853930326116752</v>
          </cell>
          <cell r="CP16">
            <v>0.31608849763809754</v>
          </cell>
          <cell r="CQ16">
            <v>0.57201616252518428</v>
          </cell>
          <cell r="CR16">
            <v>0.71417413287387133</v>
          </cell>
          <cell r="CS16">
            <v>0.33419155725416716</v>
          </cell>
        </row>
        <row r="17">
          <cell r="CR17">
            <v>1212.4069</v>
          </cell>
          <cell r="CS17">
            <v>926.89535999999998</v>
          </cell>
          <cell r="CT17">
            <v>970.38799999999992</v>
          </cell>
          <cell r="CU17">
            <v>388.71128249999998</v>
          </cell>
        </row>
        <row r="18">
          <cell r="B18" t="str">
            <v>Gaming Tax Receipts</v>
          </cell>
          <cell r="CT18">
            <v>0.17353128510120966</v>
          </cell>
          <cell r="CU18">
            <v>116.61338474999999</v>
          </cell>
        </row>
        <row r="19">
          <cell r="B19" t="str">
            <v>DSEC reported receipts</v>
          </cell>
          <cell r="BH19">
            <v>1005.035965</v>
          </cell>
          <cell r="BI19">
            <v>1150.3999820000001</v>
          </cell>
          <cell r="BJ19">
            <v>1046.5487170000001</v>
          </cell>
          <cell r="BK19">
            <v>1232.4445869999995</v>
          </cell>
          <cell r="BL19">
            <v>1051.4479160000001</v>
          </cell>
          <cell r="BM19">
            <v>1294.503966</v>
          </cell>
          <cell r="BN19">
            <v>1224.6592430000001</v>
          </cell>
          <cell r="BO19">
            <v>1593.9445140000003</v>
          </cell>
          <cell r="BP19">
            <v>1414.1295260000002</v>
          </cell>
          <cell r="BQ19">
            <v>1127.824631</v>
          </cell>
          <cell r="BR19">
            <v>1449.272594</v>
          </cell>
          <cell r="BS19">
            <v>1646.4008220000001</v>
          </cell>
          <cell r="BT19">
            <v>1397.7420769999999</v>
          </cell>
          <cell r="BU19">
            <v>1425.7593319999999</v>
          </cell>
          <cell r="BV19">
            <v>1169.8463509999997</v>
          </cell>
          <cell r="BW19">
            <v>1513.1694279999999</v>
          </cell>
          <cell r="BX19">
            <v>1373.2174170000001</v>
          </cell>
          <cell r="BY19">
            <v>1638.494919</v>
          </cell>
          <cell r="BZ19">
            <v>1417.5680150000001</v>
          </cell>
          <cell r="CA19">
            <v>1459.2882480000001</v>
          </cell>
          <cell r="CB19">
            <v>1676.55897</v>
          </cell>
          <cell r="CC19">
            <v>1281.054228</v>
          </cell>
          <cell r="CD19">
            <v>1550.998</v>
          </cell>
          <cell r="CE19">
            <v>1414.8672199999999</v>
          </cell>
          <cell r="CF19">
            <v>1577.4936250000001</v>
          </cell>
          <cell r="CG19">
            <v>1366.7267729999999</v>
          </cell>
          <cell r="CH19">
            <v>1670.083529</v>
          </cell>
          <cell r="CI19">
            <v>1764.008223</v>
          </cell>
          <cell r="CJ19">
            <v>1706.5882120000001</v>
          </cell>
          <cell r="CK19">
            <v>1690.9518129999999</v>
          </cell>
          <cell r="CL19">
            <v>1541.1408489999997</v>
          </cell>
          <cell r="CM19">
            <v>1746.611451</v>
          </cell>
          <cell r="CN19">
            <v>1794.638455</v>
          </cell>
          <cell r="CO19">
            <v>1760.143546</v>
          </cell>
          <cell r="CP19">
            <v>2239.7921780000001</v>
          </cell>
        </row>
        <row r="20">
          <cell r="B20" t="str">
            <v>% Change</v>
          </cell>
          <cell r="BT20">
            <v>0.39073836725832978</v>
          </cell>
          <cell r="BU20">
            <v>0.23935966125562724</v>
          </cell>
          <cell r="BV20">
            <v>0.11781356376169505</v>
          </cell>
          <cell r="BW20">
            <v>0.22777887457263879</v>
          </cell>
          <cell r="BX20">
            <v>0.306025145043894</v>
          </cell>
          <cell r="BY20">
            <v>0.2657318648956537</v>
          </cell>
          <cell r="BZ20">
            <v>0.15752036585086215</v>
          </cell>
          <cell r="CA20">
            <v>-8.4479895515359282E-2</v>
          </cell>
          <cell r="CB20">
            <v>0.18557666690003027</v>
          </cell>
          <cell r="CC20">
            <v>0.13586296378731944</v>
          </cell>
          <cell r="CD20">
            <v>7.0190664213995335E-2</v>
          </cell>
          <cell r="CE20">
            <v>-0.14063015452017325</v>
          </cell>
          <cell r="CF20">
            <v>0.12860137142455086</v>
          </cell>
          <cell r="CG20">
            <v>-4.1404294311853773E-2</v>
          </cell>
          <cell r="CH20">
            <v>0.42760929892407762</v>
          </cell>
          <cell r="CI20">
            <v>0.16577046189172684</v>
          </cell>
          <cell r="CJ20">
            <v>0.24276621522052833</v>
          </cell>
          <cell r="CK20">
            <v>3.2015292444126153E-2</v>
          </cell>
          <cell r="CL20">
            <v>8.7172419730420891E-2</v>
          </cell>
          <cell r="CM20">
            <v>0.19689269984445179</v>
          </cell>
          <cell r="CN20">
            <v>7.0429664039792117E-2</v>
          </cell>
          <cell r="CO20">
            <v>0.37398051349314154</v>
          </cell>
          <cell r="CP20">
            <v>0.44409739922295199</v>
          </cell>
          <cell r="CQ20">
            <v>-1</v>
          </cell>
          <cell r="CR20">
            <v>-1</v>
          </cell>
          <cell r="CS20">
            <v>-1</v>
          </cell>
        </row>
        <row r="21">
          <cell r="B21" t="str">
            <v>% of Revenues, lagged</v>
          </cell>
          <cell r="BO21">
            <v>0.36232261746969541</v>
          </cell>
          <cell r="BP21">
            <v>0.36905193812813336</v>
          </cell>
          <cell r="BQ21">
            <v>0.36618312944995479</v>
          </cell>
          <cell r="BR21">
            <v>0.36242569832597821</v>
          </cell>
          <cell r="BS21">
            <v>0.43530276767709353</v>
          </cell>
          <cell r="BT21">
            <v>0.40036849778825762</v>
          </cell>
          <cell r="BU21">
            <v>0.37402283341002179</v>
          </cell>
          <cell r="BV21">
            <v>0.37479891191517273</v>
          </cell>
          <cell r="BW21">
            <v>0.3763955118181922</v>
          </cell>
          <cell r="BX21">
            <v>0.37740642104962291</v>
          </cell>
          <cell r="BY21">
            <v>0.38220304970287905</v>
          </cell>
          <cell r="BZ21">
            <v>0.38374047530102218</v>
          </cell>
          <cell r="CA21">
            <v>0.37955427126189484</v>
          </cell>
          <cell r="CB21">
            <v>0.37947012533277441</v>
          </cell>
          <cell r="CC21">
            <v>0.38337802735365734</v>
          </cell>
          <cell r="CD21">
            <v>0.38023920533580974</v>
          </cell>
          <cell r="CE21">
            <v>0.38089448340342175</v>
          </cell>
          <cell r="CF21">
            <v>0.41193598815290816</v>
          </cell>
          <cell r="CG21">
            <v>0.3813435163385489</v>
          </cell>
          <cell r="CH21">
            <v>0.38143555317722205</v>
          </cell>
          <cell r="CI21">
            <v>0.38126514662753747</v>
          </cell>
          <cell r="CJ21">
            <v>0.38137788001955841</v>
          </cell>
          <cell r="CK21">
            <v>0.38233568152768593</v>
          </cell>
          <cell r="CL21">
            <v>0.38503869122794121</v>
          </cell>
          <cell r="CM21">
            <v>0.38367493219392923</v>
          </cell>
          <cell r="CN21">
            <v>0.38409842926670584</v>
          </cell>
          <cell r="CO21">
            <v>0.38786204211221248</v>
          </cell>
          <cell r="CP21">
            <v>0.38546420357427308</v>
          </cell>
          <cell r="CQ21">
            <v>0</v>
          </cell>
          <cell r="CR21">
            <v>0</v>
          </cell>
          <cell r="CS21">
            <v>0</v>
          </cell>
        </row>
        <row r="23">
          <cell r="B23" t="str">
            <v>DSF reported receipts, preliminary</v>
          </cell>
          <cell r="BH23">
            <v>974.88488604999998</v>
          </cell>
          <cell r="BI23">
            <v>1099.8151139499998</v>
          </cell>
          <cell r="BJ23">
            <v>1006.6000000000004</v>
          </cell>
          <cell r="BK23">
            <v>1185.1999999999998</v>
          </cell>
          <cell r="BL23">
            <v>1012.8000000000002</v>
          </cell>
          <cell r="BM23">
            <v>1246.3999999999996</v>
          </cell>
          <cell r="BN23">
            <v>1182.8000000000002</v>
          </cell>
          <cell r="BO23">
            <v>1545.7000000000007</v>
          </cell>
          <cell r="BP23">
            <v>1374.6999999999989</v>
          </cell>
          <cell r="BQ23">
            <v>1099.3999999999996</v>
          </cell>
          <cell r="BR23">
            <v>1407</v>
          </cell>
          <cell r="BS23">
            <v>1604.7000000000007</v>
          </cell>
          <cell r="BT23">
            <v>1340.1</v>
          </cell>
          <cell r="BU23">
            <v>1363.8000000000002</v>
          </cell>
          <cell r="BV23">
            <v>1120.1999999999998</v>
          </cell>
          <cell r="BW23">
            <v>1447.2000000000003</v>
          </cell>
          <cell r="BX23">
            <v>1313.8000000000002</v>
          </cell>
          <cell r="BY23">
            <v>1566.5999999999995</v>
          </cell>
          <cell r="BZ23">
            <v>1357.3000000000002</v>
          </cell>
          <cell r="CA23">
            <v>1395.5</v>
          </cell>
          <cell r="CB23">
            <v>1602.5</v>
          </cell>
          <cell r="CC23">
            <v>1223.3999999999996</v>
          </cell>
          <cell r="CD23">
            <v>1481.5</v>
          </cell>
          <cell r="CE23">
            <v>1350.0000000000018</v>
          </cell>
          <cell r="CF23">
            <v>1512.4</v>
          </cell>
          <cell r="CG23">
            <v>1305.4000000000001</v>
          </cell>
          <cell r="CH23">
            <v>1596.8999999999996</v>
          </cell>
          <cell r="CI23">
            <v>1686.7088875461268</v>
          </cell>
          <cell r="CJ23">
            <v>1630.5911124538734</v>
          </cell>
          <cell r="CK23">
            <v>1615.5</v>
          </cell>
          <cell r="CL23">
            <v>1467.7000000000007</v>
          </cell>
          <cell r="CM23">
            <v>1664.6999999999989</v>
          </cell>
          <cell r="CN23">
            <v>1710.4746647160841</v>
          </cell>
          <cell r="CO23">
            <v>1674.3253352839165</v>
          </cell>
          <cell r="CP23">
            <v>2129.5999999999985</v>
          </cell>
          <cell r="CR23">
            <v>2174.0175767802889</v>
          </cell>
          <cell r="CS23">
            <v>4552.8824232197112</v>
          </cell>
        </row>
        <row r="24">
          <cell r="B24" t="str">
            <v>% Change</v>
          </cell>
          <cell r="BT24">
            <v>0.37462383423520307</v>
          </cell>
          <cell r="BU24">
            <v>0.24002660329143444</v>
          </cell>
          <cell r="BV24">
            <v>0.11285515597059348</v>
          </cell>
          <cell r="BW24">
            <v>0.22105973675329094</v>
          </cell>
          <cell r="BX24">
            <v>0.29719589257503953</v>
          </cell>
          <cell r="BY24">
            <v>0.25689987163029526</v>
          </cell>
          <cell r="BZ24">
            <v>0.14753128170443008</v>
          </cell>
          <cell r="CA24">
            <v>-9.7172801966746936E-2</v>
          </cell>
          <cell r="CB24">
            <v>0.16570888193787825</v>
          </cell>
          <cell r="CC24">
            <v>0.11278879388757512</v>
          </cell>
          <cell r="CD24">
            <v>5.2949538024164911E-2</v>
          </cell>
          <cell r="CE24">
            <v>-0.15872125630958978</v>
          </cell>
          <cell r="CF24">
            <v>0.12857249458995601</v>
          </cell>
          <cell r="CG24">
            <v>-4.2821528083296756E-2</v>
          </cell>
          <cell r="CH24">
            <v>0.42554900910551674</v>
          </cell>
          <cell r="CI24">
            <v>0.16549812572286249</v>
          </cell>
          <cell r="CJ24">
            <v>0.24112582771645097</v>
          </cell>
          <cell r="CK24">
            <v>3.1214094216775568E-2</v>
          </cell>
          <cell r="CL24">
            <v>8.1337950342592391E-2</v>
          </cell>
          <cell r="CM24">
            <v>0.19290576854174057</v>
          </cell>
          <cell r="CN24">
            <v>6.7378885938274014E-2</v>
          </cell>
          <cell r="CO24">
            <v>0.36858373000156686</v>
          </cell>
          <cell r="CP24">
            <v>0.43746203172460252</v>
          </cell>
          <cell r="CQ24">
            <v>-1</v>
          </cell>
          <cell r="CR24">
            <v>0.43746203172460252</v>
          </cell>
          <cell r="CS24">
            <v>2.4877297557987674</v>
          </cell>
        </row>
        <row r="25">
          <cell r="B25" t="str">
            <v>% of Revenues, lagged</v>
          </cell>
          <cell r="BO25">
            <v>0.35135606346640269</v>
          </cell>
          <cell r="BP25">
            <v>0.35876183193755373</v>
          </cell>
          <cell r="BQ25">
            <v>0.35695419434165576</v>
          </cell>
          <cell r="BR25">
            <v>0.35185441279699747</v>
          </cell>
          <cell r="BS25">
            <v>0.42427721242441913</v>
          </cell>
          <cell r="BT25">
            <v>0.38385753188286109</v>
          </cell>
          <cell r="BU25">
            <v>0.35776889462055989</v>
          </cell>
          <cell r="BV25">
            <v>0.35889306383567676</v>
          </cell>
          <cell r="BW25">
            <v>0.35998585130236183</v>
          </cell>
          <cell r="BX25">
            <v>0.36107651260222445</v>
          </cell>
          <cell r="BY25">
            <v>0.36543250193901278</v>
          </cell>
          <cell r="BZ25">
            <v>0.36742571898821902</v>
          </cell>
          <cell r="CA25">
            <v>0.36296323654487089</v>
          </cell>
          <cell r="CB25">
            <v>0.36270771665476875</v>
          </cell>
          <cell r="CC25">
            <v>0.36612398477206715</v>
          </cell>
          <cell r="CD25">
            <v>0.3632012308881134</v>
          </cell>
          <cell r="CE25">
            <v>0.36343166717412539</v>
          </cell>
          <cell r="CF25">
            <v>0.39493788032421262</v>
          </cell>
          <cell r="CG25">
            <v>0.36423214651429225</v>
          </cell>
          <cell r="CH25">
            <v>0.36472094017562506</v>
          </cell>
          <cell r="CI25">
            <v>0.36455800088877738</v>
          </cell>
          <cell r="CJ25">
            <v>0.36439451372841875</v>
          </cell>
          <cell r="CK25">
            <v>0.36527551451164664</v>
          </cell>
          <cell r="CL25">
            <v>0.36669022658243078</v>
          </cell>
          <cell r="CM25">
            <v>0.36568159407036521</v>
          </cell>
          <cell r="CN25">
            <v>0.36608523025209733</v>
          </cell>
          <cell r="CO25">
            <v>0.36895129671624788</v>
          </cell>
          <cell r="CP25">
            <v>0.3665003280191701</v>
          </cell>
          <cell r="CQ25">
            <v>0</v>
          </cell>
          <cell r="CR25">
            <v>0.36531596244439246</v>
          </cell>
          <cell r="CS25">
            <v>0.75104858331302993</v>
          </cell>
        </row>
        <row r="26">
          <cell r="B26" t="str">
            <v>% of DSEC number</v>
          </cell>
          <cell r="BH26">
            <v>0.97</v>
          </cell>
          <cell r="BI26">
            <v>0.95602845198062569</v>
          </cell>
          <cell r="BJ26">
            <v>0.96182813437054759</v>
          </cell>
          <cell r="BK26">
            <v>0.96166595439799707</v>
          </cell>
          <cell r="BL26">
            <v>0.96324314746180928</v>
          </cell>
          <cell r="BM26">
            <v>0.96283984656405419</v>
          </cell>
          <cell r="BN26">
            <v>0.96581968148343134</v>
          </cell>
          <cell r="BO26">
            <v>0.96973262646456238</v>
          </cell>
          <cell r="BP26">
            <v>0.97211745793079407</v>
          </cell>
          <cell r="BQ26">
            <v>0.97479694074884915</v>
          </cell>
          <cell r="BR26">
            <v>0.97083185442475839</v>
          </cell>
          <cell r="BS26">
            <v>0.97467152503644749</v>
          </cell>
          <cell r="BT26">
            <v>0.95876057682707938</v>
          </cell>
          <cell r="BU26">
            <v>0.9565429237534181</v>
          </cell>
          <cell r="BV26">
            <v>0.95756164819631095</v>
          </cell>
          <cell r="BW26">
            <v>0.95640314509447011</v>
          </cell>
          <cell r="BX26">
            <v>0.95673123842995955</v>
          </cell>
          <cell r="BY26">
            <v>0.95612136591556895</v>
          </cell>
          <cell r="BZ26">
            <v>0.95748492180814349</v>
          </cell>
          <cell r="CA26">
            <v>0.95628810957161903</v>
          </cell>
          <cell r="CB26">
            <v>0.95582680279954602</v>
          </cell>
          <cell r="CC26">
            <v>0.95499470144209986</v>
          </cell>
          <cell r="CD26">
            <v>0.95519143158147202</v>
          </cell>
          <cell r="CE26">
            <v>0.95415313954337144</v>
          </cell>
          <cell r="CF26">
            <v>0.9587360456052556</v>
          </cell>
          <cell r="CG26">
            <v>0.95512872491303735</v>
          </cell>
          <cell r="CH26">
            <v>0.95617971931989498</v>
          </cell>
          <cell r="CI26">
            <v>0.95617971931989498</v>
          </cell>
          <cell r="CJ26">
            <v>0.95546840238802333</v>
          </cell>
          <cell r="CK26">
            <v>0.95537908743470512</v>
          </cell>
          <cell r="CL26">
            <v>0.95234643929680241</v>
          </cell>
          <cell r="CM26">
            <v>0.95310264858672278</v>
          </cell>
          <cell r="CN26">
            <v>0.95310264858672278</v>
          </cell>
          <cell r="CO26">
            <v>0.95124362958287745</v>
          </cell>
          <cell r="CP26">
            <v>0.95080249896291869</v>
          </cell>
          <cell r="CQ26" t="e">
            <v>#DIV/0!</v>
          </cell>
          <cell r="CR26" t="e">
            <v>#DIV/0!</v>
          </cell>
          <cell r="CS26" t="e">
            <v>#DIV/0!</v>
          </cell>
        </row>
        <row r="28">
          <cell r="B28" t="str">
            <v>Leaked Revenues</v>
          </cell>
          <cell r="BN28">
            <v>4000</v>
          </cell>
          <cell r="BP28">
            <v>3000</v>
          </cell>
          <cell r="BR28">
            <v>3600</v>
          </cell>
          <cell r="BS28">
            <v>3500</v>
          </cell>
          <cell r="BT28">
            <v>3600</v>
          </cell>
          <cell r="BU28">
            <v>3000</v>
          </cell>
          <cell r="BV28">
            <v>3720</v>
          </cell>
          <cell r="BW28">
            <v>3700</v>
          </cell>
          <cell r="BX28">
            <v>3900</v>
          </cell>
          <cell r="BY28">
            <v>3500</v>
          </cell>
          <cell r="BZ28">
            <v>3700</v>
          </cell>
          <cell r="CA28">
            <v>4100</v>
          </cell>
          <cell r="CD28">
            <v>3600</v>
          </cell>
          <cell r="CF28">
            <v>3500</v>
          </cell>
          <cell r="CG28">
            <v>4200</v>
          </cell>
          <cell r="CH28">
            <v>4320</v>
          </cell>
          <cell r="CI28">
            <v>4250</v>
          </cell>
          <cell r="CK28">
            <v>3915.0579999999973</v>
          </cell>
          <cell r="CN28">
            <v>4400</v>
          </cell>
          <cell r="CO28">
            <v>5500</v>
          </cell>
          <cell r="CQ28">
            <v>5900</v>
          </cell>
          <cell r="CR28">
            <v>6000</v>
          </cell>
          <cell r="CS28">
            <v>5600</v>
          </cell>
          <cell r="CT28">
            <v>6064.9249999999993</v>
          </cell>
        </row>
        <row r="29">
          <cell r="B29" t="str">
            <v xml:space="preserve">  Difference</v>
          </cell>
          <cell r="BN29">
            <v>240.30400000000009</v>
          </cell>
          <cell r="BP29">
            <v>-1.3859999999999673</v>
          </cell>
          <cell r="BR29">
            <v>39.717000000000098</v>
          </cell>
          <cell r="BS29">
            <v>-113.01999999999998</v>
          </cell>
          <cell r="BT29">
            <v>70.527000000000044</v>
          </cell>
          <cell r="BU29">
            <v>7.2640000000001237</v>
          </cell>
          <cell r="BV29">
            <v>202.24800000000005</v>
          </cell>
          <cell r="BW29">
            <v>-166.51800000000003</v>
          </cell>
          <cell r="BX29">
            <v>286.4970000000003</v>
          </cell>
          <cell r="BY29">
            <v>120.44999999999982</v>
          </cell>
          <cell r="BZ29">
            <v>75.806999999999789</v>
          </cell>
          <cell r="CA29">
            <v>236.73199999999997</v>
          </cell>
          <cell r="CD29">
            <v>46.425000000000182</v>
          </cell>
          <cell r="CF29">
            <v>0.32700000000022555</v>
          </cell>
          <cell r="CG29">
            <v>98.412000000000262</v>
          </cell>
          <cell r="CH29">
            <v>232.81800000000021</v>
          </cell>
          <cell r="CI29">
            <v>140.88100000000031</v>
          </cell>
          <cell r="CK29">
            <v>11.414000000002943</v>
          </cell>
        </row>
        <row r="30">
          <cell r="B30" t="str">
            <v>Leaked Growth</v>
          </cell>
          <cell r="BT30">
            <v>0.1</v>
          </cell>
          <cell r="BU30">
            <v>0.04</v>
          </cell>
          <cell r="BV30">
            <v>0.16</v>
          </cell>
          <cell r="BW30">
            <v>0.4</v>
          </cell>
          <cell r="BX30">
            <v>0.15</v>
          </cell>
          <cell r="BY30">
            <v>0.1</v>
          </cell>
          <cell r="BZ30">
            <v>-0.12</v>
          </cell>
          <cell r="CA30">
            <v>0.15</v>
          </cell>
          <cell r="CD30">
            <v>0</v>
          </cell>
          <cell r="CE30">
            <v>0.15</v>
          </cell>
          <cell r="CF30">
            <v>0</v>
          </cell>
          <cell r="CK30">
            <v>8.1373309947657679E-2</v>
          </cell>
          <cell r="CL30">
            <v>0.16500000000000001</v>
          </cell>
          <cell r="CN30">
            <v>0.3401314547126939</v>
          </cell>
          <cell r="CO30">
            <v>0.37826165620941965</v>
          </cell>
          <cell r="CP30">
            <v>-1</v>
          </cell>
          <cell r="CQ30">
            <v>0.57274869022022212</v>
          </cell>
          <cell r="CR30">
            <v>0.71412556598283516</v>
          </cell>
          <cell r="CS30">
            <v>0.30280671094348333</v>
          </cell>
          <cell r="CT30">
            <v>0.33212550995888668</v>
          </cell>
        </row>
        <row r="31">
          <cell r="B31" t="str">
            <v xml:space="preserve">  Difference</v>
          </cell>
          <cell r="BZ31">
            <v>1.0456674804447896E-2</v>
          </cell>
          <cell r="CA31">
            <v>3.2105034764812773E-2</v>
          </cell>
          <cell r="CD31">
            <v>1.8430004310774351E-3</v>
          </cell>
          <cell r="CE31">
            <v>-4.240739537877411E-2</v>
          </cell>
          <cell r="CF31">
            <v>-4.6369363309410327E-2</v>
          </cell>
          <cell r="CK31">
            <v>3.1526467704299233E-3</v>
          </cell>
          <cell r="CL31">
            <v>1.9151891238085056E-2</v>
          </cell>
          <cell r="CO31">
            <v>6.0277647051747874E-2</v>
          </cell>
          <cell r="CP31">
            <v>1.3160884976380975</v>
          </cell>
          <cell r="CQ31">
            <v>-7.3252769503784343E-4</v>
          </cell>
          <cell r="CR31">
            <v>4.8566891036161408E-5</v>
          </cell>
          <cell r="CS31">
            <v>3.1384846310683834E-2</v>
          </cell>
          <cell r="CT31">
            <v>-0.33212550995888668</v>
          </cell>
        </row>
        <row r="33">
          <cell r="B33" t="str">
            <v>Establishments</v>
          </cell>
        </row>
        <row r="34">
          <cell r="B34" t="str">
            <v>Grand Total</v>
          </cell>
          <cell r="K34">
            <v>74</v>
          </cell>
          <cell r="L34">
            <v>74</v>
          </cell>
          <cell r="M34">
            <v>74</v>
          </cell>
          <cell r="N34">
            <v>74</v>
          </cell>
          <cell r="O34">
            <v>72</v>
          </cell>
          <cell r="P34">
            <v>72</v>
          </cell>
          <cell r="Q34">
            <v>72</v>
          </cell>
          <cell r="R34">
            <v>72</v>
          </cell>
          <cell r="S34">
            <v>72</v>
          </cell>
          <cell r="T34">
            <v>72</v>
          </cell>
          <cell r="U34">
            <v>72</v>
          </cell>
          <cell r="V34">
            <v>72</v>
          </cell>
          <cell r="W34">
            <v>71</v>
          </cell>
          <cell r="X34">
            <v>71</v>
          </cell>
          <cell r="Y34">
            <v>71</v>
          </cell>
          <cell r="Z34">
            <v>71</v>
          </cell>
          <cell r="AA34">
            <v>72</v>
          </cell>
          <cell r="AB34">
            <v>69</v>
          </cell>
          <cell r="AC34">
            <v>69</v>
          </cell>
          <cell r="AD34">
            <v>71</v>
          </cell>
          <cell r="AE34">
            <v>70</v>
          </cell>
          <cell r="AF34">
            <v>70</v>
          </cell>
          <cell r="AG34">
            <v>70</v>
          </cell>
          <cell r="AH34">
            <v>70</v>
          </cell>
          <cell r="AI34">
            <v>70</v>
          </cell>
          <cell r="AJ34">
            <v>69</v>
          </cell>
          <cell r="AK34">
            <v>69</v>
          </cell>
          <cell r="AL34">
            <v>69</v>
          </cell>
          <cell r="AM34">
            <v>69</v>
          </cell>
          <cell r="AN34">
            <v>69</v>
          </cell>
          <cell r="AO34">
            <v>67</v>
          </cell>
          <cell r="AP34">
            <v>67</v>
          </cell>
          <cell r="AQ34">
            <v>67</v>
          </cell>
          <cell r="AR34">
            <v>67</v>
          </cell>
          <cell r="AS34">
            <v>68</v>
          </cell>
          <cell r="AT34">
            <v>68</v>
          </cell>
          <cell r="AU34">
            <v>68</v>
          </cell>
          <cell r="AV34">
            <v>68</v>
          </cell>
          <cell r="AW34">
            <v>68</v>
          </cell>
          <cell r="AX34">
            <v>67</v>
          </cell>
          <cell r="AY34">
            <v>67</v>
          </cell>
          <cell r="AZ34">
            <v>67</v>
          </cell>
          <cell r="BA34">
            <v>67</v>
          </cell>
          <cell r="BB34">
            <v>68</v>
          </cell>
          <cell r="BC34">
            <v>68</v>
          </cell>
          <cell r="BD34">
            <v>69</v>
          </cell>
          <cell r="BE34">
            <v>69</v>
          </cell>
          <cell r="BF34">
            <v>70</v>
          </cell>
          <cell r="BG34">
            <v>69</v>
          </cell>
          <cell r="BH34">
            <v>70</v>
          </cell>
          <cell r="BI34">
            <v>70</v>
          </cell>
          <cell r="BJ34">
            <v>70</v>
          </cell>
          <cell r="BK34">
            <v>70</v>
          </cell>
          <cell r="BL34">
            <v>70</v>
          </cell>
          <cell r="BM34">
            <v>70</v>
          </cell>
          <cell r="BN34">
            <v>72</v>
          </cell>
          <cell r="BO34">
            <v>72</v>
          </cell>
          <cell r="BP34">
            <v>70</v>
          </cell>
          <cell r="BQ34">
            <v>68</v>
          </cell>
          <cell r="BR34">
            <v>68</v>
          </cell>
          <cell r="BS34">
            <v>70</v>
          </cell>
          <cell r="BT34">
            <v>72</v>
          </cell>
          <cell r="BU34">
            <v>74</v>
          </cell>
          <cell r="BV34">
            <v>75</v>
          </cell>
          <cell r="BW34">
            <v>75</v>
          </cell>
          <cell r="BX34">
            <v>75</v>
          </cell>
          <cell r="BY34">
            <v>73</v>
          </cell>
          <cell r="BZ34">
            <v>73</v>
          </cell>
          <cell r="CA34">
            <v>73</v>
          </cell>
          <cell r="CB34">
            <v>73</v>
          </cell>
          <cell r="CC34">
            <v>73</v>
          </cell>
          <cell r="CD34">
            <v>75</v>
          </cell>
          <cell r="CE34">
            <v>75</v>
          </cell>
          <cell r="CF34">
            <v>76</v>
          </cell>
          <cell r="CG34">
            <v>77</v>
          </cell>
          <cell r="CH34">
            <v>77</v>
          </cell>
          <cell r="CI34">
            <v>77</v>
          </cell>
          <cell r="CJ34">
            <v>77</v>
          </cell>
          <cell r="CK34">
            <v>78</v>
          </cell>
          <cell r="CL34">
            <v>78</v>
          </cell>
          <cell r="CM34">
            <v>78</v>
          </cell>
          <cell r="CN34">
            <v>79</v>
          </cell>
          <cell r="CO34">
            <v>79</v>
          </cell>
          <cell r="CP34">
            <v>80</v>
          </cell>
          <cell r="CQ34">
            <v>80</v>
          </cell>
          <cell r="CR34">
            <v>81</v>
          </cell>
          <cell r="CS34">
            <v>81</v>
          </cell>
        </row>
        <row r="35">
          <cell r="B35" t="str">
            <v>Hotel Total</v>
          </cell>
          <cell r="K35">
            <v>40</v>
          </cell>
          <cell r="L35">
            <v>40</v>
          </cell>
          <cell r="M35">
            <v>39</v>
          </cell>
          <cell r="N35">
            <v>39</v>
          </cell>
          <cell r="O35">
            <v>38</v>
          </cell>
          <cell r="P35">
            <v>38</v>
          </cell>
          <cell r="Q35">
            <v>38</v>
          </cell>
          <cell r="R35">
            <v>38</v>
          </cell>
          <cell r="S35">
            <v>38</v>
          </cell>
          <cell r="T35">
            <v>38</v>
          </cell>
          <cell r="U35">
            <v>38</v>
          </cell>
          <cell r="V35">
            <v>38</v>
          </cell>
          <cell r="W35">
            <v>38</v>
          </cell>
          <cell r="X35">
            <v>38</v>
          </cell>
          <cell r="Y35">
            <v>38</v>
          </cell>
          <cell r="Z35">
            <v>38</v>
          </cell>
          <cell r="AA35">
            <v>38</v>
          </cell>
          <cell r="AB35">
            <v>37</v>
          </cell>
          <cell r="AC35">
            <v>36</v>
          </cell>
          <cell r="AD35">
            <v>37</v>
          </cell>
          <cell r="AE35">
            <v>37</v>
          </cell>
          <cell r="AF35">
            <v>37</v>
          </cell>
          <cell r="AG35">
            <v>37</v>
          </cell>
          <cell r="AH35">
            <v>37</v>
          </cell>
          <cell r="AI35">
            <v>37</v>
          </cell>
          <cell r="AJ35">
            <v>36</v>
          </cell>
          <cell r="AK35">
            <v>36</v>
          </cell>
          <cell r="AL35">
            <v>36</v>
          </cell>
          <cell r="AM35">
            <v>36</v>
          </cell>
          <cell r="AN35">
            <v>36</v>
          </cell>
          <cell r="AO35">
            <v>34</v>
          </cell>
          <cell r="AP35">
            <v>34</v>
          </cell>
          <cell r="AQ35">
            <v>34</v>
          </cell>
          <cell r="AR35">
            <v>34</v>
          </cell>
          <cell r="AS35">
            <v>35</v>
          </cell>
          <cell r="AT35">
            <v>35</v>
          </cell>
          <cell r="AU35">
            <v>35</v>
          </cell>
          <cell r="AV35">
            <v>35</v>
          </cell>
          <cell r="AW35">
            <v>35</v>
          </cell>
          <cell r="AX35">
            <v>34</v>
          </cell>
          <cell r="AY35">
            <v>34</v>
          </cell>
          <cell r="AZ35">
            <v>34</v>
          </cell>
          <cell r="BA35">
            <v>34</v>
          </cell>
          <cell r="BB35">
            <v>35</v>
          </cell>
          <cell r="BC35">
            <v>35</v>
          </cell>
          <cell r="BD35">
            <v>36</v>
          </cell>
          <cell r="BE35">
            <v>36</v>
          </cell>
          <cell r="BF35">
            <v>37</v>
          </cell>
          <cell r="BG35">
            <v>37</v>
          </cell>
          <cell r="BH35">
            <v>37</v>
          </cell>
          <cell r="BI35">
            <v>37</v>
          </cell>
          <cell r="BJ35">
            <v>37</v>
          </cell>
          <cell r="BK35">
            <v>37</v>
          </cell>
          <cell r="BL35">
            <v>37</v>
          </cell>
          <cell r="BM35">
            <v>37</v>
          </cell>
          <cell r="BN35">
            <v>39</v>
          </cell>
          <cell r="BO35">
            <v>39</v>
          </cell>
          <cell r="BP35">
            <v>38</v>
          </cell>
          <cell r="BQ35">
            <v>38</v>
          </cell>
          <cell r="BR35">
            <v>38</v>
          </cell>
          <cell r="BS35">
            <v>39</v>
          </cell>
          <cell r="BT35">
            <v>41</v>
          </cell>
          <cell r="BU35">
            <v>42</v>
          </cell>
          <cell r="BV35">
            <v>43</v>
          </cell>
          <cell r="BW35">
            <v>43</v>
          </cell>
          <cell r="BX35">
            <v>43</v>
          </cell>
          <cell r="BY35">
            <v>42</v>
          </cell>
          <cell r="BZ35">
            <v>42</v>
          </cell>
          <cell r="CA35">
            <v>42</v>
          </cell>
          <cell r="CB35">
            <v>42</v>
          </cell>
          <cell r="CC35">
            <v>42</v>
          </cell>
          <cell r="CD35">
            <v>44</v>
          </cell>
          <cell r="CE35">
            <v>44</v>
          </cell>
          <cell r="CF35">
            <v>45</v>
          </cell>
          <cell r="CG35">
            <v>46</v>
          </cell>
          <cell r="CH35">
            <v>46</v>
          </cell>
          <cell r="CI35">
            <v>46</v>
          </cell>
          <cell r="CJ35">
            <v>46</v>
          </cell>
          <cell r="CK35">
            <v>47</v>
          </cell>
          <cell r="CL35">
            <v>47</v>
          </cell>
          <cell r="CM35">
            <v>47</v>
          </cell>
          <cell r="CN35">
            <v>48</v>
          </cell>
          <cell r="CO35">
            <v>48</v>
          </cell>
          <cell r="CP35">
            <v>49</v>
          </cell>
          <cell r="CQ35">
            <v>49</v>
          </cell>
          <cell r="CR35">
            <v>50</v>
          </cell>
          <cell r="CS35">
            <v>50</v>
          </cell>
        </row>
        <row r="36">
          <cell r="B36" t="str">
            <v>5-star hotels</v>
          </cell>
          <cell r="K36">
            <v>8</v>
          </cell>
          <cell r="L36">
            <v>8</v>
          </cell>
          <cell r="M36">
            <v>8</v>
          </cell>
          <cell r="N36">
            <v>8</v>
          </cell>
          <cell r="O36">
            <v>8</v>
          </cell>
          <cell r="P36">
            <v>8</v>
          </cell>
          <cell r="Q36">
            <v>8</v>
          </cell>
          <cell r="R36">
            <v>8</v>
          </cell>
          <cell r="S36">
            <v>8</v>
          </cell>
          <cell r="T36">
            <v>8</v>
          </cell>
          <cell r="U36">
            <v>8</v>
          </cell>
          <cell r="V36">
            <v>8</v>
          </cell>
          <cell r="W36">
            <v>8</v>
          </cell>
          <cell r="X36">
            <v>8</v>
          </cell>
          <cell r="Y36">
            <v>8</v>
          </cell>
          <cell r="Z36">
            <v>8</v>
          </cell>
          <cell r="AA36">
            <v>8</v>
          </cell>
          <cell r="AB36">
            <v>8</v>
          </cell>
          <cell r="AC36">
            <v>8</v>
          </cell>
          <cell r="AD36">
            <v>8</v>
          </cell>
          <cell r="AE36">
            <v>8</v>
          </cell>
          <cell r="AF36">
            <v>8</v>
          </cell>
          <cell r="AG36">
            <v>8</v>
          </cell>
          <cell r="AH36">
            <v>8</v>
          </cell>
          <cell r="AI36">
            <v>8</v>
          </cell>
          <cell r="AJ36">
            <v>8</v>
          </cell>
          <cell r="AK36">
            <v>8</v>
          </cell>
          <cell r="AL36">
            <v>8</v>
          </cell>
          <cell r="AM36">
            <v>8</v>
          </cell>
          <cell r="AN36">
            <v>8</v>
          </cell>
          <cell r="AO36">
            <v>8</v>
          </cell>
          <cell r="AP36">
            <v>8</v>
          </cell>
          <cell r="AQ36">
            <v>8</v>
          </cell>
          <cell r="AR36">
            <v>8</v>
          </cell>
          <cell r="AS36">
            <v>8</v>
          </cell>
          <cell r="AT36">
            <v>8</v>
          </cell>
          <cell r="AU36">
            <v>8</v>
          </cell>
          <cell r="AV36">
            <v>8</v>
          </cell>
          <cell r="AW36">
            <v>8</v>
          </cell>
          <cell r="AX36">
            <v>8</v>
          </cell>
          <cell r="AY36">
            <v>8</v>
          </cell>
          <cell r="AZ36">
            <v>8</v>
          </cell>
          <cell r="BA36">
            <v>8</v>
          </cell>
          <cell r="BB36">
            <v>8</v>
          </cell>
          <cell r="BC36">
            <v>8</v>
          </cell>
          <cell r="BD36">
            <v>8</v>
          </cell>
          <cell r="BE36">
            <v>8</v>
          </cell>
          <cell r="BF36">
            <v>9</v>
          </cell>
          <cell r="BG36">
            <v>9</v>
          </cell>
          <cell r="BH36">
            <v>9</v>
          </cell>
          <cell r="BI36">
            <v>9</v>
          </cell>
          <cell r="BJ36">
            <v>9</v>
          </cell>
          <cell r="BK36">
            <v>9</v>
          </cell>
          <cell r="BL36">
            <v>9</v>
          </cell>
          <cell r="BM36">
            <v>9</v>
          </cell>
          <cell r="BN36">
            <v>9</v>
          </cell>
          <cell r="BO36">
            <v>9</v>
          </cell>
          <cell r="BP36">
            <v>9</v>
          </cell>
          <cell r="BQ36">
            <v>9</v>
          </cell>
          <cell r="BR36">
            <v>9</v>
          </cell>
          <cell r="BS36">
            <v>9</v>
          </cell>
          <cell r="BT36">
            <v>9</v>
          </cell>
          <cell r="BU36">
            <v>9</v>
          </cell>
          <cell r="BV36">
            <v>9</v>
          </cell>
          <cell r="BW36">
            <v>9</v>
          </cell>
          <cell r="BX36">
            <v>9</v>
          </cell>
          <cell r="BY36">
            <v>9</v>
          </cell>
          <cell r="BZ36">
            <v>9</v>
          </cell>
          <cell r="CA36">
            <v>9</v>
          </cell>
          <cell r="CB36">
            <v>9</v>
          </cell>
          <cell r="CC36">
            <v>9</v>
          </cell>
          <cell r="CD36">
            <v>9</v>
          </cell>
          <cell r="CE36">
            <v>9</v>
          </cell>
          <cell r="CF36">
            <v>9</v>
          </cell>
          <cell r="CG36">
            <v>9</v>
          </cell>
          <cell r="CH36">
            <v>9</v>
          </cell>
          <cell r="CI36">
            <v>9</v>
          </cell>
          <cell r="CJ36">
            <v>9</v>
          </cell>
          <cell r="CK36">
            <v>10</v>
          </cell>
          <cell r="CL36">
            <v>9</v>
          </cell>
          <cell r="CM36">
            <v>9</v>
          </cell>
          <cell r="CN36">
            <v>10</v>
          </cell>
          <cell r="CO36">
            <v>10</v>
          </cell>
          <cell r="CP36">
            <v>11</v>
          </cell>
          <cell r="CQ36">
            <v>11</v>
          </cell>
          <cell r="CR36">
            <v>11</v>
          </cell>
          <cell r="CS36">
            <v>11</v>
          </cell>
        </row>
        <row r="37">
          <cell r="B37" t="str">
            <v>4-star hotels</v>
          </cell>
          <cell r="K37">
            <v>8</v>
          </cell>
          <cell r="L37">
            <v>8</v>
          </cell>
          <cell r="M37">
            <v>8</v>
          </cell>
          <cell r="N37">
            <v>8</v>
          </cell>
          <cell r="O37">
            <v>8</v>
          </cell>
          <cell r="P37">
            <v>8</v>
          </cell>
          <cell r="Q37">
            <v>8</v>
          </cell>
          <cell r="R37">
            <v>8</v>
          </cell>
          <cell r="S37">
            <v>8</v>
          </cell>
          <cell r="T37">
            <v>8</v>
          </cell>
          <cell r="U37">
            <v>8</v>
          </cell>
          <cell r="V37">
            <v>9</v>
          </cell>
          <cell r="W37">
            <v>9</v>
          </cell>
          <cell r="X37">
            <v>9</v>
          </cell>
          <cell r="Y37">
            <v>9</v>
          </cell>
          <cell r="Z37">
            <v>9</v>
          </cell>
          <cell r="AA37">
            <v>9</v>
          </cell>
          <cell r="AB37">
            <v>9</v>
          </cell>
          <cell r="AC37">
            <v>8</v>
          </cell>
          <cell r="AD37">
            <v>9</v>
          </cell>
          <cell r="AE37">
            <v>9</v>
          </cell>
          <cell r="AF37">
            <v>9</v>
          </cell>
          <cell r="AG37">
            <v>9</v>
          </cell>
          <cell r="AH37">
            <v>9</v>
          </cell>
          <cell r="AI37">
            <v>9</v>
          </cell>
          <cell r="AJ37">
            <v>9</v>
          </cell>
          <cell r="AK37">
            <v>9</v>
          </cell>
          <cell r="AL37">
            <v>9</v>
          </cell>
          <cell r="AM37">
            <v>9</v>
          </cell>
          <cell r="AN37">
            <v>9</v>
          </cell>
          <cell r="AO37">
            <v>9</v>
          </cell>
          <cell r="AP37">
            <v>9</v>
          </cell>
          <cell r="AQ37">
            <v>9</v>
          </cell>
          <cell r="AR37">
            <v>9</v>
          </cell>
          <cell r="AS37">
            <v>9</v>
          </cell>
          <cell r="AT37">
            <v>9</v>
          </cell>
          <cell r="AU37">
            <v>9</v>
          </cell>
          <cell r="AV37">
            <v>9</v>
          </cell>
          <cell r="AW37">
            <v>9</v>
          </cell>
          <cell r="AX37">
            <v>9</v>
          </cell>
          <cell r="AY37">
            <v>9</v>
          </cell>
          <cell r="AZ37">
            <v>9</v>
          </cell>
          <cell r="BA37">
            <v>9</v>
          </cell>
          <cell r="BB37">
            <v>9</v>
          </cell>
          <cell r="BC37">
            <v>9</v>
          </cell>
          <cell r="BD37">
            <v>9</v>
          </cell>
          <cell r="BE37">
            <v>9</v>
          </cell>
          <cell r="BF37">
            <v>9</v>
          </cell>
          <cell r="BG37">
            <v>9</v>
          </cell>
          <cell r="BH37">
            <v>9</v>
          </cell>
          <cell r="BI37">
            <v>9</v>
          </cell>
          <cell r="BJ37">
            <v>9</v>
          </cell>
          <cell r="BK37">
            <v>9</v>
          </cell>
          <cell r="BL37">
            <v>9</v>
          </cell>
          <cell r="BM37">
            <v>9</v>
          </cell>
          <cell r="BN37">
            <v>9</v>
          </cell>
          <cell r="BO37">
            <v>9</v>
          </cell>
          <cell r="BP37">
            <v>9</v>
          </cell>
          <cell r="BQ37">
            <v>9</v>
          </cell>
          <cell r="BR37">
            <v>9</v>
          </cell>
          <cell r="BS37">
            <v>9</v>
          </cell>
          <cell r="BT37">
            <v>10</v>
          </cell>
          <cell r="BU37">
            <v>10</v>
          </cell>
          <cell r="BV37">
            <v>11</v>
          </cell>
          <cell r="BW37">
            <v>11</v>
          </cell>
          <cell r="BX37">
            <v>11</v>
          </cell>
          <cell r="BY37">
            <v>10</v>
          </cell>
          <cell r="BZ37">
            <v>10</v>
          </cell>
          <cell r="CA37">
            <v>10</v>
          </cell>
          <cell r="CB37">
            <v>10</v>
          </cell>
          <cell r="CC37">
            <v>10</v>
          </cell>
          <cell r="CD37">
            <v>11</v>
          </cell>
          <cell r="CE37">
            <v>11</v>
          </cell>
          <cell r="CF37">
            <v>11</v>
          </cell>
          <cell r="CG37">
            <v>12</v>
          </cell>
          <cell r="CH37">
            <v>12</v>
          </cell>
          <cell r="CI37">
            <v>12</v>
          </cell>
          <cell r="CJ37">
            <v>12</v>
          </cell>
          <cell r="CK37">
            <v>12</v>
          </cell>
          <cell r="CL37">
            <v>12</v>
          </cell>
          <cell r="CM37">
            <v>12</v>
          </cell>
          <cell r="CN37">
            <v>12</v>
          </cell>
          <cell r="CO37">
            <v>12</v>
          </cell>
          <cell r="CP37">
            <v>12</v>
          </cell>
          <cell r="CQ37">
            <v>12</v>
          </cell>
          <cell r="CR37">
            <v>12</v>
          </cell>
          <cell r="CS37">
            <v>12</v>
          </cell>
        </row>
        <row r="38">
          <cell r="B38" t="str">
            <v>3-star hotels</v>
          </cell>
          <cell r="K38">
            <v>10</v>
          </cell>
          <cell r="L38">
            <v>10</v>
          </cell>
          <cell r="M38">
            <v>9</v>
          </cell>
          <cell r="N38">
            <v>9</v>
          </cell>
          <cell r="O38">
            <v>9</v>
          </cell>
          <cell r="P38">
            <v>9</v>
          </cell>
          <cell r="Q38">
            <v>9</v>
          </cell>
          <cell r="R38">
            <v>9</v>
          </cell>
          <cell r="S38">
            <v>9</v>
          </cell>
          <cell r="T38">
            <v>9</v>
          </cell>
          <cell r="U38">
            <v>9</v>
          </cell>
          <cell r="V38">
            <v>9</v>
          </cell>
          <cell r="W38">
            <v>9</v>
          </cell>
          <cell r="X38">
            <v>9</v>
          </cell>
          <cell r="Y38">
            <v>9</v>
          </cell>
          <cell r="Z38">
            <v>9</v>
          </cell>
          <cell r="AA38">
            <v>9</v>
          </cell>
          <cell r="AB38">
            <v>8</v>
          </cell>
          <cell r="AC38">
            <v>8</v>
          </cell>
          <cell r="AD38">
            <v>8</v>
          </cell>
          <cell r="AE38">
            <v>8</v>
          </cell>
          <cell r="AF38">
            <v>8</v>
          </cell>
          <cell r="AG38">
            <v>8</v>
          </cell>
          <cell r="AH38">
            <v>8</v>
          </cell>
          <cell r="AI38">
            <v>8</v>
          </cell>
          <cell r="AJ38">
            <v>8</v>
          </cell>
          <cell r="AK38">
            <v>8</v>
          </cell>
          <cell r="AL38">
            <v>8</v>
          </cell>
          <cell r="AM38">
            <v>8</v>
          </cell>
          <cell r="AN38">
            <v>8</v>
          </cell>
          <cell r="AO38">
            <v>8</v>
          </cell>
          <cell r="AP38">
            <v>8</v>
          </cell>
          <cell r="AQ38">
            <v>8</v>
          </cell>
          <cell r="AR38">
            <v>8</v>
          </cell>
          <cell r="AS38">
            <v>8</v>
          </cell>
          <cell r="AT38">
            <v>8</v>
          </cell>
          <cell r="AU38">
            <v>8</v>
          </cell>
          <cell r="AV38">
            <v>8</v>
          </cell>
          <cell r="AW38">
            <v>8</v>
          </cell>
          <cell r="AX38">
            <v>8</v>
          </cell>
          <cell r="AY38">
            <v>8</v>
          </cell>
          <cell r="AZ38">
            <v>8</v>
          </cell>
          <cell r="BA38">
            <v>8</v>
          </cell>
          <cell r="BB38">
            <v>8</v>
          </cell>
          <cell r="BC38">
            <v>8</v>
          </cell>
          <cell r="BD38">
            <v>8</v>
          </cell>
          <cell r="BE38">
            <v>8</v>
          </cell>
          <cell r="BF38">
            <v>8</v>
          </cell>
          <cell r="BG38">
            <v>8</v>
          </cell>
          <cell r="BH38">
            <v>8</v>
          </cell>
          <cell r="BI38">
            <v>8</v>
          </cell>
          <cell r="BJ38">
            <v>8</v>
          </cell>
          <cell r="BK38">
            <v>8</v>
          </cell>
          <cell r="BL38">
            <v>8</v>
          </cell>
          <cell r="BM38">
            <v>8</v>
          </cell>
          <cell r="BN38">
            <v>9</v>
          </cell>
          <cell r="BO38">
            <v>9</v>
          </cell>
          <cell r="BP38">
            <v>8</v>
          </cell>
          <cell r="BQ38">
            <v>8</v>
          </cell>
          <cell r="BR38">
            <v>8</v>
          </cell>
          <cell r="BS38">
            <v>9</v>
          </cell>
          <cell r="BT38">
            <v>10</v>
          </cell>
          <cell r="BU38">
            <v>11</v>
          </cell>
          <cell r="BV38">
            <v>11</v>
          </cell>
          <cell r="BW38">
            <v>11</v>
          </cell>
          <cell r="BX38">
            <v>11</v>
          </cell>
          <cell r="BY38">
            <v>11</v>
          </cell>
          <cell r="BZ38">
            <v>11</v>
          </cell>
          <cell r="CA38">
            <v>11</v>
          </cell>
          <cell r="CB38">
            <v>11</v>
          </cell>
          <cell r="CC38">
            <v>11</v>
          </cell>
          <cell r="CD38">
            <v>12</v>
          </cell>
          <cell r="CE38">
            <v>12</v>
          </cell>
          <cell r="CF38">
            <v>13</v>
          </cell>
          <cell r="CG38">
            <v>13</v>
          </cell>
          <cell r="CH38">
            <v>13</v>
          </cell>
          <cell r="CI38">
            <v>13</v>
          </cell>
          <cell r="CJ38">
            <v>13</v>
          </cell>
          <cell r="CK38">
            <v>13</v>
          </cell>
          <cell r="CL38">
            <v>14</v>
          </cell>
          <cell r="CM38">
            <v>14</v>
          </cell>
          <cell r="CN38">
            <v>14</v>
          </cell>
          <cell r="CO38">
            <v>14</v>
          </cell>
          <cell r="CP38">
            <v>14</v>
          </cell>
          <cell r="CQ38">
            <v>15</v>
          </cell>
          <cell r="CR38">
            <v>15</v>
          </cell>
          <cell r="CS38">
            <v>15</v>
          </cell>
        </row>
        <row r="39">
          <cell r="B39" t="str">
            <v>2-star hotels</v>
          </cell>
          <cell r="K39">
            <v>14</v>
          </cell>
          <cell r="L39">
            <v>14</v>
          </cell>
          <cell r="M39">
            <v>14</v>
          </cell>
          <cell r="N39">
            <v>14</v>
          </cell>
          <cell r="O39">
            <v>13</v>
          </cell>
          <cell r="P39">
            <v>13</v>
          </cell>
          <cell r="Q39">
            <v>13</v>
          </cell>
          <cell r="R39">
            <v>13</v>
          </cell>
          <cell r="S39">
            <v>13</v>
          </cell>
          <cell r="T39">
            <v>13</v>
          </cell>
          <cell r="U39">
            <v>13</v>
          </cell>
          <cell r="V39">
            <v>12</v>
          </cell>
          <cell r="W39">
            <v>12</v>
          </cell>
          <cell r="X39">
            <v>12</v>
          </cell>
          <cell r="Y39">
            <v>12</v>
          </cell>
          <cell r="Z39">
            <v>12</v>
          </cell>
          <cell r="AA39">
            <v>12</v>
          </cell>
          <cell r="AB39">
            <v>12</v>
          </cell>
          <cell r="AC39">
            <v>12</v>
          </cell>
          <cell r="AD39">
            <v>12</v>
          </cell>
          <cell r="AE39">
            <v>12</v>
          </cell>
          <cell r="AF39">
            <v>12</v>
          </cell>
          <cell r="AG39">
            <v>12</v>
          </cell>
          <cell r="AH39">
            <v>12</v>
          </cell>
          <cell r="AI39">
            <v>12</v>
          </cell>
          <cell r="AJ39">
            <v>11</v>
          </cell>
          <cell r="AK39">
            <v>11</v>
          </cell>
          <cell r="AL39">
            <v>11</v>
          </cell>
          <cell r="AM39">
            <v>11</v>
          </cell>
          <cell r="AN39">
            <v>11</v>
          </cell>
          <cell r="AO39">
            <v>9</v>
          </cell>
          <cell r="AP39">
            <v>9</v>
          </cell>
          <cell r="AQ39">
            <v>9</v>
          </cell>
          <cell r="AR39">
            <v>9</v>
          </cell>
          <cell r="AS39">
            <v>10</v>
          </cell>
          <cell r="AT39">
            <v>10</v>
          </cell>
          <cell r="AU39">
            <v>10</v>
          </cell>
          <cell r="AV39">
            <v>10</v>
          </cell>
          <cell r="AW39">
            <v>10</v>
          </cell>
          <cell r="AX39">
            <v>9</v>
          </cell>
          <cell r="AY39">
            <v>9</v>
          </cell>
          <cell r="AZ39">
            <v>9</v>
          </cell>
          <cell r="BA39">
            <v>9</v>
          </cell>
          <cell r="BB39">
            <v>10</v>
          </cell>
          <cell r="BC39">
            <v>10</v>
          </cell>
          <cell r="BD39">
            <v>11</v>
          </cell>
          <cell r="BE39">
            <v>11</v>
          </cell>
          <cell r="BF39">
            <v>11</v>
          </cell>
          <cell r="BG39">
            <v>11</v>
          </cell>
          <cell r="BH39">
            <v>11</v>
          </cell>
          <cell r="BI39">
            <v>11</v>
          </cell>
          <cell r="BJ39">
            <v>11</v>
          </cell>
          <cell r="BK39">
            <v>11</v>
          </cell>
          <cell r="BL39">
            <v>11</v>
          </cell>
          <cell r="BM39">
            <v>11</v>
          </cell>
          <cell r="BN39">
            <v>12</v>
          </cell>
          <cell r="BO39">
            <v>12</v>
          </cell>
          <cell r="BP39">
            <v>12</v>
          </cell>
          <cell r="BQ39">
            <v>12</v>
          </cell>
          <cell r="BR39">
            <v>12</v>
          </cell>
          <cell r="BS39">
            <v>12</v>
          </cell>
          <cell r="BT39">
            <v>12</v>
          </cell>
          <cell r="BU39">
            <v>12</v>
          </cell>
          <cell r="BV39">
            <v>12</v>
          </cell>
          <cell r="BW39">
            <v>12</v>
          </cell>
          <cell r="BX39">
            <v>12</v>
          </cell>
          <cell r="BY39">
            <v>12</v>
          </cell>
          <cell r="BZ39">
            <v>12</v>
          </cell>
          <cell r="CA39">
            <v>12</v>
          </cell>
          <cell r="CB39">
            <v>12</v>
          </cell>
          <cell r="CC39">
            <v>12</v>
          </cell>
          <cell r="CD39">
            <v>12</v>
          </cell>
          <cell r="CE39">
            <v>12</v>
          </cell>
          <cell r="CF39">
            <v>12</v>
          </cell>
          <cell r="CG39">
            <v>12</v>
          </cell>
          <cell r="CH39">
            <v>12</v>
          </cell>
          <cell r="CI39">
            <v>12</v>
          </cell>
          <cell r="CJ39">
            <v>12</v>
          </cell>
          <cell r="CK39">
            <v>12</v>
          </cell>
          <cell r="CL39">
            <v>12</v>
          </cell>
          <cell r="CM39">
            <v>12</v>
          </cell>
          <cell r="CN39">
            <v>12</v>
          </cell>
          <cell r="CO39">
            <v>12</v>
          </cell>
          <cell r="CP39">
            <v>12</v>
          </cell>
          <cell r="CQ39">
            <v>11</v>
          </cell>
          <cell r="CR39">
            <v>12</v>
          </cell>
          <cell r="CS39">
            <v>12</v>
          </cell>
        </row>
        <row r="40">
          <cell r="B40" t="str">
            <v>Guest-houses</v>
          </cell>
          <cell r="K40">
            <v>34</v>
          </cell>
          <cell r="L40">
            <v>34</v>
          </cell>
          <cell r="M40">
            <v>35</v>
          </cell>
          <cell r="N40">
            <v>35</v>
          </cell>
          <cell r="O40">
            <v>34</v>
          </cell>
          <cell r="P40">
            <v>34</v>
          </cell>
          <cell r="Q40">
            <v>34</v>
          </cell>
          <cell r="R40">
            <v>34</v>
          </cell>
          <cell r="S40">
            <v>34</v>
          </cell>
          <cell r="T40">
            <v>34</v>
          </cell>
          <cell r="U40">
            <v>34</v>
          </cell>
          <cell r="V40">
            <v>34</v>
          </cell>
          <cell r="W40">
            <v>33</v>
          </cell>
          <cell r="X40">
            <v>33</v>
          </cell>
          <cell r="Y40">
            <v>33</v>
          </cell>
          <cell r="Z40">
            <v>33</v>
          </cell>
          <cell r="AA40">
            <v>34</v>
          </cell>
          <cell r="AB40">
            <v>32</v>
          </cell>
          <cell r="AC40">
            <v>33</v>
          </cell>
          <cell r="AD40">
            <v>34</v>
          </cell>
          <cell r="AE40">
            <v>33</v>
          </cell>
          <cell r="AF40">
            <v>33</v>
          </cell>
          <cell r="AG40">
            <v>33</v>
          </cell>
          <cell r="AH40">
            <v>33</v>
          </cell>
          <cell r="AI40">
            <v>33</v>
          </cell>
          <cell r="AJ40">
            <v>33</v>
          </cell>
          <cell r="AK40">
            <v>33</v>
          </cell>
          <cell r="AL40">
            <v>33</v>
          </cell>
          <cell r="AM40">
            <v>33</v>
          </cell>
          <cell r="AN40">
            <v>33</v>
          </cell>
          <cell r="AO40">
            <v>33</v>
          </cell>
          <cell r="AP40">
            <v>33</v>
          </cell>
          <cell r="AQ40">
            <v>33</v>
          </cell>
          <cell r="AR40">
            <v>33</v>
          </cell>
          <cell r="AS40">
            <v>33</v>
          </cell>
          <cell r="AT40">
            <v>33</v>
          </cell>
          <cell r="AU40">
            <v>33</v>
          </cell>
          <cell r="AV40">
            <v>33</v>
          </cell>
          <cell r="AW40">
            <v>33</v>
          </cell>
          <cell r="AX40">
            <v>33</v>
          </cell>
          <cell r="AY40">
            <v>33</v>
          </cell>
          <cell r="AZ40">
            <v>33</v>
          </cell>
          <cell r="BA40">
            <v>33</v>
          </cell>
          <cell r="BB40">
            <v>33</v>
          </cell>
          <cell r="BC40">
            <v>33</v>
          </cell>
          <cell r="BD40">
            <v>33</v>
          </cell>
          <cell r="BE40">
            <v>33</v>
          </cell>
          <cell r="BF40">
            <v>33</v>
          </cell>
          <cell r="BG40">
            <v>32</v>
          </cell>
          <cell r="BH40">
            <v>33</v>
          </cell>
          <cell r="BI40">
            <v>33</v>
          </cell>
          <cell r="BJ40">
            <v>33</v>
          </cell>
          <cell r="BK40">
            <v>33</v>
          </cell>
          <cell r="BL40">
            <v>33</v>
          </cell>
          <cell r="BM40">
            <v>33</v>
          </cell>
          <cell r="BN40">
            <v>33</v>
          </cell>
          <cell r="BO40">
            <v>33</v>
          </cell>
          <cell r="BP40">
            <v>32</v>
          </cell>
          <cell r="BQ40">
            <v>30</v>
          </cell>
          <cell r="BR40">
            <v>30</v>
          </cell>
          <cell r="BS40">
            <v>31</v>
          </cell>
          <cell r="BT40">
            <v>31</v>
          </cell>
          <cell r="BU40">
            <v>32</v>
          </cell>
          <cell r="BV40">
            <v>32</v>
          </cell>
          <cell r="BW40">
            <v>32</v>
          </cell>
          <cell r="BX40">
            <v>32</v>
          </cell>
          <cell r="BY40">
            <v>31</v>
          </cell>
          <cell r="BZ40">
            <v>31</v>
          </cell>
          <cell r="CA40">
            <v>31</v>
          </cell>
          <cell r="CB40">
            <v>31</v>
          </cell>
          <cell r="CC40">
            <v>31</v>
          </cell>
          <cell r="CD40">
            <v>31</v>
          </cell>
          <cell r="CE40">
            <v>31</v>
          </cell>
          <cell r="CF40">
            <v>31</v>
          </cell>
          <cell r="CG40">
            <v>31</v>
          </cell>
          <cell r="CH40">
            <v>31</v>
          </cell>
          <cell r="CI40">
            <v>31</v>
          </cell>
          <cell r="CJ40">
            <v>31</v>
          </cell>
          <cell r="CK40">
            <v>31</v>
          </cell>
          <cell r="CL40">
            <v>31</v>
          </cell>
          <cell r="CM40">
            <v>31</v>
          </cell>
          <cell r="CN40">
            <v>31</v>
          </cell>
          <cell r="CO40">
            <v>31</v>
          </cell>
          <cell r="CP40">
            <v>31</v>
          </cell>
          <cell r="CQ40">
            <v>31</v>
          </cell>
          <cell r="CR40">
            <v>31</v>
          </cell>
          <cell r="CS40">
            <v>31</v>
          </cell>
        </row>
        <row r="41">
          <cell r="B41" t="str">
            <v>Total % Change</v>
          </cell>
          <cell r="X41">
            <v>-4.0540540540540571E-2</v>
          </cell>
          <cell r="Y41">
            <v>-4.0540540540540571E-2</v>
          </cell>
          <cell r="Z41">
            <v>-4.0540540540540571E-2</v>
          </cell>
          <cell r="AA41">
            <v>0</v>
          </cell>
          <cell r="AB41">
            <v>-4.166666666666663E-2</v>
          </cell>
          <cell r="AC41">
            <v>-4.166666666666663E-2</v>
          </cell>
          <cell r="AD41">
            <v>-1.388888888888884E-2</v>
          </cell>
          <cell r="AE41">
            <v>-2.777777777777779E-2</v>
          </cell>
          <cell r="AF41">
            <v>-2.777777777777779E-2</v>
          </cell>
          <cell r="AG41">
            <v>-2.777777777777779E-2</v>
          </cell>
          <cell r="AH41">
            <v>-2.777777777777779E-2</v>
          </cell>
          <cell r="AI41">
            <v>-1.4084507042253502E-2</v>
          </cell>
          <cell r="AJ41">
            <v>-2.8169014084507005E-2</v>
          </cell>
          <cell r="AK41">
            <v>-2.8169014084507005E-2</v>
          </cell>
          <cell r="AL41">
            <v>-2.8169014084507005E-2</v>
          </cell>
          <cell r="AM41">
            <v>-4.166666666666663E-2</v>
          </cell>
          <cell r="AN41">
            <v>0</v>
          </cell>
          <cell r="AO41">
            <v>-2.8985507246376829E-2</v>
          </cell>
          <cell r="AP41">
            <v>-5.633802816901412E-2</v>
          </cell>
          <cell r="AQ41">
            <v>-4.2857142857142816E-2</v>
          </cell>
          <cell r="AR41">
            <v>-4.2857142857142816E-2</v>
          </cell>
          <cell r="AS41">
            <v>-2.8571428571428581E-2</v>
          </cell>
          <cell r="AT41">
            <v>-2.8571428571428581E-2</v>
          </cell>
          <cell r="AU41">
            <v>-2.8571428571428581E-2</v>
          </cell>
          <cell r="AV41">
            <v>-1.4492753623188359E-2</v>
          </cell>
          <cell r="AW41">
            <v>-1.4492753623188359E-2</v>
          </cell>
          <cell r="AX41">
            <v>-2.8985507246376829E-2</v>
          </cell>
          <cell r="AY41">
            <v>-2.8985507246376829E-2</v>
          </cell>
          <cell r="AZ41">
            <v>-2.8985507246376829E-2</v>
          </cell>
          <cell r="BA41">
            <v>0</v>
          </cell>
          <cell r="BB41">
            <v>1.4925373134328401E-2</v>
          </cell>
          <cell r="BC41">
            <v>1.4925373134328401E-2</v>
          </cell>
          <cell r="BD41">
            <v>2.9850746268656803E-2</v>
          </cell>
          <cell r="BE41">
            <v>1.4705882352941124E-2</v>
          </cell>
          <cell r="BF41">
            <v>2.9411764705882248E-2</v>
          </cell>
          <cell r="BG41">
            <v>1.4705882352941124E-2</v>
          </cell>
          <cell r="BH41">
            <v>2.9411764705882248E-2</v>
          </cell>
          <cell r="BI41">
            <v>2.9411764705882248E-2</v>
          </cell>
          <cell r="BJ41">
            <v>4.4776119402984982E-2</v>
          </cell>
          <cell r="BK41">
            <v>4.4776119402984982E-2</v>
          </cell>
          <cell r="BL41">
            <v>4.4776119402984982E-2</v>
          </cell>
          <cell r="BM41">
            <v>4.4776119402984982E-2</v>
          </cell>
          <cell r="BN41">
            <v>5.8823529411764719E-2</v>
          </cell>
          <cell r="BO41">
            <v>5.8823529411764719E-2</v>
          </cell>
          <cell r="BP41">
            <v>1.449275362318847E-2</v>
          </cell>
          <cell r="BQ41">
            <v>-1.4492753623188359E-2</v>
          </cell>
          <cell r="BR41">
            <v>-2.8571428571428581E-2</v>
          </cell>
          <cell r="BS41">
            <v>1.449275362318847E-2</v>
          </cell>
          <cell r="BT41">
            <v>2.857142857142847E-2</v>
          </cell>
          <cell r="BU41">
            <v>5.7142857142857162E-2</v>
          </cell>
          <cell r="BV41">
            <v>7.1428571428571397E-2</v>
          </cell>
          <cell r="BW41">
            <v>7.1428571428571397E-2</v>
          </cell>
          <cell r="BX41">
            <v>7.1428571428571397E-2</v>
          </cell>
          <cell r="BY41">
            <v>4.2857142857142927E-2</v>
          </cell>
          <cell r="BZ41">
            <v>1.388888888888884E-2</v>
          </cell>
          <cell r="CA41">
            <v>1.388888888888884E-2</v>
          </cell>
          <cell r="CB41">
            <v>4.2857142857142927E-2</v>
          </cell>
          <cell r="CC41">
            <v>7.3529411764705843E-2</v>
          </cell>
          <cell r="CD41">
            <v>0.10294117647058831</v>
          </cell>
          <cell r="CE41">
            <v>7.1428571428571397E-2</v>
          </cell>
          <cell r="CF41">
            <v>5.555555555555558E-2</v>
          </cell>
          <cell r="CG41">
            <v>4.0540540540540571E-2</v>
          </cell>
          <cell r="CH41">
            <v>2.6666666666666616E-2</v>
          </cell>
          <cell r="CI41">
            <v>2.6666666666666616E-2</v>
          </cell>
          <cell r="CJ41">
            <v>2.6666666666666616E-2</v>
          </cell>
          <cell r="CK41">
            <v>6.8493150684931559E-2</v>
          </cell>
          <cell r="CL41">
            <v>6.8493150684931559E-2</v>
          </cell>
          <cell r="CM41">
            <v>6.8493150684931559E-2</v>
          </cell>
          <cell r="CN41">
            <v>8.2191780821917915E-2</v>
          </cell>
          <cell r="CO41">
            <v>8.2191780821917915E-2</v>
          </cell>
          <cell r="CP41">
            <v>6.6666666666666652E-2</v>
          </cell>
          <cell r="CQ41">
            <v>6.6666666666666652E-2</v>
          </cell>
          <cell r="CR41">
            <v>6.578947368421062E-2</v>
          </cell>
          <cell r="CS41">
            <v>5.1948051948051965E-2</v>
          </cell>
        </row>
        <row r="43">
          <cell r="B43" t="str">
            <v>Rooms</v>
          </cell>
        </row>
        <row r="44">
          <cell r="B44" t="str">
            <v>Grand Total</v>
          </cell>
          <cell r="K44">
            <v>9431</v>
          </cell>
          <cell r="L44">
            <v>9416</v>
          </cell>
          <cell r="M44">
            <v>9440</v>
          </cell>
          <cell r="N44">
            <v>9440</v>
          </cell>
          <cell r="O44">
            <v>9317</v>
          </cell>
          <cell r="P44">
            <v>9139</v>
          </cell>
          <cell r="Q44">
            <v>9360</v>
          </cell>
          <cell r="R44">
            <v>9307</v>
          </cell>
          <cell r="S44">
            <v>9295</v>
          </cell>
          <cell r="T44">
            <v>9297</v>
          </cell>
          <cell r="U44">
            <v>9303</v>
          </cell>
          <cell r="V44">
            <v>9202</v>
          </cell>
          <cell r="W44">
            <v>9201</v>
          </cell>
          <cell r="X44">
            <v>9174</v>
          </cell>
          <cell r="Y44">
            <v>9178</v>
          </cell>
          <cell r="Z44">
            <v>9178</v>
          </cell>
          <cell r="AA44">
            <v>9201</v>
          </cell>
          <cell r="AB44">
            <v>9093</v>
          </cell>
          <cell r="AC44">
            <v>8650</v>
          </cell>
          <cell r="AD44">
            <v>9018</v>
          </cell>
          <cell r="AE44">
            <v>9019</v>
          </cell>
          <cell r="AF44">
            <v>9016</v>
          </cell>
          <cell r="AG44">
            <v>9009</v>
          </cell>
          <cell r="AH44">
            <v>9022</v>
          </cell>
          <cell r="AI44">
            <v>9030</v>
          </cell>
          <cell r="AJ44">
            <v>8936</v>
          </cell>
          <cell r="AK44">
            <v>8993</v>
          </cell>
          <cell r="AL44">
            <v>8975</v>
          </cell>
          <cell r="AM44">
            <v>8985</v>
          </cell>
          <cell r="AN44">
            <v>8955</v>
          </cell>
          <cell r="AO44">
            <v>8779</v>
          </cell>
          <cell r="AP44">
            <v>8790</v>
          </cell>
          <cell r="AQ44">
            <v>8798</v>
          </cell>
          <cell r="AR44">
            <v>8808</v>
          </cell>
          <cell r="AS44">
            <v>8946</v>
          </cell>
          <cell r="AT44">
            <v>8928</v>
          </cell>
          <cell r="AU44">
            <v>8954</v>
          </cell>
          <cell r="AV44">
            <v>8962</v>
          </cell>
          <cell r="AW44">
            <v>8943</v>
          </cell>
          <cell r="AX44">
            <v>8928</v>
          </cell>
          <cell r="AY44">
            <v>8929</v>
          </cell>
          <cell r="AZ44">
            <v>8917</v>
          </cell>
          <cell r="BA44">
            <v>8922</v>
          </cell>
          <cell r="BB44">
            <v>8805</v>
          </cell>
          <cell r="BC44">
            <v>8863</v>
          </cell>
          <cell r="BD44">
            <v>8907</v>
          </cell>
          <cell r="BE44">
            <v>8899</v>
          </cell>
          <cell r="BF44">
            <v>9178</v>
          </cell>
          <cell r="BG44">
            <v>9185</v>
          </cell>
          <cell r="BH44">
            <v>9188</v>
          </cell>
          <cell r="BI44">
            <v>9208</v>
          </cell>
          <cell r="BJ44">
            <v>9301</v>
          </cell>
          <cell r="BK44">
            <v>9318</v>
          </cell>
          <cell r="BL44">
            <v>9313</v>
          </cell>
          <cell r="BM44">
            <v>9300</v>
          </cell>
          <cell r="BN44">
            <v>9375</v>
          </cell>
          <cell r="BO44">
            <v>9281</v>
          </cell>
          <cell r="BP44">
            <v>9105</v>
          </cell>
          <cell r="BQ44">
            <v>9078</v>
          </cell>
          <cell r="BR44">
            <v>9155</v>
          </cell>
          <cell r="BS44">
            <v>9168</v>
          </cell>
          <cell r="BT44">
            <v>9901</v>
          </cell>
          <cell r="BU44">
            <v>10181</v>
          </cell>
          <cell r="BV44">
            <v>10585</v>
          </cell>
          <cell r="BW44">
            <v>10636</v>
          </cell>
          <cell r="BX44">
            <v>10454</v>
          </cell>
          <cell r="BY44">
            <v>10571</v>
          </cell>
          <cell r="BZ44">
            <v>10562</v>
          </cell>
          <cell r="CA44">
            <v>10549</v>
          </cell>
          <cell r="CB44">
            <v>10679</v>
          </cell>
          <cell r="CC44">
            <v>10635</v>
          </cell>
          <cell r="CD44">
            <v>10833</v>
          </cell>
          <cell r="CE44">
            <v>10832</v>
          </cell>
          <cell r="CF44">
            <v>11015</v>
          </cell>
          <cell r="CG44">
            <v>11041</v>
          </cell>
          <cell r="CH44">
            <v>11297</v>
          </cell>
          <cell r="CI44">
            <v>11323</v>
          </cell>
          <cell r="CJ44">
            <v>11325</v>
          </cell>
          <cell r="CK44">
            <v>11748</v>
          </cell>
          <cell r="CL44">
            <v>11792</v>
          </cell>
          <cell r="CM44">
            <v>11791</v>
          </cell>
          <cell r="CN44">
            <v>12411</v>
          </cell>
          <cell r="CO44">
            <v>12419</v>
          </cell>
          <cell r="CP44">
            <v>12693</v>
          </cell>
          <cell r="CQ44">
            <v>12978</v>
          </cell>
          <cell r="CR44">
            <v>12922</v>
          </cell>
          <cell r="CS44">
            <v>13063</v>
          </cell>
        </row>
        <row r="45">
          <cell r="B45" t="str">
            <v>Hotel Total</v>
          </cell>
          <cell r="K45">
            <v>8848</v>
          </cell>
          <cell r="L45">
            <v>8833</v>
          </cell>
          <cell r="M45">
            <v>8814</v>
          </cell>
          <cell r="N45">
            <v>8815</v>
          </cell>
          <cell r="O45">
            <v>8721</v>
          </cell>
          <cell r="P45">
            <v>8543</v>
          </cell>
          <cell r="Q45">
            <v>8766</v>
          </cell>
          <cell r="R45">
            <v>8713</v>
          </cell>
          <cell r="S45">
            <v>8700</v>
          </cell>
          <cell r="T45">
            <v>8694</v>
          </cell>
          <cell r="U45">
            <v>8700</v>
          </cell>
          <cell r="V45">
            <v>8599</v>
          </cell>
          <cell r="W45">
            <v>8611</v>
          </cell>
          <cell r="X45">
            <v>8584</v>
          </cell>
          <cell r="Y45">
            <v>8588</v>
          </cell>
          <cell r="Z45">
            <v>8588</v>
          </cell>
          <cell r="AA45">
            <v>8606</v>
          </cell>
          <cell r="AB45">
            <v>8515</v>
          </cell>
          <cell r="AC45">
            <v>8059</v>
          </cell>
          <cell r="AD45">
            <v>8437</v>
          </cell>
          <cell r="AE45">
            <v>8437</v>
          </cell>
          <cell r="AF45">
            <v>8434</v>
          </cell>
          <cell r="AG45">
            <v>8427</v>
          </cell>
          <cell r="AH45">
            <v>8432</v>
          </cell>
          <cell r="AI45">
            <v>8440</v>
          </cell>
          <cell r="AJ45">
            <v>8349</v>
          </cell>
          <cell r="AK45">
            <v>8403</v>
          </cell>
          <cell r="AL45">
            <v>8385</v>
          </cell>
          <cell r="AM45">
            <v>8395</v>
          </cell>
          <cell r="AN45">
            <v>8365</v>
          </cell>
          <cell r="AO45">
            <v>8190</v>
          </cell>
          <cell r="AP45">
            <v>8200</v>
          </cell>
          <cell r="AQ45">
            <v>8207</v>
          </cell>
          <cell r="AR45">
            <v>8215</v>
          </cell>
          <cell r="AS45">
            <v>8352</v>
          </cell>
          <cell r="AT45">
            <v>8334</v>
          </cell>
          <cell r="AU45">
            <v>8360</v>
          </cell>
          <cell r="AV45">
            <v>8366</v>
          </cell>
          <cell r="AW45">
            <v>8348</v>
          </cell>
          <cell r="AX45">
            <v>8323</v>
          </cell>
          <cell r="AY45">
            <v>8333</v>
          </cell>
          <cell r="AZ45">
            <v>8323</v>
          </cell>
          <cell r="BA45">
            <v>8328</v>
          </cell>
          <cell r="BB45">
            <v>8216</v>
          </cell>
          <cell r="BC45">
            <v>8263</v>
          </cell>
          <cell r="BD45">
            <v>8307</v>
          </cell>
          <cell r="BE45">
            <v>8305</v>
          </cell>
          <cell r="BF45">
            <v>8584</v>
          </cell>
          <cell r="BG45">
            <v>8599</v>
          </cell>
          <cell r="BH45">
            <v>8596</v>
          </cell>
          <cell r="BI45">
            <v>8615</v>
          </cell>
          <cell r="BJ45">
            <v>8708</v>
          </cell>
          <cell r="BK45">
            <v>8726</v>
          </cell>
          <cell r="BL45">
            <v>8722</v>
          </cell>
          <cell r="BM45">
            <v>8710</v>
          </cell>
          <cell r="BN45">
            <v>8786</v>
          </cell>
          <cell r="BO45">
            <v>8693</v>
          </cell>
          <cell r="BP45">
            <v>8532</v>
          </cell>
          <cell r="BQ45">
            <v>8532</v>
          </cell>
          <cell r="BR45">
            <v>8609</v>
          </cell>
          <cell r="BS45">
            <v>8608</v>
          </cell>
          <cell r="BT45">
            <v>9341</v>
          </cell>
          <cell r="BU45">
            <v>9607</v>
          </cell>
          <cell r="BV45">
            <v>10013</v>
          </cell>
          <cell r="BW45">
            <v>10067</v>
          </cell>
          <cell r="BX45">
            <v>9886</v>
          </cell>
          <cell r="BY45">
            <v>10023</v>
          </cell>
          <cell r="BZ45">
            <v>10012</v>
          </cell>
          <cell r="CA45">
            <v>9999</v>
          </cell>
          <cell r="CB45">
            <v>10128</v>
          </cell>
          <cell r="CC45">
            <v>10084</v>
          </cell>
          <cell r="CD45">
            <v>10282</v>
          </cell>
          <cell r="CE45">
            <v>10285</v>
          </cell>
          <cell r="CF45">
            <v>10464</v>
          </cell>
          <cell r="CG45">
            <v>10490</v>
          </cell>
          <cell r="CH45">
            <v>10746</v>
          </cell>
          <cell r="CI45">
            <v>10772</v>
          </cell>
          <cell r="CJ45">
            <v>10774</v>
          </cell>
          <cell r="CK45">
            <v>11197</v>
          </cell>
          <cell r="CL45">
            <v>11241</v>
          </cell>
          <cell r="CM45">
            <v>11240</v>
          </cell>
          <cell r="CN45">
            <v>11859</v>
          </cell>
          <cell r="CO45">
            <v>11860</v>
          </cell>
          <cell r="CP45">
            <v>12134</v>
          </cell>
          <cell r="CQ45">
            <v>12419</v>
          </cell>
          <cell r="CR45">
            <v>12364</v>
          </cell>
          <cell r="CS45">
            <v>12493</v>
          </cell>
        </row>
        <row r="46">
          <cell r="B46" t="str">
            <v>5-star hotels</v>
          </cell>
          <cell r="K46">
            <v>3189</v>
          </cell>
          <cell r="L46">
            <v>3179</v>
          </cell>
          <cell r="M46">
            <v>3181</v>
          </cell>
          <cell r="N46">
            <v>3182</v>
          </cell>
          <cell r="O46">
            <v>3177</v>
          </cell>
          <cell r="P46">
            <v>2954</v>
          </cell>
          <cell r="Q46">
            <v>3177</v>
          </cell>
          <cell r="R46">
            <v>3124</v>
          </cell>
          <cell r="S46">
            <v>3111</v>
          </cell>
          <cell r="T46">
            <v>3111</v>
          </cell>
          <cell r="U46">
            <v>3111</v>
          </cell>
          <cell r="V46">
            <v>3111</v>
          </cell>
          <cell r="W46">
            <v>3123</v>
          </cell>
          <cell r="X46">
            <v>3096</v>
          </cell>
          <cell r="Y46">
            <v>3100</v>
          </cell>
          <cell r="Z46">
            <v>3100</v>
          </cell>
          <cell r="AA46">
            <v>3118</v>
          </cell>
          <cell r="AB46">
            <v>3100</v>
          </cell>
          <cell r="AC46">
            <v>3091</v>
          </cell>
          <cell r="AD46">
            <v>3109</v>
          </cell>
          <cell r="AE46">
            <v>3109</v>
          </cell>
          <cell r="AF46">
            <v>3106</v>
          </cell>
          <cell r="AG46">
            <v>3099</v>
          </cell>
          <cell r="AH46">
            <v>3104</v>
          </cell>
          <cell r="AI46">
            <v>3112</v>
          </cell>
          <cell r="AJ46">
            <v>3110</v>
          </cell>
          <cell r="AK46">
            <v>3117</v>
          </cell>
          <cell r="AL46">
            <v>3099</v>
          </cell>
          <cell r="AM46">
            <v>3109</v>
          </cell>
          <cell r="AN46">
            <v>3089</v>
          </cell>
          <cell r="AO46">
            <v>3094</v>
          </cell>
          <cell r="AP46">
            <v>3104</v>
          </cell>
          <cell r="AQ46">
            <v>3111</v>
          </cell>
          <cell r="AR46">
            <v>3119</v>
          </cell>
          <cell r="AS46">
            <v>3099</v>
          </cell>
          <cell r="AT46">
            <v>3079</v>
          </cell>
          <cell r="AU46">
            <v>3104</v>
          </cell>
          <cell r="AV46">
            <v>3110</v>
          </cell>
          <cell r="AW46">
            <v>3092</v>
          </cell>
          <cell r="AX46">
            <v>3094</v>
          </cell>
          <cell r="AY46">
            <v>3104</v>
          </cell>
          <cell r="AZ46">
            <v>3094</v>
          </cell>
          <cell r="BA46">
            <v>3099</v>
          </cell>
          <cell r="BB46">
            <v>3011</v>
          </cell>
          <cell r="BC46">
            <v>3058</v>
          </cell>
          <cell r="BD46">
            <v>3058</v>
          </cell>
          <cell r="BE46">
            <v>3059</v>
          </cell>
          <cell r="BF46">
            <v>3338</v>
          </cell>
          <cell r="BG46">
            <v>3349</v>
          </cell>
          <cell r="BH46">
            <v>3346</v>
          </cell>
          <cell r="BI46">
            <v>3369</v>
          </cell>
          <cell r="BJ46">
            <v>3462</v>
          </cell>
          <cell r="BK46">
            <v>3480</v>
          </cell>
          <cell r="BL46">
            <v>3476</v>
          </cell>
          <cell r="BM46">
            <v>3464</v>
          </cell>
          <cell r="BN46">
            <v>3470</v>
          </cell>
          <cell r="BO46">
            <v>3470</v>
          </cell>
          <cell r="BP46">
            <v>3470</v>
          </cell>
          <cell r="BQ46">
            <v>3470</v>
          </cell>
          <cell r="BR46">
            <v>3470</v>
          </cell>
          <cell r="BS46">
            <v>3470</v>
          </cell>
          <cell r="BT46">
            <v>3449</v>
          </cell>
          <cell r="BU46">
            <v>3449</v>
          </cell>
          <cell r="BV46">
            <v>3449</v>
          </cell>
          <cell r="BW46">
            <v>3449</v>
          </cell>
          <cell r="BX46">
            <v>3449</v>
          </cell>
          <cell r="BY46">
            <v>3454</v>
          </cell>
          <cell r="BZ46">
            <v>3454</v>
          </cell>
          <cell r="CA46">
            <v>3449</v>
          </cell>
          <cell r="CB46">
            <v>3449</v>
          </cell>
          <cell r="CC46">
            <v>3405</v>
          </cell>
          <cell r="CD46">
            <v>3449</v>
          </cell>
          <cell r="CE46">
            <v>3452</v>
          </cell>
          <cell r="CF46">
            <v>3452</v>
          </cell>
          <cell r="CG46">
            <v>3452</v>
          </cell>
          <cell r="CH46">
            <v>3452</v>
          </cell>
          <cell r="CI46">
            <v>3471</v>
          </cell>
          <cell r="CJ46">
            <v>3471</v>
          </cell>
          <cell r="CK46">
            <v>3789</v>
          </cell>
          <cell r="CL46">
            <v>3463</v>
          </cell>
          <cell r="CM46">
            <v>3463</v>
          </cell>
          <cell r="CN46">
            <v>4059</v>
          </cell>
          <cell r="CO46">
            <v>4061</v>
          </cell>
          <cell r="CP46">
            <v>4349</v>
          </cell>
          <cell r="CQ46">
            <v>4572</v>
          </cell>
          <cell r="CR46">
            <v>4490</v>
          </cell>
          <cell r="CS46">
            <v>4593</v>
          </cell>
        </row>
        <row r="47">
          <cell r="B47" t="str">
            <v>4-star hotels</v>
          </cell>
          <cell r="K47">
            <v>2421</v>
          </cell>
          <cell r="L47">
            <v>2421</v>
          </cell>
          <cell r="M47">
            <v>2699</v>
          </cell>
          <cell r="N47">
            <v>2699</v>
          </cell>
          <cell r="O47">
            <v>2699</v>
          </cell>
          <cell r="P47">
            <v>2699</v>
          </cell>
          <cell r="Q47">
            <v>2699</v>
          </cell>
          <cell r="R47">
            <v>2699</v>
          </cell>
          <cell r="S47">
            <v>2699</v>
          </cell>
          <cell r="T47">
            <v>2699</v>
          </cell>
          <cell r="U47">
            <v>2699</v>
          </cell>
          <cell r="V47">
            <v>2721</v>
          </cell>
          <cell r="W47">
            <v>2721</v>
          </cell>
          <cell r="X47">
            <v>2721</v>
          </cell>
          <cell r="Y47">
            <v>2721</v>
          </cell>
          <cell r="Z47">
            <v>2721</v>
          </cell>
          <cell r="AA47">
            <v>2721</v>
          </cell>
          <cell r="AB47">
            <v>2721</v>
          </cell>
          <cell r="AC47">
            <v>2274</v>
          </cell>
          <cell r="AD47">
            <v>2634</v>
          </cell>
          <cell r="AE47">
            <v>2634</v>
          </cell>
          <cell r="AF47">
            <v>2634</v>
          </cell>
          <cell r="AG47">
            <v>2634</v>
          </cell>
          <cell r="AH47">
            <v>2634</v>
          </cell>
          <cell r="AI47">
            <v>2634</v>
          </cell>
          <cell r="AJ47">
            <v>2634</v>
          </cell>
          <cell r="AK47">
            <v>2681</v>
          </cell>
          <cell r="AL47">
            <v>2681</v>
          </cell>
          <cell r="AM47">
            <v>2681</v>
          </cell>
          <cell r="AN47">
            <v>2681</v>
          </cell>
          <cell r="AO47">
            <v>2681</v>
          </cell>
          <cell r="AP47">
            <v>2681</v>
          </cell>
          <cell r="AQ47">
            <v>2681</v>
          </cell>
          <cell r="AR47">
            <v>2681</v>
          </cell>
          <cell r="AS47">
            <v>2680</v>
          </cell>
          <cell r="AT47">
            <v>2680</v>
          </cell>
          <cell r="AU47">
            <v>2681</v>
          </cell>
          <cell r="AV47">
            <v>2681</v>
          </cell>
          <cell r="AW47">
            <v>2681</v>
          </cell>
          <cell r="AX47">
            <v>2681</v>
          </cell>
          <cell r="AY47">
            <v>2681</v>
          </cell>
          <cell r="AZ47">
            <v>2681</v>
          </cell>
          <cell r="BA47">
            <v>2681</v>
          </cell>
          <cell r="BB47">
            <v>2625</v>
          </cell>
          <cell r="BC47">
            <v>2625</v>
          </cell>
          <cell r="BD47">
            <v>2625</v>
          </cell>
          <cell r="BE47">
            <v>2625</v>
          </cell>
          <cell r="BF47">
            <v>2625</v>
          </cell>
          <cell r="BG47">
            <v>2625</v>
          </cell>
          <cell r="BH47">
            <v>2625</v>
          </cell>
          <cell r="BI47">
            <v>2625</v>
          </cell>
          <cell r="BJ47">
            <v>2625</v>
          </cell>
          <cell r="BK47">
            <v>2625</v>
          </cell>
          <cell r="BL47">
            <v>2625</v>
          </cell>
          <cell r="BM47">
            <v>2625</v>
          </cell>
          <cell r="BN47">
            <v>2625</v>
          </cell>
          <cell r="BO47">
            <v>2625</v>
          </cell>
          <cell r="BP47">
            <v>2625</v>
          </cell>
          <cell r="BQ47">
            <v>2625</v>
          </cell>
          <cell r="BR47">
            <v>2625</v>
          </cell>
          <cell r="BS47">
            <v>2625</v>
          </cell>
          <cell r="BT47">
            <v>3108</v>
          </cell>
          <cell r="BU47">
            <v>3112</v>
          </cell>
          <cell r="BV47">
            <v>3518</v>
          </cell>
          <cell r="BW47">
            <v>3518</v>
          </cell>
          <cell r="BX47">
            <v>3374</v>
          </cell>
          <cell r="BY47">
            <v>3506</v>
          </cell>
          <cell r="BZ47">
            <v>3441</v>
          </cell>
          <cell r="CA47">
            <v>3433</v>
          </cell>
          <cell r="CB47">
            <v>3562</v>
          </cell>
          <cell r="CC47">
            <v>3562</v>
          </cell>
          <cell r="CD47">
            <v>3584</v>
          </cell>
          <cell r="CE47">
            <v>3584</v>
          </cell>
          <cell r="CF47">
            <v>3473</v>
          </cell>
          <cell r="CG47">
            <v>3498</v>
          </cell>
          <cell r="CH47">
            <v>3755</v>
          </cell>
          <cell r="CI47">
            <v>3757</v>
          </cell>
          <cell r="CJ47">
            <v>3759</v>
          </cell>
          <cell r="CK47">
            <v>3864</v>
          </cell>
          <cell r="CL47">
            <v>3903</v>
          </cell>
          <cell r="CM47">
            <v>3908</v>
          </cell>
          <cell r="CN47">
            <v>3927</v>
          </cell>
          <cell r="CO47">
            <v>3927</v>
          </cell>
          <cell r="CP47">
            <v>3927</v>
          </cell>
          <cell r="CQ47">
            <v>3927</v>
          </cell>
          <cell r="CR47">
            <v>3926</v>
          </cell>
          <cell r="CS47">
            <v>3952</v>
          </cell>
        </row>
        <row r="48">
          <cell r="B48" t="str">
            <v>3-star hotels</v>
          </cell>
          <cell r="K48">
            <v>2185</v>
          </cell>
          <cell r="L48">
            <v>2180</v>
          </cell>
          <cell r="M48">
            <v>1880</v>
          </cell>
          <cell r="N48">
            <v>1880</v>
          </cell>
          <cell r="O48">
            <v>1880</v>
          </cell>
          <cell r="P48">
            <v>1880</v>
          </cell>
          <cell r="Q48">
            <v>1880</v>
          </cell>
          <cell r="R48">
            <v>1880</v>
          </cell>
          <cell r="S48">
            <v>1880</v>
          </cell>
          <cell r="T48">
            <v>1874</v>
          </cell>
          <cell r="U48">
            <v>1880</v>
          </cell>
          <cell r="V48">
            <v>1880</v>
          </cell>
          <cell r="W48">
            <v>1880</v>
          </cell>
          <cell r="X48">
            <v>1880</v>
          </cell>
          <cell r="Y48">
            <v>1880</v>
          </cell>
          <cell r="Z48">
            <v>1880</v>
          </cell>
          <cell r="AA48">
            <v>1880</v>
          </cell>
          <cell r="AB48">
            <v>1807</v>
          </cell>
          <cell r="AC48">
            <v>1807</v>
          </cell>
          <cell r="AD48">
            <v>1807</v>
          </cell>
          <cell r="AE48">
            <v>1807</v>
          </cell>
          <cell r="AF48">
            <v>1807</v>
          </cell>
          <cell r="AG48">
            <v>1807</v>
          </cell>
          <cell r="AH48">
            <v>1807</v>
          </cell>
          <cell r="AI48">
            <v>1807</v>
          </cell>
          <cell r="AJ48">
            <v>1807</v>
          </cell>
          <cell r="AK48">
            <v>1807</v>
          </cell>
          <cell r="AL48">
            <v>1807</v>
          </cell>
          <cell r="AM48">
            <v>1807</v>
          </cell>
          <cell r="AN48">
            <v>1807</v>
          </cell>
          <cell r="AO48">
            <v>1807</v>
          </cell>
          <cell r="AP48">
            <v>1807</v>
          </cell>
          <cell r="AQ48">
            <v>1807</v>
          </cell>
          <cell r="AR48">
            <v>1807</v>
          </cell>
          <cell r="AS48">
            <v>1807</v>
          </cell>
          <cell r="AT48">
            <v>1807</v>
          </cell>
          <cell r="AU48">
            <v>1807</v>
          </cell>
          <cell r="AV48">
            <v>1807</v>
          </cell>
          <cell r="AW48">
            <v>1807</v>
          </cell>
          <cell r="AX48">
            <v>1807</v>
          </cell>
          <cell r="AY48">
            <v>1807</v>
          </cell>
          <cell r="AZ48">
            <v>1807</v>
          </cell>
          <cell r="BA48">
            <v>1807</v>
          </cell>
          <cell r="BB48">
            <v>1824</v>
          </cell>
          <cell r="BC48">
            <v>1824</v>
          </cell>
          <cell r="BD48">
            <v>1824</v>
          </cell>
          <cell r="BE48">
            <v>1824</v>
          </cell>
          <cell r="BF48">
            <v>1824</v>
          </cell>
          <cell r="BG48">
            <v>1825</v>
          </cell>
          <cell r="BH48">
            <v>1825</v>
          </cell>
          <cell r="BI48">
            <v>1824</v>
          </cell>
          <cell r="BJ48">
            <v>1824</v>
          </cell>
          <cell r="BK48">
            <v>1824</v>
          </cell>
          <cell r="BL48">
            <v>1824</v>
          </cell>
          <cell r="BM48">
            <v>1824</v>
          </cell>
          <cell r="BN48">
            <v>1854</v>
          </cell>
          <cell r="BO48">
            <v>1761</v>
          </cell>
          <cell r="BP48">
            <v>1600</v>
          </cell>
          <cell r="BQ48">
            <v>1600</v>
          </cell>
          <cell r="BR48">
            <v>1675</v>
          </cell>
          <cell r="BS48">
            <v>1674</v>
          </cell>
          <cell r="BT48">
            <v>1945</v>
          </cell>
          <cell r="BU48">
            <v>2207</v>
          </cell>
          <cell r="BV48">
            <v>2207</v>
          </cell>
          <cell r="BW48">
            <v>2261</v>
          </cell>
          <cell r="BX48">
            <v>2224</v>
          </cell>
          <cell r="BY48">
            <v>2224</v>
          </cell>
          <cell r="BZ48">
            <v>2278</v>
          </cell>
          <cell r="CA48">
            <v>2278</v>
          </cell>
          <cell r="CB48">
            <v>2278</v>
          </cell>
          <cell r="CC48">
            <v>2278</v>
          </cell>
          <cell r="CD48">
            <v>2410</v>
          </cell>
          <cell r="CE48">
            <v>2410</v>
          </cell>
          <cell r="CF48">
            <v>2700</v>
          </cell>
          <cell r="CG48">
            <v>2701</v>
          </cell>
          <cell r="CH48">
            <v>2701</v>
          </cell>
          <cell r="CI48">
            <v>2701</v>
          </cell>
          <cell r="CJ48">
            <v>2701</v>
          </cell>
          <cell r="CK48">
            <v>2701</v>
          </cell>
          <cell r="CL48">
            <v>3027</v>
          </cell>
          <cell r="CM48">
            <v>3021</v>
          </cell>
          <cell r="CN48">
            <v>3025</v>
          </cell>
          <cell r="CO48">
            <v>3025</v>
          </cell>
          <cell r="CP48">
            <v>3025</v>
          </cell>
          <cell r="CQ48">
            <v>3100</v>
          </cell>
          <cell r="CR48">
            <v>3100</v>
          </cell>
          <cell r="CS48">
            <v>3100</v>
          </cell>
        </row>
        <row r="49">
          <cell r="B49" t="str">
            <v>2-star hotels</v>
          </cell>
          <cell r="K49">
            <v>1053</v>
          </cell>
          <cell r="L49">
            <v>1053</v>
          </cell>
          <cell r="M49">
            <v>1054</v>
          </cell>
          <cell r="N49">
            <v>1054</v>
          </cell>
          <cell r="O49">
            <v>965</v>
          </cell>
          <cell r="P49">
            <v>1010</v>
          </cell>
          <cell r="Q49">
            <v>1010</v>
          </cell>
          <cell r="R49">
            <v>1010</v>
          </cell>
          <cell r="S49">
            <v>1010</v>
          </cell>
          <cell r="T49">
            <v>1010</v>
          </cell>
          <cell r="U49">
            <v>1010</v>
          </cell>
          <cell r="V49">
            <v>887</v>
          </cell>
          <cell r="W49">
            <v>887</v>
          </cell>
          <cell r="X49">
            <v>887</v>
          </cell>
          <cell r="Y49">
            <v>887</v>
          </cell>
          <cell r="Z49">
            <v>887</v>
          </cell>
          <cell r="AA49">
            <v>887</v>
          </cell>
          <cell r="AB49">
            <v>887</v>
          </cell>
          <cell r="AC49">
            <v>887</v>
          </cell>
          <cell r="AD49">
            <v>887</v>
          </cell>
          <cell r="AE49">
            <v>887</v>
          </cell>
          <cell r="AF49">
            <v>887</v>
          </cell>
          <cell r="AG49">
            <v>887</v>
          </cell>
          <cell r="AH49">
            <v>887</v>
          </cell>
          <cell r="AI49">
            <v>887</v>
          </cell>
          <cell r="AJ49">
            <v>798</v>
          </cell>
          <cell r="AK49">
            <v>798</v>
          </cell>
          <cell r="AL49">
            <v>798</v>
          </cell>
          <cell r="AM49">
            <v>798</v>
          </cell>
          <cell r="AN49">
            <v>788</v>
          </cell>
          <cell r="AO49">
            <v>608</v>
          </cell>
          <cell r="AP49">
            <v>608</v>
          </cell>
          <cell r="AQ49">
            <v>608</v>
          </cell>
          <cell r="AR49">
            <v>608</v>
          </cell>
          <cell r="AS49">
            <v>766</v>
          </cell>
          <cell r="AT49">
            <v>768</v>
          </cell>
          <cell r="AU49">
            <v>768</v>
          </cell>
          <cell r="AV49">
            <v>768</v>
          </cell>
          <cell r="AW49">
            <v>768</v>
          </cell>
          <cell r="AX49">
            <v>741</v>
          </cell>
          <cell r="AY49">
            <v>741</v>
          </cell>
          <cell r="AZ49">
            <v>741</v>
          </cell>
          <cell r="BA49">
            <v>741</v>
          </cell>
          <cell r="BB49">
            <v>756</v>
          </cell>
          <cell r="BC49">
            <v>756</v>
          </cell>
          <cell r="BD49">
            <v>800</v>
          </cell>
          <cell r="BE49">
            <v>797</v>
          </cell>
          <cell r="BF49">
            <v>797</v>
          </cell>
          <cell r="BG49">
            <v>800</v>
          </cell>
          <cell r="BH49">
            <v>800</v>
          </cell>
          <cell r="BI49">
            <v>797</v>
          </cell>
          <cell r="BJ49">
            <v>797</v>
          </cell>
          <cell r="BK49">
            <v>797</v>
          </cell>
          <cell r="BL49">
            <v>797</v>
          </cell>
          <cell r="BM49">
            <v>797</v>
          </cell>
          <cell r="BN49">
            <v>837</v>
          </cell>
          <cell r="BO49">
            <v>837</v>
          </cell>
          <cell r="BP49">
            <v>837</v>
          </cell>
          <cell r="BQ49">
            <v>837</v>
          </cell>
          <cell r="BR49">
            <v>839</v>
          </cell>
          <cell r="BS49">
            <v>839</v>
          </cell>
          <cell r="BT49">
            <v>839</v>
          </cell>
          <cell r="BU49">
            <v>839</v>
          </cell>
          <cell r="BV49">
            <v>839</v>
          </cell>
          <cell r="BW49">
            <v>839</v>
          </cell>
          <cell r="BX49">
            <v>839</v>
          </cell>
          <cell r="BY49">
            <v>839</v>
          </cell>
          <cell r="BZ49">
            <v>839</v>
          </cell>
          <cell r="CA49">
            <v>839</v>
          </cell>
          <cell r="CB49">
            <v>839</v>
          </cell>
          <cell r="CC49">
            <v>839</v>
          </cell>
          <cell r="CD49">
            <v>839</v>
          </cell>
          <cell r="CE49">
            <v>839</v>
          </cell>
          <cell r="CF49">
            <v>839</v>
          </cell>
          <cell r="CG49">
            <v>839</v>
          </cell>
          <cell r="CH49">
            <v>838</v>
          </cell>
          <cell r="CI49">
            <v>843</v>
          </cell>
          <cell r="CJ49">
            <v>843</v>
          </cell>
          <cell r="CK49">
            <v>843</v>
          </cell>
          <cell r="CL49">
            <v>848</v>
          </cell>
          <cell r="CM49">
            <v>848</v>
          </cell>
          <cell r="CN49">
            <v>848</v>
          </cell>
          <cell r="CO49">
            <v>847</v>
          </cell>
          <cell r="CP49">
            <v>833</v>
          </cell>
          <cell r="CQ49">
            <v>820</v>
          </cell>
          <cell r="CR49">
            <v>848</v>
          </cell>
          <cell r="CS49">
            <v>848</v>
          </cell>
        </row>
        <row r="50">
          <cell r="B50" t="str">
            <v>Guest-houses</v>
          </cell>
          <cell r="K50">
            <v>583</v>
          </cell>
          <cell r="L50">
            <v>583</v>
          </cell>
          <cell r="M50">
            <v>626</v>
          </cell>
          <cell r="N50">
            <v>625</v>
          </cell>
          <cell r="O50">
            <v>596</v>
          </cell>
          <cell r="P50">
            <v>596</v>
          </cell>
          <cell r="Q50">
            <v>594</v>
          </cell>
          <cell r="R50">
            <v>594</v>
          </cell>
          <cell r="S50">
            <v>595</v>
          </cell>
          <cell r="T50">
            <v>603</v>
          </cell>
          <cell r="U50">
            <v>603</v>
          </cell>
          <cell r="V50">
            <v>603</v>
          </cell>
          <cell r="W50">
            <v>590</v>
          </cell>
          <cell r="X50">
            <v>590</v>
          </cell>
          <cell r="Y50">
            <v>590</v>
          </cell>
          <cell r="Z50">
            <v>590</v>
          </cell>
          <cell r="AA50">
            <v>595</v>
          </cell>
          <cell r="AB50">
            <v>578</v>
          </cell>
          <cell r="AC50">
            <v>591</v>
          </cell>
          <cell r="AD50">
            <v>581</v>
          </cell>
          <cell r="AE50">
            <v>582</v>
          </cell>
          <cell r="AF50">
            <v>582</v>
          </cell>
          <cell r="AG50">
            <v>582</v>
          </cell>
          <cell r="AH50">
            <v>590</v>
          </cell>
          <cell r="AI50">
            <v>590</v>
          </cell>
          <cell r="AJ50">
            <v>587</v>
          </cell>
          <cell r="AK50">
            <v>590</v>
          </cell>
          <cell r="AL50">
            <v>590</v>
          </cell>
          <cell r="AM50">
            <v>590</v>
          </cell>
          <cell r="AN50">
            <v>590</v>
          </cell>
          <cell r="AO50">
            <v>589</v>
          </cell>
          <cell r="AP50">
            <v>590</v>
          </cell>
          <cell r="AQ50">
            <v>591</v>
          </cell>
          <cell r="AR50">
            <v>593</v>
          </cell>
          <cell r="AS50">
            <v>594</v>
          </cell>
          <cell r="AT50">
            <v>594</v>
          </cell>
          <cell r="AU50">
            <v>594</v>
          </cell>
          <cell r="AV50">
            <v>596</v>
          </cell>
          <cell r="AW50">
            <v>595</v>
          </cell>
          <cell r="AX50">
            <v>605</v>
          </cell>
          <cell r="AY50">
            <v>596</v>
          </cell>
          <cell r="AZ50">
            <v>594</v>
          </cell>
          <cell r="BA50">
            <v>594</v>
          </cell>
          <cell r="BB50">
            <v>589</v>
          </cell>
          <cell r="BC50">
            <v>600</v>
          </cell>
          <cell r="BD50">
            <v>600</v>
          </cell>
          <cell r="BE50">
            <v>594</v>
          </cell>
          <cell r="BF50">
            <v>594</v>
          </cell>
          <cell r="BG50">
            <v>586</v>
          </cell>
          <cell r="BH50">
            <v>592</v>
          </cell>
          <cell r="BI50">
            <v>593</v>
          </cell>
          <cell r="BJ50">
            <v>593</v>
          </cell>
          <cell r="BK50">
            <v>592</v>
          </cell>
          <cell r="BL50">
            <v>591</v>
          </cell>
          <cell r="BM50">
            <v>590</v>
          </cell>
          <cell r="BN50">
            <v>589</v>
          </cell>
          <cell r="BO50">
            <v>588</v>
          </cell>
          <cell r="BP50">
            <v>573</v>
          </cell>
          <cell r="BQ50">
            <v>546</v>
          </cell>
          <cell r="BR50">
            <v>546</v>
          </cell>
          <cell r="BS50">
            <v>560</v>
          </cell>
          <cell r="BT50">
            <v>560</v>
          </cell>
          <cell r="BU50">
            <v>574</v>
          </cell>
          <cell r="BV50">
            <v>572</v>
          </cell>
          <cell r="BW50">
            <v>569</v>
          </cell>
          <cell r="BX50">
            <v>568</v>
          </cell>
          <cell r="BY50">
            <v>548</v>
          </cell>
          <cell r="BZ50">
            <v>550</v>
          </cell>
          <cell r="CA50">
            <v>550</v>
          </cell>
          <cell r="CB50">
            <v>551</v>
          </cell>
          <cell r="CC50">
            <v>551</v>
          </cell>
          <cell r="CD50">
            <v>551</v>
          </cell>
          <cell r="CE50">
            <v>547</v>
          </cell>
          <cell r="CF50">
            <v>551</v>
          </cell>
          <cell r="CG50">
            <v>551</v>
          </cell>
          <cell r="CH50">
            <v>551</v>
          </cell>
          <cell r="CI50">
            <v>551</v>
          </cell>
          <cell r="CJ50">
            <v>551</v>
          </cell>
          <cell r="CK50">
            <v>551</v>
          </cell>
          <cell r="CL50">
            <v>551</v>
          </cell>
          <cell r="CM50">
            <v>551</v>
          </cell>
          <cell r="CN50">
            <v>552</v>
          </cell>
          <cell r="CO50">
            <v>559</v>
          </cell>
          <cell r="CP50">
            <v>559</v>
          </cell>
          <cell r="CQ50">
            <v>559</v>
          </cell>
          <cell r="CR50">
            <v>558</v>
          </cell>
          <cell r="CS50">
            <v>570</v>
          </cell>
        </row>
        <row r="51">
          <cell r="B51" t="str">
            <v>Total % Change</v>
          </cell>
          <cell r="X51">
            <v>-2.5700934579439227E-2</v>
          </cell>
          <cell r="Y51">
            <v>-2.7754237288135641E-2</v>
          </cell>
          <cell r="Z51">
            <v>-2.7754237288135641E-2</v>
          </cell>
          <cell r="AA51">
            <v>-1.2450359557797608E-2</v>
          </cell>
          <cell r="AB51">
            <v>-5.0333734544261155E-3</v>
          </cell>
          <cell r="AC51">
            <v>-7.5854700854700807E-2</v>
          </cell>
          <cell r="AD51">
            <v>-3.1051896422047975E-2</v>
          </cell>
          <cell r="AE51">
            <v>-2.9693383539537432E-2</v>
          </cell>
          <cell r="AF51">
            <v>-3.0224803700118263E-2</v>
          </cell>
          <cell r="AG51">
            <v>-3.1602708803611712E-2</v>
          </cell>
          <cell r="AH51">
            <v>-1.9560965007607067E-2</v>
          </cell>
          <cell r="AI51">
            <v>-1.8584936419954401E-2</v>
          </cell>
          <cell r="AJ51">
            <v>-2.5942882057990002E-2</v>
          </cell>
          <cell r="AK51">
            <v>-2.0156896927435164E-2</v>
          </cell>
          <cell r="AL51">
            <v>-2.2118108520374768E-2</v>
          </cell>
          <cell r="AM51">
            <v>-2.3475709162047553E-2</v>
          </cell>
          <cell r="AN51">
            <v>-1.5176509402837324E-2</v>
          </cell>
          <cell r="AO51">
            <v>1.4913294797687771E-2</v>
          </cell>
          <cell r="AP51">
            <v>-2.528276779773786E-2</v>
          </cell>
          <cell r="AQ51">
            <v>-2.4503825257789158E-2</v>
          </cell>
          <cell r="AR51">
            <v>-2.3070097604259043E-2</v>
          </cell>
          <cell r="AS51">
            <v>-6.9930069930069783E-3</v>
          </cell>
          <cell r="AT51">
            <v>-1.0418975836843258E-2</v>
          </cell>
          <cell r="AU51">
            <v>-8.4163898117386449E-3</v>
          </cell>
          <cell r="AV51">
            <v>2.9095792300806167E-3</v>
          </cell>
          <cell r="AW51">
            <v>-5.5598799065940119E-3</v>
          </cell>
          <cell r="AX51">
            <v>-5.2367688022284531E-3</v>
          </cell>
          <cell r="AY51">
            <v>-6.2326099053978679E-3</v>
          </cell>
          <cell r="AZ51">
            <v>-4.2434394193188174E-3</v>
          </cell>
          <cell r="BA51">
            <v>1.6288871169837016E-2</v>
          </cell>
          <cell r="BB51">
            <v>1.7064846416381396E-3</v>
          </cell>
          <cell r="BC51">
            <v>7.3880427369856783E-3</v>
          </cell>
          <cell r="BD51">
            <v>1.1239782016348787E-2</v>
          </cell>
          <cell r="BE51">
            <v>-5.2537446903644369E-3</v>
          </cell>
          <cell r="BF51">
            <v>2.8001792114695334E-2</v>
          </cell>
          <cell r="BG51">
            <v>2.5798525798525818E-2</v>
          </cell>
          <cell r="BH51">
            <v>2.5217585360410633E-2</v>
          </cell>
          <cell r="BI51">
            <v>2.9632114502963214E-2</v>
          </cell>
          <cell r="BJ51">
            <v>4.1778673835125346E-2</v>
          </cell>
          <cell r="BK51">
            <v>4.3565908836375788E-2</v>
          </cell>
          <cell r="BL51">
            <v>4.4409554782998795E-2</v>
          </cell>
          <cell r="BM51">
            <v>4.2367182246133117E-2</v>
          </cell>
          <cell r="BN51">
            <v>6.4735945485519641E-2</v>
          </cell>
          <cell r="BO51">
            <v>4.7162360374590984E-2</v>
          </cell>
          <cell r="BP51">
            <v>2.2229706972044516E-2</v>
          </cell>
          <cell r="BQ51">
            <v>2.0114619620182017E-2</v>
          </cell>
          <cell r="BR51">
            <v>-2.5059925909783898E-3</v>
          </cell>
          <cell r="BS51">
            <v>-1.8508437670113898E-3</v>
          </cell>
          <cell r="BT51">
            <v>7.7601218981280029E-2</v>
          </cell>
          <cell r="BU51">
            <v>0.10566898349261522</v>
          </cell>
          <cell r="BV51">
            <v>0.13804967207827112</v>
          </cell>
          <cell r="BW51">
            <v>0.14144666237389991</v>
          </cell>
          <cell r="BX51">
            <v>0.12251691184365932</v>
          </cell>
          <cell r="BY51">
            <v>0.13666666666666671</v>
          </cell>
          <cell r="BZ51">
            <v>0.12661333333333324</v>
          </cell>
          <cell r="CA51">
            <v>0.13662320870595845</v>
          </cell>
          <cell r="CB51">
            <v>0.17287204832509606</v>
          </cell>
          <cell r="CC51">
            <v>0.17151354923992068</v>
          </cell>
          <cell r="CD51">
            <v>0.18328782086291651</v>
          </cell>
          <cell r="CE51">
            <v>0.18150087260034908</v>
          </cell>
          <cell r="CF51">
            <v>0.11251388748611246</v>
          </cell>
          <cell r="CG51">
            <v>8.447107356841177E-2</v>
          </cell>
          <cell r="CH51">
            <v>6.7264997638167179E-2</v>
          </cell>
          <cell r="CI51">
            <v>6.4591951861602048E-2</v>
          </cell>
          <cell r="CJ51">
            <v>8.3317390472546382E-2</v>
          </cell>
          <cell r="CK51">
            <v>0.11134235171696161</v>
          </cell>
          <cell r="CL51">
            <v>0.11645521681499726</v>
          </cell>
          <cell r="CM51">
            <v>0.11773627832021982</v>
          </cell>
          <cell r="CN51">
            <v>0.16218747073696038</v>
          </cell>
          <cell r="CO51">
            <v>0.16774800188058303</v>
          </cell>
          <cell r="CP51">
            <v>0.17169759069509838</v>
          </cell>
          <cell r="CQ51">
            <v>0.19811669128508114</v>
          </cell>
          <cell r="CR51">
            <v>0.17312755333635943</v>
          </cell>
          <cell r="CS51">
            <v>0.18313558554478759</v>
          </cell>
        </row>
        <row r="53">
          <cell r="B53" t="str">
            <v>Occupancy</v>
          </cell>
        </row>
        <row r="54">
          <cell r="B54" t="str">
            <v>Grand Total</v>
          </cell>
          <cell r="C54">
            <v>0.69730000000000003</v>
          </cell>
          <cell r="D54">
            <v>0.61840000000000006</v>
          </cell>
          <cell r="E54">
            <v>0.57020000000000004</v>
          </cell>
          <cell r="F54">
            <v>0.55569999999999997</v>
          </cell>
          <cell r="G54">
            <v>0.57030000000000003</v>
          </cell>
          <cell r="H54">
            <v>0.60760000000000003</v>
          </cell>
          <cell r="I54">
            <v>0.50219999999999998</v>
          </cell>
          <cell r="J54">
            <v>0.51280000000000003</v>
          </cell>
          <cell r="K54">
            <v>0.53689999999999993</v>
          </cell>
          <cell r="L54">
            <v>0.49340000000000006</v>
          </cell>
          <cell r="M54">
            <v>0.60960000000000003</v>
          </cell>
          <cell r="N54">
            <v>0.53569999999999995</v>
          </cell>
          <cell r="O54">
            <v>0.5907</v>
          </cell>
          <cell r="P54">
            <v>0.5927</v>
          </cell>
          <cell r="Q54">
            <v>0.5222</v>
          </cell>
          <cell r="R54">
            <v>0.60530000000000006</v>
          </cell>
          <cell r="S54">
            <v>0.65410000000000001</v>
          </cell>
          <cell r="T54">
            <v>0.54700000000000004</v>
          </cell>
          <cell r="U54">
            <v>0.57840000000000003</v>
          </cell>
          <cell r="V54">
            <v>0.58799999999999997</v>
          </cell>
          <cell r="W54">
            <v>0.59350000000000003</v>
          </cell>
          <cell r="X54">
            <v>0.56520000000000004</v>
          </cell>
          <cell r="Y54">
            <v>0.52100000000000002</v>
          </cell>
          <cell r="Z54">
            <v>0.5786</v>
          </cell>
          <cell r="AA54">
            <v>0.6079</v>
          </cell>
          <cell r="AB54">
            <v>0.57830000000000004</v>
          </cell>
          <cell r="AC54">
            <v>0.6018</v>
          </cell>
          <cell r="AD54">
            <v>0.63900000000000001</v>
          </cell>
          <cell r="AE54">
            <v>0.69420000000000004</v>
          </cell>
          <cell r="AF54">
            <v>0.5625</v>
          </cell>
          <cell r="AG54">
            <v>0.62020000000000008</v>
          </cell>
          <cell r="AH54">
            <v>0.63340000000000007</v>
          </cell>
          <cell r="AI54">
            <v>0.67049999999999998</v>
          </cell>
          <cell r="AJ54">
            <v>0.57399999999999995</v>
          </cell>
          <cell r="AK54">
            <v>0.63539999999999996</v>
          </cell>
          <cell r="AL54">
            <v>0.65300000000000002</v>
          </cell>
          <cell r="AM54">
            <v>0.70340000000000003</v>
          </cell>
          <cell r="AN54">
            <v>0.6845</v>
          </cell>
          <cell r="AO54">
            <v>0.60319999999999996</v>
          </cell>
          <cell r="AP54">
            <v>0.69310000000000005</v>
          </cell>
          <cell r="AQ54">
            <v>0.76400000000000001</v>
          </cell>
          <cell r="AR54">
            <v>0.63049999999999995</v>
          </cell>
          <cell r="AS54">
            <v>0.63780000000000003</v>
          </cell>
          <cell r="AT54">
            <v>0.73580000000000001</v>
          </cell>
          <cell r="AU54">
            <v>0.73819999999999997</v>
          </cell>
          <cell r="AV54">
            <v>0.60719999999999996</v>
          </cell>
          <cell r="AW54">
            <v>0.67790000000000006</v>
          </cell>
          <cell r="AX54">
            <v>0.67010000000000003</v>
          </cell>
          <cell r="AY54">
            <v>0.44179999999999997</v>
          </cell>
          <cell r="AZ54">
            <v>0.32719999999999999</v>
          </cell>
          <cell r="BA54">
            <v>0.4975</v>
          </cell>
          <cell r="BB54">
            <v>0.66870000000000007</v>
          </cell>
          <cell r="BC54">
            <v>0.84279999999999999</v>
          </cell>
          <cell r="BD54">
            <v>0.68209999999999993</v>
          </cell>
          <cell r="BE54">
            <v>0.72540000000000004</v>
          </cell>
          <cell r="BF54">
            <v>0.7904000000000001</v>
          </cell>
          <cell r="BG54">
            <v>0.7742</v>
          </cell>
          <cell r="BH54">
            <v>0.66749999999999998</v>
          </cell>
          <cell r="BI54">
            <v>0.64430000000000009</v>
          </cell>
          <cell r="BJ54">
            <v>0.78010000000000002</v>
          </cell>
          <cell r="BK54">
            <v>0.76980000000000004</v>
          </cell>
          <cell r="BL54">
            <v>0.71109999999999995</v>
          </cell>
          <cell r="BM54">
            <v>0.74939999999999996</v>
          </cell>
          <cell r="BN54">
            <v>0.82</v>
          </cell>
          <cell r="BO54">
            <v>0.8234999999999999</v>
          </cell>
          <cell r="BP54">
            <v>0.71230000000000004</v>
          </cell>
          <cell r="BQ54">
            <v>0.77180000000000004</v>
          </cell>
          <cell r="BR54">
            <v>0.82440000000000002</v>
          </cell>
          <cell r="BS54">
            <v>0.78500000000000003</v>
          </cell>
          <cell r="BT54">
            <v>0.66849999999999998</v>
          </cell>
          <cell r="BU54">
            <v>0.65349999999999997</v>
          </cell>
          <cell r="BV54">
            <v>0.64849999999999997</v>
          </cell>
          <cell r="BW54">
            <v>0.67030000000000001</v>
          </cell>
          <cell r="BX54">
            <v>0.67030000000000001</v>
          </cell>
          <cell r="BY54">
            <v>0.6765000000000001</v>
          </cell>
          <cell r="BZ54">
            <v>0.74019999999999997</v>
          </cell>
          <cell r="CA54">
            <v>0.75749999999999995</v>
          </cell>
          <cell r="CB54">
            <v>0.66949999999999998</v>
          </cell>
          <cell r="CC54">
            <v>0.75340000000000007</v>
          </cell>
          <cell r="CD54">
            <v>0.82569999999999988</v>
          </cell>
          <cell r="CE54">
            <v>0.76090000000000002</v>
          </cell>
          <cell r="CF54">
            <v>0.64529999999999998</v>
          </cell>
          <cell r="CG54">
            <v>0.72160000000000002</v>
          </cell>
          <cell r="CH54">
            <v>0.75120000000000009</v>
          </cell>
          <cell r="CI54">
            <v>0.77760000000000007</v>
          </cell>
          <cell r="CJ54">
            <v>0.65390000000000004</v>
          </cell>
          <cell r="CK54">
            <v>0.68</v>
          </cell>
          <cell r="CL54">
            <v>0.72819999999999996</v>
          </cell>
          <cell r="CM54">
            <v>0.74280000000000002</v>
          </cell>
          <cell r="CN54">
            <v>0.6724</v>
          </cell>
          <cell r="CO54">
            <v>0.73580000000000001</v>
          </cell>
          <cell r="CP54">
            <v>0.77579999999999993</v>
          </cell>
          <cell r="CQ54">
            <v>0.78079999999999994</v>
          </cell>
          <cell r="CR54">
            <v>0.71799999999999997</v>
          </cell>
          <cell r="CS54">
            <v>0.74140000000000006</v>
          </cell>
        </row>
        <row r="55">
          <cell r="B55" t="str">
            <v>Hotel Total</v>
          </cell>
          <cell r="C55" t="str">
            <v>NA</v>
          </cell>
          <cell r="D55" t="str">
            <v>NA</v>
          </cell>
          <cell r="E55" t="str">
            <v>NA</v>
          </cell>
          <cell r="F55" t="str">
            <v>NA</v>
          </cell>
          <cell r="G55" t="str">
            <v>NA</v>
          </cell>
          <cell r="H55" t="str">
            <v>NA</v>
          </cell>
          <cell r="I55" t="str">
            <v>NA</v>
          </cell>
          <cell r="J55" t="str">
            <v>NA</v>
          </cell>
          <cell r="K55">
            <v>0.55420000000000003</v>
          </cell>
          <cell r="L55">
            <v>0.50369999999999993</v>
          </cell>
          <cell r="M55">
            <v>0.62509999999999999</v>
          </cell>
          <cell r="N55">
            <v>0.54949999999999999</v>
          </cell>
          <cell r="O55">
            <v>0.60670000000000002</v>
          </cell>
          <cell r="P55">
            <v>0.60919999999999996</v>
          </cell>
          <cell r="Q55">
            <v>0.53510000000000002</v>
          </cell>
          <cell r="R55">
            <v>0.62159999999999993</v>
          </cell>
          <cell r="S55">
            <v>0.67359999999999998</v>
          </cell>
          <cell r="T55">
            <v>0.56220000000000003</v>
          </cell>
          <cell r="U55">
            <v>0.59499999999999997</v>
          </cell>
          <cell r="V55">
            <v>0.60699999999999998</v>
          </cell>
          <cell r="W55">
            <v>0.61240000000000006</v>
          </cell>
          <cell r="X55">
            <v>0.57799999999999996</v>
          </cell>
          <cell r="Y55">
            <v>0.53410000000000002</v>
          </cell>
          <cell r="Z55">
            <v>0.5948</v>
          </cell>
          <cell r="AA55">
            <v>0.626</v>
          </cell>
          <cell r="AB55">
            <v>0.59279999999999999</v>
          </cell>
          <cell r="AC55">
            <v>0.62250000000000005</v>
          </cell>
          <cell r="AD55">
            <v>0.6581999999999999</v>
          </cell>
          <cell r="AE55">
            <v>0.71629999999999994</v>
          </cell>
          <cell r="AF55">
            <v>0.57769999999999999</v>
          </cell>
          <cell r="AG55">
            <v>0.63819999999999999</v>
          </cell>
          <cell r="AH55">
            <v>0.6542</v>
          </cell>
          <cell r="AI55">
            <v>0.69140000000000001</v>
          </cell>
          <cell r="AJ55">
            <v>0.59060000000000001</v>
          </cell>
          <cell r="AK55">
            <v>0.65159999999999996</v>
          </cell>
          <cell r="AL55">
            <v>0.67249999999999999</v>
          </cell>
          <cell r="AM55">
            <v>0.72540000000000004</v>
          </cell>
          <cell r="AN55">
            <v>0.70510000000000006</v>
          </cell>
          <cell r="AO55">
            <v>0.61909999999999998</v>
          </cell>
          <cell r="AP55">
            <v>0.71400000000000008</v>
          </cell>
          <cell r="AQ55">
            <v>0.78980000000000006</v>
          </cell>
          <cell r="AR55">
            <v>0.65</v>
          </cell>
          <cell r="AS55">
            <v>0.65659999999999996</v>
          </cell>
          <cell r="AT55">
            <v>0.76159999999999994</v>
          </cell>
          <cell r="AU55">
            <v>0.7641</v>
          </cell>
          <cell r="AV55">
            <v>0.62480000000000002</v>
          </cell>
          <cell r="AW55">
            <v>0.69599999999999995</v>
          </cell>
          <cell r="AX55">
            <v>0.69230000000000003</v>
          </cell>
          <cell r="AY55">
            <v>0.45369999999999999</v>
          </cell>
          <cell r="AZ55">
            <v>0.3342</v>
          </cell>
          <cell r="BA55">
            <v>0.5141</v>
          </cell>
          <cell r="BB55">
            <v>0.6923999999999999</v>
          </cell>
          <cell r="BC55">
            <v>0.87379999999999991</v>
          </cell>
          <cell r="BD55">
            <v>0.70609999999999995</v>
          </cell>
          <cell r="BE55">
            <v>0.74970000000000003</v>
          </cell>
          <cell r="BF55">
            <v>0.81489999999999996</v>
          </cell>
          <cell r="BG55">
            <v>0.79579999999999995</v>
          </cell>
          <cell r="BH55">
            <v>0.68669999999999998</v>
          </cell>
          <cell r="BI55">
            <v>0.66520000000000001</v>
          </cell>
          <cell r="BJ55">
            <v>0.80449999999999999</v>
          </cell>
          <cell r="BK55">
            <v>0.79449999999999998</v>
          </cell>
          <cell r="BL55">
            <v>0.73299999999999998</v>
          </cell>
          <cell r="BM55">
            <v>0.77370000000000005</v>
          </cell>
          <cell r="BN55">
            <v>0.84670000000000001</v>
          </cell>
          <cell r="BO55">
            <v>0.84770000000000001</v>
          </cell>
          <cell r="BP55">
            <v>0.73439999999999994</v>
          </cell>
          <cell r="BQ55">
            <v>0.79200000000000004</v>
          </cell>
          <cell r="BR55">
            <v>0.84620000000000006</v>
          </cell>
          <cell r="BS55">
            <v>0.80519999999999992</v>
          </cell>
          <cell r="BT55">
            <v>0.68440000000000001</v>
          </cell>
          <cell r="BU55">
            <v>0.66739999999999999</v>
          </cell>
          <cell r="BV55">
            <v>0.66200000000000003</v>
          </cell>
          <cell r="BW55">
            <v>0.68340000000000001</v>
          </cell>
          <cell r="BX55">
            <v>0.68310000000000004</v>
          </cell>
          <cell r="BY55">
            <v>0.69010000000000005</v>
          </cell>
          <cell r="BZ55">
            <v>0.755</v>
          </cell>
          <cell r="CA55">
            <v>0.77349999999999997</v>
          </cell>
          <cell r="CB55">
            <v>0.68120000000000003</v>
          </cell>
          <cell r="CC55">
            <v>0.76780000000000004</v>
          </cell>
          <cell r="CD55">
            <v>0.8427</v>
          </cell>
          <cell r="CE55">
            <v>0.7752</v>
          </cell>
          <cell r="CF55">
            <v>0.65469999999999995</v>
          </cell>
          <cell r="CG55">
            <v>0.73540000000000005</v>
          </cell>
          <cell r="CH55">
            <v>0.76639999999999997</v>
          </cell>
          <cell r="CI55">
            <v>0.79290000000000005</v>
          </cell>
          <cell r="CJ55">
            <v>0.66670000000000007</v>
          </cell>
          <cell r="CK55">
            <v>0.69330000000000003</v>
          </cell>
          <cell r="CL55">
            <v>0.74170000000000003</v>
          </cell>
          <cell r="CM55">
            <v>0.75470000000000004</v>
          </cell>
          <cell r="CN55">
            <v>0.68149999999999999</v>
          </cell>
          <cell r="CO55">
            <v>0.74739999999999995</v>
          </cell>
          <cell r="CP55">
            <v>0.78769999999999996</v>
          </cell>
          <cell r="CQ55">
            <v>0.79299999999999993</v>
          </cell>
          <cell r="CR55">
            <v>0.72739999999999994</v>
          </cell>
          <cell r="CS55">
            <v>0.75060000000000004</v>
          </cell>
        </row>
        <row r="56">
          <cell r="B56" t="str">
            <v>5-star hotels</v>
          </cell>
          <cell r="C56">
            <v>0.80720000000000003</v>
          </cell>
          <cell r="D56">
            <v>0.67790000000000006</v>
          </cell>
          <cell r="E56">
            <v>0.57279999999999998</v>
          </cell>
          <cell r="F56">
            <v>0.58360000000000001</v>
          </cell>
          <cell r="G56">
            <v>0.63470000000000004</v>
          </cell>
          <cell r="H56">
            <v>0.68650000000000011</v>
          </cell>
          <cell r="I56">
            <v>0.52090000000000003</v>
          </cell>
          <cell r="J56">
            <v>0.55010000000000003</v>
          </cell>
          <cell r="K56">
            <v>0.55279999999999996</v>
          </cell>
          <cell r="L56">
            <v>0.50549999999999995</v>
          </cell>
          <cell r="M56">
            <v>0.64319999999999988</v>
          </cell>
          <cell r="N56">
            <v>0.57369999999999999</v>
          </cell>
          <cell r="O56">
            <v>0.64139999999999997</v>
          </cell>
          <cell r="P56">
            <v>0.65079999999999993</v>
          </cell>
          <cell r="Q56">
            <v>0.56979999999999997</v>
          </cell>
          <cell r="R56">
            <v>0.65949999999999998</v>
          </cell>
          <cell r="S56">
            <v>0.70269999999999999</v>
          </cell>
          <cell r="T56">
            <v>0.59430000000000005</v>
          </cell>
          <cell r="U56">
            <v>0.62360000000000004</v>
          </cell>
          <cell r="V56">
            <v>0.60429999999999995</v>
          </cell>
          <cell r="W56">
            <v>0.63429999999999997</v>
          </cell>
          <cell r="X56">
            <v>0.59079999999999999</v>
          </cell>
          <cell r="Y56">
            <v>0.55479999999999996</v>
          </cell>
          <cell r="Z56">
            <v>0.60819999999999996</v>
          </cell>
          <cell r="AA56">
            <v>0.61840000000000006</v>
          </cell>
          <cell r="AB56">
            <v>0.60209999999999997</v>
          </cell>
          <cell r="AC56">
            <v>0.61450000000000005</v>
          </cell>
          <cell r="AD56">
            <v>0.64569999999999994</v>
          </cell>
          <cell r="AE56">
            <v>0.72189999999999999</v>
          </cell>
          <cell r="AF56">
            <v>0.56020000000000003</v>
          </cell>
          <cell r="AG56">
            <v>0.63479999999999992</v>
          </cell>
          <cell r="AH56">
            <v>0.63890000000000002</v>
          </cell>
          <cell r="AI56">
            <v>0.66590000000000005</v>
          </cell>
          <cell r="AJ56">
            <v>0.57320000000000004</v>
          </cell>
          <cell r="AK56">
            <v>0.62549999999999994</v>
          </cell>
          <cell r="AL56">
            <v>0.66680000000000006</v>
          </cell>
          <cell r="AM56">
            <v>0.66810000000000003</v>
          </cell>
          <cell r="AN56">
            <v>0.70469999999999999</v>
          </cell>
          <cell r="AO56">
            <v>0.60329999999999995</v>
          </cell>
          <cell r="AP56">
            <v>0.68629999999999991</v>
          </cell>
          <cell r="AQ56">
            <v>0.76129999999999998</v>
          </cell>
          <cell r="AR56">
            <v>0.62229999999999996</v>
          </cell>
          <cell r="AS56">
            <v>0.66150000000000009</v>
          </cell>
          <cell r="AT56">
            <v>0.71560000000000001</v>
          </cell>
          <cell r="AU56">
            <v>0.73069999999999991</v>
          </cell>
          <cell r="AV56">
            <v>0.60840000000000005</v>
          </cell>
          <cell r="AW56">
            <v>0.70239999999999991</v>
          </cell>
          <cell r="AX56">
            <v>0.6631999999999999</v>
          </cell>
          <cell r="AY56">
            <v>0.47149999999999997</v>
          </cell>
          <cell r="AZ56">
            <v>0.41969999999999996</v>
          </cell>
          <cell r="BA56">
            <v>0.56899999999999995</v>
          </cell>
          <cell r="BB56">
            <v>0.73239999999999994</v>
          </cell>
          <cell r="BC56">
            <v>0.86849999999999994</v>
          </cell>
          <cell r="BD56">
            <v>0.71290000000000009</v>
          </cell>
          <cell r="BE56">
            <v>0.78120000000000001</v>
          </cell>
          <cell r="BF56">
            <v>0.76780000000000004</v>
          </cell>
          <cell r="BG56">
            <v>0.75060000000000004</v>
          </cell>
          <cell r="BH56">
            <v>0.67930000000000001</v>
          </cell>
          <cell r="BI56">
            <v>0.67049999999999998</v>
          </cell>
          <cell r="BJ56">
            <v>0.74080000000000001</v>
          </cell>
          <cell r="BK56">
            <v>0.7681</v>
          </cell>
          <cell r="BL56">
            <v>0.74870000000000003</v>
          </cell>
          <cell r="BM56">
            <v>0.76249999999999996</v>
          </cell>
          <cell r="BN56">
            <v>0.83779999999999999</v>
          </cell>
          <cell r="BO56">
            <v>0.83209999999999995</v>
          </cell>
          <cell r="BP56">
            <v>0.72089999999999999</v>
          </cell>
          <cell r="BQ56">
            <v>0.80049999999999999</v>
          </cell>
          <cell r="BR56">
            <v>0.82590000000000008</v>
          </cell>
          <cell r="BS56">
            <v>0.80010000000000003</v>
          </cell>
          <cell r="BT56">
            <v>0.70209999999999995</v>
          </cell>
          <cell r="BU56">
            <v>0.68049999999999999</v>
          </cell>
          <cell r="BV56">
            <v>0.6765000000000001</v>
          </cell>
          <cell r="BW56">
            <v>0.69489999999999996</v>
          </cell>
          <cell r="BX56">
            <v>0.69090000000000007</v>
          </cell>
          <cell r="BY56">
            <v>0.68659999999999999</v>
          </cell>
          <cell r="BZ56">
            <v>0.71189999999999998</v>
          </cell>
          <cell r="CA56">
            <v>0.74849999999999994</v>
          </cell>
          <cell r="CB56">
            <v>0.68059999999999998</v>
          </cell>
          <cell r="CC56">
            <v>0.77859999999999996</v>
          </cell>
          <cell r="CD56">
            <v>0.80969999999999998</v>
          </cell>
          <cell r="CE56">
            <v>0.74639999999999995</v>
          </cell>
          <cell r="CF56">
            <v>0.64190000000000003</v>
          </cell>
          <cell r="CG56">
            <v>0.69950000000000001</v>
          </cell>
          <cell r="CH56">
            <v>0.70330000000000004</v>
          </cell>
          <cell r="CI56">
            <v>0.73120000000000007</v>
          </cell>
          <cell r="CJ56">
            <v>0.63070000000000004</v>
          </cell>
          <cell r="CK56">
            <v>0.62029999999999996</v>
          </cell>
          <cell r="CL56">
            <v>0.65410000000000001</v>
          </cell>
          <cell r="CM56">
            <v>0.70330000000000004</v>
          </cell>
          <cell r="CN56">
            <v>0.64759999999999995</v>
          </cell>
          <cell r="CO56">
            <v>0.71189999999999998</v>
          </cell>
          <cell r="CP56">
            <v>0.7229000000000001</v>
          </cell>
          <cell r="CQ56">
            <v>0.7198</v>
          </cell>
          <cell r="CR56">
            <v>0.70189999999999997</v>
          </cell>
          <cell r="CS56">
            <v>0.71360000000000001</v>
          </cell>
        </row>
        <row r="57">
          <cell r="B57" t="str">
            <v>4-star hotels</v>
          </cell>
          <cell r="C57" t="str">
            <v>NA</v>
          </cell>
          <cell r="D57" t="str">
            <v>NA</v>
          </cell>
          <cell r="E57" t="str">
            <v>NA</v>
          </cell>
          <cell r="F57" t="str">
            <v>NA</v>
          </cell>
          <cell r="G57" t="str">
            <v>NA</v>
          </cell>
          <cell r="H57" t="str">
            <v>NA</v>
          </cell>
          <cell r="I57" t="str">
            <v>NA</v>
          </cell>
          <cell r="J57">
            <v>0.53839999999999999</v>
          </cell>
          <cell r="K57">
            <v>0.5877</v>
          </cell>
          <cell r="L57">
            <v>0.46920000000000001</v>
          </cell>
          <cell r="M57">
            <v>0.62</v>
          </cell>
          <cell r="N57">
            <v>0.52929999999999999</v>
          </cell>
          <cell r="O57">
            <v>0.59860000000000002</v>
          </cell>
          <cell r="P57">
            <v>0.63419999999999999</v>
          </cell>
          <cell r="Q57">
            <v>0.5383</v>
          </cell>
          <cell r="R57">
            <v>0.64049999999999996</v>
          </cell>
          <cell r="S57">
            <v>0.70510000000000006</v>
          </cell>
          <cell r="T57">
            <v>0.55820000000000003</v>
          </cell>
          <cell r="U57">
            <v>0.61809999999999998</v>
          </cell>
          <cell r="V57">
            <v>0.61939999999999995</v>
          </cell>
          <cell r="W57">
            <v>0.61609999999999998</v>
          </cell>
          <cell r="X57">
            <v>0.58950000000000002</v>
          </cell>
          <cell r="Y57">
            <v>0.5524</v>
          </cell>
          <cell r="Z57">
            <v>0.63090000000000002</v>
          </cell>
          <cell r="AA57">
            <v>0.68430000000000002</v>
          </cell>
          <cell r="AB57">
            <v>0.61990000000000001</v>
          </cell>
          <cell r="AC57">
            <v>0.68099999999999994</v>
          </cell>
          <cell r="AD57">
            <v>0.72680000000000011</v>
          </cell>
          <cell r="AE57">
            <v>0.76359999999999995</v>
          </cell>
          <cell r="AF57">
            <v>0.63080000000000003</v>
          </cell>
          <cell r="AG57">
            <v>0.68230000000000002</v>
          </cell>
          <cell r="AH57">
            <v>0.72209999999999996</v>
          </cell>
          <cell r="AI57">
            <v>0.73829999999999996</v>
          </cell>
          <cell r="AJ57">
            <v>0.61099999999999999</v>
          </cell>
          <cell r="AK57">
            <v>0.67659999999999998</v>
          </cell>
          <cell r="AL57">
            <v>0.70519999999999994</v>
          </cell>
          <cell r="AM57">
            <v>0.80689999999999995</v>
          </cell>
          <cell r="AN57">
            <v>0.73699999999999999</v>
          </cell>
          <cell r="AO57">
            <v>0.66790000000000005</v>
          </cell>
          <cell r="AP57">
            <v>0.76639999999999997</v>
          </cell>
          <cell r="AQ57">
            <v>0.8397</v>
          </cell>
          <cell r="AR57">
            <v>0.70469999999999999</v>
          </cell>
          <cell r="AS57">
            <v>0.69330000000000003</v>
          </cell>
          <cell r="AT57">
            <v>0.83979999999999999</v>
          </cell>
          <cell r="AU57">
            <v>0.81510000000000005</v>
          </cell>
          <cell r="AV57">
            <v>0.64629999999999999</v>
          </cell>
          <cell r="AW57">
            <v>0.71420000000000006</v>
          </cell>
          <cell r="AX57">
            <v>0.74120000000000008</v>
          </cell>
          <cell r="AY57">
            <v>0.46450000000000002</v>
          </cell>
          <cell r="AZ57">
            <v>0.2984</v>
          </cell>
          <cell r="BA57">
            <v>0.53010000000000002</v>
          </cell>
          <cell r="BB57">
            <v>0.70660000000000001</v>
          </cell>
          <cell r="BC57">
            <v>0.87719999999999998</v>
          </cell>
          <cell r="BD57">
            <v>0.70369999999999999</v>
          </cell>
          <cell r="BE57">
            <v>0.7278</v>
          </cell>
          <cell r="BF57">
            <v>0.81769999999999998</v>
          </cell>
          <cell r="BG57">
            <v>0.82730000000000004</v>
          </cell>
          <cell r="BH57">
            <v>0.68819999999999992</v>
          </cell>
          <cell r="BI57">
            <v>0.6512</v>
          </cell>
          <cell r="BJ57">
            <v>0.8640000000000001</v>
          </cell>
          <cell r="BK57">
            <v>0.81530000000000002</v>
          </cell>
          <cell r="BL57">
            <v>0.73499999999999999</v>
          </cell>
          <cell r="BM57">
            <v>0.81540000000000001</v>
          </cell>
          <cell r="BN57">
            <v>0.8751000000000001</v>
          </cell>
          <cell r="BO57">
            <v>0.87180000000000002</v>
          </cell>
          <cell r="BP57">
            <v>0.74919999999999998</v>
          </cell>
          <cell r="BQ57">
            <v>0.7964</v>
          </cell>
          <cell r="BR57">
            <v>0.86959999999999993</v>
          </cell>
          <cell r="BS57">
            <v>0.82599999999999996</v>
          </cell>
          <cell r="BT57">
            <v>0.68540000000000001</v>
          </cell>
          <cell r="BU57">
            <v>0.65049999999999997</v>
          </cell>
          <cell r="BV57">
            <v>0.63450000000000006</v>
          </cell>
          <cell r="BW57">
            <v>0.65099999999999991</v>
          </cell>
          <cell r="BX57">
            <v>0.66909999999999992</v>
          </cell>
          <cell r="BY57">
            <v>0.68889999999999996</v>
          </cell>
          <cell r="BZ57">
            <v>0.76060000000000005</v>
          </cell>
          <cell r="CA57">
            <v>0.74569999999999992</v>
          </cell>
          <cell r="CB57">
            <v>0.64489999999999992</v>
          </cell>
          <cell r="CC57">
            <v>0.74439999999999995</v>
          </cell>
          <cell r="CD57">
            <v>0.85560000000000003</v>
          </cell>
          <cell r="CE57">
            <v>0.78760000000000008</v>
          </cell>
          <cell r="CF57">
            <v>0.67010000000000003</v>
          </cell>
          <cell r="CG57">
            <v>0.76519999999999999</v>
          </cell>
          <cell r="CH57">
            <v>0.78639999999999999</v>
          </cell>
          <cell r="CI57">
            <v>0.82209999999999994</v>
          </cell>
          <cell r="CJ57">
            <v>0.67790000000000006</v>
          </cell>
          <cell r="CK57">
            <v>0.75829999999999997</v>
          </cell>
          <cell r="CL57">
            <v>0.82640000000000002</v>
          </cell>
          <cell r="CM57">
            <v>0.80230000000000001</v>
          </cell>
          <cell r="CN57">
            <v>0.73570000000000002</v>
          </cell>
          <cell r="CO57">
            <v>0.80159999999999998</v>
          </cell>
          <cell r="CP57">
            <v>0.85010000000000008</v>
          </cell>
          <cell r="CQ57">
            <v>0.87019999999999997</v>
          </cell>
          <cell r="CR57">
            <v>0.7923</v>
          </cell>
          <cell r="CS57">
            <v>0.8125</v>
          </cell>
        </row>
        <row r="58">
          <cell r="B58" t="str">
            <v>3-star hotels</v>
          </cell>
          <cell r="C58">
            <v>0.82650000000000001</v>
          </cell>
          <cell r="D58">
            <v>0.64489999999999992</v>
          </cell>
          <cell r="E58">
            <v>0.64680000000000004</v>
          </cell>
          <cell r="F58">
            <v>0.63490000000000002</v>
          </cell>
          <cell r="G58">
            <v>0.63829999999999998</v>
          </cell>
          <cell r="H58">
            <v>0.67749999999999999</v>
          </cell>
          <cell r="I58">
            <v>0.63319999999999999</v>
          </cell>
          <cell r="J58">
            <v>0.61970000000000003</v>
          </cell>
          <cell r="K58">
            <v>0.65879999999999994</v>
          </cell>
          <cell r="L58">
            <v>0.64590000000000003</v>
          </cell>
          <cell r="M58">
            <v>0.73499999999999999</v>
          </cell>
          <cell r="N58">
            <v>0.65739999999999998</v>
          </cell>
          <cell r="O58">
            <v>0.69</v>
          </cell>
          <cell r="P58">
            <v>0.65939999999999999</v>
          </cell>
          <cell r="Q58">
            <v>0.60159999999999991</v>
          </cell>
          <cell r="R58">
            <v>0.67709999999999992</v>
          </cell>
          <cell r="S58">
            <v>0.75099999999999989</v>
          </cell>
          <cell r="T58">
            <v>0.65680000000000005</v>
          </cell>
          <cell r="U58">
            <v>0.67810000000000004</v>
          </cell>
          <cell r="V58">
            <v>0.73530000000000006</v>
          </cell>
          <cell r="W58">
            <v>0.70860000000000001</v>
          </cell>
          <cell r="X58">
            <v>0.64599999999999991</v>
          </cell>
          <cell r="Y58">
            <v>0.59989999999999999</v>
          </cell>
          <cell r="Z58">
            <v>0.66510000000000002</v>
          </cell>
          <cell r="AA58">
            <v>0.69779999999999998</v>
          </cell>
          <cell r="AB58">
            <v>0.69110000000000005</v>
          </cell>
          <cell r="AC58">
            <v>0.71870000000000001</v>
          </cell>
          <cell r="AD58">
            <v>0.75849999999999995</v>
          </cell>
          <cell r="AE58">
            <v>0.81810000000000005</v>
          </cell>
          <cell r="AF58">
            <v>0.67310000000000003</v>
          </cell>
          <cell r="AG58">
            <v>0.74029999999999996</v>
          </cell>
          <cell r="AH58">
            <v>0.75540000000000007</v>
          </cell>
          <cell r="AI58">
            <v>0.84239999999999993</v>
          </cell>
          <cell r="AJ58">
            <v>0.71340000000000003</v>
          </cell>
          <cell r="AK58">
            <v>0.77829999999999999</v>
          </cell>
          <cell r="AL58">
            <v>0.7752</v>
          </cell>
          <cell r="AM58">
            <v>0.85980000000000001</v>
          </cell>
          <cell r="AN58">
            <v>0.80730000000000002</v>
          </cell>
          <cell r="AO58">
            <v>0.69900000000000007</v>
          </cell>
          <cell r="AP58">
            <v>0.79949999999999999</v>
          </cell>
          <cell r="AQ58">
            <v>0.90029999999999999</v>
          </cell>
          <cell r="AR58">
            <v>0.73080000000000001</v>
          </cell>
          <cell r="AS58">
            <v>0.73</v>
          </cell>
          <cell r="AT58">
            <v>0.88629999999999998</v>
          </cell>
          <cell r="AU58">
            <v>0.90319999999999989</v>
          </cell>
          <cell r="AV58">
            <v>0.75439999999999996</v>
          </cell>
          <cell r="AW58">
            <v>0.77029999999999998</v>
          </cell>
          <cell r="AX58">
            <v>0.80449999999999999</v>
          </cell>
          <cell r="AY58">
            <v>0.48420000000000002</v>
          </cell>
          <cell r="AZ58">
            <v>0.29469999999999996</v>
          </cell>
          <cell r="BA58">
            <v>0.4919</v>
          </cell>
          <cell r="BB58">
            <v>0.74390000000000001</v>
          </cell>
          <cell r="BC58">
            <v>0.96060000000000001</v>
          </cell>
          <cell r="BD58">
            <v>0.8095</v>
          </cell>
          <cell r="BE58">
            <v>0.85589999999999999</v>
          </cell>
          <cell r="BF58">
            <v>0.96209999999999996</v>
          </cell>
          <cell r="BG58">
            <v>0.9131999999999999</v>
          </cell>
          <cell r="BH58">
            <v>0.77870000000000006</v>
          </cell>
          <cell r="BI58">
            <v>0.78599999999999992</v>
          </cell>
          <cell r="BJ58">
            <v>0.92569999999999997</v>
          </cell>
          <cell r="BK58">
            <v>0.8891</v>
          </cell>
          <cell r="BL58">
            <v>0.79150000000000009</v>
          </cell>
          <cell r="BM58">
            <v>0.85030000000000006</v>
          </cell>
          <cell r="BN58">
            <v>0.90379999999999994</v>
          </cell>
          <cell r="BO58">
            <v>0.91969999999999996</v>
          </cell>
          <cell r="BP58">
            <v>0.84409999999999996</v>
          </cell>
          <cell r="BQ58">
            <v>0.86919999999999997</v>
          </cell>
          <cell r="BR58">
            <v>0.92220000000000002</v>
          </cell>
          <cell r="BS58">
            <v>0.87620000000000009</v>
          </cell>
          <cell r="BT58">
            <v>0.72950000000000004</v>
          </cell>
          <cell r="BU58">
            <v>0.70469999999999999</v>
          </cell>
          <cell r="BV58">
            <v>0.74199999999999999</v>
          </cell>
          <cell r="BW58">
            <v>0.76930000000000009</v>
          </cell>
          <cell r="BX58">
            <v>0.7641</v>
          </cell>
          <cell r="BY58">
            <v>0.78280000000000005</v>
          </cell>
          <cell r="BZ58">
            <v>0.85370000000000001</v>
          </cell>
          <cell r="CA58">
            <v>0.90310000000000001</v>
          </cell>
          <cell r="CB58">
            <v>0.78449999999999998</v>
          </cell>
          <cell r="CC58">
            <v>0.84250000000000003</v>
          </cell>
          <cell r="CD58">
            <v>0.90709999999999991</v>
          </cell>
          <cell r="CE58">
            <v>0.84219999999999995</v>
          </cell>
          <cell r="CF58">
            <v>0.70409999999999995</v>
          </cell>
          <cell r="CG58">
            <v>0.79500000000000004</v>
          </cell>
          <cell r="CH58">
            <v>0.86</v>
          </cell>
          <cell r="CI58">
            <v>0.86680000000000001</v>
          </cell>
          <cell r="CJ58">
            <v>0.73560000000000003</v>
          </cell>
          <cell r="CK58">
            <v>0.75529999999999997</v>
          </cell>
          <cell r="CL58">
            <v>0.77739999999999998</v>
          </cell>
          <cell r="CM58">
            <v>0.79370000000000007</v>
          </cell>
          <cell r="CN58">
            <v>0.69789999999999996</v>
          </cell>
          <cell r="CO58">
            <v>0.76900000000000002</v>
          </cell>
          <cell r="CP58">
            <v>0.82779999999999998</v>
          </cell>
          <cell r="CQ58">
            <v>0.83510000000000006</v>
          </cell>
          <cell r="CR58">
            <v>0.72920000000000007</v>
          </cell>
          <cell r="CS58">
            <v>0.76260000000000006</v>
          </cell>
        </row>
        <row r="59">
          <cell r="B59" t="str">
            <v>2-star hotels</v>
          </cell>
          <cell r="C59">
            <v>0.68420000000000003</v>
          </cell>
          <cell r="D59">
            <v>0.68079999999999996</v>
          </cell>
          <cell r="E59">
            <v>0.60329999999999995</v>
          </cell>
          <cell r="F59">
            <v>0.47899999999999998</v>
          </cell>
          <cell r="G59">
            <v>0.39979999999999999</v>
          </cell>
          <cell r="H59">
            <v>0.38630000000000003</v>
          </cell>
          <cell r="I59">
            <v>0.28360000000000002</v>
          </cell>
          <cell r="J59">
            <v>0.28539999999999999</v>
          </cell>
          <cell r="K59">
            <v>0.28610000000000002</v>
          </cell>
          <cell r="L59">
            <v>0.28320000000000001</v>
          </cell>
          <cell r="M59">
            <v>0.38770000000000004</v>
          </cell>
          <cell r="N59">
            <v>0.33640000000000003</v>
          </cell>
          <cell r="O59">
            <v>0.3533</v>
          </cell>
          <cell r="P59">
            <v>0.32700000000000001</v>
          </cell>
          <cell r="Q59">
            <v>0.29339999999999999</v>
          </cell>
          <cell r="R59">
            <v>0.35049999999999998</v>
          </cell>
          <cell r="S59">
            <v>0.35560000000000003</v>
          </cell>
          <cell r="T59">
            <v>0.29830000000000001</v>
          </cell>
          <cell r="U59">
            <v>0.29070000000000001</v>
          </cell>
          <cell r="V59">
            <v>0.30620000000000003</v>
          </cell>
          <cell r="W59">
            <v>0.32030000000000003</v>
          </cell>
          <cell r="X59">
            <v>0.3538</v>
          </cell>
          <cell r="Y59">
            <v>0.26640000000000003</v>
          </cell>
          <cell r="Z59">
            <v>0.28839999999999999</v>
          </cell>
          <cell r="AA59">
            <v>0.32119999999999999</v>
          </cell>
          <cell r="AB59">
            <v>0.28410000000000002</v>
          </cell>
          <cell r="AC59">
            <v>0.30449999999999999</v>
          </cell>
          <cell r="AD59">
            <v>0.31670000000000004</v>
          </cell>
          <cell r="AE59">
            <v>0.34909999999999997</v>
          </cell>
          <cell r="AF59">
            <v>0.28720000000000001</v>
          </cell>
          <cell r="AG59">
            <v>0.31069999999999998</v>
          </cell>
          <cell r="AH59">
            <v>0.3</v>
          </cell>
          <cell r="AI59">
            <v>0.33360000000000001</v>
          </cell>
          <cell r="AJ59">
            <v>0.31319999999999998</v>
          </cell>
          <cell r="AK59">
            <v>0.38280000000000003</v>
          </cell>
          <cell r="AL59">
            <v>0.35220000000000001</v>
          </cell>
          <cell r="AM59">
            <v>0.37079999999999996</v>
          </cell>
          <cell r="AN59">
            <v>0.36409999999999998</v>
          </cell>
          <cell r="AO59">
            <v>0.31359999999999999</v>
          </cell>
          <cell r="AP59">
            <v>0.3705</v>
          </cell>
          <cell r="AQ59">
            <v>0.38659999999999994</v>
          </cell>
          <cell r="AR59">
            <v>0.3115</v>
          </cell>
          <cell r="AS59">
            <v>0.33520000000000005</v>
          </cell>
          <cell r="AT59">
            <v>0.37959999999999999</v>
          </cell>
          <cell r="AU59">
            <v>0.39350000000000002</v>
          </cell>
          <cell r="AV59">
            <v>0.3115</v>
          </cell>
          <cell r="AW59">
            <v>0.43219999999999997</v>
          </cell>
          <cell r="AX59">
            <v>0.3639</v>
          </cell>
          <cell r="AY59">
            <v>0.2651</v>
          </cell>
          <cell r="AZ59">
            <v>0.2036</v>
          </cell>
          <cell r="BA59">
            <v>0.28070000000000001</v>
          </cell>
          <cell r="BB59">
            <v>0.3589</v>
          </cell>
          <cell r="BC59">
            <v>0.67379999999999995</v>
          </cell>
          <cell r="BD59">
            <v>0.45219999999999999</v>
          </cell>
          <cell r="BE59">
            <v>0.45740000000000003</v>
          </cell>
          <cell r="BF59">
            <v>0.66639999999999999</v>
          </cell>
          <cell r="BG59">
            <v>0.61350000000000005</v>
          </cell>
          <cell r="BH59">
            <v>0.50329999999999997</v>
          </cell>
          <cell r="BI59">
            <v>0.41240000000000004</v>
          </cell>
          <cell r="BJ59">
            <v>0.60770000000000002</v>
          </cell>
          <cell r="BK59">
            <v>0.62509999999999999</v>
          </cell>
          <cell r="BL59">
            <v>0.52369999999999994</v>
          </cell>
          <cell r="BM59">
            <v>0.51</v>
          </cell>
          <cell r="BN59">
            <v>0.66849999999999998</v>
          </cell>
          <cell r="BO59">
            <v>0.6926000000000001</v>
          </cell>
          <cell r="BP59">
            <v>0.53420000000000001</v>
          </cell>
          <cell r="BQ59">
            <v>0.5958</v>
          </cell>
          <cell r="BR59">
            <v>0.70530000000000004</v>
          </cell>
          <cell r="BS59">
            <v>0.61990000000000001</v>
          </cell>
          <cell r="BT59">
            <v>0.51549999999999996</v>
          </cell>
          <cell r="BU59">
            <v>0.58530000000000004</v>
          </cell>
          <cell r="BV59">
            <v>0.50029999999999997</v>
          </cell>
          <cell r="BW59">
            <v>0.54010000000000002</v>
          </cell>
          <cell r="BX59">
            <v>0.49299999999999999</v>
          </cell>
          <cell r="BY59">
            <v>0.46399999999999997</v>
          </cell>
          <cell r="BZ59">
            <v>0.64170000000000005</v>
          </cell>
          <cell r="CA59">
            <v>0.63759999999999994</v>
          </cell>
          <cell r="CB59">
            <v>0.55689999999999995</v>
          </cell>
          <cell r="CC59">
            <v>0.62029999999999996</v>
          </cell>
          <cell r="CD59">
            <v>0.73819999999999997</v>
          </cell>
          <cell r="CE59">
            <v>0.64739999999999998</v>
          </cell>
          <cell r="CF59">
            <v>0.48619999999999997</v>
          </cell>
          <cell r="CG59">
            <v>0.57050000000000001</v>
          </cell>
          <cell r="CH59">
            <v>0.63500000000000001</v>
          </cell>
          <cell r="CI59">
            <v>0.68019999999999992</v>
          </cell>
          <cell r="CJ59">
            <v>0.54369999999999996</v>
          </cell>
          <cell r="CK59">
            <v>0.51849999999999996</v>
          </cell>
          <cell r="CL59">
            <v>0.58420000000000005</v>
          </cell>
          <cell r="CM59">
            <v>0.60589999999999999</v>
          </cell>
          <cell r="CN59">
            <v>0.53069999999999995</v>
          </cell>
          <cell r="CO59">
            <v>0.5887</v>
          </cell>
          <cell r="CP59">
            <v>0.68590000000000007</v>
          </cell>
          <cell r="CQ59">
            <v>0.67430000000000012</v>
          </cell>
          <cell r="CR59">
            <v>0.55320000000000003</v>
          </cell>
          <cell r="CS59">
            <v>0.61799999999999999</v>
          </cell>
        </row>
        <row r="60">
          <cell r="B60" t="str">
            <v>Guest-houses</v>
          </cell>
          <cell r="C60">
            <v>0.33710000000000001</v>
          </cell>
          <cell r="D60">
            <v>0.32280000000000003</v>
          </cell>
          <cell r="E60">
            <v>0.3044</v>
          </cell>
          <cell r="F60">
            <v>0.27479999999999999</v>
          </cell>
          <cell r="G60">
            <v>0.2727</v>
          </cell>
          <cell r="H60">
            <v>0.27339999999999998</v>
          </cell>
          <cell r="I60">
            <v>0.30480000000000002</v>
          </cell>
          <cell r="J60">
            <v>0.29520000000000002</v>
          </cell>
          <cell r="K60">
            <v>0.30790000000000001</v>
          </cell>
          <cell r="L60">
            <v>0.33759999999999996</v>
          </cell>
          <cell r="M60">
            <v>0.39069999999999999</v>
          </cell>
          <cell r="N60">
            <v>0.34079999999999999</v>
          </cell>
          <cell r="O60">
            <v>0.35590000000000005</v>
          </cell>
          <cell r="P60">
            <v>0.35680000000000001</v>
          </cell>
          <cell r="Q60">
            <v>0.33250000000000002</v>
          </cell>
          <cell r="R60">
            <v>0.3664</v>
          </cell>
          <cell r="S60">
            <v>0.36829999999999996</v>
          </cell>
          <cell r="T60">
            <v>0.32850000000000001</v>
          </cell>
          <cell r="U60">
            <v>0.33829999999999999</v>
          </cell>
          <cell r="V60">
            <v>0.31739999999999996</v>
          </cell>
          <cell r="W60">
            <v>0.31670000000000004</v>
          </cell>
          <cell r="X60">
            <v>0.37880000000000003</v>
          </cell>
          <cell r="Y60">
            <v>0.32939999999999997</v>
          </cell>
          <cell r="Z60">
            <v>0.34179999999999999</v>
          </cell>
          <cell r="AA60">
            <v>0.34630000000000005</v>
          </cell>
          <cell r="AB60">
            <v>0.37219999999999998</v>
          </cell>
          <cell r="AC60">
            <v>0.31430000000000002</v>
          </cell>
          <cell r="AD60">
            <v>0.3674</v>
          </cell>
          <cell r="AE60">
            <v>0.37329999999999997</v>
          </cell>
          <cell r="AF60">
            <v>0.34200000000000003</v>
          </cell>
          <cell r="AG60">
            <v>0.36009999999999998</v>
          </cell>
          <cell r="AH60">
            <v>0.33679999999999999</v>
          </cell>
          <cell r="AI60">
            <v>0.37259999999999999</v>
          </cell>
          <cell r="AJ60">
            <v>0.33810000000000001</v>
          </cell>
          <cell r="AK60">
            <v>0.40450000000000003</v>
          </cell>
          <cell r="AL60">
            <v>0.37670000000000003</v>
          </cell>
          <cell r="AM60">
            <v>0.3901</v>
          </cell>
          <cell r="AN60">
            <v>0.39229999999999998</v>
          </cell>
          <cell r="AO60">
            <v>0.37829999999999997</v>
          </cell>
          <cell r="AP60">
            <v>0.40240000000000004</v>
          </cell>
          <cell r="AQ60">
            <v>0.40549999999999997</v>
          </cell>
          <cell r="AR60">
            <v>0.36009999999999998</v>
          </cell>
          <cell r="AS60">
            <v>0.37329999999999997</v>
          </cell>
          <cell r="AT60">
            <v>0.37439999999999996</v>
          </cell>
          <cell r="AU60">
            <v>0.37450000000000006</v>
          </cell>
          <cell r="AV60">
            <v>0.36049999999999999</v>
          </cell>
          <cell r="AW60">
            <v>0.42349999999999999</v>
          </cell>
          <cell r="AX60">
            <v>0.36340000000000006</v>
          </cell>
          <cell r="AY60">
            <v>0.27610000000000001</v>
          </cell>
          <cell r="AZ60">
            <v>0.22899999999999998</v>
          </cell>
          <cell r="BA60">
            <v>0.26530000000000004</v>
          </cell>
          <cell r="BB60">
            <v>0.33630000000000004</v>
          </cell>
          <cell r="BC60">
            <v>0.4158</v>
          </cell>
          <cell r="BD60">
            <v>0.35049999999999998</v>
          </cell>
          <cell r="BE60">
            <v>0.38630000000000003</v>
          </cell>
          <cell r="BF60">
            <v>0.43590000000000001</v>
          </cell>
          <cell r="BG60">
            <v>0.45740000000000003</v>
          </cell>
          <cell r="BH60">
            <v>0.3886</v>
          </cell>
          <cell r="BI60">
            <v>0.3397</v>
          </cell>
          <cell r="BJ60">
            <v>0.42219999999999996</v>
          </cell>
          <cell r="BK60">
            <v>0.40509999999999996</v>
          </cell>
          <cell r="BL60">
            <v>0.38799999999999996</v>
          </cell>
          <cell r="BM60">
            <v>0.38969999999999999</v>
          </cell>
          <cell r="BN60">
            <v>0.42210000000000003</v>
          </cell>
          <cell r="BO60">
            <v>0.45960000000000001</v>
          </cell>
          <cell r="BP60">
            <v>0.38250000000000001</v>
          </cell>
          <cell r="BQ60">
            <v>0.45539999999999997</v>
          </cell>
          <cell r="BR60">
            <v>0.47960000000000003</v>
          </cell>
          <cell r="BS60">
            <v>0.46700000000000003</v>
          </cell>
          <cell r="BT60">
            <v>0.41220000000000001</v>
          </cell>
          <cell r="BU60">
            <v>0.42509999999999998</v>
          </cell>
          <cell r="BV60">
            <v>0.41649999999999998</v>
          </cell>
          <cell r="BW60">
            <v>0.439</v>
          </cell>
          <cell r="BX60">
            <v>0.44679999999999997</v>
          </cell>
          <cell r="BY60">
            <v>0.4269</v>
          </cell>
          <cell r="BZ60">
            <v>0.47139999999999999</v>
          </cell>
          <cell r="CA60">
            <v>0.46799999999999997</v>
          </cell>
          <cell r="CB60">
            <v>0.4546</v>
          </cell>
          <cell r="CC60">
            <v>0.48880000000000001</v>
          </cell>
          <cell r="CD60">
            <v>0.50929999999999997</v>
          </cell>
          <cell r="CE60">
            <v>0.49209999999999998</v>
          </cell>
          <cell r="CF60">
            <v>0.46869999999999995</v>
          </cell>
          <cell r="CG60">
            <v>0.46130000000000004</v>
          </cell>
          <cell r="CH60">
            <v>0.45539999999999997</v>
          </cell>
          <cell r="CI60">
            <v>0.4783</v>
          </cell>
          <cell r="CJ60">
            <v>0.40509999999999996</v>
          </cell>
          <cell r="CK60">
            <v>0.41</v>
          </cell>
          <cell r="CL60">
            <v>0.45549999999999996</v>
          </cell>
          <cell r="CM60">
            <v>0.50039999999999996</v>
          </cell>
          <cell r="CN60">
            <v>0.47739999999999999</v>
          </cell>
          <cell r="CO60">
            <v>0.49</v>
          </cell>
          <cell r="CP60">
            <v>0.51649999999999996</v>
          </cell>
          <cell r="CQ60">
            <v>0.51170000000000004</v>
          </cell>
          <cell r="CR60">
            <v>0.50890000000000002</v>
          </cell>
          <cell r="CS60">
            <v>0.53969999999999996</v>
          </cell>
        </row>
        <row r="61">
          <cell r="B61" t="str">
            <v>Total % Change</v>
          </cell>
          <cell r="X61">
            <v>0.14552087555735715</v>
          </cell>
          <cell r="Y61">
            <v>-0.1453412073490814</v>
          </cell>
          <cell r="Z61">
            <v>8.0082135523614095E-2</v>
          </cell>
          <cell r="AA61">
            <v>2.9117995598442414E-2</v>
          </cell>
          <cell r="AB61">
            <v>-2.4295596423148269E-2</v>
          </cell>
          <cell r="AC61">
            <v>0.15243201838376108</v>
          </cell>
          <cell r="AD61">
            <v>5.5674871964315198E-2</v>
          </cell>
          <cell r="AE61">
            <v>6.1305610762880436E-2</v>
          </cell>
          <cell r="AF61">
            <v>2.8336380255941318E-2</v>
          </cell>
          <cell r="AG61">
            <v>7.2268326417704198E-2</v>
          </cell>
          <cell r="AH61">
            <v>7.7210884353741793E-2</v>
          </cell>
          <cell r="AI61">
            <v>0.12973883740522307</v>
          </cell>
          <cell r="AJ61">
            <v>1.5569709837225609E-2</v>
          </cell>
          <cell r="AK61">
            <v>0.21957773512475987</v>
          </cell>
          <cell r="AL61">
            <v>0.12858624265468377</v>
          </cell>
          <cell r="AM61">
            <v>0.15709820694193133</v>
          </cell>
          <cell r="AN61">
            <v>0.18364170845581862</v>
          </cell>
          <cell r="AO61">
            <v>2.3263542705216356E-3</v>
          </cell>
          <cell r="AP61">
            <v>8.4663536776212966E-2</v>
          </cell>
          <cell r="AQ61">
            <v>0.10054739268222401</v>
          </cell>
          <cell r="AR61">
            <v>0.12088888888888882</v>
          </cell>
          <cell r="AS61">
            <v>2.8377942599161488E-2</v>
          </cell>
          <cell r="AT61">
            <v>0.16166719292706011</v>
          </cell>
          <cell r="AU61">
            <v>0.10096942580164048</v>
          </cell>
          <cell r="AV61">
            <v>5.7839721254355325E-2</v>
          </cell>
          <cell r="AW61">
            <v>6.6887000314762579E-2</v>
          </cell>
          <cell r="AX61">
            <v>2.6186830015313856E-2</v>
          </cell>
          <cell r="AY61">
            <v>-0.37190787603070807</v>
          </cell>
          <cell r="AZ61">
            <v>-0.52198685171658143</v>
          </cell>
          <cell r="BA61">
            <v>-0.17523209549071617</v>
          </cell>
          <cell r="BB61">
            <v>-3.5204155244553448E-2</v>
          </cell>
          <cell r="BC61">
            <v>0.10314136125654438</v>
          </cell>
          <cell r="BD61">
            <v>8.1839809674861153E-2</v>
          </cell>
          <cell r="BE61">
            <v>0.13734713076199445</v>
          </cell>
          <cell r="BF61">
            <v>7.4204946996466514E-2</v>
          </cell>
          <cell r="BG61">
            <v>4.8767271742075291E-2</v>
          </cell>
          <cell r="BH61">
            <v>9.9308300395257065E-2</v>
          </cell>
          <cell r="BI61">
            <v>-4.956483257117561E-2</v>
          </cell>
          <cell r="BJ61">
            <v>0.16415460379047908</v>
          </cell>
          <cell r="BK61">
            <v>0.74241738343141717</v>
          </cell>
          <cell r="BL61">
            <v>1.1732885085574569</v>
          </cell>
          <cell r="BM61">
            <v>0.50633165829145721</v>
          </cell>
          <cell r="BN61">
            <v>0.22625990728278733</v>
          </cell>
          <cell r="BO61">
            <v>-2.2899857617465713E-2</v>
          </cell>
          <cell r="BP61">
            <v>4.4275032986365703E-2</v>
          </cell>
          <cell r="BQ61">
            <v>6.3964709125999386E-2</v>
          </cell>
          <cell r="BR61">
            <v>4.3016194331983781E-2</v>
          </cell>
          <cell r="BS61">
            <v>1.3949883750968839E-2</v>
          </cell>
          <cell r="BT61">
            <v>1.4981273408238849E-3</v>
          </cell>
          <cell r="BU61">
            <v>1.4279062548502086E-2</v>
          </cell>
          <cell r="BV61">
            <v>-0.16869632098448928</v>
          </cell>
          <cell r="BW61">
            <v>-0.12925435177968303</v>
          </cell>
          <cell r="BX61">
            <v>-5.7375896498382706E-2</v>
          </cell>
          <cell r="BY61">
            <v>-9.7277822257806013E-2</v>
          </cell>
          <cell r="BZ61">
            <v>-9.7317073170731683E-2</v>
          </cell>
          <cell r="CA61">
            <v>-8.0145719489981726E-2</v>
          </cell>
          <cell r="CB61">
            <v>-6.0087041976695343E-2</v>
          </cell>
          <cell r="CC61">
            <v>-2.3840373153666716E-2</v>
          </cell>
          <cell r="CD61">
            <v>1.5769044153322032E-3</v>
          </cell>
          <cell r="CE61">
            <v>-3.0700636942675219E-2</v>
          </cell>
          <cell r="CF61">
            <v>-3.4704562453253596E-2</v>
          </cell>
          <cell r="CG61">
            <v>0.10420811017597553</v>
          </cell>
          <cell r="CH61">
            <v>0.15836545875096397</v>
          </cell>
          <cell r="CI61">
            <v>0.1600775772042371</v>
          </cell>
          <cell r="CJ61">
            <v>-2.4466656720871227E-2</v>
          </cell>
          <cell r="CK61">
            <v>5.1736881005173263E-3</v>
          </cell>
          <cell r="CL61">
            <v>-1.621183463928666E-2</v>
          </cell>
          <cell r="CM61">
            <v>-1.9405940594059312E-2</v>
          </cell>
          <cell r="CN61">
            <v>4.331590739357738E-3</v>
          </cell>
          <cell r="CO61">
            <v>-2.3360764534112066E-2</v>
          </cell>
          <cell r="CP61">
            <v>-6.0433571515078111E-2</v>
          </cell>
          <cell r="CQ61">
            <v>2.615323958470217E-2</v>
          </cell>
          <cell r="CR61">
            <v>0.11266077793274443</v>
          </cell>
          <cell r="CS61">
            <v>2.7439024390244038E-2</v>
          </cell>
        </row>
        <row r="63">
          <cell r="B63" t="str">
            <v>Room Nights Sold</v>
          </cell>
        </row>
        <row r="64">
          <cell r="B64" t="str">
            <v>Grand Total</v>
          </cell>
          <cell r="K64">
            <v>1848178.9234999998</v>
          </cell>
          <cell r="L64">
            <v>144021.48639999999</v>
          </cell>
          <cell r="M64">
            <v>166884.09600000002</v>
          </cell>
          <cell r="N64">
            <v>156767.24799999999</v>
          </cell>
          <cell r="O64">
            <v>165106.557</v>
          </cell>
          <cell r="P64">
            <v>167917.24429999999</v>
          </cell>
          <cell r="Q64">
            <v>146633.76</v>
          </cell>
          <cell r="R64">
            <v>174639.3401</v>
          </cell>
          <cell r="S64">
            <v>188475.64450000002</v>
          </cell>
          <cell r="T64">
            <v>152563.77000000002</v>
          </cell>
          <cell r="U64">
            <v>166806.51120000001</v>
          </cell>
          <cell r="V64">
            <v>162323.28</v>
          </cell>
          <cell r="W64">
            <v>169284.59850000002</v>
          </cell>
          <cell r="X64">
            <v>160739.48879999999</v>
          </cell>
          <cell r="Y64">
            <v>133888.66400000002</v>
          </cell>
          <cell r="Z64">
            <v>164622.11480000001</v>
          </cell>
          <cell r="AA64">
            <v>167798.63700000002</v>
          </cell>
          <cell r="AB64">
            <v>163012.93890000001</v>
          </cell>
          <cell r="AC64">
            <v>156167.09999999998</v>
          </cell>
          <cell r="AD64">
            <v>178637.56200000001</v>
          </cell>
          <cell r="AE64">
            <v>194090.6838</v>
          </cell>
          <cell r="AF64">
            <v>152145</v>
          </cell>
          <cell r="AG64">
            <v>173208.83580000003</v>
          </cell>
          <cell r="AH64">
            <v>171436.04400000002</v>
          </cell>
          <cell r="AI64">
            <v>187693.065</v>
          </cell>
          <cell r="AJ64">
            <v>159007.18399999998</v>
          </cell>
          <cell r="AK64">
            <v>159996.2616</v>
          </cell>
          <cell r="AL64">
            <v>181680.92500000002</v>
          </cell>
          <cell r="AM64">
            <v>189601.47</v>
          </cell>
          <cell r="AN64">
            <v>190020.6225</v>
          </cell>
          <cell r="AO64">
            <v>158864.78399999999</v>
          </cell>
          <cell r="AP64">
            <v>188862.81900000002</v>
          </cell>
          <cell r="AQ64">
            <v>208371.83200000002</v>
          </cell>
          <cell r="AR64">
            <v>166603.31999999998</v>
          </cell>
          <cell r="AS64">
            <v>176878.52280000001</v>
          </cell>
          <cell r="AT64">
            <v>197076.67199999999</v>
          </cell>
          <cell r="AU64">
            <v>204905.12679999997</v>
          </cell>
          <cell r="AV64">
            <v>168693.5184</v>
          </cell>
          <cell r="AW64">
            <v>169748.87160000001</v>
          </cell>
          <cell r="AX64">
            <v>185462.23679999998</v>
          </cell>
          <cell r="AY64">
            <v>118344.966</v>
          </cell>
          <cell r="AZ64">
            <v>90446.914399999994</v>
          </cell>
          <cell r="BA64">
            <v>133160.84999999998</v>
          </cell>
          <cell r="BB64">
            <v>182525.0085</v>
          </cell>
          <cell r="BC64">
            <v>231561.8284</v>
          </cell>
          <cell r="BD64">
            <v>182263.94099999999</v>
          </cell>
          <cell r="BE64">
            <v>200115.3726</v>
          </cell>
          <cell r="BF64">
            <v>217628.736</v>
          </cell>
          <cell r="BG64">
            <v>220441.837</v>
          </cell>
          <cell r="BH64">
            <v>190122.69</v>
          </cell>
          <cell r="BI64">
            <v>172048.71760000003</v>
          </cell>
          <cell r="BJ64">
            <v>224927.01310000001</v>
          </cell>
          <cell r="BK64">
            <v>215189.89199999999</v>
          </cell>
          <cell r="BL64">
            <v>205296.70329999999</v>
          </cell>
          <cell r="BM64">
            <v>209082.59999999998</v>
          </cell>
          <cell r="BN64">
            <v>238312.49999999997</v>
          </cell>
          <cell r="BO64">
            <v>236930.0085</v>
          </cell>
          <cell r="BP64">
            <v>194564.745</v>
          </cell>
          <cell r="BQ64">
            <v>217198.4124</v>
          </cell>
          <cell r="BR64">
            <v>226421.46000000002</v>
          </cell>
          <cell r="BS64">
            <v>223103.28</v>
          </cell>
          <cell r="BT64">
            <v>205183.37349999999</v>
          </cell>
          <cell r="BU64">
            <v>186291.93799999999</v>
          </cell>
          <cell r="BV64">
            <v>212795.54749999999</v>
          </cell>
          <cell r="BW64">
            <v>213879.32399999999</v>
          </cell>
          <cell r="BX64">
            <v>217226.80220000001</v>
          </cell>
          <cell r="BY64">
            <v>214538.44500000004</v>
          </cell>
          <cell r="BZ64">
            <v>242357.76440000001</v>
          </cell>
          <cell r="CA64">
            <v>247716.89249999999</v>
          </cell>
          <cell r="CB64">
            <v>214487.715</v>
          </cell>
          <cell r="CC64">
            <v>248384.679</v>
          </cell>
          <cell r="CD64">
            <v>268344.24299999996</v>
          </cell>
          <cell r="CE64">
            <v>255504.13280000002</v>
          </cell>
          <cell r="CF64">
            <v>220347.3645</v>
          </cell>
          <cell r="CG64">
            <v>223081.19680000001</v>
          </cell>
          <cell r="CH64">
            <v>263075.49840000004</v>
          </cell>
          <cell r="CI64">
            <v>264142.94400000002</v>
          </cell>
          <cell r="CJ64">
            <v>229567.9425</v>
          </cell>
          <cell r="CK64">
            <v>239659.2</v>
          </cell>
          <cell r="CL64">
            <v>266194.96639999998</v>
          </cell>
          <cell r="CM64">
            <v>271508.99880000006</v>
          </cell>
          <cell r="CN64">
            <v>250354.69199999998</v>
          </cell>
          <cell r="CO64">
            <v>283274.90620000003</v>
          </cell>
          <cell r="CP64">
            <v>295416.88199999993</v>
          </cell>
          <cell r="CQ64">
            <v>314129.89439999999</v>
          </cell>
          <cell r="CR64">
            <v>287617.87599999999</v>
          </cell>
          <cell r="CS64">
            <v>271177.42960000003</v>
          </cell>
        </row>
        <row r="65">
          <cell r="B65" t="str">
            <v>Hotel Total</v>
          </cell>
          <cell r="K65">
            <v>1789799.9839999999</v>
          </cell>
          <cell r="L65">
            <v>137924.64509999997</v>
          </cell>
          <cell r="M65">
            <v>159779.3106</v>
          </cell>
          <cell r="N65">
            <v>150159.11749999999</v>
          </cell>
          <cell r="O65">
            <v>158730.921</v>
          </cell>
          <cell r="P65">
            <v>161336.26360000001</v>
          </cell>
          <cell r="Q65">
            <v>140720.598</v>
          </cell>
          <cell r="R65">
            <v>167896.02479999998</v>
          </cell>
          <cell r="S65">
            <v>181669.91999999998</v>
          </cell>
          <cell r="T65">
            <v>146633.00400000002</v>
          </cell>
          <cell r="U65">
            <v>160471.5</v>
          </cell>
          <cell r="V65">
            <v>156587.79</v>
          </cell>
          <cell r="W65">
            <v>163474.6684</v>
          </cell>
          <cell r="X65">
            <v>153808.11199999999</v>
          </cell>
          <cell r="Y65">
            <v>128431.8224</v>
          </cell>
          <cell r="Z65">
            <v>158352.41439999998</v>
          </cell>
          <cell r="AA65">
            <v>161620.68</v>
          </cell>
          <cell r="AB65">
            <v>156478.45199999999</v>
          </cell>
          <cell r="AC65">
            <v>150501.82500000001</v>
          </cell>
          <cell r="AD65">
            <v>172150.23539999998</v>
          </cell>
          <cell r="AE65">
            <v>187346.11609999998</v>
          </cell>
          <cell r="AF65">
            <v>146169.65399999998</v>
          </cell>
          <cell r="AG65">
            <v>166721.4534</v>
          </cell>
          <cell r="AH65">
            <v>165486.432</v>
          </cell>
          <cell r="AI65">
            <v>180897.89600000001</v>
          </cell>
          <cell r="AJ65">
            <v>152858.50139999998</v>
          </cell>
          <cell r="AK65">
            <v>153311.05439999999</v>
          </cell>
          <cell r="AL65">
            <v>174806.28749999998</v>
          </cell>
          <cell r="AM65">
            <v>182691.99</v>
          </cell>
          <cell r="AN65">
            <v>182843.00650000002</v>
          </cell>
          <cell r="AO65">
            <v>152112.87</v>
          </cell>
          <cell r="AP65">
            <v>181498.80000000005</v>
          </cell>
          <cell r="AQ65">
            <v>200938.5466</v>
          </cell>
          <cell r="AR65">
            <v>160192.5</v>
          </cell>
          <cell r="AS65">
            <v>170001.61919999999</v>
          </cell>
          <cell r="AT65">
            <v>190415.23199999999</v>
          </cell>
          <cell r="AU65">
            <v>198024.15600000002</v>
          </cell>
          <cell r="AV65">
            <v>162039.38079999998</v>
          </cell>
          <cell r="AW65">
            <v>162685.82399999999</v>
          </cell>
          <cell r="AX65">
            <v>178622.39990000002</v>
          </cell>
          <cell r="AY65">
            <v>113420.463</v>
          </cell>
          <cell r="AZ65">
            <v>86227.944600000003</v>
          </cell>
          <cell r="BA65">
            <v>128442.74399999999</v>
          </cell>
          <cell r="BB65">
            <v>176351.51039999997</v>
          </cell>
          <cell r="BC65">
            <v>223826.49139999997</v>
          </cell>
          <cell r="BD65">
            <v>175967.18099999998</v>
          </cell>
          <cell r="BE65">
            <v>193014.0135</v>
          </cell>
          <cell r="BF65">
            <v>209853.04800000001</v>
          </cell>
          <cell r="BG65">
            <v>212135.61019999997</v>
          </cell>
          <cell r="BH65">
            <v>182989.0692</v>
          </cell>
          <cell r="BI65">
            <v>166190.242</v>
          </cell>
          <cell r="BJ65">
            <v>217173.166</v>
          </cell>
          <cell r="BK65">
            <v>207984.21</v>
          </cell>
          <cell r="BL65">
            <v>198190.00599999999</v>
          </cell>
          <cell r="BM65">
            <v>202167.81000000003</v>
          </cell>
          <cell r="BN65">
            <v>230612.2922</v>
          </cell>
          <cell r="BO65">
            <v>228440.73910000001</v>
          </cell>
          <cell r="BP65">
            <v>187977.02399999998</v>
          </cell>
          <cell r="BQ65">
            <v>209477.66399999999</v>
          </cell>
          <cell r="BR65">
            <v>218548.07399999999</v>
          </cell>
          <cell r="BS65">
            <v>214866.00959999999</v>
          </cell>
          <cell r="BT65">
            <v>198182.39240000001</v>
          </cell>
          <cell r="BU65">
            <v>179527.93040000001</v>
          </cell>
          <cell r="BV65">
            <v>205486.78600000002</v>
          </cell>
          <cell r="BW65">
            <v>206393.63399999999</v>
          </cell>
          <cell r="BX65">
            <v>209346.92460000003</v>
          </cell>
          <cell r="BY65">
            <v>207506.16900000002</v>
          </cell>
          <cell r="BZ65">
            <v>234330.86000000002</v>
          </cell>
          <cell r="CA65">
            <v>239761.0215</v>
          </cell>
          <cell r="CB65">
            <v>206975.80800000002</v>
          </cell>
          <cell r="CC65">
            <v>240017.3512</v>
          </cell>
          <cell r="CD65">
            <v>259939.24200000003</v>
          </cell>
          <cell r="CE65">
            <v>247160.89199999999</v>
          </cell>
          <cell r="CF65">
            <v>212374.20479999998</v>
          </cell>
          <cell r="CG65">
            <v>216001.68800000002</v>
          </cell>
          <cell r="CH65">
            <v>255307.76639999999</v>
          </cell>
          <cell r="CI65">
            <v>256233.56400000001</v>
          </cell>
          <cell r="CJ65">
            <v>222673.79980000001</v>
          </cell>
          <cell r="CK65">
            <v>232886.40300000002</v>
          </cell>
          <cell r="CL65">
            <v>258460.94070000004</v>
          </cell>
          <cell r="CM65">
            <v>262967.66800000001</v>
          </cell>
          <cell r="CN65">
            <v>242457.25499999998</v>
          </cell>
          <cell r="CO65">
            <v>274789.08399999997</v>
          </cell>
          <cell r="CP65">
            <v>286738.55399999995</v>
          </cell>
          <cell r="CQ65">
            <v>305296.277</v>
          </cell>
          <cell r="CR65">
            <v>278800.78159999999</v>
          </cell>
          <cell r="CS65">
            <v>262562.8824</v>
          </cell>
        </row>
        <row r="66">
          <cell r="B66" t="str">
            <v>5-star hotels</v>
          </cell>
          <cell r="K66">
            <v>643450.90799999994</v>
          </cell>
          <cell r="L66">
            <v>49816.519499999995</v>
          </cell>
          <cell r="M66">
            <v>59334.556799999991</v>
          </cell>
          <cell r="N66">
            <v>56590.915399999998</v>
          </cell>
          <cell r="O66">
            <v>61131.833999999995</v>
          </cell>
          <cell r="P66">
            <v>59596.359199999999</v>
          </cell>
          <cell r="Q66">
            <v>54307.637999999999</v>
          </cell>
          <cell r="R66">
            <v>63868.617999999995</v>
          </cell>
          <cell r="S66">
            <v>67769.090699999986</v>
          </cell>
          <cell r="T66">
            <v>55466.019</v>
          </cell>
          <cell r="U66">
            <v>60140.607600000003</v>
          </cell>
          <cell r="V66">
            <v>56399.318999999996</v>
          </cell>
          <cell r="W66">
            <v>61408.4859</v>
          </cell>
          <cell r="X66">
            <v>56702.620799999997</v>
          </cell>
          <cell r="Y66">
            <v>48156.639999999999</v>
          </cell>
          <cell r="Z66">
            <v>58448.02</v>
          </cell>
          <cell r="AA66">
            <v>57845.136000000006</v>
          </cell>
          <cell r="AB66">
            <v>57861.81</v>
          </cell>
          <cell r="AC66">
            <v>56982.585000000006</v>
          </cell>
          <cell r="AD66">
            <v>62231.920299999998</v>
          </cell>
          <cell r="AE66">
            <v>69576.000100000005</v>
          </cell>
          <cell r="AF66">
            <v>52199.436000000002</v>
          </cell>
          <cell r="AG66">
            <v>60984.601199999997</v>
          </cell>
          <cell r="AH66">
            <v>59494.368000000002</v>
          </cell>
          <cell r="AI66">
            <v>64240.7048</v>
          </cell>
          <cell r="AJ66">
            <v>55262.212</v>
          </cell>
          <cell r="AK66">
            <v>54591.137999999999</v>
          </cell>
          <cell r="AL66">
            <v>64058.809199999996</v>
          </cell>
          <cell r="AM66">
            <v>62313.687000000005</v>
          </cell>
          <cell r="AN66">
            <v>67481.367299999998</v>
          </cell>
          <cell r="AO66">
            <v>55998.305999999997</v>
          </cell>
          <cell r="AP66">
            <v>66038.531199999983</v>
          </cell>
          <cell r="AQ66">
            <v>73420.53330000001</v>
          </cell>
          <cell r="AR66">
            <v>58228.610999999997</v>
          </cell>
          <cell r="AS66">
            <v>63549.643500000013</v>
          </cell>
          <cell r="AT66">
            <v>66099.972000000009</v>
          </cell>
          <cell r="AU66">
            <v>70310.876799999998</v>
          </cell>
          <cell r="AV66">
            <v>58655.844000000005</v>
          </cell>
          <cell r="AW66">
            <v>60810.982399999986</v>
          </cell>
          <cell r="AX66">
            <v>63610.164799999999</v>
          </cell>
          <cell r="AY66">
            <v>43906.079999999994</v>
          </cell>
          <cell r="AZ66">
            <v>40255.105799999998</v>
          </cell>
          <cell r="BA66">
            <v>52899.93</v>
          </cell>
          <cell r="BB66">
            <v>68362.948399999994</v>
          </cell>
          <cell r="BC66">
            <v>82332.062999999995</v>
          </cell>
          <cell r="BD66">
            <v>65401.446000000004</v>
          </cell>
          <cell r="BE66">
            <v>74080.414799999999</v>
          </cell>
          <cell r="BF66">
            <v>76887.491999999998</v>
          </cell>
          <cell r="BG66">
            <v>77926.541400000016</v>
          </cell>
          <cell r="BH66">
            <v>70461.071800000005</v>
          </cell>
          <cell r="BI66">
            <v>65508.520499999999</v>
          </cell>
          <cell r="BJ66">
            <v>79504.137600000002</v>
          </cell>
          <cell r="BK66">
            <v>80189.64</v>
          </cell>
          <cell r="BL66">
            <v>80676.917200000011</v>
          </cell>
          <cell r="BM66">
            <v>79238.999999999985</v>
          </cell>
          <cell r="BN66">
            <v>90122.146000000008</v>
          </cell>
          <cell r="BO66">
            <v>89508.996999999988</v>
          </cell>
          <cell r="BP66">
            <v>75045.69</v>
          </cell>
          <cell r="BQ66">
            <v>86109.785000000003</v>
          </cell>
          <cell r="BR66">
            <v>85976.19</v>
          </cell>
          <cell r="BS66">
            <v>86066.757000000012</v>
          </cell>
          <cell r="BT66">
            <v>75067.829899999997</v>
          </cell>
          <cell r="BU66">
            <v>65717.245999999999</v>
          </cell>
          <cell r="BV66">
            <v>72330.703500000003</v>
          </cell>
          <cell r="BW66">
            <v>71901.303</v>
          </cell>
          <cell r="BX66">
            <v>73870.337100000019</v>
          </cell>
          <cell r="BY66">
            <v>71145.491999999998</v>
          </cell>
          <cell r="BZ66">
            <v>76225.980599999995</v>
          </cell>
          <cell r="CA66">
            <v>80028.871499999994</v>
          </cell>
          <cell r="CB66">
            <v>70421.682000000001</v>
          </cell>
          <cell r="CC66">
            <v>82185.122999999992</v>
          </cell>
          <cell r="CD66">
            <v>83779.659</v>
          </cell>
          <cell r="CE66">
            <v>79873.756800000003</v>
          </cell>
          <cell r="CF66">
            <v>68691.002800000002</v>
          </cell>
          <cell r="CG66">
            <v>67610.872000000003</v>
          </cell>
          <cell r="CH66">
            <v>75261.539600000004</v>
          </cell>
          <cell r="CI66">
            <v>76139.856000000014</v>
          </cell>
          <cell r="CJ66">
            <v>67863.950700000001</v>
          </cell>
          <cell r="CK66">
            <v>70509.500999999989</v>
          </cell>
          <cell r="CL66">
            <v>70219.597299999994</v>
          </cell>
          <cell r="CM66">
            <v>75501.3649</v>
          </cell>
          <cell r="CN66">
            <v>78858.251999999993</v>
          </cell>
          <cell r="CO66">
            <v>89621.80290000001</v>
          </cell>
          <cell r="CP66">
            <v>94316.763000000021</v>
          </cell>
          <cell r="CQ66">
            <v>102018.6936</v>
          </cell>
          <cell r="CR66">
            <v>97697.460999999996</v>
          </cell>
          <cell r="CS66">
            <v>91771.814400000003</v>
          </cell>
        </row>
        <row r="67">
          <cell r="B67" t="str">
            <v>4-star hotels</v>
          </cell>
          <cell r="K67">
            <v>519329.92050000001</v>
          </cell>
          <cell r="L67">
            <v>35213.929199999999</v>
          </cell>
          <cell r="M67">
            <v>48528.02</v>
          </cell>
          <cell r="N67">
            <v>44286.001700000001</v>
          </cell>
          <cell r="O67">
            <v>48468.642</v>
          </cell>
          <cell r="P67">
            <v>53062.879799999995</v>
          </cell>
          <cell r="Q67">
            <v>43586.150999999998</v>
          </cell>
          <cell r="R67">
            <v>53589.994500000001</v>
          </cell>
          <cell r="S67">
            <v>58995.011900000005</v>
          </cell>
          <cell r="T67">
            <v>45197.454000000005</v>
          </cell>
          <cell r="U67">
            <v>51715.808899999996</v>
          </cell>
          <cell r="V67">
            <v>50561.621999999996</v>
          </cell>
          <cell r="W67">
            <v>51968.651099999995</v>
          </cell>
          <cell r="X67">
            <v>49724.914500000006</v>
          </cell>
          <cell r="Y67">
            <v>42086.251199999999</v>
          </cell>
          <cell r="Z67">
            <v>53217.045900000005</v>
          </cell>
          <cell r="AA67">
            <v>55859.409</v>
          </cell>
          <cell r="AB67">
            <v>52289.1849</v>
          </cell>
          <cell r="AC67">
            <v>46457.819999999992</v>
          </cell>
          <cell r="AD67">
            <v>59346.12720000001</v>
          </cell>
          <cell r="AE67">
            <v>62350.994399999996</v>
          </cell>
          <cell r="AF67">
            <v>49845.815999999999</v>
          </cell>
          <cell r="AG67">
            <v>55712.5242</v>
          </cell>
          <cell r="AH67">
            <v>57060.341999999997</v>
          </cell>
          <cell r="AI67">
            <v>60285.148199999996</v>
          </cell>
          <cell r="AJ67">
            <v>49890.593999999997</v>
          </cell>
          <cell r="AK67">
            <v>50791.008800000003</v>
          </cell>
          <cell r="AL67">
            <v>58609.877199999995</v>
          </cell>
          <cell r="AM67">
            <v>64898.96699999999</v>
          </cell>
          <cell r="AN67">
            <v>61252.807000000001</v>
          </cell>
          <cell r="AO67">
            <v>53719.197</v>
          </cell>
          <cell r="AP67">
            <v>63696.270399999994</v>
          </cell>
          <cell r="AQ67">
            <v>69788.306700000001</v>
          </cell>
          <cell r="AR67">
            <v>56679.021000000001</v>
          </cell>
          <cell r="AS67">
            <v>57599.364000000001</v>
          </cell>
          <cell r="AT67">
            <v>67519.92</v>
          </cell>
          <cell r="AU67">
            <v>67743.776100000003</v>
          </cell>
          <cell r="AV67">
            <v>53714.639299999995</v>
          </cell>
          <cell r="AW67">
            <v>53613.565600000002</v>
          </cell>
          <cell r="AX67">
            <v>61601.873200000009</v>
          </cell>
          <cell r="AY67">
            <v>37359.735000000008</v>
          </cell>
          <cell r="AZ67">
            <v>24800.322400000001</v>
          </cell>
          <cell r="BA67">
            <v>42635.942999999999</v>
          </cell>
          <cell r="BB67">
            <v>57499.575000000004</v>
          </cell>
          <cell r="BC67">
            <v>71382.150000000009</v>
          </cell>
          <cell r="BD67">
            <v>55416.375</v>
          </cell>
          <cell r="BE67">
            <v>59224.724999999999</v>
          </cell>
          <cell r="BF67">
            <v>64393.875</v>
          </cell>
          <cell r="BG67">
            <v>67321.537499999991</v>
          </cell>
          <cell r="BH67">
            <v>56002.274999999994</v>
          </cell>
          <cell r="BI67">
            <v>49572.600000000006</v>
          </cell>
          <cell r="BJ67">
            <v>70308.000000000015</v>
          </cell>
          <cell r="BK67">
            <v>64204.875</v>
          </cell>
          <cell r="BL67">
            <v>59810.625</v>
          </cell>
          <cell r="BM67">
            <v>64212.750000000007</v>
          </cell>
          <cell r="BN67">
            <v>71211.262500000012</v>
          </cell>
          <cell r="BO67">
            <v>70942.724999999991</v>
          </cell>
          <cell r="BP67">
            <v>58999.499999999993</v>
          </cell>
          <cell r="BQ67">
            <v>64807.05</v>
          </cell>
          <cell r="BR67">
            <v>68481</v>
          </cell>
          <cell r="BS67">
            <v>67215.75</v>
          </cell>
          <cell r="BT67">
            <v>66036.919200000004</v>
          </cell>
          <cell r="BU67">
            <v>56681.968000000001</v>
          </cell>
          <cell r="BV67">
            <v>69197.301000000007</v>
          </cell>
          <cell r="BW67">
            <v>68706.539999999994</v>
          </cell>
          <cell r="BX67">
            <v>69983.845399999991</v>
          </cell>
          <cell r="BY67">
            <v>72458.501999999993</v>
          </cell>
          <cell r="BZ67">
            <v>81133.962599999999</v>
          </cell>
          <cell r="CA67">
            <v>79359.631099999984</v>
          </cell>
          <cell r="CB67">
            <v>68914.013999999996</v>
          </cell>
          <cell r="CC67">
            <v>82198.136799999993</v>
          </cell>
          <cell r="CD67">
            <v>91994.112000000008</v>
          </cell>
          <cell r="CE67">
            <v>87505.510399999999</v>
          </cell>
          <cell r="CF67">
            <v>72144.976300000009</v>
          </cell>
          <cell r="CG67">
            <v>74946.748800000001</v>
          </cell>
          <cell r="CH67">
            <v>91540.891999999993</v>
          </cell>
          <cell r="CI67">
            <v>92658.891000000003</v>
          </cell>
          <cell r="CJ67">
            <v>78995.00910000001</v>
          </cell>
          <cell r="CK67">
            <v>87902.135999999999</v>
          </cell>
          <cell r="CL67">
            <v>99988.615200000015</v>
          </cell>
          <cell r="CM67">
            <v>97197.040400000013</v>
          </cell>
          <cell r="CN67">
            <v>86672.81700000001</v>
          </cell>
          <cell r="CO67">
            <v>97584.379199999996</v>
          </cell>
          <cell r="CP67">
            <v>100150.281</v>
          </cell>
          <cell r="CQ67">
            <v>105935.5374</v>
          </cell>
          <cell r="CR67">
            <v>96427.663800000009</v>
          </cell>
          <cell r="CS67">
            <v>89908</v>
          </cell>
        </row>
        <row r="68">
          <cell r="B68" t="str">
            <v>3-star hotels</v>
          </cell>
          <cell r="K68">
            <v>525409.47</v>
          </cell>
          <cell r="L68">
            <v>43649.922000000006</v>
          </cell>
          <cell r="M68">
            <v>40072.199999999997</v>
          </cell>
          <cell r="N68">
            <v>38313.272000000004</v>
          </cell>
          <cell r="O68">
            <v>38915.999999999993</v>
          </cell>
          <cell r="P68">
            <v>38429.832000000002</v>
          </cell>
          <cell r="Q68">
            <v>33930.239999999991</v>
          </cell>
          <cell r="R68">
            <v>39461.387999999999</v>
          </cell>
          <cell r="S68">
            <v>43768.28</v>
          </cell>
          <cell r="T68">
            <v>36925.296000000002</v>
          </cell>
          <cell r="U68">
            <v>39519.667999999998</v>
          </cell>
          <cell r="V68">
            <v>41470.92</v>
          </cell>
          <cell r="W68">
            <v>41297.208000000006</v>
          </cell>
          <cell r="X68">
            <v>37648.87999999999</v>
          </cell>
          <cell r="Y68">
            <v>31578.735999999997</v>
          </cell>
          <cell r="Z68">
            <v>38762.028000000006</v>
          </cell>
          <cell r="AA68">
            <v>39355.919999999998</v>
          </cell>
          <cell r="AB68">
            <v>38713.348700000002</v>
          </cell>
          <cell r="AC68">
            <v>38960.726999999999</v>
          </cell>
          <cell r="AD68">
            <v>42488.894500000002</v>
          </cell>
          <cell r="AE68">
            <v>45827.507700000002</v>
          </cell>
          <cell r="AF68">
            <v>36488.750999999997</v>
          </cell>
          <cell r="AG68">
            <v>41469.3851</v>
          </cell>
          <cell r="AH68">
            <v>40950.234000000004</v>
          </cell>
          <cell r="AI68">
            <v>47188.720799999996</v>
          </cell>
          <cell r="AJ68">
            <v>39962.527800000003</v>
          </cell>
          <cell r="AK68">
            <v>39378.866799999996</v>
          </cell>
          <cell r="AL68">
            <v>43424.378400000001</v>
          </cell>
          <cell r="AM68">
            <v>46609.758000000002</v>
          </cell>
          <cell r="AN68">
            <v>45222.524100000002</v>
          </cell>
          <cell r="AO68">
            <v>37892.79</v>
          </cell>
          <cell r="AP68">
            <v>44785.591500000002</v>
          </cell>
          <cell r="AQ68">
            <v>50432.105100000001</v>
          </cell>
          <cell r="AR68">
            <v>39616.667999999998</v>
          </cell>
          <cell r="AS68">
            <v>40892.409999999996</v>
          </cell>
          <cell r="AT68">
            <v>48046.323000000004</v>
          </cell>
          <cell r="AU68">
            <v>50594.554399999994</v>
          </cell>
          <cell r="AV68">
            <v>42259.224799999996</v>
          </cell>
          <cell r="AW68">
            <v>38974.0988</v>
          </cell>
          <cell r="AX68">
            <v>45065.676500000001</v>
          </cell>
          <cell r="AY68">
            <v>26248.482000000004</v>
          </cell>
          <cell r="AZ68">
            <v>16508.209899999998</v>
          </cell>
          <cell r="BA68">
            <v>26665.898999999998</v>
          </cell>
          <cell r="BB68">
            <v>42063.081599999998</v>
          </cell>
          <cell r="BC68">
            <v>54316.166399999995</v>
          </cell>
          <cell r="BD68">
            <v>44295.840000000004</v>
          </cell>
          <cell r="BE68">
            <v>48396.009599999998</v>
          </cell>
          <cell r="BF68">
            <v>52646.112000000001</v>
          </cell>
          <cell r="BG68">
            <v>51664.29</v>
          </cell>
          <cell r="BH68">
            <v>44054.952499999999</v>
          </cell>
          <cell r="BI68">
            <v>41576.255999999994</v>
          </cell>
          <cell r="BJ68">
            <v>52342.7808</v>
          </cell>
          <cell r="BK68">
            <v>48651.551999999996</v>
          </cell>
          <cell r="BL68">
            <v>44754.576000000001</v>
          </cell>
          <cell r="BM68">
            <v>46528.416000000005</v>
          </cell>
          <cell r="BN68">
            <v>51945.001199999999</v>
          </cell>
          <cell r="BO68">
            <v>50207.342700000001</v>
          </cell>
          <cell r="BP68">
            <v>40516.799999999996</v>
          </cell>
          <cell r="BQ68">
            <v>43112.32</v>
          </cell>
          <cell r="BR68">
            <v>46340.549999999996</v>
          </cell>
          <cell r="BS68">
            <v>45469.522799999999</v>
          </cell>
          <cell r="BT68">
            <v>43985.202499999999</v>
          </cell>
          <cell r="BU68">
            <v>43547.641199999998</v>
          </cell>
          <cell r="BV68">
            <v>50765.414000000004</v>
          </cell>
          <cell r="BW68">
            <v>52181.619000000006</v>
          </cell>
          <cell r="BX68">
            <v>52680.110400000005</v>
          </cell>
          <cell r="BY68">
            <v>52228.416000000005</v>
          </cell>
          <cell r="BZ68">
            <v>60286.586600000002</v>
          </cell>
          <cell r="CA68">
            <v>63775.115800000007</v>
          </cell>
          <cell r="CB68">
            <v>53612.729999999996</v>
          </cell>
          <cell r="CC68">
            <v>59495.665000000008</v>
          </cell>
          <cell r="CD68">
            <v>65583.33</v>
          </cell>
          <cell r="CE68">
            <v>62920.761999999995</v>
          </cell>
          <cell r="CF68">
            <v>58933.17</v>
          </cell>
          <cell r="CG68">
            <v>60124.26</v>
          </cell>
          <cell r="CH68">
            <v>72008.66</v>
          </cell>
          <cell r="CI68">
            <v>70236.804000000004</v>
          </cell>
          <cell r="CJ68">
            <v>61592.5236</v>
          </cell>
          <cell r="CK68">
            <v>61201.959000000003</v>
          </cell>
          <cell r="CL68">
            <v>72948.883800000011</v>
          </cell>
          <cell r="CM68">
            <v>74330.798700000014</v>
          </cell>
          <cell r="CN68">
            <v>63334.425000000003</v>
          </cell>
          <cell r="CO68">
            <v>72112.974999999991</v>
          </cell>
          <cell r="CP68">
            <v>75122.849999999991</v>
          </cell>
          <cell r="CQ68">
            <v>80253.110000000015</v>
          </cell>
          <cell r="CR68">
            <v>70076.12000000001</v>
          </cell>
          <cell r="CS68">
            <v>66193.679999999993</v>
          </cell>
        </row>
        <row r="69">
          <cell r="B69" t="str">
            <v>2-star hotels</v>
          </cell>
          <cell r="K69">
            <v>109961.1045</v>
          </cell>
          <cell r="L69">
            <v>9244.4976000000006</v>
          </cell>
          <cell r="M69">
            <v>11850.438200000002</v>
          </cell>
          <cell r="N69">
            <v>10991.533600000001</v>
          </cell>
          <cell r="O69">
            <v>10228.035</v>
          </cell>
          <cell r="P69">
            <v>10238.370000000001</v>
          </cell>
          <cell r="Q69">
            <v>8890.02</v>
          </cell>
          <cell r="R69">
            <v>10974.155000000001</v>
          </cell>
          <cell r="S69">
            <v>11133.835999999999</v>
          </cell>
          <cell r="T69">
            <v>9038.49</v>
          </cell>
          <cell r="U69">
            <v>9101.8170000000009</v>
          </cell>
          <cell r="V69">
            <v>8147.982</v>
          </cell>
          <cell r="W69">
            <v>8807.2891</v>
          </cell>
          <cell r="X69">
            <v>9728.4386000000013</v>
          </cell>
          <cell r="Y69">
            <v>6616.3104000000003</v>
          </cell>
          <cell r="Z69">
            <v>7930.1347999999998</v>
          </cell>
          <cell r="AA69">
            <v>8547.1319999999996</v>
          </cell>
          <cell r="AB69">
            <v>7811.8977000000004</v>
          </cell>
          <cell r="AC69">
            <v>8102.7449999999999</v>
          </cell>
          <cell r="AD69">
            <v>8708.2999000000018</v>
          </cell>
          <cell r="AE69">
            <v>9599.202699999998</v>
          </cell>
          <cell r="AF69">
            <v>7642.3920000000007</v>
          </cell>
          <cell r="AG69">
            <v>8543.3179</v>
          </cell>
          <cell r="AH69">
            <v>7982.9999999999991</v>
          </cell>
          <cell r="AI69">
            <v>9172.9992000000002</v>
          </cell>
          <cell r="AJ69">
            <v>7747.9415999999992</v>
          </cell>
          <cell r="AK69">
            <v>8553.2831999999999</v>
          </cell>
          <cell r="AL69">
            <v>8712.7236000000012</v>
          </cell>
          <cell r="AM69">
            <v>8876.9519999999993</v>
          </cell>
          <cell r="AN69">
            <v>8894.2348000000002</v>
          </cell>
          <cell r="AO69">
            <v>5720.0640000000003</v>
          </cell>
          <cell r="AP69">
            <v>6983.1840000000002</v>
          </cell>
          <cell r="AQ69">
            <v>7286.6367999999984</v>
          </cell>
          <cell r="AR69">
            <v>5681.76</v>
          </cell>
          <cell r="AS69">
            <v>7959.659200000001</v>
          </cell>
          <cell r="AT69">
            <v>8745.9840000000004</v>
          </cell>
          <cell r="AU69">
            <v>9368.4480000000003</v>
          </cell>
          <cell r="AV69">
            <v>7416.192</v>
          </cell>
          <cell r="AW69">
            <v>9294.0288</v>
          </cell>
          <cell r="AX69">
            <v>8359.1468999999997</v>
          </cell>
          <cell r="AY69">
            <v>5893.1729999999998</v>
          </cell>
          <cell r="AZ69">
            <v>4676.8956000000007</v>
          </cell>
          <cell r="BA69">
            <v>6239.9610000000002</v>
          </cell>
          <cell r="BB69">
            <v>8411.1803999999993</v>
          </cell>
          <cell r="BC69">
            <v>15791.176799999999</v>
          </cell>
          <cell r="BD69">
            <v>10852.8</v>
          </cell>
          <cell r="BE69">
            <v>11300.9818</v>
          </cell>
          <cell r="BF69">
            <v>15933.624000000002</v>
          </cell>
          <cell r="BG69">
            <v>15214.800000000001</v>
          </cell>
          <cell r="BH69">
            <v>12481.84</v>
          </cell>
          <cell r="BI69">
            <v>9531.8012000000017</v>
          </cell>
          <cell r="BJ69">
            <v>15014.4439</v>
          </cell>
          <cell r="BK69">
            <v>14946.141</v>
          </cell>
          <cell r="BL69">
            <v>12939.055899999999</v>
          </cell>
          <cell r="BM69">
            <v>12194.1</v>
          </cell>
          <cell r="BN69">
            <v>17345.569499999998</v>
          </cell>
          <cell r="BO69">
            <v>17970.892200000002</v>
          </cell>
          <cell r="BP69">
            <v>13413.762000000001</v>
          </cell>
          <cell r="BQ69">
            <v>15459.222599999999</v>
          </cell>
          <cell r="BR69">
            <v>17752.401000000002</v>
          </cell>
          <cell r="BS69">
            <v>16122.979099999999</v>
          </cell>
          <cell r="BT69">
            <v>13407.639499999999</v>
          </cell>
          <cell r="BU69">
            <v>13749.867600000001</v>
          </cell>
          <cell r="BV69">
            <v>13012.302699999998</v>
          </cell>
          <cell r="BW69">
            <v>13594.317000000001</v>
          </cell>
          <cell r="BX69">
            <v>12822.437</v>
          </cell>
          <cell r="BY69">
            <v>11678.88</v>
          </cell>
          <cell r="BZ69">
            <v>16689.975300000002</v>
          </cell>
          <cell r="CA69">
            <v>16583.338399999997</v>
          </cell>
          <cell r="CB69">
            <v>14017.172999999999</v>
          </cell>
          <cell r="CC69">
            <v>16133.3827</v>
          </cell>
          <cell r="CD69">
            <v>18580.493999999999</v>
          </cell>
          <cell r="CE69">
            <v>16838.226599999998</v>
          </cell>
          <cell r="CF69">
            <v>12645.575799999999</v>
          </cell>
          <cell r="CG69">
            <v>13402.186</v>
          </cell>
          <cell r="CH69">
            <v>16496.03</v>
          </cell>
          <cell r="CI69">
            <v>17202.257999999998</v>
          </cell>
          <cell r="CJ69">
            <v>14208.5121</v>
          </cell>
          <cell r="CK69">
            <v>13112.864999999998</v>
          </cell>
          <cell r="CL69">
            <v>15357.449600000002</v>
          </cell>
          <cell r="CM69">
            <v>15927.899199999998</v>
          </cell>
          <cell r="CN69">
            <v>13501.008</v>
          </cell>
          <cell r="CO69">
            <v>15457.4959</v>
          </cell>
          <cell r="CP69">
            <v>17140.641000000003</v>
          </cell>
          <cell r="CQ69">
            <v>17140.706000000002</v>
          </cell>
          <cell r="CR69">
            <v>14542.5216</v>
          </cell>
          <cell r="CS69">
            <v>14673.791999999999</v>
          </cell>
        </row>
        <row r="70">
          <cell r="B70" t="str">
            <v>Guest-houses</v>
          </cell>
          <cell r="K70">
            <v>65519.580499999996</v>
          </cell>
          <cell r="L70">
            <v>6101.4447999999993</v>
          </cell>
          <cell r="M70">
            <v>7092.7677999999996</v>
          </cell>
          <cell r="N70">
            <v>6603</v>
          </cell>
          <cell r="O70">
            <v>6363.4920000000011</v>
          </cell>
          <cell r="P70">
            <v>6592.2368000000006</v>
          </cell>
          <cell r="Q70">
            <v>5925.1500000000005</v>
          </cell>
          <cell r="R70">
            <v>6746.8896000000004</v>
          </cell>
          <cell r="S70">
            <v>6793.2934999999989</v>
          </cell>
          <cell r="T70">
            <v>5942.5649999999996</v>
          </cell>
          <cell r="U70">
            <v>6323.8419000000004</v>
          </cell>
          <cell r="V70">
            <v>5741.7659999999996</v>
          </cell>
          <cell r="W70">
            <v>5792.4430000000002</v>
          </cell>
          <cell r="X70">
            <v>6928.2520000000004</v>
          </cell>
          <cell r="Y70">
            <v>5441.6879999999992</v>
          </cell>
          <cell r="Z70">
            <v>6251.5219999999999</v>
          </cell>
          <cell r="AA70">
            <v>6181.4550000000008</v>
          </cell>
          <cell r="AB70">
            <v>6669.0796</v>
          </cell>
          <cell r="AC70">
            <v>5572.5390000000007</v>
          </cell>
          <cell r="AD70">
            <v>6617.2414000000008</v>
          </cell>
          <cell r="AE70">
            <v>6735.0785999999998</v>
          </cell>
          <cell r="AF70">
            <v>5971.3200000000006</v>
          </cell>
          <cell r="AG70">
            <v>6496.9241999999995</v>
          </cell>
          <cell r="AH70">
            <v>5961.36</v>
          </cell>
          <cell r="AI70">
            <v>6814.8540000000003</v>
          </cell>
          <cell r="AJ70">
            <v>6152.4056999999993</v>
          </cell>
          <cell r="AK70">
            <v>6682.3400000000011</v>
          </cell>
          <cell r="AL70">
            <v>6889.8430000000008</v>
          </cell>
          <cell r="AM70">
            <v>6904.7699999999995</v>
          </cell>
          <cell r="AN70">
            <v>7175.1669999999995</v>
          </cell>
          <cell r="AO70">
            <v>6684.5609999999997</v>
          </cell>
          <cell r="AP70">
            <v>7359.8960000000006</v>
          </cell>
          <cell r="AQ70">
            <v>7429.1655000000001</v>
          </cell>
          <cell r="AR70">
            <v>6406.1790000000001</v>
          </cell>
          <cell r="AS70">
            <v>6873.9461999999994</v>
          </cell>
          <cell r="AT70">
            <v>6671.8079999999991</v>
          </cell>
          <cell r="AU70">
            <v>6896.0430000000006</v>
          </cell>
          <cell r="AV70">
            <v>6660.598</v>
          </cell>
          <cell r="AW70">
            <v>7055.5099999999993</v>
          </cell>
          <cell r="AX70">
            <v>6815.5670000000009</v>
          </cell>
          <cell r="AY70">
            <v>4936.6679999999997</v>
          </cell>
          <cell r="AZ70">
            <v>4216.8059999999996</v>
          </cell>
          <cell r="BA70">
            <v>4727.6460000000006</v>
          </cell>
          <cell r="BB70">
            <v>6140.5017000000007</v>
          </cell>
          <cell r="BC70">
            <v>7733.88</v>
          </cell>
          <cell r="BD70">
            <v>6308.9999999999991</v>
          </cell>
          <cell r="BE70">
            <v>7113.3282000000008</v>
          </cell>
          <cell r="BF70">
            <v>7767.7380000000003</v>
          </cell>
          <cell r="BG70">
            <v>8309.1283999999996</v>
          </cell>
          <cell r="BH70">
            <v>7131.5871999999999</v>
          </cell>
          <cell r="BI70">
            <v>5841.8209000000006</v>
          </cell>
          <cell r="BJ70">
            <v>7761.3025999999991</v>
          </cell>
          <cell r="BK70">
            <v>7194.5759999999991</v>
          </cell>
          <cell r="BL70">
            <v>7108.5479999999989</v>
          </cell>
          <cell r="BM70">
            <v>6897.6900000000005</v>
          </cell>
          <cell r="BN70">
            <v>7707.1239000000005</v>
          </cell>
          <cell r="BO70">
            <v>8377.5887999999995</v>
          </cell>
          <cell r="BP70">
            <v>6575.1750000000002</v>
          </cell>
          <cell r="BQ70">
            <v>7708.1003999999994</v>
          </cell>
          <cell r="BR70">
            <v>7855.848</v>
          </cell>
          <cell r="BS70">
            <v>8107.1200000000008</v>
          </cell>
          <cell r="BT70">
            <v>7155.7919999999995</v>
          </cell>
          <cell r="BU70">
            <v>6832.2071999999998</v>
          </cell>
          <cell r="BV70">
            <v>7385.3779999999997</v>
          </cell>
          <cell r="BW70">
            <v>7493.73</v>
          </cell>
          <cell r="BX70">
            <v>7867.2543999999998</v>
          </cell>
          <cell r="BY70">
            <v>7018.2359999999999</v>
          </cell>
          <cell r="BZ70">
            <v>8037.369999999999</v>
          </cell>
          <cell r="CA70">
            <v>7979.4</v>
          </cell>
          <cell r="CB70">
            <v>7514.5380000000005</v>
          </cell>
          <cell r="CC70">
            <v>8349.1928000000007</v>
          </cell>
          <cell r="CD70">
            <v>8418.7289999999994</v>
          </cell>
          <cell r="CE70">
            <v>8344.5396999999994</v>
          </cell>
          <cell r="CF70">
            <v>8005.8646999999992</v>
          </cell>
          <cell r="CG70">
            <v>7116.9364000000005</v>
          </cell>
          <cell r="CH70">
            <v>7778.6873999999998</v>
          </cell>
          <cell r="CI70">
            <v>7906.299</v>
          </cell>
          <cell r="CJ70">
            <v>6919.5130999999992</v>
          </cell>
          <cell r="CK70">
            <v>6777.3</v>
          </cell>
          <cell r="CL70">
            <v>7780.3954999999996</v>
          </cell>
          <cell r="CM70">
            <v>8547.3323999999993</v>
          </cell>
          <cell r="CN70">
            <v>7905.7439999999988</v>
          </cell>
          <cell r="CO70">
            <v>8491.2099999999991</v>
          </cell>
          <cell r="CP70">
            <v>8661.7049999999999</v>
          </cell>
          <cell r="CQ70">
            <v>8867.2492999999995</v>
          </cell>
          <cell r="CR70">
            <v>8802.9521999999997</v>
          </cell>
          <cell r="CS70">
            <v>8613.6119999999992</v>
          </cell>
        </row>
        <row r="71">
          <cell r="B71" t="str">
            <v>Total % Change</v>
          </cell>
          <cell r="X71">
            <v>0.11607991847527543</v>
          </cell>
          <cell r="Y71">
            <v>-0.19771465820206136</v>
          </cell>
          <cell r="Z71">
            <v>5.0105279643615441E-2</v>
          </cell>
          <cell r="AA71">
            <v>1.6305106525842161E-2</v>
          </cell>
          <cell r="AB71">
            <v>-2.920668106747859E-2</v>
          </cell>
          <cell r="AC71">
            <v>6.5014632373881387E-2</v>
          </cell>
          <cell r="AD71">
            <v>2.2894165184720539E-2</v>
          </cell>
          <cell r="AE71">
            <v>2.9791856209834933E-2</v>
          </cell>
          <cell r="AF71">
            <v>-2.7448849749847071E-3</v>
          </cell>
          <cell r="AG71">
            <v>3.8381742738589297E-2</v>
          </cell>
          <cell r="AH71">
            <v>5.6139599939084572E-2</v>
          </cell>
          <cell r="AI71">
            <v>0.10874271294089399</v>
          </cell>
          <cell r="AJ71">
            <v>-1.0777095366748535E-2</v>
          </cell>
          <cell r="AK71">
            <v>0.1949948324228552</v>
          </cell>
          <cell r="AL71">
            <v>0.10362404966504535</v>
          </cell>
          <cell r="AM71">
            <v>0.12993450596383549</v>
          </cell>
          <cell r="AN71">
            <v>0.16567815893784843</v>
          </cell>
          <cell r="AO71">
            <v>1.7274342675249743E-2</v>
          </cell>
          <cell r="AP71">
            <v>5.7240240437226753E-2</v>
          </cell>
          <cell r="AQ71">
            <v>7.3579771684023632E-2</v>
          </cell>
          <cell r="AR71">
            <v>9.5029872818692462E-2</v>
          </cell>
          <cell r="AS71">
            <v>2.1186488455111396E-2</v>
          </cell>
          <cell r="AT71">
            <v>0.14956381051349954</v>
          </cell>
          <cell r="AU71">
            <v>9.1703237943287608E-2</v>
          </cell>
          <cell r="AV71">
            <v>6.091758973607142E-2</v>
          </cell>
          <cell r="AW71">
            <v>6.0955236719105965E-2</v>
          </cell>
          <cell r="AX71">
            <v>2.0812926838631896E-2</v>
          </cell>
          <cell r="AY71">
            <v>-0.37582252922406145</v>
          </cell>
          <cell r="AZ71">
            <v>-0.52401527155296002</v>
          </cell>
          <cell r="BA71">
            <v>-0.16179755734914802</v>
          </cell>
          <cell r="BB71">
            <v>-3.3557745953161966E-2</v>
          </cell>
          <cell r="BC71">
            <v>0.11129141677844423</v>
          </cell>
          <cell r="BD71">
            <v>9.3999453312215042E-2</v>
          </cell>
          <cell r="BE71">
            <v>0.13137179931265242</v>
          </cell>
          <cell r="BF71">
            <v>0.10428461061083882</v>
          </cell>
          <cell r="BG71">
            <v>7.5823921258763027E-2</v>
          </cell>
          <cell r="BH71">
            <v>0.12703020129788234</v>
          </cell>
          <cell r="BI71">
            <v>1.3548520106922535E-2</v>
          </cell>
          <cell r="BJ71">
            <v>0.21279143927590138</v>
          </cell>
          <cell r="BK71">
            <v>0.81832738031290653</v>
          </cell>
          <cell r="BL71">
            <v>1.2698032836375015</v>
          </cell>
          <cell r="BM71">
            <v>0.57015068618141163</v>
          </cell>
          <cell r="BN71">
            <v>0.30564300179172421</v>
          </cell>
          <cell r="BO71">
            <v>2.318249141964368E-2</v>
          </cell>
          <cell r="BP71">
            <v>6.7488960967874601E-2</v>
          </cell>
          <cell r="BQ71">
            <v>8.5365954539366573E-2</v>
          </cell>
          <cell r="BR71">
            <v>4.0402403476717419E-2</v>
          </cell>
          <cell r="BS71">
            <v>1.2073220928566331E-2</v>
          </cell>
          <cell r="BT71">
            <v>7.921560282994089E-2</v>
          </cell>
          <cell r="BU71">
            <v>8.2785972477367409E-2</v>
          </cell>
          <cell r="BV71">
            <v>-5.3935120698937578E-2</v>
          </cell>
          <cell r="BW71">
            <v>-6.0902860623212041E-3</v>
          </cell>
          <cell r="BX71">
            <v>5.8111497692033387E-2</v>
          </cell>
          <cell r="BY71">
            <v>2.6094208700293775E-2</v>
          </cell>
          <cell r="BZ71">
            <v>1.6974621138211576E-2</v>
          </cell>
          <cell r="CA71">
            <v>4.5527723855207647E-2</v>
          </cell>
          <cell r="CB71">
            <v>0.10239763632409349</v>
          </cell>
          <cell r="CC71">
            <v>0.1435842290714644</v>
          </cell>
          <cell r="CD71">
            <v>0.18515375265224399</v>
          </cell>
          <cell r="CE71">
            <v>0.14522804326319183</v>
          </cell>
          <cell r="CF71">
            <v>7.3904579797738901E-2</v>
          </cell>
          <cell r="CG71">
            <v>0.19748175468548723</v>
          </cell>
          <cell r="CH71">
            <v>0.23628290859798207</v>
          </cell>
          <cell r="CI71">
            <v>0.23500925222673708</v>
          </cell>
          <cell r="CJ71">
            <v>5.6812235760104635E-2</v>
          </cell>
          <cell r="CK71">
            <v>0.11709209041764046</v>
          </cell>
          <cell r="CL71">
            <v>9.8355429457823274E-2</v>
          </cell>
          <cell r="CM71">
            <v>9.604555450331298E-2</v>
          </cell>
          <cell r="CN71">
            <v>0.16722159122260205</v>
          </cell>
          <cell r="CO71">
            <v>0.14046851577347086</v>
          </cell>
          <cell r="CP71">
            <v>0.10088772055378126</v>
          </cell>
          <cell r="CQ71">
            <v>0.22945132416269076</v>
          </cell>
          <cell r="CR71">
            <v>0.30529301610957083</v>
          </cell>
          <cell r="CS71">
            <v>0.21559967173351668</v>
          </cell>
        </row>
        <row r="73">
          <cell r="B73" t="str">
            <v>Room Nights Available</v>
          </cell>
        </row>
        <row r="74">
          <cell r="B74" t="str">
            <v>Grand Total</v>
          </cell>
          <cell r="K74">
            <v>3442315</v>
          </cell>
          <cell r="L74">
            <v>291896</v>
          </cell>
          <cell r="M74">
            <v>273760</v>
          </cell>
          <cell r="N74">
            <v>292640</v>
          </cell>
          <cell r="O74">
            <v>279510</v>
          </cell>
          <cell r="P74">
            <v>283309</v>
          </cell>
          <cell r="Q74">
            <v>280800</v>
          </cell>
          <cell r="R74">
            <v>288517</v>
          </cell>
          <cell r="S74">
            <v>288145</v>
          </cell>
          <cell r="T74">
            <v>278910</v>
          </cell>
          <cell r="U74">
            <v>288393</v>
          </cell>
          <cell r="V74">
            <v>276060</v>
          </cell>
          <cell r="W74">
            <v>285231</v>
          </cell>
          <cell r="X74">
            <v>284394</v>
          </cell>
          <cell r="Y74">
            <v>256984</v>
          </cell>
          <cell r="Z74">
            <v>284518</v>
          </cell>
          <cell r="AA74">
            <v>276030</v>
          </cell>
          <cell r="AB74">
            <v>281883</v>
          </cell>
          <cell r="AC74">
            <v>259500</v>
          </cell>
          <cell r="AD74">
            <v>279558</v>
          </cell>
          <cell r="AE74">
            <v>279589</v>
          </cell>
          <cell r="AF74">
            <v>270480</v>
          </cell>
          <cell r="AG74">
            <v>279279</v>
          </cell>
          <cell r="AH74">
            <v>270660</v>
          </cell>
          <cell r="AI74">
            <v>279930</v>
          </cell>
          <cell r="AJ74">
            <v>277016</v>
          </cell>
          <cell r="AK74">
            <v>251804</v>
          </cell>
          <cell r="AL74">
            <v>278225</v>
          </cell>
          <cell r="AM74">
            <v>269550</v>
          </cell>
          <cell r="AN74">
            <v>277605</v>
          </cell>
          <cell r="AO74">
            <v>263370</v>
          </cell>
          <cell r="AP74">
            <v>272490</v>
          </cell>
          <cell r="AQ74">
            <v>272738</v>
          </cell>
          <cell r="AR74">
            <v>264240</v>
          </cell>
          <cell r="AS74">
            <v>277326</v>
          </cell>
          <cell r="AT74">
            <v>267840</v>
          </cell>
          <cell r="AU74">
            <v>277574</v>
          </cell>
          <cell r="AV74">
            <v>277822</v>
          </cell>
          <cell r="AW74">
            <v>250404</v>
          </cell>
          <cell r="AX74">
            <v>276768</v>
          </cell>
          <cell r="AY74">
            <v>267870</v>
          </cell>
          <cell r="AZ74">
            <v>276427</v>
          </cell>
          <cell r="BA74">
            <v>267660</v>
          </cell>
          <cell r="BB74">
            <v>272955</v>
          </cell>
          <cell r="BC74">
            <v>274753</v>
          </cell>
          <cell r="BD74">
            <v>267210</v>
          </cell>
          <cell r="BE74">
            <v>275869</v>
          </cell>
          <cell r="BF74">
            <v>275340</v>
          </cell>
          <cell r="BG74">
            <v>284735</v>
          </cell>
          <cell r="BH74">
            <v>284828</v>
          </cell>
          <cell r="BI74">
            <v>267032</v>
          </cell>
          <cell r="BJ74">
            <v>288331</v>
          </cell>
          <cell r="BK74">
            <v>279540</v>
          </cell>
          <cell r="BL74">
            <v>288703</v>
          </cell>
          <cell r="BM74">
            <v>279000</v>
          </cell>
          <cell r="BN74">
            <v>290625</v>
          </cell>
          <cell r="BO74">
            <v>287711</v>
          </cell>
          <cell r="BP74">
            <v>273150</v>
          </cell>
          <cell r="BQ74">
            <v>281418</v>
          </cell>
          <cell r="BR74">
            <v>274650</v>
          </cell>
          <cell r="BS74">
            <v>284208</v>
          </cell>
          <cell r="BT74">
            <v>306931</v>
          </cell>
          <cell r="BU74">
            <v>285068</v>
          </cell>
          <cell r="BV74">
            <v>328135</v>
          </cell>
          <cell r="BW74">
            <v>319080</v>
          </cell>
          <cell r="BX74">
            <v>324074</v>
          </cell>
          <cell r="BY74">
            <v>317130</v>
          </cell>
          <cell r="BZ74">
            <v>327422</v>
          </cell>
          <cell r="CA74">
            <v>327019</v>
          </cell>
          <cell r="CB74">
            <v>320370</v>
          </cell>
          <cell r="CC74">
            <v>329685</v>
          </cell>
          <cell r="CD74">
            <v>324990</v>
          </cell>
          <cell r="CE74">
            <v>335792</v>
          </cell>
          <cell r="CF74">
            <v>341465</v>
          </cell>
          <cell r="CG74">
            <v>309148</v>
          </cell>
          <cell r="CH74">
            <v>350207</v>
          </cell>
          <cell r="CI74">
            <v>339690</v>
          </cell>
          <cell r="CJ74">
            <v>351075</v>
          </cell>
          <cell r="CK74">
            <v>352440</v>
          </cell>
          <cell r="CL74">
            <v>365552</v>
          </cell>
          <cell r="CM74">
            <v>365521</v>
          </cell>
          <cell r="CN74">
            <v>372330</v>
          </cell>
          <cell r="CO74">
            <v>384989</v>
          </cell>
          <cell r="CP74">
            <v>380790</v>
          </cell>
          <cell r="CQ74">
            <v>402318</v>
          </cell>
          <cell r="CR74">
            <v>400582</v>
          </cell>
          <cell r="CS74">
            <v>365764</v>
          </cell>
        </row>
        <row r="75">
          <cell r="B75" t="str">
            <v>Hotel Total</v>
          </cell>
          <cell r="K75">
            <v>3229520</v>
          </cell>
          <cell r="L75">
            <v>273823</v>
          </cell>
          <cell r="M75">
            <v>255606</v>
          </cell>
          <cell r="N75">
            <v>273265</v>
          </cell>
          <cell r="O75">
            <v>261630</v>
          </cell>
          <cell r="P75">
            <v>264833</v>
          </cell>
          <cell r="Q75">
            <v>262980</v>
          </cell>
          <cell r="R75">
            <v>270103</v>
          </cell>
          <cell r="S75">
            <v>269700</v>
          </cell>
          <cell r="T75">
            <v>260820</v>
          </cell>
          <cell r="U75">
            <v>269700</v>
          </cell>
          <cell r="V75">
            <v>257970</v>
          </cell>
          <cell r="W75">
            <v>266941</v>
          </cell>
          <cell r="X75">
            <v>266104</v>
          </cell>
          <cell r="Y75">
            <v>240464</v>
          </cell>
          <cell r="Z75">
            <v>266228</v>
          </cell>
          <cell r="AA75">
            <v>258180</v>
          </cell>
          <cell r="AB75">
            <v>263965</v>
          </cell>
          <cell r="AC75">
            <v>241770</v>
          </cell>
          <cell r="AD75">
            <v>261547</v>
          </cell>
          <cell r="AE75">
            <v>261547</v>
          </cell>
          <cell r="AF75">
            <v>253020</v>
          </cell>
          <cell r="AG75">
            <v>261237</v>
          </cell>
          <cell r="AH75">
            <v>252960</v>
          </cell>
          <cell r="AI75">
            <v>261640</v>
          </cell>
          <cell r="AJ75">
            <v>258819</v>
          </cell>
          <cell r="AK75">
            <v>235284</v>
          </cell>
          <cell r="AL75">
            <v>259935</v>
          </cell>
          <cell r="AM75">
            <v>251850</v>
          </cell>
          <cell r="AN75">
            <v>259315</v>
          </cell>
          <cell r="AO75">
            <v>245700</v>
          </cell>
          <cell r="AP75">
            <v>254200</v>
          </cell>
          <cell r="AQ75">
            <v>254417</v>
          </cell>
          <cell r="AR75">
            <v>246450</v>
          </cell>
          <cell r="AS75">
            <v>258912</v>
          </cell>
          <cell r="AT75">
            <v>250020</v>
          </cell>
          <cell r="AU75">
            <v>259160</v>
          </cell>
          <cell r="AV75">
            <v>259346</v>
          </cell>
          <cell r="AW75">
            <v>233744</v>
          </cell>
          <cell r="AX75">
            <v>258013</v>
          </cell>
          <cell r="AY75">
            <v>249990</v>
          </cell>
          <cell r="AZ75">
            <v>258013</v>
          </cell>
          <cell r="BA75">
            <v>249840</v>
          </cell>
          <cell r="BB75">
            <v>254696</v>
          </cell>
          <cell r="BC75">
            <v>256153</v>
          </cell>
          <cell r="BD75">
            <v>249210</v>
          </cell>
          <cell r="BE75">
            <v>257455</v>
          </cell>
          <cell r="BF75">
            <v>257520</v>
          </cell>
          <cell r="BG75">
            <v>266569</v>
          </cell>
          <cell r="BH75">
            <v>266476</v>
          </cell>
          <cell r="BI75">
            <v>249835</v>
          </cell>
          <cell r="BJ75">
            <v>269948</v>
          </cell>
          <cell r="BK75">
            <v>261780</v>
          </cell>
          <cell r="BL75">
            <v>270382</v>
          </cell>
          <cell r="BM75">
            <v>261300</v>
          </cell>
          <cell r="BN75">
            <v>272366</v>
          </cell>
          <cell r="BO75">
            <v>269483</v>
          </cell>
          <cell r="BP75">
            <v>255960</v>
          </cell>
          <cell r="BQ75">
            <v>264492</v>
          </cell>
          <cell r="BR75">
            <v>258270</v>
          </cell>
          <cell r="BS75">
            <v>266848</v>
          </cell>
          <cell r="BT75">
            <v>289571</v>
          </cell>
          <cell r="BU75">
            <v>268996</v>
          </cell>
          <cell r="BV75">
            <v>310403</v>
          </cell>
          <cell r="BW75">
            <v>302010</v>
          </cell>
          <cell r="BX75">
            <v>306466</v>
          </cell>
          <cell r="BY75">
            <v>300690</v>
          </cell>
          <cell r="BZ75">
            <v>310372</v>
          </cell>
          <cell r="CA75">
            <v>309969</v>
          </cell>
          <cell r="CB75">
            <v>303840</v>
          </cell>
          <cell r="CC75">
            <v>312604</v>
          </cell>
          <cell r="CD75">
            <v>308460</v>
          </cell>
          <cell r="CE75">
            <v>318835</v>
          </cell>
          <cell r="CF75">
            <v>324384</v>
          </cell>
          <cell r="CG75">
            <v>293720</v>
          </cell>
          <cell r="CH75">
            <v>333126</v>
          </cell>
          <cell r="CI75">
            <v>323160</v>
          </cell>
          <cell r="CJ75">
            <v>333994</v>
          </cell>
          <cell r="CK75">
            <v>335910</v>
          </cell>
          <cell r="CL75">
            <v>348471</v>
          </cell>
          <cell r="CM75">
            <v>348440</v>
          </cell>
          <cell r="CN75">
            <v>355770</v>
          </cell>
          <cell r="CO75">
            <v>367660</v>
          </cell>
          <cell r="CP75">
            <v>364020</v>
          </cell>
          <cell r="CQ75">
            <v>384989</v>
          </cell>
          <cell r="CR75">
            <v>383284</v>
          </cell>
          <cell r="CS75">
            <v>349804</v>
          </cell>
        </row>
        <row r="76">
          <cell r="B76" t="str">
            <v>5-star hotels</v>
          </cell>
          <cell r="K76">
            <v>1163985</v>
          </cell>
          <cell r="L76">
            <v>98549</v>
          </cell>
          <cell r="M76">
            <v>92249</v>
          </cell>
          <cell r="N76">
            <v>98642</v>
          </cell>
          <cell r="O76">
            <v>95310</v>
          </cell>
          <cell r="P76">
            <v>91574</v>
          </cell>
          <cell r="Q76">
            <v>95310</v>
          </cell>
          <cell r="R76">
            <v>96844</v>
          </cell>
          <cell r="S76">
            <v>96441</v>
          </cell>
          <cell r="T76">
            <v>93330</v>
          </cell>
          <cell r="U76">
            <v>96441</v>
          </cell>
          <cell r="V76">
            <v>93330</v>
          </cell>
          <cell r="W76">
            <v>96813</v>
          </cell>
          <cell r="X76">
            <v>95976</v>
          </cell>
          <cell r="Y76">
            <v>86800</v>
          </cell>
          <cell r="Z76">
            <v>96100</v>
          </cell>
          <cell r="AA76">
            <v>93540</v>
          </cell>
          <cell r="AB76">
            <v>96100</v>
          </cell>
          <cell r="AC76">
            <v>92730</v>
          </cell>
          <cell r="AD76">
            <v>96379</v>
          </cell>
          <cell r="AE76">
            <v>96379</v>
          </cell>
          <cell r="AF76">
            <v>93180</v>
          </cell>
          <cell r="AG76">
            <v>96069</v>
          </cell>
          <cell r="AH76">
            <v>93120</v>
          </cell>
          <cell r="AI76">
            <v>96472</v>
          </cell>
          <cell r="AJ76">
            <v>96410</v>
          </cell>
          <cell r="AK76">
            <v>87276</v>
          </cell>
          <cell r="AL76">
            <v>96069</v>
          </cell>
          <cell r="AM76">
            <v>93270</v>
          </cell>
          <cell r="AN76">
            <v>95759</v>
          </cell>
          <cell r="AO76">
            <v>92820</v>
          </cell>
          <cell r="AP76">
            <v>96224</v>
          </cell>
          <cell r="AQ76">
            <v>96441</v>
          </cell>
          <cell r="AR76">
            <v>93570</v>
          </cell>
          <cell r="AS76">
            <v>96069</v>
          </cell>
          <cell r="AT76">
            <v>92370</v>
          </cell>
          <cell r="AU76">
            <v>96224</v>
          </cell>
          <cell r="AV76">
            <v>96410</v>
          </cell>
          <cell r="AW76">
            <v>86576</v>
          </cell>
          <cell r="AX76">
            <v>95914</v>
          </cell>
          <cell r="AY76">
            <v>93120</v>
          </cell>
          <cell r="AZ76">
            <v>95914</v>
          </cell>
          <cell r="BA76">
            <v>92970</v>
          </cell>
          <cell r="BB76">
            <v>93341</v>
          </cell>
          <cell r="BC76">
            <v>94798</v>
          </cell>
          <cell r="BD76">
            <v>91740</v>
          </cell>
          <cell r="BE76">
            <v>94829</v>
          </cell>
          <cell r="BF76">
            <v>100140</v>
          </cell>
          <cell r="BG76">
            <v>103819</v>
          </cell>
          <cell r="BH76">
            <v>103726</v>
          </cell>
          <cell r="BI76">
            <v>97701</v>
          </cell>
          <cell r="BJ76">
            <v>107322</v>
          </cell>
          <cell r="BK76">
            <v>104400</v>
          </cell>
          <cell r="BL76">
            <v>107756</v>
          </cell>
          <cell r="BM76">
            <v>103920</v>
          </cell>
          <cell r="BN76">
            <v>107570</v>
          </cell>
          <cell r="BO76">
            <v>107570</v>
          </cell>
          <cell r="BP76">
            <v>104100</v>
          </cell>
          <cell r="BQ76">
            <v>107570</v>
          </cell>
          <cell r="BR76">
            <v>104100</v>
          </cell>
          <cell r="BS76">
            <v>107570</v>
          </cell>
          <cell r="BT76">
            <v>106919</v>
          </cell>
          <cell r="BU76">
            <v>96572</v>
          </cell>
          <cell r="BV76">
            <v>106919</v>
          </cell>
          <cell r="BW76">
            <v>103470</v>
          </cell>
          <cell r="BX76">
            <v>106919</v>
          </cell>
          <cell r="BY76">
            <v>103620</v>
          </cell>
          <cell r="BZ76">
            <v>107074</v>
          </cell>
          <cell r="CA76">
            <v>106919</v>
          </cell>
          <cell r="CB76">
            <v>103470</v>
          </cell>
          <cell r="CC76">
            <v>105555</v>
          </cell>
          <cell r="CD76">
            <v>103470</v>
          </cell>
          <cell r="CE76">
            <v>107012</v>
          </cell>
          <cell r="CF76">
            <v>107012</v>
          </cell>
          <cell r="CG76">
            <v>96656</v>
          </cell>
          <cell r="CH76">
            <v>107012</v>
          </cell>
          <cell r="CI76">
            <v>104130</v>
          </cell>
          <cell r="CJ76">
            <v>107601</v>
          </cell>
          <cell r="CK76">
            <v>113670</v>
          </cell>
          <cell r="CL76">
            <v>107353</v>
          </cell>
          <cell r="CM76">
            <v>107353</v>
          </cell>
          <cell r="CN76">
            <v>121770</v>
          </cell>
          <cell r="CO76">
            <v>125891</v>
          </cell>
          <cell r="CP76">
            <v>130470</v>
          </cell>
          <cell r="CQ76">
            <v>141732</v>
          </cell>
          <cell r="CR76">
            <v>139190</v>
          </cell>
          <cell r="CS76">
            <v>128604</v>
          </cell>
        </row>
        <row r="77">
          <cell r="B77" t="str">
            <v>4-star hotels</v>
          </cell>
          <cell r="K77">
            <v>883665</v>
          </cell>
          <cell r="L77">
            <v>75051</v>
          </cell>
          <cell r="M77">
            <v>78271</v>
          </cell>
          <cell r="N77">
            <v>83669</v>
          </cell>
          <cell r="O77">
            <v>80970</v>
          </cell>
          <cell r="P77">
            <v>83669</v>
          </cell>
          <cell r="Q77">
            <v>80970</v>
          </cell>
          <cell r="R77">
            <v>83669</v>
          </cell>
          <cell r="S77">
            <v>83669</v>
          </cell>
          <cell r="T77">
            <v>80970</v>
          </cell>
          <cell r="U77">
            <v>83669</v>
          </cell>
          <cell r="V77">
            <v>81630</v>
          </cell>
          <cell r="W77">
            <v>84351</v>
          </cell>
          <cell r="X77">
            <v>84351</v>
          </cell>
          <cell r="Y77">
            <v>76188</v>
          </cell>
          <cell r="Z77">
            <v>84351</v>
          </cell>
          <cell r="AA77">
            <v>81630</v>
          </cell>
          <cell r="AB77">
            <v>84351</v>
          </cell>
          <cell r="AC77">
            <v>68220</v>
          </cell>
          <cell r="AD77">
            <v>81654</v>
          </cell>
          <cell r="AE77">
            <v>81654</v>
          </cell>
          <cell r="AF77">
            <v>79020</v>
          </cell>
          <cell r="AG77">
            <v>81654</v>
          </cell>
          <cell r="AH77">
            <v>79020</v>
          </cell>
          <cell r="AI77">
            <v>81654</v>
          </cell>
          <cell r="AJ77">
            <v>81654</v>
          </cell>
          <cell r="AK77">
            <v>75068</v>
          </cell>
          <cell r="AL77">
            <v>83111</v>
          </cell>
          <cell r="AM77">
            <v>80430</v>
          </cell>
          <cell r="AN77">
            <v>83111</v>
          </cell>
          <cell r="AO77">
            <v>80430</v>
          </cell>
          <cell r="AP77">
            <v>83111</v>
          </cell>
          <cell r="AQ77">
            <v>83111</v>
          </cell>
          <cell r="AR77">
            <v>80430</v>
          </cell>
          <cell r="AS77">
            <v>83080</v>
          </cell>
          <cell r="AT77">
            <v>80400</v>
          </cell>
          <cell r="AU77">
            <v>83111</v>
          </cell>
          <cell r="AV77">
            <v>83111</v>
          </cell>
          <cell r="AW77">
            <v>75068</v>
          </cell>
          <cell r="AX77">
            <v>83111</v>
          </cell>
          <cell r="AY77">
            <v>80430</v>
          </cell>
          <cell r="AZ77">
            <v>83111</v>
          </cell>
          <cell r="BA77">
            <v>80430</v>
          </cell>
          <cell r="BB77">
            <v>81375</v>
          </cell>
          <cell r="BC77">
            <v>81375</v>
          </cell>
          <cell r="BD77">
            <v>78750</v>
          </cell>
          <cell r="BE77">
            <v>81375</v>
          </cell>
          <cell r="BF77">
            <v>78750</v>
          </cell>
          <cell r="BG77">
            <v>81375</v>
          </cell>
          <cell r="BH77">
            <v>81375</v>
          </cell>
          <cell r="BI77">
            <v>76125</v>
          </cell>
          <cell r="BJ77">
            <v>81375</v>
          </cell>
          <cell r="BK77">
            <v>78750</v>
          </cell>
          <cell r="BL77">
            <v>81375</v>
          </cell>
          <cell r="BM77">
            <v>78750</v>
          </cell>
          <cell r="BN77">
            <v>81375</v>
          </cell>
          <cell r="BO77">
            <v>81375</v>
          </cell>
          <cell r="BP77">
            <v>78750</v>
          </cell>
          <cell r="BQ77">
            <v>81375</v>
          </cell>
          <cell r="BR77">
            <v>78750</v>
          </cell>
          <cell r="BS77">
            <v>81375</v>
          </cell>
          <cell r="BT77">
            <v>96348</v>
          </cell>
          <cell r="BU77">
            <v>87136</v>
          </cell>
          <cell r="BV77">
            <v>109058</v>
          </cell>
          <cell r="BW77">
            <v>105540</v>
          </cell>
          <cell r="BX77">
            <v>104594</v>
          </cell>
          <cell r="BY77">
            <v>105180</v>
          </cell>
          <cell r="BZ77">
            <v>106671</v>
          </cell>
          <cell r="CA77">
            <v>106423</v>
          </cell>
          <cell r="CB77">
            <v>106860</v>
          </cell>
          <cell r="CC77">
            <v>110422</v>
          </cell>
          <cell r="CD77">
            <v>107520</v>
          </cell>
          <cell r="CE77">
            <v>111104</v>
          </cell>
          <cell r="CF77">
            <v>107663</v>
          </cell>
          <cell r="CG77">
            <v>97944</v>
          </cell>
          <cell r="CH77">
            <v>116405</v>
          </cell>
          <cell r="CI77">
            <v>112710</v>
          </cell>
          <cell r="CJ77">
            <v>116529</v>
          </cell>
          <cell r="CK77">
            <v>115920</v>
          </cell>
          <cell r="CL77">
            <v>120993</v>
          </cell>
          <cell r="CM77">
            <v>121148</v>
          </cell>
          <cell r="CN77">
            <v>117810</v>
          </cell>
          <cell r="CO77">
            <v>121737</v>
          </cell>
          <cell r="CP77">
            <v>117810</v>
          </cell>
          <cell r="CQ77">
            <v>121737</v>
          </cell>
          <cell r="CR77">
            <v>121706</v>
          </cell>
          <cell r="CS77">
            <v>110656</v>
          </cell>
        </row>
        <row r="78">
          <cell r="B78" t="str">
            <v>3-star hotels</v>
          </cell>
          <cell r="K78">
            <v>797525</v>
          </cell>
          <cell r="L78">
            <v>67580</v>
          </cell>
          <cell r="M78">
            <v>54520</v>
          </cell>
          <cell r="N78">
            <v>58280</v>
          </cell>
          <cell r="O78">
            <v>56400</v>
          </cell>
          <cell r="P78">
            <v>58280</v>
          </cell>
          <cell r="Q78">
            <v>56400</v>
          </cell>
          <cell r="R78">
            <v>58280</v>
          </cell>
          <cell r="S78">
            <v>58280</v>
          </cell>
          <cell r="T78">
            <v>56220</v>
          </cell>
          <cell r="U78">
            <v>58280</v>
          </cell>
          <cell r="V78">
            <v>56400</v>
          </cell>
          <cell r="W78">
            <v>58280</v>
          </cell>
          <cell r="X78">
            <v>58280</v>
          </cell>
          <cell r="Y78">
            <v>52640</v>
          </cell>
          <cell r="Z78">
            <v>58280</v>
          </cell>
          <cell r="AA78">
            <v>56400</v>
          </cell>
          <cell r="AB78">
            <v>56017</v>
          </cell>
          <cell r="AC78">
            <v>54210</v>
          </cell>
          <cell r="AD78">
            <v>56017</v>
          </cell>
          <cell r="AE78">
            <v>56017</v>
          </cell>
          <cell r="AF78">
            <v>54210</v>
          </cell>
          <cell r="AG78">
            <v>56017</v>
          </cell>
          <cell r="AH78">
            <v>54210</v>
          </cell>
          <cell r="AI78">
            <v>56017</v>
          </cell>
          <cell r="AJ78">
            <v>56017</v>
          </cell>
          <cell r="AK78">
            <v>50596</v>
          </cell>
          <cell r="AL78">
            <v>56017</v>
          </cell>
          <cell r="AM78">
            <v>54210</v>
          </cell>
          <cell r="AN78">
            <v>56017</v>
          </cell>
          <cell r="AO78">
            <v>54210</v>
          </cell>
          <cell r="AP78">
            <v>56017</v>
          </cell>
          <cell r="AQ78">
            <v>56017</v>
          </cell>
          <cell r="AR78">
            <v>54210</v>
          </cell>
          <cell r="AS78">
            <v>56017</v>
          </cell>
          <cell r="AT78">
            <v>54210</v>
          </cell>
          <cell r="AU78">
            <v>56017</v>
          </cell>
          <cell r="AV78">
            <v>56017</v>
          </cell>
          <cell r="AW78">
            <v>50596</v>
          </cell>
          <cell r="AX78">
            <v>56017</v>
          </cell>
          <cell r="AY78">
            <v>54210</v>
          </cell>
          <cell r="AZ78">
            <v>56017</v>
          </cell>
          <cell r="BA78">
            <v>54210</v>
          </cell>
          <cell r="BB78">
            <v>56544</v>
          </cell>
          <cell r="BC78">
            <v>56544</v>
          </cell>
          <cell r="BD78">
            <v>54720</v>
          </cell>
          <cell r="BE78">
            <v>56544</v>
          </cell>
          <cell r="BF78">
            <v>54720</v>
          </cell>
          <cell r="BG78">
            <v>56575</v>
          </cell>
          <cell r="BH78">
            <v>56575</v>
          </cell>
          <cell r="BI78">
            <v>52896</v>
          </cell>
          <cell r="BJ78">
            <v>56544</v>
          </cell>
          <cell r="BK78">
            <v>54720</v>
          </cell>
          <cell r="BL78">
            <v>56544</v>
          </cell>
          <cell r="BM78">
            <v>54720</v>
          </cell>
          <cell r="BN78">
            <v>57474</v>
          </cell>
          <cell r="BO78">
            <v>54591</v>
          </cell>
          <cell r="BP78">
            <v>48000</v>
          </cell>
          <cell r="BQ78">
            <v>49600</v>
          </cell>
          <cell r="BR78">
            <v>50250</v>
          </cell>
          <cell r="BS78">
            <v>51894</v>
          </cell>
          <cell r="BT78">
            <v>60295</v>
          </cell>
          <cell r="BU78">
            <v>61796</v>
          </cell>
          <cell r="BV78">
            <v>68417</v>
          </cell>
          <cell r="BW78">
            <v>67830</v>
          </cell>
          <cell r="BX78">
            <v>68944</v>
          </cell>
          <cell r="BY78">
            <v>66720</v>
          </cell>
          <cell r="BZ78">
            <v>70618</v>
          </cell>
          <cell r="CA78">
            <v>70618</v>
          </cell>
          <cell r="CB78">
            <v>68340</v>
          </cell>
          <cell r="CC78">
            <v>70618</v>
          </cell>
          <cell r="CD78">
            <v>72300</v>
          </cell>
          <cell r="CE78">
            <v>74710</v>
          </cell>
          <cell r="CF78">
            <v>83700</v>
          </cell>
          <cell r="CG78">
            <v>75628</v>
          </cell>
          <cell r="CH78">
            <v>83731</v>
          </cell>
          <cell r="CI78">
            <v>81030</v>
          </cell>
          <cell r="CJ78">
            <v>83731</v>
          </cell>
          <cell r="CK78">
            <v>81030</v>
          </cell>
          <cell r="CL78">
            <v>93837</v>
          </cell>
          <cell r="CM78">
            <v>93651</v>
          </cell>
          <cell r="CN78">
            <v>90750</v>
          </cell>
          <cell r="CO78">
            <v>93775</v>
          </cell>
          <cell r="CP78">
            <v>90750</v>
          </cell>
          <cell r="CQ78">
            <v>96100</v>
          </cell>
          <cell r="CR78">
            <v>96100</v>
          </cell>
          <cell r="CS78">
            <v>86800</v>
          </cell>
        </row>
        <row r="79">
          <cell r="B79" t="str">
            <v>2-star hotels</v>
          </cell>
          <cell r="K79">
            <v>384345</v>
          </cell>
          <cell r="L79">
            <v>32643</v>
          </cell>
          <cell r="M79">
            <v>30566</v>
          </cell>
          <cell r="N79">
            <v>32674</v>
          </cell>
          <cell r="O79">
            <v>28950</v>
          </cell>
          <cell r="P79">
            <v>31310</v>
          </cell>
          <cell r="Q79">
            <v>30300</v>
          </cell>
          <cell r="R79">
            <v>31310</v>
          </cell>
          <cell r="S79">
            <v>31310</v>
          </cell>
          <cell r="T79">
            <v>30300</v>
          </cell>
          <cell r="U79">
            <v>31310</v>
          </cell>
          <cell r="V79">
            <v>26610</v>
          </cell>
          <cell r="W79">
            <v>27497</v>
          </cell>
          <cell r="X79">
            <v>27497</v>
          </cell>
          <cell r="Y79">
            <v>24836</v>
          </cell>
          <cell r="Z79">
            <v>27497</v>
          </cell>
          <cell r="AA79">
            <v>26610</v>
          </cell>
          <cell r="AB79">
            <v>27497</v>
          </cell>
          <cell r="AC79">
            <v>26610</v>
          </cell>
          <cell r="AD79">
            <v>27497</v>
          </cell>
          <cell r="AE79">
            <v>27497</v>
          </cell>
          <cell r="AF79">
            <v>26610</v>
          </cell>
          <cell r="AG79">
            <v>27497</v>
          </cell>
          <cell r="AH79">
            <v>26610</v>
          </cell>
          <cell r="AI79">
            <v>27497</v>
          </cell>
          <cell r="AJ79">
            <v>24738</v>
          </cell>
          <cell r="AK79">
            <v>22344</v>
          </cell>
          <cell r="AL79">
            <v>24738</v>
          </cell>
          <cell r="AM79">
            <v>23940</v>
          </cell>
          <cell r="AN79">
            <v>24428</v>
          </cell>
          <cell r="AO79">
            <v>18240</v>
          </cell>
          <cell r="AP79">
            <v>18848</v>
          </cell>
          <cell r="AQ79">
            <v>18848</v>
          </cell>
          <cell r="AR79">
            <v>18240</v>
          </cell>
          <cell r="AS79">
            <v>23746</v>
          </cell>
          <cell r="AT79">
            <v>23040</v>
          </cell>
          <cell r="AU79">
            <v>23808</v>
          </cell>
          <cell r="AV79">
            <v>23808</v>
          </cell>
          <cell r="AW79">
            <v>21504</v>
          </cell>
          <cell r="AX79">
            <v>22971</v>
          </cell>
          <cell r="AY79">
            <v>22230</v>
          </cell>
          <cell r="AZ79">
            <v>22971</v>
          </cell>
          <cell r="BA79">
            <v>22230</v>
          </cell>
          <cell r="BB79">
            <v>23436</v>
          </cell>
          <cell r="BC79">
            <v>23436</v>
          </cell>
          <cell r="BD79">
            <v>24000</v>
          </cell>
          <cell r="BE79">
            <v>24707</v>
          </cell>
          <cell r="BF79">
            <v>23910</v>
          </cell>
          <cell r="BG79">
            <v>24800</v>
          </cell>
          <cell r="BH79">
            <v>24800</v>
          </cell>
          <cell r="BI79">
            <v>23113</v>
          </cell>
          <cell r="BJ79">
            <v>24707</v>
          </cell>
          <cell r="BK79">
            <v>23910</v>
          </cell>
          <cell r="BL79">
            <v>24707</v>
          </cell>
          <cell r="BM79">
            <v>23910</v>
          </cell>
          <cell r="BN79">
            <v>25947</v>
          </cell>
          <cell r="BO79">
            <v>25947</v>
          </cell>
          <cell r="BP79">
            <v>25110</v>
          </cell>
          <cell r="BQ79">
            <v>25947</v>
          </cell>
          <cell r="BR79">
            <v>25170</v>
          </cell>
          <cell r="BS79">
            <v>26009</v>
          </cell>
          <cell r="BT79">
            <v>26009</v>
          </cell>
          <cell r="BU79">
            <v>23492</v>
          </cell>
          <cell r="BV79">
            <v>26009</v>
          </cell>
          <cell r="BW79">
            <v>25170</v>
          </cell>
          <cell r="BX79">
            <v>26009</v>
          </cell>
          <cell r="BY79">
            <v>25170</v>
          </cell>
          <cell r="BZ79">
            <v>26009</v>
          </cell>
          <cell r="CA79">
            <v>26009</v>
          </cell>
          <cell r="CB79">
            <v>25170</v>
          </cell>
          <cell r="CC79">
            <v>26009</v>
          </cell>
          <cell r="CD79">
            <v>25170</v>
          </cell>
          <cell r="CE79">
            <v>26009</v>
          </cell>
          <cell r="CF79">
            <v>26009</v>
          </cell>
          <cell r="CG79">
            <v>23492</v>
          </cell>
          <cell r="CH79">
            <v>25978</v>
          </cell>
          <cell r="CI79">
            <v>25290</v>
          </cell>
          <cell r="CJ79">
            <v>26133</v>
          </cell>
          <cell r="CK79">
            <v>25290</v>
          </cell>
          <cell r="CL79">
            <v>26288</v>
          </cell>
          <cell r="CM79">
            <v>26288</v>
          </cell>
          <cell r="CN79">
            <v>25440</v>
          </cell>
          <cell r="CO79">
            <v>26257</v>
          </cell>
          <cell r="CP79">
            <v>24990</v>
          </cell>
          <cell r="CQ79">
            <v>25420</v>
          </cell>
          <cell r="CR79">
            <v>26288</v>
          </cell>
          <cell r="CS79">
            <v>23744</v>
          </cell>
        </row>
        <row r="80">
          <cell r="B80" t="str">
            <v>Guest-houses</v>
          </cell>
          <cell r="K80">
            <v>212795</v>
          </cell>
          <cell r="L80">
            <v>18073</v>
          </cell>
          <cell r="M80">
            <v>18154</v>
          </cell>
          <cell r="N80">
            <v>19375</v>
          </cell>
          <cell r="O80">
            <v>17880</v>
          </cell>
          <cell r="P80">
            <v>18476</v>
          </cell>
          <cell r="Q80">
            <v>17820</v>
          </cell>
          <cell r="R80">
            <v>18414</v>
          </cell>
          <cell r="S80">
            <v>18445</v>
          </cell>
          <cell r="T80">
            <v>18090</v>
          </cell>
          <cell r="U80">
            <v>18693</v>
          </cell>
          <cell r="V80">
            <v>18090</v>
          </cell>
          <cell r="W80">
            <v>18290</v>
          </cell>
          <cell r="X80">
            <v>18290</v>
          </cell>
          <cell r="Y80">
            <v>16520</v>
          </cell>
          <cell r="Z80">
            <v>18290</v>
          </cell>
          <cell r="AA80">
            <v>17850</v>
          </cell>
          <cell r="AB80">
            <v>17918</v>
          </cell>
          <cell r="AC80">
            <v>17730</v>
          </cell>
          <cell r="AD80">
            <v>18011</v>
          </cell>
          <cell r="AE80">
            <v>18042</v>
          </cell>
          <cell r="AF80">
            <v>17460</v>
          </cell>
          <cell r="AG80">
            <v>18042</v>
          </cell>
          <cell r="AH80">
            <v>17700</v>
          </cell>
          <cell r="AI80">
            <v>18290</v>
          </cell>
          <cell r="AJ80">
            <v>18197</v>
          </cell>
          <cell r="AK80">
            <v>16520</v>
          </cell>
          <cell r="AL80">
            <v>18290</v>
          </cell>
          <cell r="AM80">
            <v>17700</v>
          </cell>
          <cell r="AN80">
            <v>18290</v>
          </cell>
          <cell r="AO80">
            <v>17670</v>
          </cell>
          <cell r="AP80">
            <v>18290</v>
          </cell>
          <cell r="AQ80">
            <v>18321</v>
          </cell>
          <cell r="AR80">
            <v>17790</v>
          </cell>
          <cell r="AS80">
            <v>18414</v>
          </cell>
          <cell r="AT80">
            <v>17820</v>
          </cell>
          <cell r="AU80">
            <v>18414</v>
          </cell>
          <cell r="AV80">
            <v>18476</v>
          </cell>
          <cell r="AW80">
            <v>16660</v>
          </cell>
          <cell r="AX80">
            <v>18755</v>
          </cell>
          <cell r="AY80">
            <v>17880</v>
          </cell>
          <cell r="AZ80">
            <v>18414</v>
          </cell>
          <cell r="BA80">
            <v>17820</v>
          </cell>
          <cell r="BB80">
            <v>18259</v>
          </cell>
          <cell r="BC80">
            <v>18600</v>
          </cell>
          <cell r="BD80">
            <v>18000</v>
          </cell>
          <cell r="BE80">
            <v>18414</v>
          </cell>
          <cell r="BF80">
            <v>17820</v>
          </cell>
          <cell r="BG80">
            <v>18166</v>
          </cell>
          <cell r="BH80">
            <v>18352</v>
          </cell>
          <cell r="BI80">
            <v>17197</v>
          </cell>
          <cell r="BJ80">
            <v>18383</v>
          </cell>
          <cell r="BK80">
            <v>17760</v>
          </cell>
          <cell r="BL80">
            <v>18321</v>
          </cell>
          <cell r="BM80">
            <v>17700</v>
          </cell>
          <cell r="BN80">
            <v>18259</v>
          </cell>
          <cell r="BO80">
            <v>18228</v>
          </cell>
          <cell r="BP80">
            <v>17190</v>
          </cell>
          <cell r="BQ80">
            <v>16926</v>
          </cell>
          <cell r="BR80">
            <v>16380</v>
          </cell>
          <cell r="BS80">
            <v>17360</v>
          </cell>
          <cell r="BT80">
            <v>17360</v>
          </cell>
          <cell r="BU80">
            <v>16072</v>
          </cell>
          <cell r="BV80">
            <v>17732</v>
          </cell>
          <cell r="BW80">
            <v>17070</v>
          </cell>
          <cell r="BX80">
            <v>17608</v>
          </cell>
          <cell r="BY80">
            <v>16440</v>
          </cell>
          <cell r="BZ80">
            <v>17050</v>
          </cell>
          <cell r="CA80">
            <v>17050</v>
          </cell>
          <cell r="CB80">
            <v>16530</v>
          </cell>
          <cell r="CC80">
            <v>17081</v>
          </cell>
          <cell r="CD80">
            <v>16530</v>
          </cell>
          <cell r="CE80">
            <v>16957</v>
          </cell>
          <cell r="CF80">
            <v>17081</v>
          </cell>
          <cell r="CG80">
            <v>15428</v>
          </cell>
          <cell r="CH80">
            <v>17081</v>
          </cell>
          <cell r="CI80">
            <v>16530</v>
          </cell>
          <cell r="CJ80">
            <v>17081</v>
          </cell>
          <cell r="CK80">
            <v>16530</v>
          </cell>
          <cell r="CL80">
            <v>17081</v>
          </cell>
          <cell r="CM80">
            <v>17081</v>
          </cell>
          <cell r="CN80">
            <v>16560</v>
          </cell>
          <cell r="CO80">
            <v>17329</v>
          </cell>
          <cell r="CP80">
            <v>16770</v>
          </cell>
          <cell r="CQ80">
            <v>17329</v>
          </cell>
          <cell r="CR80">
            <v>17298</v>
          </cell>
          <cell r="CS80">
            <v>15960</v>
          </cell>
        </row>
        <row r="81">
          <cell r="B81" t="str">
            <v>Total % Change</v>
          </cell>
          <cell r="X81">
            <v>-2.5700934579439227E-2</v>
          </cell>
          <cell r="Y81">
            <v>-6.1279953243717156E-2</v>
          </cell>
          <cell r="Z81">
            <v>-2.7754237288135641E-2</v>
          </cell>
          <cell r="AA81">
            <v>-1.2450359557797608E-2</v>
          </cell>
          <cell r="AB81">
            <v>-5.0333734544261155E-3</v>
          </cell>
          <cell r="AC81">
            <v>-7.5854700854700807E-2</v>
          </cell>
          <cell r="AD81">
            <v>-3.1051896422047975E-2</v>
          </cell>
          <cell r="AE81">
            <v>-2.9693383539537432E-2</v>
          </cell>
          <cell r="AF81">
            <v>-3.0224803700118263E-2</v>
          </cell>
          <cell r="AG81">
            <v>-3.1602708803611712E-2</v>
          </cell>
          <cell r="AH81">
            <v>-1.9560965007607067E-2</v>
          </cell>
          <cell r="AI81">
            <v>-1.8584936419954401E-2</v>
          </cell>
          <cell r="AJ81">
            <v>-2.5942882057990002E-2</v>
          </cell>
          <cell r="AK81">
            <v>-2.0156896927435164E-2</v>
          </cell>
          <cell r="AL81">
            <v>-2.2118108520374768E-2</v>
          </cell>
          <cell r="AM81">
            <v>-2.3475709162047553E-2</v>
          </cell>
          <cell r="AN81">
            <v>-1.5176509402837324E-2</v>
          </cell>
          <cell r="AO81">
            <v>1.4913294797687771E-2</v>
          </cell>
          <cell r="AP81">
            <v>-2.528276779773786E-2</v>
          </cell>
          <cell r="AQ81">
            <v>-2.4503825257789158E-2</v>
          </cell>
          <cell r="AR81">
            <v>-2.3070097604259043E-2</v>
          </cell>
          <cell r="AS81">
            <v>-6.9930069930069783E-3</v>
          </cell>
          <cell r="AT81">
            <v>-1.0418975836843258E-2</v>
          </cell>
          <cell r="AU81">
            <v>-8.4163898117386449E-3</v>
          </cell>
          <cell r="AV81">
            <v>2.9095792300806167E-3</v>
          </cell>
          <cell r="AW81">
            <v>-5.5598799065940119E-3</v>
          </cell>
          <cell r="AX81">
            <v>-5.2367688022284531E-3</v>
          </cell>
          <cell r="AY81">
            <v>-6.2326099053978679E-3</v>
          </cell>
          <cell r="AZ81">
            <v>-4.2434394193188174E-3</v>
          </cell>
          <cell r="BA81">
            <v>1.6288871169837016E-2</v>
          </cell>
          <cell r="BB81">
            <v>1.7064846416381396E-3</v>
          </cell>
          <cell r="BC81">
            <v>7.3880427369856783E-3</v>
          </cell>
          <cell r="BD81">
            <v>1.1239782016348787E-2</v>
          </cell>
          <cell r="BE81">
            <v>-5.2537446903644369E-3</v>
          </cell>
          <cell r="BF81">
            <v>2.8001792114695334E-2</v>
          </cell>
          <cell r="BG81">
            <v>2.5798525798525818E-2</v>
          </cell>
          <cell r="BH81">
            <v>2.5217585360410633E-2</v>
          </cell>
          <cell r="BI81">
            <v>6.6404690020926083E-2</v>
          </cell>
          <cell r="BJ81">
            <v>4.1778673835125346E-2</v>
          </cell>
          <cell r="BK81">
            <v>4.3565908836375788E-2</v>
          </cell>
          <cell r="BL81">
            <v>4.4409554782998795E-2</v>
          </cell>
          <cell r="BM81">
            <v>4.2367182246133117E-2</v>
          </cell>
          <cell r="BN81">
            <v>6.4735945485519641E-2</v>
          </cell>
          <cell r="BO81">
            <v>4.7162360374590984E-2</v>
          </cell>
          <cell r="BP81">
            <v>2.2229706972044516E-2</v>
          </cell>
          <cell r="BQ81">
            <v>2.0114619620182017E-2</v>
          </cell>
          <cell r="BR81">
            <v>-2.5059925909783898E-3</v>
          </cell>
          <cell r="BS81">
            <v>-1.8508437670113898E-3</v>
          </cell>
          <cell r="BT81">
            <v>7.7601218981280029E-2</v>
          </cell>
          <cell r="BU81">
            <v>6.754246682045606E-2</v>
          </cell>
          <cell r="BV81">
            <v>0.13804967207827112</v>
          </cell>
          <cell r="BW81">
            <v>0.14144666237389991</v>
          </cell>
          <cell r="BX81">
            <v>0.12251691184365932</v>
          </cell>
          <cell r="BY81">
            <v>0.13666666666666671</v>
          </cell>
          <cell r="BZ81">
            <v>0.12661333333333324</v>
          </cell>
          <cell r="CA81">
            <v>0.13662320870595845</v>
          </cell>
          <cell r="CB81">
            <v>0.17287204832509606</v>
          </cell>
          <cell r="CC81">
            <v>0.17151354923992068</v>
          </cell>
          <cell r="CD81">
            <v>0.18328782086291651</v>
          </cell>
          <cell r="CE81">
            <v>0.18150087260034908</v>
          </cell>
          <cell r="CF81">
            <v>0.11251388748611246</v>
          </cell>
          <cell r="CG81">
            <v>8.447107356841177E-2</v>
          </cell>
          <cell r="CH81">
            <v>6.7264997638167179E-2</v>
          </cell>
          <cell r="CI81">
            <v>6.4591951861602048E-2</v>
          </cell>
          <cell r="CJ81">
            <v>8.3317390472546382E-2</v>
          </cell>
          <cell r="CK81">
            <v>0.11134235171696161</v>
          </cell>
          <cell r="CL81">
            <v>0.11645521681499726</v>
          </cell>
          <cell r="CM81">
            <v>0.11773627832021982</v>
          </cell>
          <cell r="CN81">
            <v>0.16218747073696038</v>
          </cell>
          <cell r="CO81">
            <v>0.16774800188058303</v>
          </cell>
          <cell r="CP81">
            <v>0.17169759069509838</v>
          </cell>
          <cell r="CQ81">
            <v>0.19811669128508114</v>
          </cell>
          <cell r="CR81">
            <v>0.17312755333635943</v>
          </cell>
          <cell r="CS81">
            <v>0.18313558554478759</v>
          </cell>
        </row>
        <row r="83">
          <cell r="B83" t="str">
            <v>Average Length of Stay</v>
          </cell>
        </row>
        <row r="84">
          <cell r="B84" t="str">
            <v>Grand Total</v>
          </cell>
          <cell r="K84">
            <v>1.43</v>
          </cell>
          <cell r="L84">
            <v>1.27</v>
          </cell>
          <cell r="M84">
            <v>1.26</v>
          </cell>
          <cell r="N84">
            <v>1.27</v>
          </cell>
          <cell r="O84">
            <v>1.28</v>
          </cell>
          <cell r="P84">
            <v>1.25</v>
          </cell>
          <cell r="Q84">
            <v>1.28</v>
          </cell>
          <cell r="R84">
            <v>1.24</v>
          </cell>
          <cell r="S84">
            <v>1.24</v>
          </cell>
          <cell r="T84">
            <v>1.3</v>
          </cell>
          <cell r="U84">
            <v>1.31</v>
          </cell>
          <cell r="V84">
            <v>1.34</v>
          </cell>
          <cell r="W84">
            <v>1.35</v>
          </cell>
          <cell r="X84">
            <v>1.26</v>
          </cell>
          <cell r="Y84">
            <v>1.33</v>
          </cell>
          <cell r="Z84">
            <v>1.3</v>
          </cell>
          <cell r="AA84">
            <v>1.26</v>
          </cell>
          <cell r="AB84">
            <v>1.27</v>
          </cell>
          <cell r="AC84">
            <v>1.34</v>
          </cell>
          <cell r="AD84">
            <v>1.28</v>
          </cell>
          <cell r="AE84">
            <v>1.27</v>
          </cell>
          <cell r="AF84">
            <v>1.32</v>
          </cell>
          <cell r="AG84">
            <v>1.33</v>
          </cell>
          <cell r="AH84">
            <v>1.3</v>
          </cell>
          <cell r="AI84">
            <v>1.25</v>
          </cell>
          <cell r="AJ84">
            <v>1.26</v>
          </cell>
          <cell r="AK84">
            <v>1.25</v>
          </cell>
          <cell r="AL84">
            <v>1.29</v>
          </cell>
          <cell r="AM84">
            <v>1.26</v>
          </cell>
          <cell r="AN84">
            <v>1.24</v>
          </cell>
          <cell r="AO84">
            <v>1.21</v>
          </cell>
          <cell r="AP84">
            <v>1.23</v>
          </cell>
          <cell r="AQ84">
            <v>1.19</v>
          </cell>
          <cell r="AR84">
            <v>1.2</v>
          </cell>
          <cell r="AS84">
            <v>1.23</v>
          </cell>
          <cell r="AT84">
            <v>1.21</v>
          </cell>
          <cell r="AU84">
            <v>1.18</v>
          </cell>
          <cell r="AV84">
            <v>1.19</v>
          </cell>
          <cell r="AW84">
            <v>1.18</v>
          </cell>
          <cell r="AX84">
            <v>1.19</v>
          </cell>
          <cell r="AY84">
            <v>1.27</v>
          </cell>
          <cell r="AZ84">
            <v>1.33</v>
          </cell>
          <cell r="BA84">
            <v>1.24</v>
          </cell>
          <cell r="BB84">
            <v>1.2</v>
          </cell>
          <cell r="BC84">
            <v>1.19</v>
          </cell>
          <cell r="BD84">
            <v>1.2</v>
          </cell>
          <cell r="BE84">
            <v>1.25</v>
          </cell>
          <cell r="BF84">
            <v>1.22</v>
          </cell>
          <cell r="BG84">
            <v>1.2</v>
          </cell>
          <cell r="BH84">
            <v>1.21</v>
          </cell>
          <cell r="BI84">
            <v>1.17</v>
          </cell>
          <cell r="BJ84">
            <v>1.19</v>
          </cell>
          <cell r="BK84">
            <v>1.18</v>
          </cell>
          <cell r="BL84">
            <v>1.19</v>
          </cell>
          <cell r="BM84">
            <v>1.2</v>
          </cell>
          <cell r="BN84">
            <v>1.1599999999999999</v>
          </cell>
          <cell r="BO84">
            <v>1.1499999999999999</v>
          </cell>
          <cell r="BP84">
            <v>1.18</v>
          </cell>
          <cell r="BQ84">
            <v>1.17</v>
          </cell>
          <cell r="BR84">
            <v>1.1599999999999999</v>
          </cell>
          <cell r="BS84">
            <v>1.1499999999999999</v>
          </cell>
          <cell r="BT84">
            <v>1.2</v>
          </cell>
          <cell r="BU84">
            <v>1.1599999999999999</v>
          </cell>
          <cell r="BV84">
            <v>1.18</v>
          </cell>
          <cell r="BW84">
            <v>1.1599999999999999</v>
          </cell>
          <cell r="BX84">
            <v>1.18</v>
          </cell>
          <cell r="BY84">
            <v>1.1399999999999999</v>
          </cell>
          <cell r="BZ84">
            <v>1.1599999999999999</v>
          </cell>
          <cell r="CA84">
            <v>1.1599999999999999</v>
          </cell>
          <cell r="CB84">
            <v>1.17</v>
          </cell>
          <cell r="CC84">
            <v>1.25</v>
          </cell>
          <cell r="CD84">
            <v>1.21</v>
          </cell>
          <cell r="CE84">
            <v>1.1399999999999999</v>
          </cell>
          <cell r="CF84">
            <v>1.1599999999999999</v>
          </cell>
          <cell r="CG84">
            <v>1.1599999999999999</v>
          </cell>
          <cell r="CH84">
            <v>1.1499999999999999</v>
          </cell>
          <cell r="CI84">
            <v>1.1599999999999999</v>
          </cell>
          <cell r="CJ84">
            <v>1.1499999999999999</v>
          </cell>
          <cell r="CK84">
            <v>1.1599999999999999</v>
          </cell>
          <cell r="CL84">
            <v>1.1599999999999999</v>
          </cell>
          <cell r="CM84">
            <v>1.1599999999999999</v>
          </cell>
          <cell r="CN84">
            <v>1.18</v>
          </cell>
          <cell r="CO84">
            <v>1.19</v>
          </cell>
          <cell r="CP84">
            <v>1.2</v>
          </cell>
          <cell r="CQ84">
            <v>1.21</v>
          </cell>
          <cell r="CR84">
            <v>1.2</v>
          </cell>
          <cell r="CS84">
            <v>1.2</v>
          </cell>
        </row>
        <row r="85">
          <cell r="B85" t="str">
            <v>Hotel Total</v>
          </cell>
          <cell r="K85">
            <v>1.43</v>
          </cell>
          <cell r="L85">
            <v>1.26</v>
          </cell>
          <cell r="M85">
            <v>1.26</v>
          </cell>
          <cell r="N85">
            <v>1.27</v>
          </cell>
          <cell r="O85">
            <v>1.28</v>
          </cell>
          <cell r="P85">
            <v>1.25</v>
          </cell>
          <cell r="Q85">
            <v>1.28</v>
          </cell>
          <cell r="R85">
            <v>1.24</v>
          </cell>
          <cell r="S85">
            <v>1.24</v>
          </cell>
          <cell r="T85">
            <v>1.31</v>
          </cell>
          <cell r="U85">
            <v>1.31</v>
          </cell>
          <cell r="V85">
            <v>1.35</v>
          </cell>
          <cell r="W85">
            <v>1.36</v>
          </cell>
          <cell r="X85">
            <v>1.27</v>
          </cell>
          <cell r="Y85">
            <v>1.33</v>
          </cell>
          <cell r="Z85">
            <v>1.3</v>
          </cell>
          <cell r="AA85">
            <v>1.27</v>
          </cell>
          <cell r="AB85">
            <v>1.27</v>
          </cell>
          <cell r="AC85">
            <v>1.35</v>
          </cell>
          <cell r="AD85">
            <v>1.28</v>
          </cell>
          <cell r="AE85">
            <v>1.27</v>
          </cell>
          <cell r="AF85">
            <v>1.33</v>
          </cell>
          <cell r="AG85">
            <v>1.34</v>
          </cell>
          <cell r="AH85">
            <v>1.3</v>
          </cell>
          <cell r="AI85">
            <v>1.25</v>
          </cell>
          <cell r="AJ85">
            <v>1.26</v>
          </cell>
          <cell r="AK85">
            <v>1.25</v>
          </cell>
          <cell r="AL85">
            <v>1.29</v>
          </cell>
          <cell r="AM85">
            <v>1.26</v>
          </cell>
          <cell r="AN85">
            <v>1.24</v>
          </cell>
          <cell r="AO85">
            <v>1.21</v>
          </cell>
          <cell r="AP85">
            <v>1.23</v>
          </cell>
          <cell r="AQ85">
            <v>1.19</v>
          </cell>
          <cell r="AR85">
            <v>1.21</v>
          </cell>
          <cell r="AS85">
            <v>1.23</v>
          </cell>
          <cell r="AT85">
            <v>1.21</v>
          </cell>
          <cell r="AU85">
            <v>1.18</v>
          </cell>
          <cell r="AV85">
            <v>1.19</v>
          </cell>
          <cell r="AW85">
            <v>1.18</v>
          </cell>
          <cell r="AX85">
            <v>1.19</v>
          </cell>
          <cell r="AY85">
            <v>1.27</v>
          </cell>
          <cell r="AZ85">
            <v>1.34</v>
          </cell>
          <cell r="BA85">
            <v>1.24</v>
          </cell>
          <cell r="BB85">
            <v>1.2</v>
          </cell>
          <cell r="BC85">
            <v>1.19</v>
          </cell>
          <cell r="BD85">
            <v>1.2</v>
          </cell>
          <cell r="BE85">
            <v>1.26</v>
          </cell>
          <cell r="BF85">
            <v>1.22</v>
          </cell>
          <cell r="BG85">
            <v>1.21</v>
          </cell>
          <cell r="BH85">
            <v>1.21</v>
          </cell>
          <cell r="BI85">
            <v>1.17</v>
          </cell>
          <cell r="BJ85">
            <v>1.19</v>
          </cell>
          <cell r="BK85">
            <v>1.18</v>
          </cell>
          <cell r="BL85">
            <v>1.19</v>
          </cell>
          <cell r="BM85">
            <v>1.2</v>
          </cell>
          <cell r="BN85">
            <v>1.1599999999999999</v>
          </cell>
          <cell r="BO85">
            <v>1.1399999999999999</v>
          </cell>
          <cell r="BP85">
            <v>1.18</v>
          </cell>
          <cell r="BQ85">
            <v>1.17</v>
          </cell>
          <cell r="BR85">
            <v>1.1599999999999999</v>
          </cell>
          <cell r="BS85">
            <v>1.1499999999999999</v>
          </cell>
          <cell r="BT85">
            <v>1.19</v>
          </cell>
          <cell r="BU85">
            <v>1.1599999999999999</v>
          </cell>
          <cell r="BV85">
            <v>1.17</v>
          </cell>
          <cell r="BW85">
            <v>1.1499999999999999</v>
          </cell>
          <cell r="BX85">
            <v>1.18</v>
          </cell>
          <cell r="BY85">
            <v>1.1399999999999999</v>
          </cell>
          <cell r="BZ85">
            <v>1.1599999999999999</v>
          </cell>
          <cell r="CA85">
            <v>1.1599999999999999</v>
          </cell>
          <cell r="CB85">
            <v>1.17</v>
          </cell>
          <cell r="CC85">
            <v>1.24</v>
          </cell>
          <cell r="CD85">
            <v>1.21</v>
          </cell>
          <cell r="CE85">
            <v>1.1399999999999999</v>
          </cell>
          <cell r="CF85">
            <v>1.1599999999999999</v>
          </cell>
          <cell r="CG85">
            <v>1.1499999999999999</v>
          </cell>
          <cell r="CH85">
            <v>1.1499999999999999</v>
          </cell>
          <cell r="CI85">
            <v>1.1599999999999999</v>
          </cell>
          <cell r="CJ85">
            <v>1.1499999999999999</v>
          </cell>
          <cell r="CK85">
            <v>1.1599999999999999</v>
          </cell>
          <cell r="CL85">
            <v>1.1599999999999999</v>
          </cell>
          <cell r="CM85">
            <v>1.1599999999999999</v>
          </cell>
          <cell r="CN85">
            <v>1.18</v>
          </cell>
          <cell r="CO85">
            <v>1.18</v>
          </cell>
          <cell r="CP85">
            <v>1.2</v>
          </cell>
          <cell r="CQ85">
            <v>1.21</v>
          </cell>
          <cell r="CR85">
            <v>1.2</v>
          </cell>
          <cell r="CS85">
            <v>1.2</v>
          </cell>
        </row>
        <row r="86">
          <cell r="B86" t="str">
            <v>5-star hotels</v>
          </cell>
          <cell r="K86">
            <v>1.74</v>
          </cell>
          <cell r="L86">
            <v>1.47</v>
          </cell>
          <cell r="M86">
            <v>1.47</v>
          </cell>
          <cell r="N86">
            <v>1.51</v>
          </cell>
          <cell r="O86">
            <v>1.49</v>
          </cell>
          <cell r="P86">
            <v>1.43</v>
          </cell>
          <cell r="Q86">
            <v>1.56</v>
          </cell>
          <cell r="R86">
            <v>1.43</v>
          </cell>
          <cell r="S86">
            <v>1.44</v>
          </cell>
          <cell r="T86">
            <v>1.49</v>
          </cell>
          <cell r="U86">
            <v>1.49</v>
          </cell>
          <cell r="V86">
            <v>1.62</v>
          </cell>
          <cell r="W86">
            <v>1.51</v>
          </cell>
          <cell r="X86">
            <v>1.42</v>
          </cell>
          <cell r="Y86">
            <v>1.47</v>
          </cell>
          <cell r="Z86">
            <v>1.47</v>
          </cell>
          <cell r="AA86">
            <v>1.4</v>
          </cell>
          <cell r="AB86">
            <v>1.4</v>
          </cell>
          <cell r="AC86">
            <v>1.43</v>
          </cell>
          <cell r="AD86">
            <v>1.41</v>
          </cell>
          <cell r="AE86">
            <v>1.48</v>
          </cell>
          <cell r="AF86">
            <v>1.43</v>
          </cell>
          <cell r="AG86">
            <v>1.44</v>
          </cell>
          <cell r="AH86">
            <v>1.44</v>
          </cell>
          <cell r="AI86">
            <v>1.42</v>
          </cell>
          <cell r="AJ86">
            <v>1.45</v>
          </cell>
          <cell r="AK86">
            <v>1.38</v>
          </cell>
          <cell r="AL86">
            <v>1.48</v>
          </cell>
          <cell r="AM86">
            <v>1.38</v>
          </cell>
          <cell r="AN86">
            <v>1.37</v>
          </cell>
          <cell r="AO86">
            <v>1.37</v>
          </cell>
          <cell r="AP86">
            <v>1.44</v>
          </cell>
          <cell r="AQ86">
            <v>1.39</v>
          </cell>
          <cell r="AR86">
            <v>1.37</v>
          </cell>
          <cell r="AS86">
            <v>1.47</v>
          </cell>
          <cell r="AT86">
            <v>1.44</v>
          </cell>
          <cell r="AU86">
            <v>1.4</v>
          </cell>
          <cell r="AV86">
            <v>1.44</v>
          </cell>
          <cell r="AW86">
            <v>1.38</v>
          </cell>
          <cell r="AX86">
            <v>1.46</v>
          </cell>
          <cell r="AY86">
            <v>1.63</v>
          </cell>
          <cell r="AZ86">
            <v>1.79</v>
          </cell>
          <cell r="BA86">
            <v>1.58</v>
          </cell>
          <cell r="BB86">
            <v>1.46</v>
          </cell>
          <cell r="BC86">
            <v>1.4</v>
          </cell>
          <cell r="BD86">
            <v>1.47</v>
          </cell>
          <cell r="BE86">
            <v>1.66</v>
          </cell>
          <cell r="BF86">
            <v>1.57</v>
          </cell>
          <cell r="BG86">
            <v>1.54</v>
          </cell>
          <cell r="BH86">
            <v>1.53</v>
          </cell>
          <cell r="BI86">
            <v>1.5</v>
          </cell>
          <cell r="BJ86">
            <v>1.55</v>
          </cell>
          <cell r="BK86">
            <v>1.47</v>
          </cell>
          <cell r="BL86">
            <v>1.48</v>
          </cell>
          <cell r="BM86">
            <v>1.5</v>
          </cell>
          <cell r="BN86">
            <v>1.43</v>
          </cell>
          <cell r="BO86">
            <v>1.31</v>
          </cell>
          <cell r="BP86">
            <v>1.43</v>
          </cell>
          <cell r="BQ86">
            <v>1.38</v>
          </cell>
          <cell r="BR86">
            <v>1.36</v>
          </cell>
          <cell r="BS86">
            <v>1.33</v>
          </cell>
          <cell r="BT86">
            <v>1.4</v>
          </cell>
          <cell r="BU86">
            <v>1.36</v>
          </cell>
          <cell r="BV86">
            <v>1.43</v>
          </cell>
          <cell r="BW86">
            <v>1.39</v>
          </cell>
          <cell r="BX86">
            <v>1.36</v>
          </cell>
          <cell r="BY86">
            <v>1.32</v>
          </cell>
          <cell r="BZ86">
            <v>1.43</v>
          </cell>
          <cell r="CA86">
            <v>1.35</v>
          </cell>
          <cell r="CB86">
            <v>1.44</v>
          </cell>
          <cell r="CC86">
            <v>1.68</v>
          </cell>
          <cell r="CD86">
            <v>1.56</v>
          </cell>
          <cell r="CE86">
            <v>1.37</v>
          </cell>
          <cell r="CF86">
            <v>1.42</v>
          </cell>
          <cell r="CG86">
            <v>1.33</v>
          </cell>
          <cell r="CH86">
            <v>1.43</v>
          </cell>
          <cell r="CI86">
            <v>1.47</v>
          </cell>
          <cell r="CJ86">
            <v>1.41</v>
          </cell>
          <cell r="CK86">
            <v>1.42</v>
          </cell>
          <cell r="CL86">
            <v>1.41</v>
          </cell>
          <cell r="CM86">
            <v>1.4</v>
          </cell>
          <cell r="CN86">
            <v>1.35</v>
          </cell>
          <cell r="CO86">
            <v>1.33</v>
          </cell>
          <cell r="CP86">
            <v>1.26</v>
          </cell>
          <cell r="CQ86">
            <v>1.42</v>
          </cell>
          <cell r="CR86">
            <v>1.49</v>
          </cell>
          <cell r="CS86">
            <v>1.42</v>
          </cell>
        </row>
        <row r="87">
          <cell r="B87" t="str">
            <v>4-star hotels</v>
          </cell>
          <cell r="K87">
            <v>1.22</v>
          </cell>
          <cell r="L87">
            <v>1.0900000000000001</v>
          </cell>
          <cell r="M87">
            <v>1.1100000000000001</v>
          </cell>
          <cell r="N87">
            <v>1.1200000000000001</v>
          </cell>
          <cell r="O87">
            <v>1.08</v>
          </cell>
          <cell r="P87">
            <v>1.1000000000000001</v>
          </cell>
          <cell r="Q87">
            <v>1.0900000000000001</v>
          </cell>
          <cell r="R87">
            <v>1.07</v>
          </cell>
          <cell r="S87">
            <v>1.1000000000000001</v>
          </cell>
          <cell r="T87">
            <v>1.1399999999999999</v>
          </cell>
          <cell r="U87">
            <v>1.1299999999999999</v>
          </cell>
          <cell r="V87">
            <v>1.1399999999999999</v>
          </cell>
          <cell r="W87">
            <v>1.22</v>
          </cell>
          <cell r="X87">
            <v>1.1200000000000001</v>
          </cell>
          <cell r="Y87">
            <v>1.18</v>
          </cell>
          <cell r="Z87">
            <v>1.1100000000000001</v>
          </cell>
          <cell r="AA87">
            <v>1.1299999999999999</v>
          </cell>
          <cell r="AB87">
            <v>1.1200000000000001</v>
          </cell>
          <cell r="AC87">
            <v>1.24</v>
          </cell>
          <cell r="AD87">
            <v>1.1299999999999999</v>
          </cell>
          <cell r="AE87">
            <v>1.1100000000000001</v>
          </cell>
          <cell r="AF87">
            <v>1.1599999999999999</v>
          </cell>
          <cell r="AG87">
            <v>1.25</v>
          </cell>
          <cell r="AH87">
            <v>1.1599999999999999</v>
          </cell>
          <cell r="AI87">
            <v>1.06</v>
          </cell>
          <cell r="AJ87">
            <v>1.06</v>
          </cell>
          <cell r="AK87">
            <v>1.08</v>
          </cell>
          <cell r="AL87">
            <v>1.0900000000000001</v>
          </cell>
          <cell r="AM87">
            <v>1.1299999999999999</v>
          </cell>
          <cell r="AN87">
            <v>1.1299999999999999</v>
          </cell>
          <cell r="AO87">
            <v>1.1000000000000001</v>
          </cell>
          <cell r="AP87">
            <v>1.1200000000000001</v>
          </cell>
          <cell r="AQ87">
            <v>1.1100000000000001</v>
          </cell>
          <cell r="AR87">
            <v>1.1299999999999999</v>
          </cell>
          <cell r="AS87">
            <v>1.1299999999999999</v>
          </cell>
          <cell r="AT87">
            <v>1.1399999999999999</v>
          </cell>
          <cell r="AU87">
            <v>1.1000000000000001</v>
          </cell>
          <cell r="AV87">
            <v>1.0900000000000001</v>
          </cell>
          <cell r="AW87">
            <v>1.1000000000000001</v>
          </cell>
          <cell r="AX87">
            <v>1.1100000000000001</v>
          </cell>
          <cell r="AY87">
            <v>1.1299999999999999</v>
          </cell>
          <cell r="AZ87">
            <v>1.07</v>
          </cell>
          <cell r="BA87">
            <v>1.07</v>
          </cell>
          <cell r="BB87">
            <v>1.06</v>
          </cell>
          <cell r="BC87">
            <v>1.08</v>
          </cell>
          <cell r="BD87">
            <v>1.0900000000000001</v>
          </cell>
          <cell r="BE87">
            <v>1.1100000000000001</v>
          </cell>
          <cell r="BF87">
            <v>1.1000000000000001</v>
          </cell>
          <cell r="BG87">
            <v>1.08</v>
          </cell>
          <cell r="BH87">
            <v>1.06</v>
          </cell>
          <cell r="BI87">
            <v>1.02</v>
          </cell>
          <cell r="BJ87">
            <v>1.05</v>
          </cell>
          <cell r="BK87">
            <v>1.05</v>
          </cell>
          <cell r="BL87">
            <v>1.05</v>
          </cell>
          <cell r="BM87">
            <v>1.08</v>
          </cell>
          <cell r="BN87">
            <v>1.04</v>
          </cell>
          <cell r="BO87">
            <v>1.07</v>
          </cell>
          <cell r="BP87">
            <v>1.08</v>
          </cell>
          <cell r="BQ87">
            <v>1.0900000000000001</v>
          </cell>
          <cell r="BR87">
            <v>1.0900000000000001</v>
          </cell>
          <cell r="BS87">
            <v>1.07</v>
          </cell>
          <cell r="BT87">
            <v>1.1200000000000001</v>
          </cell>
          <cell r="BU87">
            <v>1.08</v>
          </cell>
          <cell r="BV87">
            <v>1.1000000000000001</v>
          </cell>
          <cell r="BW87">
            <v>1.0900000000000001</v>
          </cell>
          <cell r="BX87">
            <v>1.1200000000000001</v>
          </cell>
          <cell r="BY87">
            <v>1.08</v>
          </cell>
          <cell r="BZ87">
            <v>1.08</v>
          </cell>
          <cell r="CA87">
            <v>1.1000000000000001</v>
          </cell>
          <cell r="CB87">
            <v>1.0900000000000001</v>
          </cell>
          <cell r="CC87">
            <v>1.1399999999999999</v>
          </cell>
          <cell r="CD87">
            <v>1.1000000000000001</v>
          </cell>
          <cell r="CE87">
            <v>1.06</v>
          </cell>
          <cell r="CF87">
            <v>1.1000000000000001</v>
          </cell>
          <cell r="CG87">
            <v>1.1100000000000001</v>
          </cell>
          <cell r="CH87">
            <v>1.08</v>
          </cell>
          <cell r="CI87">
            <v>1.08</v>
          </cell>
          <cell r="CJ87">
            <v>1.08</v>
          </cell>
          <cell r="CK87">
            <v>1.08</v>
          </cell>
          <cell r="CL87">
            <v>1.0900000000000001</v>
          </cell>
          <cell r="CM87">
            <v>1.08</v>
          </cell>
          <cell r="CN87">
            <v>1.0900000000000001</v>
          </cell>
          <cell r="CO87">
            <v>1.1200000000000001</v>
          </cell>
          <cell r="CP87">
            <v>1.1000000000000001</v>
          </cell>
          <cell r="CQ87">
            <v>1.1299999999999999</v>
          </cell>
          <cell r="CR87">
            <v>1.07</v>
          </cell>
          <cell r="CS87">
            <v>1.06</v>
          </cell>
        </row>
        <row r="88">
          <cell r="B88" t="str">
            <v>3-star hotels</v>
          </cell>
          <cell r="K88">
            <v>1.41</v>
          </cell>
          <cell r="L88">
            <v>1.26</v>
          </cell>
          <cell r="M88">
            <v>1.24</v>
          </cell>
          <cell r="N88">
            <v>1.2</v>
          </cell>
          <cell r="O88">
            <v>1.32</v>
          </cell>
          <cell r="P88">
            <v>1.29</v>
          </cell>
          <cell r="Q88">
            <v>1.29</v>
          </cell>
          <cell r="R88">
            <v>1.29</v>
          </cell>
          <cell r="S88">
            <v>1.24</v>
          </cell>
          <cell r="T88">
            <v>1.36</v>
          </cell>
          <cell r="U88">
            <v>1.4</v>
          </cell>
          <cell r="V88">
            <v>1.39</v>
          </cell>
          <cell r="W88">
            <v>1.42</v>
          </cell>
          <cell r="X88">
            <v>1.33</v>
          </cell>
          <cell r="Y88">
            <v>1.43</v>
          </cell>
          <cell r="Z88">
            <v>1.43</v>
          </cell>
          <cell r="AA88">
            <v>1.36</v>
          </cell>
          <cell r="AB88">
            <v>1.36</v>
          </cell>
          <cell r="AC88">
            <v>1.41</v>
          </cell>
          <cell r="AD88">
            <v>1.36</v>
          </cell>
          <cell r="AE88">
            <v>1.31</v>
          </cell>
          <cell r="AF88">
            <v>1.46</v>
          </cell>
          <cell r="AG88">
            <v>1.37</v>
          </cell>
          <cell r="AH88">
            <v>1.35</v>
          </cell>
          <cell r="AI88">
            <v>1.35</v>
          </cell>
          <cell r="AJ88">
            <v>1.4</v>
          </cell>
          <cell r="AK88">
            <v>1.37</v>
          </cell>
          <cell r="AL88">
            <v>1.39</v>
          </cell>
          <cell r="AM88">
            <v>1.34</v>
          </cell>
          <cell r="AN88">
            <v>1.26</v>
          </cell>
          <cell r="AO88">
            <v>1.18</v>
          </cell>
          <cell r="AP88">
            <v>1.17</v>
          </cell>
          <cell r="AQ88">
            <v>1.1100000000000001</v>
          </cell>
          <cell r="AR88">
            <v>1.1100000000000001</v>
          </cell>
          <cell r="AS88">
            <v>1.1200000000000001</v>
          </cell>
          <cell r="AT88">
            <v>1.1000000000000001</v>
          </cell>
          <cell r="AU88">
            <v>1.0900000000000001</v>
          </cell>
          <cell r="AV88">
            <v>1.0900000000000001</v>
          </cell>
          <cell r="AW88">
            <v>1.0900000000000001</v>
          </cell>
          <cell r="AX88">
            <v>1.07</v>
          </cell>
          <cell r="AY88">
            <v>1.1000000000000001</v>
          </cell>
          <cell r="AZ88">
            <v>1.1299999999999999</v>
          </cell>
          <cell r="BA88">
            <v>1.1000000000000001</v>
          </cell>
          <cell r="BB88">
            <v>1.1200000000000001</v>
          </cell>
          <cell r="BC88">
            <v>1.1299999999999999</v>
          </cell>
          <cell r="BD88">
            <v>1.0900000000000001</v>
          </cell>
          <cell r="BE88">
            <v>1.1000000000000001</v>
          </cell>
          <cell r="BF88">
            <v>1.0900000000000001</v>
          </cell>
          <cell r="BG88">
            <v>1.08</v>
          </cell>
          <cell r="BH88">
            <v>1.1200000000000001</v>
          </cell>
          <cell r="BI88">
            <v>1.07</v>
          </cell>
          <cell r="BJ88">
            <v>1.05</v>
          </cell>
          <cell r="BK88">
            <v>1.06</v>
          </cell>
          <cell r="BL88">
            <v>1.08</v>
          </cell>
          <cell r="BM88">
            <v>1.06</v>
          </cell>
          <cell r="BN88">
            <v>1.07</v>
          </cell>
          <cell r="BO88">
            <v>1.05</v>
          </cell>
          <cell r="BP88">
            <v>1.06</v>
          </cell>
          <cell r="BQ88">
            <v>1.05</v>
          </cell>
          <cell r="BR88">
            <v>1.03</v>
          </cell>
          <cell r="BS88">
            <v>1.06</v>
          </cell>
          <cell r="BT88">
            <v>1.0900000000000001</v>
          </cell>
          <cell r="BU88">
            <v>1.08</v>
          </cell>
          <cell r="BV88">
            <v>1.07</v>
          </cell>
          <cell r="BW88">
            <v>1.05</v>
          </cell>
          <cell r="BX88">
            <v>1.0900000000000001</v>
          </cell>
          <cell r="BY88">
            <v>1.06</v>
          </cell>
          <cell r="BZ88">
            <v>1.06</v>
          </cell>
          <cell r="CA88">
            <v>1.08</v>
          </cell>
          <cell r="CB88">
            <v>1.07</v>
          </cell>
          <cell r="CC88">
            <v>1.0900000000000001</v>
          </cell>
          <cell r="CD88">
            <v>1.1599999999999999</v>
          </cell>
          <cell r="CE88">
            <v>1.07</v>
          </cell>
          <cell r="CF88">
            <v>1.06</v>
          </cell>
          <cell r="CG88">
            <v>1.1000000000000001</v>
          </cell>
          <cell r="CH88">
            <v>1.1000000000000001</v>
          </cell>
          <cell r="CI88">
            <v>1.07</v>
          </cell>
          <cell r="CJ88">
            <v>1.07</v>
          </cell>
          <cell r="CK88">
            <v>1.1000000000000001</v>
          </cell>
          <cell r="CL88">
            <v>1.1000000000000001</v>
          </cell>
          <cell r="CM88">
            <v>1.1299999999999999</v>
          </cell>
          <cell r="CN88">
            <v>1.1499999999999999</v>
          </cell>
          <cell r="CO88">
            <v>1.17</v>
          </cell>
          <cell r="CP88">
            <v>1.32</v>
          </cell>
          <cell r="CQ88">
            <v>1.17</v>
          </cell>
          <cell r="CR88">
            <v>1.1499999999999999</v>
          </cell>
          <cell r="CS88">
            <v>1.19</v>
          </cell>
        </row>
        <row r="89">
          <cell r="B89" t="str">
            <v>2-star hotels</v>
          </cell>
          <cell r="K89">
            <v>1.25</v>
          </cell>
          <cell r="L89">
            <v>1.21</v>
          </cell>
          <cell r="M89">
            <v>1.18</v>
          </cell>
          <cell r="N89">
            <v>1.23</v>
          </cell>
          <cell r="O89">
            <v>1.19</v>
          </cell>
          <cell r="P89">
            <v>1.17</v>
          </cell>
          <cell r="Q89">
            <v>1.24</v>
          </cell>
          <cell r="R89">
            <v>1.2</v>
          </cell>
          <cell r="S89">
            <v>1.19</v>
          </cell>
          <cell r="T89">
            <v>1.24</v>
          </cell>
          <cell r="U89">
            <v>1.21</v>
          </cell>
          <cell r="V89">
            <v>1.29</v>
          </cell>
          <cell r="W89">
            <v>1.25</v>
          </cell>
          <cell r="X89">
            <v>1.23</v>
          </cell>
          <cell r="Y89">
            <v>1.22</v>
          </cell>
          <cell r="Z89">
            <v>1.22</v>
          </cell>
          <cell r="AA89">
            <v>1.2</v>
          </cell>
          <cell r="AB89">
            <v>1.18</v>
          </cell>
          <cell r="AC89">
            <v>1.22</v>
          </cell>
          <cell r="AD89">
            <v>1.19</v>
          </cell>
          <cell r="AE89">
            <v>1.22</v>
          </cell>
          <cell r="AF89">
            <v>1.25</v>
          </cell>
          <cell r="AG89">
            <v>1.27</v>
          </cell>
          <cell r="AH89">
            <v>1.3</v>
          </cell>
          <cell r="AI89">
            <v>1.24</v>
          </cell>
          <cell r="AJ89">
            <v>1.28</v>
          </cell>
          <cell r="AK89">
            <v>1.23</v>
          </cell>
          <cell r="AL89">
            <v>1.3</v>
          </cell>
          <cell r="AM89">
            <v>1.23</v>
          </cell>
          <cell r="AN89">
            <v>1.24</v>
          </cell>
          <cell r="AO89">
            <v>1.33</v>
          </cell>
          <cell r="AP89">
            <v>1.47</v>
          </cell>
          <cell r="AQ89">
            <v>1.43</v>
          </cell>
          <cell r="AR89">
            <v>1.72</v>
          </cell>
          <cell r="AS89">
            <v>1.5</v>
          </cell>
          <cell r="AT89">
            <v>1.38</v>
          </cell>
          <cell r="AU89">
            <v>1.25</v>
          </cell>
          <cell r="AV89">
            <v>1.34</v>
          </cell>
          <cell r="AW89">
            <v>1.23</v>
          </cell>
          <cell r="AX89">
            <v>1.3</v>
          </cell>
          <cell r="AY89">
            <v>1.48</v>
          </cell>
          <cell r="AZ89">
            <v>1.5</v>
          </cell>
          <cell r="BA89">
            <v>1.45</v>
          </cell>
          <cell r="BB89">
            <v>1.28</v>
          </cell>
          <cell r="BC89">
            <v>1.1499999999999999</v>
          </cell>
          <cell r="BD89">
            <v>1.21</v>
          </cell>
          <cell r="BE89">
            <v>1.18</v>
          </cell>
          <cell r="BF89">
            <v>1.1299999999999999</v>
          </cell>
          <cell r="BG89">
            <v>1.1599999999999999</v>
          </cell>
          <cell r="BH89">
            <v>1.1299999999999999</v>
          </cell>
          <cell r="BI89">
            <v>1.21</v>
          </cell>
          <cell r="BJ89">
            <v>1.1399999999999999</v>
          </cell>
          <cell r="BK89">
            <v>1.1399999999999999</v>
          </cell>
          <cell r="BL89">
            <v>1.1499999999999999</v>
          </cell>
          <cell r="BM89">
            <v>1.1599999999999999</v>
          </cell>
          <cell r="BN89">
            <v>1.1000000000000001</v>
          </cell>
          <cell r="BO89">
            <v>1.0900000000000001</v>
          </cell>
          <cell r="BP89">
            <v>1.1200000000000001</v>
          </cell>
          <cell r="BQ89">
            <v>1.1200000000000001</v>
          </cell>
          <cell r="BR89">
            <v>1.0900000000000001</v>
          </cell>
          <cell r="BS89">
            <v>1.07</v>
          </cell>
          <cell r="BT89">
            <v>1.0900000000000001</v>
          </cell>
          <cell r="BU89">
            <v>1.1000000000000001</v>
          </cell>
          <cell r="BV89">
            <v>1.1100000000000001</v>
          </cell>
          <cell r="BW89">
            <v>1.0900000000000001</v>
          </cell>
          <cell r="BX89">
            <v>1.1399999999999999</v>
          </cell>
          <cell r="BY89">
            <v>1.1299999999999999</v>
          </cell>
          <cell r="BZ89">
            <v>1.1000000000000001</v>
          </cell>
          <cell r="CA89">
            <v>1.08</v>
          </cell>
          <cell r="CB89">
            <v>1.1100000000000001</v>
          </cell>
          <cell r="CC89">
            <v>1.1200000000000001</v>
          </cell>
          <cell r="CD89">
            <v>1.0900000000000001</v>
          </cell>
          <cell r="CE89">
            <v>1.1000000000000001</v>
          </cell>
          <cell r="CF89">
            <v>1.1299999999999999</v>
          </cell>
          <cell r="CG89">
            <v>1.0900000000000001</v>
          </cell>
          <cell r="CH89">
            <v>1.1000000000000001</v>
          </cell>
          <cell r="CI89">
            <v>1.1200000000000001</v>
          </cell>
          <cell r="CJ89">
            <v>1.1100000000000001</v>
          </cell>
          <cell r="CK89">
            <v>1.1299999999999999</v>
          </cell>
          <cell r="CL89">
            <v>1.1100000000000001</v>
          </cell>
          <cell r="CM89">
            <v>1.1100000000000001</v>
          </cell>
          <cell r="CN89">
            <v>1.17</v>
          </cell>
          <cell r="CO89">
            <v>1.1100000000000001</v>
          </cell>
          <cell r="CP89">
            <v>1.1000000000000001</v>
          </cell>
          <cell r="CQ89">
            <v>1.1499999999999999</v>
          </cell>
          <cell r="CR89">
            <v>1.1000000000000001</v>
          </cell>
          <cell r="CS89">
            <v>1.0900000000000001</v>
          </cell>
        </row>
        <row r="90">
          <cell r="B90" t="str">
            <v>Guest-houses</v>
          </cell>
          <cell r="K90">
            <v>1.48</v>
          </cell>
          <cell r="L90">
            <v>1.51</v>
          </cell>
          <cell r="M90">
            <v>1.38</v>
          </cell>
          <cell r="N90">
            <v>1.37</v>
          </cell>
          <cell r="O90">
            <v>1.26</v>
          </cell>
          <cell r="P90">
            <v>1.25</v>
          </cell>
          <cell r="Q90">
            <v>1.24</v>
          </cell>
          <cell r="R90">
            <v>1.21</v>
          </cell>
          <cell r="S90">
            <v>1.19</v>
          </cell>
          <cell r="T90">
            <v>1.17</v>
          </cell>
          <cell r="U90">
            <v>1.17</v>
          </cell>
          <cell r="V90">
            <v>1.2</v>
          </cell>
          <cell r="W90">
            <v>1.21</v>
          </cell>
          <cell r="X90">
            <v>1.2</v>
          </cell>
          <cell r="Y90">
            <v>1.27</v>
          </cell>
          <cell r="Z90">
            <v>1.23</v>
          </cell>
          <cell r="AA90">
            <v>1.19</v>
          </cell>
          <cell r="AB90">
            <v>1.21</v>
          </cell>
          <cell r="AC90">
            <v>1.23</v>
          </cell>
          <cell r="AD90">
            <v>1.29</v>
          </cell>
          <cell r="AE90">
            <v>1.23</v>
          </cell>
          <cell r="AF90">
            <v>1.19</v>
          </cell>
          <cell r="AG90">
            <v>1.23</v>
          </cell>
          <cell r="AH90">
            <v>1.23</v>
          </cell>
          <cell r="AI90">
            <v>1.22</v>
          </cell>
          <cell r="AJ90">
            <v>1.2</v>
          </cell>
          <cell r="AK90">
            <v>1.22</v>
          </cell>
          <cell r="AL90">
            <v>1.26</v>
          </cell>
          <cell r="AM90">
            <v>1.2</v>
          </cell>
          <cell r="AN90">
            <v>1.21</v>
          </cell>
          <cell r="AO90">
            <v>1.21</v>
          </cell>
          <cell r="AP90">
            <v>1.19</v>
          </cell>
          <cell r="AQ90">
            <v>1.19</v>
          </cell>
          <cell r="AR90">
            <v>1.17</v>
          </cell>
          <cell r="AS90">
            <v>1.23</v>
          </cell>
          <cell r="AT90">
            <v>1.18</v>
          </cell>
          <cell r="AU90">
            <v>1.17</v>
          </cell>
          <cell r="AV90">
            <v>1.21</v>
          </cell>
          <cell r="AW90">
            <v>1.2</v>
          </cell>
          <cell r="AX90">
            <v>1.1599999999999999</v>
          </cell>
          <cell r="AY90">
            <v>1.27</v>
          </cell>
          <cell r="AZ90">
            <v>1.25</v>
          </cell>
          <cell r="BA90">
            <v>1.26</v>
          </cell>
          <cell r="BB90">
            <v>1.22</v>
          </cell>
          <cell r="BC90">
            <v>1.1499999999999999</v>
          </cell>
          <cell r="BD90">
            <v>1.19</v>
          </cell>
          <cell r="BE90">
            <v>1.24</v>
          </cell>
          <cell r="BF90">
            <v>1.18</v>
          </cell>
          <cell r="BG90">
            <v>1.1299999999999999</v>
          </cell>
          <cell r="BH90">
            <v>1.21</v>
          </cell>
          <cell r="BI90">
            <v>1.25</v>
          </cell>
          <cell r="BJ90">
            <v>1.21</v>
          </cell>
          <cell r="BK90">
            <v>1.22</v>
          </cell>
          <cell r="BL90">
            <v>1.23</v>
          </cell>
          <cell r="BM90">
            <v>1.26</v>
          </cell>
          <cell r="BN90">
            <v>1.1599999999999999</v>
          </cell>
          <cell r="BO90">
            <v>1.1599999999999999</v>
          </cell>
          <cell r="BP90">
            <v>1.22</v>
          </cell>
          <cell r="BQ90">
            <v>1.24</v>
          </cell>
          <cell r="BR90">
            <v>1.25</v>
          </cell>
          <cell r="BS90">
            <v>1.28</v>
          </cell>
          <cell r="BT90">
            <v>1.31</v>
          </cell>
          <cell r="BU90">
            <v>1.28</v>
          </cell>
          <cell r="BV90">
            <v>1.32</v>
          </cell>
          <cell r="BW90">
            <v>1.28</v>
          </cell>
          <cell r="BX90">
            <v>1.27</v>
          </cell>
          <cell r="BY90">
            <v>1.27</v>
          </cell>
          <cell r="BZ90">
            <v>1.3</v>
          </cell>
          <cell r="CA90">
            <v>1.31</v>
          </cell>
          <cell r="CB90">
            <v>1.27</v>
          </cell>
          <cell r="CC90">
            <v>1.29</v>
          </cell>
          <cell r="CD90">
            <v>1.3</v>
          </cell>
          <cell r="CE90">
            <v>1.3</v>
          </cell>
          <cell r="CF90">
            <v>1.27</v>
          </cell>
          <cell r="CG90">
            <v>1.2</v>
          </cell>
          <cell r="CH90">
            <v>1.31</v>
          </cell>
          <cell r="CI90">
            <v>1.31</v>
          </cell>
          <cell r="CJ90">
            <v>1.27</v>
          </cell>
          <cell r="CK90">
            <v>1.29</v>
          </cell>
          <cell r="CL90">
            <v>1.3</v>
          </cell>
          <cell r="CM90">
            <v>1.33</v>
          </cell>
          <cell r="CN90">
            <v>1.32</v>
          </cell>
          <cell r="CO90">
            <v>1.42</v>
          </cell>
          <cell r="CP90">
            <v>1.52</v>
          </cell>
          <cell r="CQ90">
            <v>1.4</v>
          </cell>
          <cell r="CR90">
            <v>1.34</v>
          </cell>
          <cell r="CS90">
            <v>1.37</v>
          </cell>
        </row>
        <row r="91">
          <cell r="B91" t="str">
            <v>Total % Change</v>
          </cell>
          <cell r="X91">
            <v>-7.8740157480314821E-3</v>
          </cell>
          <cell r="Y91">
            <v>5.555555555555558E-2</v>
          </cell>
          <cell r="Z91">
            <v>2.3622047244094446E-2</v>
          </cell>
          <cell r="AA91">
            <v>-1.5625E-2</v>
          </cell>
          <cell r="AB91">
            <v>1.6000000000000014E-2</v>
          </cell>
          <cell r="AC91">
            <v>4.6875E-2</v>
          </cell>
          <cell r="AD91">
            <v>3.2258064516129004E-2</v>
          </cell>
          <cell r="AE91">
            <v>2.4193548387096753E-2</v>
          </cell>
          <cell r="AF91">
            <v>1.538461538461533E-2</v>
          </cell>
          <cell r="AG91">
            <v>1.5267175572519109E-2</v>
          </cell>
          <cell r="AH91">
            <v>-2.9850746268656692E-2</v>
          </cell>
          <cell r="AI91">
            <v>-7.4074074074074181E-2</v>
          </cell>
          <cell r="AJ91">
            <v>0</v>
          </cell>
          <cell r="AK91">
            <v>-6.0150375939849621E-2</v>
          </cell>
          <cell r="AL91">
            <v>-7.692307692307665E-3</v>
          </cell>
          <cell r="AM91">
            <v>0</v>
          </cell>
          <cell r="AN91">
            <v>-2.3622047244094557E-2</v>
          </cell>
          <cell r="AO91">
            <v>-9.7014925373134386E-2</v>
          </cell>
          <cell r="AP91">
            <v>-3.90625E-2</v>
          </cell>
          <cell r="AQ91">
            <v>-6.2992125984252079E-2</v>
          </cell>
          <cell r="AR91">
            <v>-9.0909090909090939E-2</v>
          </cell>
          <cell r="AS91">
            <v>-7.5187969924812137E-2</v>
          </cell>
          <cell r="AT91">
            <v>-6.9230769230769318E-2</v>
          </cell>
          <cell r="AU91">
            <v>-5.600000000000005E-2</v>
          </cell>
          <cell r="AV91">
            <v>-5.555555555555558E-2</v>
          </cell>
          <cell r="AW91">
            <v>-5.600000000000005E-2</v>
          </cell>
          <cell r="AX91">
            <v>-7.7519379844961267E-2</v>
          </cell>
          <cell r="AY91">
            <v>7.9365079365079083E-3</v>
          </cell>
          <cell r="AZ91">
            <v>7.258064516129048E-2</v>
          </cell>
          <cell r="BA91">
            <v>2.4793388429751984E-2</v>
          </cell>
          <cell r="BB91">
            <v>-2.4390243902439046E-2</v>
          </cell>
          <cell r="BC91">
            <v>0</v>
          </cell>
          <cell r="BD91">
            <v>0</v>
          </cell>
          <cell r="BE91">
            <v>1.6260162601626105E-2</v>
          </cell>
          <cell r="BF91">
            <v>8.2644628099173278E-3</v>
          </cell>
          <cell r="BG91">
            <v>1.6949152542372836E-2</v>
          </cell>
          <cell r="BH91">
            <v>1.6806722689075571E-2</v>
          </cell>
          <cell r="BI91">
            <v>-8.4745762711864181E-3</v>
          </cell>
          <cell r="BJ91">
            <v>0</v>
          </cell>
          <cell r="BK91">
            <v>-7.0866141732283561E-2</v>
          </cell>
          <cell r="BL91">
            <v>-0.10526315789473695</v>
          </cell>
          <cell r="BM91">
            <v>-3.2258064516129115E-2</v>
          </cell>
          <cell r="BN91">
            <v>-3.3333333333333326E-2</v>
          </cell>
          <cell r="BO91">
            <v>-3.3613445378151252E-2</v>
          </cell>
          <cell r="BP91">
            <v>-1.6666666666666718E-2</v>
          </cell>
          <cell r="BQ91">
            <v>-6.4000000000000057E-2</v>
          </cell>
          <cell r="BR91">
            <v>-4.9180327868852514E-2</v>
          </cell>
          <cell r="BS91">
            <v>-4.1666666666666741E-2</v>
          </cell>
          <cell r="BT91">
            <v>-8.2644628099173278E-3</v>
          </cell>
          <cell r="BU91">
            <v>-8.5470085470085166E-3</v>
          </cell>
          <cell r="BV91">
            <v>-8.4033613445377853E-3</v>
          </cell>
          <cell r="BW91">
            <v>-1.6949152542372947E-2</v>
          </cell>
          <cell r="BX91">
            <v>-8.4033613445377853E-3</v>
          </cell>
          <cell r="BY91">
            <v>-5.0000000000000044E-2</v>
          </cell>
          <cell r="BZ91">
            <v>0</v>
          </cell>
          <cell r="CA91">
            <v>8.6956521739129933E-3</v>
          </cell>
          <cell r="CB91">
            <v>-8.4745762711864181E-3</v>
          </cell>
          <cell r="CC91">
            <v>6.8376068376068355E-2</v>
          </cell>
          <cell r="CD91">
            <v>4.31034482758621E-2</v>
          </cell>
          <cell r="CE91">
            <v>-8.6956521739131043E-3</v>
          </cell>
          <cell r="CF91">
            <v>-3.3333333333333326E-2</v>
          </cell>
          <cell r="CG91">
            <v>0</v>
          </cell>
          <cell r="CH91">
            <v>-2.5423728813559365E-2</v>
          </cell>
          <cell r="CI91">
            <v>0</v>
          </cell>
          <cell r="CJ91">
            <v>-2.5423728813559365E-2</v>
          </cell>
          <cell r="CK91">
            <v>1.7543859649122862E-2</v>
          </cell>
          <cell r="CL91">
            <v>0</v>
          </cell>
          <cell r="CM91">
            <v>0</v>
          </cell>
          <cell r="CN91">
            <v>8.5470085470085166E-3</v>
          </cell>
          <cell r="CO91">
            <v>-4.8000000000000043E-2</v>
          </cell>
          <cell r="CP91">
            <v>-8.2644628099173278E-3</v>
          </cell>
          <cell r="CQ91">
            <v>6.1403508771929793E-2</v>
          </cell>
          <cell r="CR91">
            <v>3.4482758620689724E-2</v>
          </cell>
          <cell r="CS91">
            <v>3.4482758620689724E-2</v>
          </cell>
        </row>
        <row r="93">
          <cell r="B93" t="str">
            <v>Non-Resident Workers</v>
          </cell>
        </row>
        <row r="94">
          <cell r="B94" t="str">
            <v>Total</v>
          </cell>
          <cell r="AV94">
            <v>22912</v>
          </cell>
          <cell r="AW94">
            <v>22905</v>
          </cell>
          <cell r="AX94">
            <v>22979</v>
          </cell>
          <cell r="AY94">
            <v>22970</v>
          </cell>
          <cell r="AZ94">
            <v>23319</v>
          </cell>
          <cell r="BA94">
            <v>23498</v>
          </cell>
          <cell r="BB94">
            <v>23525</v>
          </cell>
          <cell r="BC94">
            <v>23481</v>
          </cell>
          <cell r="BD94">
            <v>23221</v>
          </cell>
          <cell r="BE94">
            <v>23752</v>
          </cell>
          <cell r="BF94">
            <v>24269</v>
          </cell>
          <cell r="BG94">
            <v>24970</v>
          </cell>
          <cell r="BH94">
            <v>24858</v>
          </cell>
          <cell r="BI94">
            <v>25220</v>
          </cell>
          <cell r="BJ94">
            <v>25219</v>
          </cell>
          <cell r="BK94">
            <v>25018</v>
          </cell>
          <cell r="BL94">
            <v>25014</v>
          </cell>
          <cell r="BM94">
            <v>24961</v>
          </cell>
          <cell r="BN94">
            <v>25929</v>
          </cell>
          <cell r="BO94">
            <v>26742</v>
          </cell>
          <cell r="BP94">
            <v>26534</v>
          </cell>
          <cell r="BQ94">
            <v>26730</v>
          </cell>
          <cell r="BR94">
            <v>27358</v>
          </cell>
          <cell r="BS94">
            <v>27736</v>
          </cell>
          <cell r="BT94">
            <v>27553</v>
          </cell>
          <cell r="BU94">
            <v>28143</v>
          </cell>
          <cell r="BV94">
            <v>28648</v>
          </cell>
          <cell r="BW94">
            <v>29417</v>
          </cell>
          <cell r="BX94">
            <v>30151</v>
          </cell>
          <cell r="BY94">
            <v>31097</v>
          </cell>
          <cell r="BZ94">
            <v>31925</v>
          </cell>
          <cell r="CA94">
            <v>33559</v>
          </cell>
          <cell r="CB94">
            <v>34718</v>
          </cell>
          <cell r="CC94">
            <v>35458</v>
          </cell>
          <cell r="CD94">
            <v>37181</v>
          </cell>
          <cell r="CE94">
            <v>39411</v>
          </cell>
          <cell r="CF94">
            <v>42496</v>
          </cell>
          <cell r="CG94">
            <v>44499</v>
          </cell>
          <cell r="CH94">
            <v>47876</v>
          </cell>
          <cell r="CI94">
            <v>48775</v>
          </cell>
          <cell r="CJ94">
            <v>49726</v>
          </cell>
          <cell r="CK94">
            <v>49382</v>
          </cell>
          <cell r="CL94">
            <v>52187</v>
          </cell>
          <cell r="CM94">
            <v>53343</v>
          </cell>
          <cell r="CN94">
            <v>56553</v>
          </cell>
          <cell r="CO94">
            <v>60361</v>
          </cell>
          <cell r="CP94">
            <v>62045</v>
          </cell>
          <cell r="CQ94">
            <v>64673</v>
          </cell>
          <cell r="CR94">
            <v>66769</v>
          </cell>
          <cell r="CS94">
            <v>68832</v>
          </cell>
        </row>
        <row r="95">
          <cell r="B95" t="str">
            <v>Mainland China</v>
          </cell>
          <cell r="AV95">
            <v>17101</v>
          </cell>
          <cell r="AW95">
            <v>17037</v>
          </cell>
          <cell r="AX95">
            <v>17141</v>
          </cell>
          <cell r="AY95">
            <v>17153</v>
          </cell>
          <cell r="AZ95">
            <v>17536</v>
          </cell>
          <cell r="BA95">
            <v>17740</v>
          </cell>
          <cell r="BB95">
            <v>17840</v>
          </cell>
          <cell r="BC95">
            <v>17845</v>
          </cell>
          <cell r="BD95">
            <v>17560</v>
          </cell>
          <cell r="BE95">
            <v>17876</v>
          </cell>
          <cell r="BF95">
            <v>18258</v>
          </cell>
          <cell r="BG95">
            <v>18777</v>
          </cell>
          <cell r="BH95">
            <v>18572</v>
          </cell>
          <cell r="BI95">
            <v>18751</v>
          </cell>
          <cell r="BJ95">
            <v>18736</v>
          </cell>
          <cell r="BK95">
            <v>18373</v>
          </cell>
          <cell r="BL95">
            <v>18162</v>
          </cell>
          <cell r="BM95">
            <v>17910</v>
          </cell>
          <cell r="BN95">
            <v>18576</v>
          </cell>
          <cell r="BO95">
            <v>19217</v>
          </cell>
          <cell r="BP95">
            <v>18898</v>
          </cell>
          <cell r="BQ95">
            <v>18943</v>
          </cell>
          <cell r="BR95">
            <v>19150</v>
          </cell>
          <cell r="BS95">
            <v>19215</v>
          </cell>
          <cell r="BT95">
            <v>18619</v>
          </cell>
          <cell r="BU95">
            <v>18807</v>
          </cell>
          <cell r="BV95">
            <v>19178</v>
          </cell>
          <cell r="BW95">
            <v>19628</v>
          </cell>
          <cell r="BX95">
            <v>19930</v>
          </cell>
          <cell r="BY95">
            <v>20367</v>
          </cell>
          <cell r="BZ95">
            <v>20626</v>
          </cell>
          <cell r="CA95">
            <v>21261</v>
          </cell>
          <cell r="CB95">
            <v>21996</v>
          </cell>
          <cell r="CC95">
            <v>21985</v>
          </cell>
          <cell r="CD95">
            <v>22521</v>
          </cell>
          <cell r="CE95">
            <v>23139</v>
          </cell>
          <cell r="CF95">
            <v>24001</v>
          </cell>
          <cell r="CG95">
            <v>24722</v>
          </cell>
          <cell r="CH95">
            <v>26683</v>
          </cell>
          <cell r="CI95">
            <v>27142</v>
          </cell>
          <cell r="CJ95">
            <v>27852</v>
          </cell>
          <cell r="CK95">
            <v>28365</v>
          </cell>
          <cell r="CL95">
            <v>29470</v>
          </cell>
          <cell r="CM95">
            <v>30405</v>
          </cell>
          <cell r="CN95">
            <v>33029</v>
          </cell>
          <cell r="CO95">
            <v>34799</v>
          </cell>
          <cell r="CP95">
            <v>35813</v>
          </cell>
          <cell r="CQ95">
            <v>37357</v>
          </cell>
          <cell r="CR95">
            <v>38435</v>
          </cell>
          <cell r="CS95">
            <v>39208</v>
          </cell>
        </row>
        <row r="97">
          <cell r="B97" t="str">
            <v>Construction Employment</v>
          </cell>
        </row>
        <row r="98">
          <cell r="B98" t="str">
            <v>Total Employment</v>
          </cell>
          <cell r="BP98">
            <v>6281</v>
          </cell>
          <cell r="BS98">
            <v>6347</v>
          </cell>
          <cell r="BV98">
            <v>7829</v>
          </cell>
          <cell r="BY98">
            <v>7868</v>
          </cell>
          <cell r="CB98">
            <v>10578</v>
          </cell>
          <cell r="CE98">
            <v>11234</v>
          </cell>
          <cell r="CH98">
            <v>14441</v>
          </cell>
          <cell r="CK98">
            <v>18670</v>
          </cell>
          <cell r="CN98">
            <v>19327</v>
          </cell>
          <cell r="CQ98">
            <v>22595</v>
          </cell>
        </row>
        <row r="99">
          <cell r="B99" t="str">
            <v>Number of Projects</v>
          </cell>
          <cell r="BP99">
            <v>117</v>
          </cell>
          <cell r="BS99">
            <v>117</v>
          </cell>
          <cell r="BV99">
            <v>124</v>
          </cell>
          <cell r="BY99">
            <v>131</v>
          </cell>
          <cell r="CB99">
            <v>135</v>
          </cell>
          <cell r="CE99">
            <v>139</v>
          </cell>
          <cell r="CH99">
            <v>123</v>
          </cell>
          <cell r="CK99">
            <v>113</v>
          </cell>
          <cell r="CN99">
            <v>134</v>
          </cell>
          <cell r="CQ99">
            <v>132</v>
          </cell>
        </row>
        <row r="100">
          <cell r="B100" t="str">
            <v>Average Daily Wage</v>
          </cell>
          <cell r="BV100">
            <v>370</v>
          </cell>
          <cell r="BY100">
            <v>396</v>
          </cell>
          <cell r="CB100">
            <v>426</v>
          </cell>
          <cell r="CE100">
            <v>454</v>
          </cell>
          <cell r="CH100">
            <v>474</v>
          </cell>
          <cell r="CK100">
            <v>491</v>
          </cell>
          <cell r="CN100">
            <v>499</v>
          </cell>
          <cell r="CQ100">
            <v>519</v>
          </cell>
        </row>
        <row r="102">
          <cell r="B102" t="str">
            <v>Hotel Employment</v>
          </cell>
        </row>
        <row r="103">
          <cell r="B103" t="str">
            <v>Total Employment</v>
          </cell>
          <cell r="AL103">
            <v>6096</v>
          </cell>
          <cell r="AR103">
            <v>6251</v>
          </cell>
          <cell r="AX103">
            <v>6333</v>
          </cell>
          <cell r="BD103">
            <v>6434</v>
          </cell>
          <cell r="BJ103">
            <v>6825</v>
          </cell>
          <cell r="BP103">
            <v>7552</v>
          </cell>
          <cell r="BV103">
            <v>8992</v>
          </cell>
          <cell r="CB103">
            <v>8880</v>
          </cell>
          <cell r="CH103">
            <v>9538</v>
          </cell>
          <cell r="CN103">
            <v>13001</v>
          </cell>
        </row>
        <row r="104">
          <cell r="B104" t="str">
            <v>Average Wage</v>
          </cell>
          <cell r="AL104">
            <v>6000</v>
          </cell>
          <cell r="AR104">
            <v>6006</v>
          </cell>
          <cell r="AX104">
            <v>5980</v>
          </cell>
          <cell r="BD104">
            <v>5892</v>
          </cell>
          <cell r="BJ104">
            <v>6108</v>
          </cell>
          <cell r="BP104">
            <v>6266</v>
          </cell>
          <cell r="BV104">
            <v>6303</v>
          </cell>
          <cell r="CB104">
            <v>6234</v>
          </cell>
          <cell r="CH104">
            <v>6464</v>
          </cell>
          <cell r="CN104">
            <v>7426</v>
          </cell>
        </row>
        <row r="105">
          <cell r="B105" t="str">
            <v>Average Wage, incl. Bonus</v>
          </cell>
          <cell r="AL105">
            <v>6002</v>
          </cell>
          <cell r="AR105">
            <v>6010</v>
          </cell>
          <cell r="AX105">
            <v>5981</v>
          </cell>
          <cell r="BD105">
            <v>5944</v>
          </cell>
          <cell r="BJ105">
            <v>6138</v>
          </cell>
          <cell r="BP105">
            <v>6271</v>
          </cell>
          <cell r="BV105">
            <v>6303</v>
          </cell>
          <cell r="CB105">
            <v>6479</v>
          </cell>
          <cell r="CH105">
            <v>6481</v>
          </cell>
        </row>
        <row r="106">
          <cell r="B106" t="str">
            <v>Number of Vacancies</v>
          </cell>
          <cell r="AL106">
            <v>265</v>
          </cell>
          <cell r="AR106">
            <v>237</v>
          </cell>
          <cell r="AX106">
            <v>186</v>
          </cell>
          <cell r="BD106">
            <v>279</v>
          </cell>
          <cell r="BJ106">
            <v>356</v>
          </cell>
          <cell r="BP106">
            <v>465</v>
          </cell>
          <cell r="BV106">
            <v>576</v>
          </cell>
          <cell r="CB106">
            <v>615</v>
          </cell>
          <cell r="CH106">
            <v>938</v>
          </cell>
          <cell r="CN106">
            <v>615</v>
          </cell>
        </row>
        <row r="108">
          <cell r="B108" t="str">
            <v>Gaming Employment</v>
          </cell>
        </row>
        <row r="109">
          <cell r="B109" t="str">
            <v>Total Employment</v>
          </cell>
          <cell r="BM109">
            <v>19772</v>
          </cell>
          <cell r="BS109">
            <v>21264</v>
          </cell>
          <cell r="BY109">
            <v>23368</v>
          </cell>
          <cell r="CE109">
            <v>26118</v>
          </cell>
          <cell r="CK109">
            <v>29993</v>
          </cell>
          <cell r="CQ109">
            <v>36412</v>
          </cell>
        </row>
        <row r="110">
          <cell r="B110" t="str">
            <v>Average Wage</v>
          </cell>
          <cell r="BM110">
            <v>10881.497059317762</v>
          </cell>
          <cell r="BS110">
            <v>10730.064187847498</v>
          </cell>
          <cell r="BY110">
            <v>10931</v>
          </cell>
          <cell r="CE110">
            <v>11269</v>
          </cell>
          <cell r="CK110">
            <v>12615</v>
          </cell>
          <cell r="CQ110">
            <v>13978</v>
          </cell>
        </row>
        <row r="111">
          <cell r="B111" t="str">
            <v>Average Wage, Resident</v>
          </cell>
          <cell r="BM111">
            <v>10030.511104313246</v>
          </cell>
          <cell r="BS111">
            <v>9870.2110707902284</v>
          </cell>
          <cell r="BY111">
            <v>9936</v>
          </cell>
          <cell r="CE111">
            <v>10252</v>
          </cell>
          <cell r="CK111">
            <v>11367</v>
          </cell>
          <cell r="CQ111">
            <v>12874</v>
          </cell>
        </row>
        <row r="112">
          <cell r="B112" t="str">
            <v>Average Wage, Non-Resident</v>
          </cell>
          <cell r="BM112">
            <v>20105.214190981431</v>
          </cell>
          <cell r="BS112">
            <v>20174.126115407496</v>
          </cell>
          <cell r="BY112">
            <v>23178</v>
          </cell>
          <cell r="CE112">
            <v>23921</v>
          </cell>
          <cell r="CK112">
            <v>25880</v>
          </cell>
          <cell r="CQ112">
            <v>26002</v>
          </cell>
        </row>
        <row r="113">
          <cell r="B113" t="str">
            <v>Average Wage, incl. Bonus</v>
          </cell>
          <cell r="BM113">
            <v>11368.720495154876</v>
          </cell>
          <cell r="BS113">
            <v>11320.592484114377</v>
          </cell>
          <cell r="BY113">
            <v>11804</v>
          </cell>
          <cell r="CE113">
            <v>11881</v>
          </cell>
          <cell r="CK113">
            <v>12636</v>
          </cell>
          <cell r="CQ113">
            <v>14132</v>
          </cell>
        </row>
        <row r="114">
          <cell r="B114" t="str">
            <v>Average Wage, incl. Bonus, Resident</v>
          </cell>
          <cell r="BM114">
            <v>10562.68608137045</v>
          </cell>
          <cell r="BS114">
            <v>10512.41932513676</v>
          </cell>
          <cell r="BY114">
            <v>10695</v>
          </cell>
          <cell r="CE114">
            <v>10910</v>
          </cell>
          <cell r="CK114">
            <v>11389</v>
          </cell>
          <cell r="CQ114">
            <v>13031</v>
          </cell>
        </row>
        <row r="115">
          <cell r="B115" t="str">
            <v>Average Wage, incl. Bonus, Non-Resident</v>
          </cell>
          <cell r="BM115">
            <v>20105.214190981431</v>
          </cell>
          <cell r="BS115">
            <v>20197.035693039856</v>
          </cell>
          <cell r="BY115">
            <v>25453</v>
          </cell>
          <cell r="CE115">
            <v>23960</v>
          </cell>
          <cell r="CK115">
            <v>25880</v>
          </cell>
          <cell r="CQ115">
            <v>26117</v>
          </cell>
        </row>
        <row r="116">
          <cell r="B116" t="str">
            <v>Number of Vacancies</v>
          </cell>
          <cell r="BM116">
            <v>4925</v>
          </cell>
          <cell r="BS116">
            <v>7104</v>
          </cell>
          <cell r="BY116">
            <v>13046</v>
          </cell>
          <cell r="CE116">
            <v>6167</v>
          </cell>
          <cell r="CK116">
            <v>5699</v>
          </cell>
          <cell r="CQ116">
            <v>5631</v>
          </cell>
        </row>
        <row r="118">
          <cell r="B118" t="str">
            <v>Average Non-Gaming Spend</v>
          </cell>
        </row>
        <row r="119">
          <cell r="B119" t="str">
            <v>All Visitors</v>
          </cell>
          <cell r="BG119">
            <v>1616</v>
          </cell>
          <cell r="BJ119">
            <v>1497</v>
          </cell>
          <cell r="BM119">
            <v>1517</v>
          </cell>
          <cell r="BP119">
            <v>1497</v>
          </cell>
          <cell r="BS119">
            <v>1590</v>
          </cell>
          <cell r="BV119">
            <v>1490</v>
          </cell>
          <cell r="BY119">
            <v>1334</v>
          </cell>
          <cell r="CB119">
            <v>1419</v>
          </cell>
          <cell r="CE119">
            <v>1574</v>
          </cell>
          <cell r="CH119">
            <v>1562</v>
          </cell>
          <cell r="CK119">
            <v>1468</v>
          </cell>
          <cell r="CN119">
            <v>1430</v>
          </cell>
          <cell r="CQ119">
            <v>1670</v>
          </cell>
          <cell r="CW119">
            <v>6.099110546378661E-2</v>
          </cell>
        </row>
        <row r="120">
          <cell r="B120" t="str">
            <v>Accomodation</v>
          </cell>
          <cell r="BG120">
            <v>317</v>
          </cell>
          <cell r="BJ120">
            <v>280</v>
          </cell>
          <cell r="BM120">
            <v>303</v>
          </cell>
          <cell r="BP120">
            <v>305</v>
          </cell>
          <cell r="BS120">
            <v>354</v>
          </cell>
          <cell r="BV120">
            <v>296</v>
          </cell>
          <cell r="BY120">
            <v>265</v>
          </cell>
          <cell r="CB120">
            <v>296</v>
          </cell>
          <cell r="CE120">
            <v>316</v>
          </cell>
          <cell r="CH120">
            <v>300</v>
          </cell>
          <cell r="CK120">
            <v>295</v>
          </cell>
          <cell r="CN120">
            <v>288</v>
          </cell>
          <cell r="CQ120">
            <v>377</v>
          </cell>
          <cell r="CW120">
            <v>0.19303797468354422</v>
          </cell>
        </row>
        <row r="121">
          <cell r="B121" t="str">
            <v>F&amp;B</v>
          </cell>
          <cell r="BG121">
            <v>332</v>
          </cell>
          <cell r="BJ121">
            <v>335</v>
          </cell>
          <cell r="BM121">
            <v>335</v>
          </cell>
          <cell r="BP121">
            <v>337</v>
          </cell>
          <cell r="BS121">
            <v>332</v>
          </cell>
          <cell r="BV121">
            <v>325</v>
          </cell>
          <cell r="BY121">
            <v>317</v>
          </cell>
          <cell r="CB121">
            <v>342</v>
          </cell>
          <cell r="CE121">
            <v>338</v>
          </cell>
          <cell r="CH121">
            <v>325</v>
          </cell>
          <cell r="CK121">
            <v>316</v>
          </cell>
          <cell r="CN121">
            <v>327</v>
          </cell>
          <cell r="CQ121">
            <v>347</v>
          </cell>
          <cell r="CW121">
            <v>2.6627218934911268E-2</v>
          </cell>
        </row>
        <row r="122">
          <cell r="B122" t="str">
            <v>Outbound Transport</v>
          </cell>
          <cell r="BG122">
            <v>111</v>
          </cell>
          <cell r="BJ122">
            <v>119</v>
          </cell>
          <cell r="BM122">
            <v>125</v>
          </cell>
          <cell r="BP122">
            <v>127</v>
          </cell>
          <cell r="BS122">
            <v>139</v>
          </cell>
          <cell r="BV122">
            <v>135</v>
          </cell>
          <cell r="BY122">
            <v>138</v>
          </cell>
          <cell r="CB122">
            <v>137</v>
          </cell>
          <cell r="CE122">
            <v>131</v>
          </cell>
          <cell r="CH122">
            <v>128</v>
          </cell>
          <cell r="CK122">
            <v>123</v>
          </cell>
          <cell r="CN122">
            <v>127</v>
          </cell>
          <cell r="CQ122">
            <v>121</v>
          </cell>
          <cell r="CW122">
            <v>-7.6335877862595436E-2</v>
          </cell>
        </row>
        <row r="123">
          <cell r="B123" t="str">
            <v>Entertainment</v>
          </cell>
          <cell r="BG123">
            <v>33</v>
          </cell>
          <cell r="BJ123">
            <v>27</v>
          </cell>
          <cell r="BM123">
            <v>31</v>
          </cell>
          <cell r="BP123">
            <v>28</v>
          </cell>
          <cell r="BS123">
            <v>28</v>
          </cell>
          <cell r="BV123">
            <v>18</v>
          </cell>
          <cell r="BY123">
            <v>17</v>
          </cell>
          <cell r="CB123">
            <v>18</v>
          </cell>
          <cell r="CE123">
            <v>29</v>
          </cell>
          <cell r="CH123">
            <v>16</v>
          </cell>
          <cell r="CK123">
            <v>19</v>
          </cell>
          <cell r="CN123">
            <v>23</v>
          </cell>
          <cell r="CQ123">
            <v>29</v>
          </cell>
          <cell r="CW123">
            <v>0</v>
          </cell>
        </row>
        <row r="124">
          <cell r="B124" t="str">
            <v>Shopping</v>
          </cell>
          <cell r="BG124">
            <v>772</v>
          </cell>
          <cell r="BJ124">
            <v>689</v>
          </cell>
          <cell r="BM124">
            <v>674</v>
          </cell>
          <cell r="BP124">
            <v>653</v>
          </cell>
          <cell r="BS124">
            <v>688</v>
          </cell>
          <cell r="BV124">
            <v>666</v>
          </cell>
          <cell r="BY124">
            <v>547</v>
          </cell>
          <cell r="CB124">
            <v>574</v>
          </cell>
          <cell r="CE124">
            <v>704.25</v>
          </cell>
          <cell r="CH124">
            <v>744</v>
          </cell>
          <cell r="CK124">
            <v>668</v>
          </cell>
          <cell r="CN124">
            <v>616</v>
          </cell>
          <cell r="CQ124">
            <v>745</v>
          </cell>
          <cell r="CW124">
            <v>5.7862974795882094E-2</v>
          </cell>
        </row>
        <row r="125">
          <cell r="B125" t="str">
            <v>Other</v>
          </cell>
          <cell r="BG125">
            <v>51</v>
          </cell>
          <cell r="BJ125">
            <v>47</v>
          </cell>
          <cell r="BM125">
            <v>49</v>
          </cell>
          <cell r="BP125">
            <v>47</v>
          </cell>
          <cell r="BS125">
            <v>49</v>
          </cell>
          <cell r="BV125">
            <v>50</v>
          </cell>
          <cell r="BY125">
            <v>50</v>
          </cell>
          <cell r="CB125">
            <v>52</v>
          </cell>
          <cell r="CE125">
            <v>55.75</v>
          </cell>
          <cell r="CH125">
            <v>49</v>
          </cell>
          <cell r="CK125">
            <v>47</v>
          </cell>
          <cell r="CN125">
            <v>49</v>
          </cell>
          <cell r="CO125">
            <v>0</v>
          </cell>
          <cell r="CP125">
            <v>0</v>
          </cell>
          <cell r="CQ125">
            <v>51</v>
          </cell>
          <cell r="CR125">
            <v>0</v>
          </cell>
          <cell r="CW125">
            <v>-8.5201793721973118E-2</v>
          </cell>
        </row>
        <row r="127">
          <cell r="B127" t="str">
            <v>Mainland Chinese Visitors</v>
          </cell>
          <cell r="BG127">
            <v>2948</v>
          </cell>
          <cell r="BJ127">
            <v>2617</v>
          </cell>
          <cell r="BM127">
            <v>2820</v>
          </cell>
          <cell r="BP127">
            <v>2567</v>
          </cell>
          <cell r="BS127">
            <v>3290</v>
          </cell>
          <cell r="BV127">
            <v>2816</v>
          </cell>
          <cell r="BY127">
            <v>2856</v>
          </cell>
          <cell r="CB127">
            <v>2863</v>
          </cell>
          <cell r="CE127">
            <v>3185</v>
          </cell>
          <cell r="CH127">
            <v>3088</v>
          </cell>
          <cell r="CK127">
            <v>2875</v>
          </cell>
          <cell r="CN127">
            <v>2898</v>
          </cell>
          <cell r="CQ127">
            <v>3562</v>
          </cell>
          <cell r="CW127">
            <v>0.1183673469387756</v>
          </cell>
        </row>
        <row r="128">
          <cell r="B128" t="str">
            <v>Accomodation</v>
          </cell>
          <cell r="BG128">
            <v>472</v>
          </cell>
          <cell r="BJ128">
            <v>426</v>
          </cell>
          <cell r="BM128">
            <v>520</v>
          </cell>
          <cell r="BP128">
            <v>445</v>
          </cell>
          <cell r="BS128">
            <v>682</v>
          </cell>
          <cell r="BV128">
            <v>480</v>
          </cell>
          <cell r="BY128">
            <v>573</v>
          </cell>
          <cell r="CB128">
            <v>545</v>
          </cell>
          <cell r="CE128">
            <v>608</v>
          </cell>
          <cell r="CH128">
            <v>486</v>
          </cell>
          <cell r="CK128">
            <v>484</v>
          </cell>
          <cell r="CN128">
            <v>443</v>
          </cell>
          <cell r="CQ128">
            <v>738</v>
          </cell>
          <cell r="CW128">
            <v>0.21381578947368429</v>
          </cell>
        </row>
        <row r="129">
          <cell r="B129" t="str">
            <v>F&amp;B</v>
          </cell>
          <cell r="BG129">
            <v>447</v>
          </cell>
          <cell r="BJ129">
            <v>428</v>
          </cell>
          <cell r="BM129">
            <v>491</v>
          </cell>
          <cell r="BP129">
            <v>440</v>
          </cell>
          <cell r="BS129">
            <v>491</v>
          </cell>
          <cell r="BV129">
            <v>454</v>
          </cell>
          <cell r="BY129">
            <v>521</v>
          </cell>
          <cell r="CB129">
            <v>490</v>
          </cell>
          <cell r="CE129">
            <v>460</v>
          </cell>
          <cell r="CH129">
            <v>424</v>
          </cell>
          <cell r="CK129">
            <v>411</v>
          </cell>
          <cell r="CN129">
            <v>397</v>
          </cell>
          <cell r="CQ129">
            <v>494</v>
          </cell>
          <cell r="CW129">
            <v>7.3913043478260887E-2</v>
          </cell>
        </row>
        <row r="130">
          <cell r="B130" t="str">
            <v>Outbound Transport</v>
          </cell>
          <cell r="BG130">
            <v>63</v>
          </cell>
          <cell r="BJ130">
            <v>68</v>
          </cell>
          <cell r="BM130">
            <v>73</v>
          </cell>
          <cell r="BP130">
            <v>75</v>
          </cell>
          <cell r="BS130">
            <v>85</v>
          </cell>
          <cell r="BV130">
            <v>81</v>
          </cell>
          <cell r="BY130">
            <v>83</v>
          </cell>
          <cell r="CB130">
            <v>74</v>
          </cell>
          <cell r="CE130">
            <v>71</v>
          </cell>
          <cell r="CH130">
            <v>76</v>
          </cell>
          <cell r="CK130">
            <v>62</v>
          </cell>
          <cell r="CN130">
            <v>57</v>
          </cell>
          <cell r="CQ130">
            <v>54</v>
          </cell>
          <cell r="CW130">
            <v>-0.23943661971830987</v>
          </cell>
        </row>
        <row r="131">
          <cell r="B131" t="str">
            <v>Entertainment</v>
          </cell>
          <cell r="BG131">
            <v>53</v>
          </cell>
          <cell r="BJ131">
            <v>50</v>
          </cell>
          <cell r="BM131">
            <v>67</v>
          </cell>
          <cell r="BP131">
            <v>51</v>
          </cell>
          <cell r="BS131">
            <v>52</v>
          </cell>
          <cell r="BV131">
            <v>36</v>
          </cell>
          <cell r="BY131">
            <v>46</v>
          </cell>
          <cell r="CB131">
            <v>43</v>
          </cell>
          <cell r="CE131">
            <v>42</v>
          </cell>
          <cell r="CH131">
            <v>23</v>
          </cell>
          <cell r="CK131">
            <v>33</v>
          </cell>
          <cell r="CN131">
            <v>44</v>
          </cell>
          <cell r="CQ131">
            <v>52</v>
          </cell>
          <cell r="CW131">
            <v>0.23809523809523814</v>
          </cell>
        </row>
        <row r="132">
          <cell r="B132" t="str">
            <v>Shopping</v>
          </cell>
          <cell r="BG132">
            <v>1855</v>
          </cell>
          <cell r="BJ132">
            <v>1595</v>
          </cell>
          <cell r="BM132">
            <v>1608</v>
          </cell>
          <cell r="BP132">
            <v>1504</v>
          </cell>
          <cell r="BS132">
            <v>1917</v>
          </cell>
          <cell r="BV132">
            <v>1705</v>
          </cell>
          <cell r="BY132">
            <v>1564</v>
          </cell>
          <cell r="CB132">
            <v>1652</v>
          </cell>
          <cell r="CE132">
            <v>1936</v>
          </cell>
          <cell r="CH132">
            <v>2023</v>
          </cell>
          <cell r="CK132">
            <v>1833</v>
          </cell>
          <cell r="CN132">
            <v>1906</v>
          </cell>
          <cell r="CQ132">
            <v>2157</v>
          </cell>
          <cell r="CW132">
            <v>0.11415289256198347</v>
          </cell>
        </row>
        <row r="133">
          <cell r="B133" t="str">
            <v>Other</v>
          </cell>
          <cell r="BG133">
            <v>58</v>
          </cell>
          <cell r="BJ133">
            <v>50</v>
          </cell>
          <cell r="BM133">
            <v>61</v>
          </cell>
          <cell r="BP133">
            <v>52</v>
          </cell>
          <cell r="BS133">
            <v>63</v>
          </cell>
          <cell r="BV133">
            <v>60</v>
          </cell>
          <cell r="BY133">
            <v>69</v>
          </cell>
          <cell r="CB133">
            <v>59</v>
          </cell>
          <cell r="CE133">
            <v>68</v>
          </cell>
          <cell r="CH133">
            <v>56</v>
          </cell>
          <cell r="CK133">
            <v>52</v>
          </cell>
          <cell r="CN133">
            <v>51</v>
          </cell>
          <cell r="CO133">
            <v>0</v>
          </cell>
          <cell r="CP133">
            <v>0</v>
          </cell>
          <cell r="CQ133">
            <v>67</v>
          </cell>
          <cell r="CR133">
            <v>0</v>
          </cell>
          <cell r="CW133">
            <v>-1.4705882352941124E-2</v>
          </cell>
        </row>
        <row r="135">
          <cell r="B135" t="str">
            <v>Per-Diem Spend</v>
          </cell>
        </row>
        <row r="136">
          <cell r="B136" t="str">
            <v>Tourists</v>
          </cell>
          <cell r="BG136">
            <v>1360</v>
          </cell>
          <cell r="BJ136">
            <v>1236</v>
          </cell>
          <cell r="BM136">
            <v>1307</v>
          </cell>
          <cell r="BP136">
            <v>1291</v>
          </cell>
          <cell r="BS136">
            <v>1386</v>
          </cell>
          <cell r="BV136">
            <v>1273</v>
          </cell>
          <cell r="BY136">
            <v>1243</v>
          </cell>
          <cell r="CB136">
            <v>1160</v>
          </cell>
          <cell r="CE136">
            <v>1352</v>
          </cell>
          <cell r="CH136">
            <v>1378</v>
          </cell>
          <cell r="CK136">
            <v>1331</v>
          </cell>
          <cell r="CN136">
            <v>1200</v>
          </cell>
          <cell r="CQ136">
            <v>1412</v>
          </cell>
          <cell r="CW136">
            <v>4.4378698224851965E-2</v>
          </cell>
        </row>
        <row r="137">
          <cell r="B137" t="str">
            <v>Same Day Visitor Spend</v>
          </cell>
          <cell r="BG137">
            <v>472</v>
          </cell>
          <cell r="BJ137">
            <v>539</v>
          </cell>
          <cell r="BM137">
            <v>470</v>
          </cell>
          <cell r="BP137">
            <v>519</v>
          </cell>
          <cell r="BS137">
            <v>514</v>
          </cell>
          <cell r="BV137">
            <v>533</v>
          </cell>
          <cell r="BY137">
            <v>463</v>
          </cell>
          <cell r="CB137">
            <v>508</v>
          </cell>
          <cell r="CE137">
            <v>557</v>
          </cell>
          <cell r="CH137">
            <v>591</v>
          </cell>
          <cell r="CK137">
            <v>522</v>
          </cell>
          <cell r="CN137">
            <v>516</v>
          </cell>
          <cell r="CQ137">
            <v>522</v>
          </cell>
          <cell r="CW137">
            <v>-6.2836624775583494E-2</v>
          </cell>
        </row>
        <row r="139">
          <cell r="B139" t="str">
            <v>Hotel Guests</v>
          </cell>
          <cell r="L139">
            <v>195104</v>
          </cell>
          <cell r="M139">
            <v>232418</v>
          </cell>
          <cell r="N139">
            <v>214982</v>
          </cell>
          <cell r="O139">
            <v>227198</v>
          </cell>
          <cell r="P139">
            <v>234328</v>
          </cell>
          <cell r="Q139">
            <v>196788</v>
          </cell>
          <cell r="R139">
            <v>248879</v>
          </cell>
          <cell r="S139">
            <v>268394</v>
          </cell>
          <cell r="T139">
            <v>206725</v>
          </cell>
          <cell r="U139">
            <v>227021</v>
          </cell>
          <cell r="V139">
            <v>213591</v>
          </cell>
          <cell r="W139">
            <v>224415</v>
          </cell>
          <cell r="X139">
            <v>229207</v>
          </cell>
          <cell r="Y139">
            <v>182303</v>
          </cell>
          <cell r="Z139">
            <v>223000</v>
          </cell>
          <cell r="AA139">
            <v>238356</v>
          </cell>
          <cell r="AB139">
            <v>224935</v>
          </cell>
          <cell r="AC139">
            <v>212838</v>
          </cell>
          <cell r="AD139">
            <v>243043</v>
          </cell>
          <cell r="AE139">
            <v>271109</v>
          </cell>
          <cell r="AF139">
            <v>207406</v>
          </cell>
          <cell r="AG139">
            <v>233175</v>
          </cell>
          <cell r="AH139">
            <v>233870</v>
          </cell>
          <cell r="AI139">
            <v>267611</v>
          </cell>
          <cell r="AJ139">
            <v>231779</v>
          </cell>
          <cell r="AK139">
            <v>235288</v>
          </cell>
          <cell r="AL139">
            <v>254568</v>
          </cell>
          <cell r="AM139">
            <v>275482</v>
          </cell>
          <cell r="AN139">
            <v>273308</v>
          </cell>
          <cell r="AO139">
            <v>229369</v>
          </cell>
          <cell r="AP139">
            <v>272872</v>
          </cell>
          <cell r="AQ139">
            <v>308286</v>
          </cell>
          <cell r="AR139">
            <v>238709</v>
          </cell>
          <cell r="AS139">
            <v>246984</v>
          </cell>
          <cell r="AT139">
            <v>285760</v>
          </cell>
          <cell r="AU139">
            <v>302396</v>
          </cell>
          <cell r="AV139">
            <v>242796</v>
          </cell>
          <cell r="AW139">
            <v>248037</v>
          </cell>
          <cell r="AX139">
            <v>272109</v>
          </cell>
          <cell r="AY139">
            <v>162809</v>
          </cell>
          <cell r="AZ139">
            <v>118395</v>
          </cell>
          <cell r="BA139">
            <v>189007</v>
          </cell>
          <cell r="BB139">
            <v>264842</v>
          </cell>
          <cell r="BC139">
            <v>350507</v>
          </cell>
          <cell r="BD139">
            <v>265668</v>
          </cell>
          <cell r="BE139">
            <v>280884</v>
          </cell>
          <cell r="BF139">
            <v>319501</v>
          </cell>
          <cell r="BG139">
            <v>328717</v>
          </cell>
          <cell r="BH139">
            <v>292180</v>
          </cell>
          <cell r="BI139">
            <v>264633</v>
          </cell>
          <cell r="BJ139">
            <v>352018</v>
          </cell>
          <cell r="BK139">
            <v>332605</v>
          </cell>
          <cell r="BL139">
            <v>314560</v>
          </cell>
          <cell r="BM139">
            <v>318192</v>
          </cell>
          <cell r="BN139">
            <v>375930</v>
          </cell>
          <cell r="BO139">
            <v>376912</v>
          </cell>
          <cell r="BP139">
            <v>297167</v>
          </cell>
          <cell r="BQ139">
            <v>332135</v>
          </cell>
          <cell r="BR139">
            <v>351974</v>
          </cell>
          <cell r="BS139">
            <v>347848</v>
          </cell>
          <cell r="BT139">
            <v>302774</v>
          </cell>
          <cell r="BU139">
            <v>288249</v>
          </cell>
          <cell r="BV139">
            <v>318686</v>
          </cell>
          <cell r="BW139">
            <v>330819</v>
          </cell>
          <cell r="BX139">
            <v>329184</v>
          </cell>
          <cell r="BY139">
            <v>335215</v>
          </cell>
          <cell r="BZ139">
            <v>379479</v>
          </cell>
          <cell r="CA139">
            <v>384807</v>
          </cell>
          <cell r="CB139">
            <v>325719</v>
          </cell>
          <cell r="CC139">
            <v>351692</v>
          </cell>
          <cell r="CD139">
            <v>387940</v>
          </cell>
          <cell r="CE139">
            <v>386524</v>
          </cell>
          <cell r="CF139">
            <v>327331</v>
          </cell>
          <cell r="CG139">
            <v>340115</v>
          </cell>
          <cell r="CH139">
            <v>399412</v>
          </cell>
          <cell r="CI139">
            <v>402224</v>
          </cell>
          <cell r="CJ139">
            <v>343016</v>
          </cell>
          <cell r="CK139">
            <v>346970</v>
          </cell>
          <cell r="CL139">
            <v>399230</v>
          </cell>
          <cell r="CM139">
            <v>419769</v>
          </cell>
          <cell r="CN139">
            <v>365094</v>
          </cell>
          <cell r="CO139">
            <v>412448</v>
          </cell>
          <cell r="CP139">
            <v>443377</v>
          </cell>
          <cell r="CQ139">
            <v>481868</v>
          </cell>
          <cell r="CR139">
            <v>429669</v>
          </cell>
          <cell r="CS139">
            <v>426186</v>
          </cell>
        </row>
        <row r="140">
          <cell r="B140" t="str">
            <v>% of Total</v>
          </cell>
          <cell r="L140">
            <v>0.30387569854155116</v>
          </cell>
          <cell r="M140">
            <v>0.28580528379102904</v>
          </cell>
          <cell r="N140">
            <v>0.29837434820564851</v>
          </cell>
          <cell r="O140">
            <v>0.28288047572149477</v>
          </cell>
          <cell r="P140">
            <v>0.31767602273220252</v>
          </cell>
          <cell r="Q140">
            <v>0.30316493917844689</v>
          </cell>
          <cell r="R140">
            <v>0.29340946039463306</v>
          </cell>
          <cell r="S140">
            <v>0.29789316894827156</v>
          </cell>
          <cell r="T140">
            <v>0.28495359553612903</v>
          </cell>
          <cell r="U140">
            <v>0.29065905645689938</v>
          </cell>
          <cell r="V140">
            <v>0.29203554342639398</v>
          </cell>
          <cell r="W140">
            <v>0.2772523705099299</v>
          </cell>
          <cell r="X140">
            <v>0.25879737416757181</v>
          </cell>
          <cell r="Y140">
            <v>0.25658951279759601</v>
          </cell>
          <cell r="Z140">
            <v>0.26022977238647038</v>
          </cell>
          <cell r="AA140">
            <v>0.25562993738913331</v>
          </cell>
          <cell r="AB140">
            <v>0.27348518376220099</v>
          </cell>
          <cell r="AC140">
            <v>0.26547738731075016</v>
          </cell>
          <cell r="AD140">
            <v>0.28569295909083431</v>
          </cell>
          <cell r="AE140">
            <v>0.25684656698205355</v>
          </cell>
          <cell r="AF140">
            <v>0.26491576969599434</v>
          </cell>
          <cell r="AG140">
            <v>0.27209745213862119</v>
          </cell>
          <cell r="AH140">
            <v>0.28460028548863459</v>
          </cell>
          <cell r="AI140">
            <v>0.29687978416084987</v>
          </cell>
          <cell r="AJ140">
            <v>0.29787625063455447</v>
          </cell>
          <cell r="AK140">
            <v>0.251678028232591</v>
          </cell>
          <cell r="AL140">
            <v>0.26518356321922898</v>
          </cell>
          <cell r="AM140">
            <v>0.27607390244684604</v>
          </cell>
          <cell r="AN140">
            <v>0.28972006207651013</v>
          </cell>
          <cell r="AO140">
            <v>0.26588266660484311</v>
          </cell>
          <cell r="AP140">
            <v>0.26854599260512407</v>
          </cell>
          <cell r="AQ140">
            <v>0.27705896150745613</v>
          </cell>
          <cell r="AR140">
            <v>0.26988076852632792</v>
          </cell>
          <cell r="AS140">
            <v>0.25434106978458904</v>
          </cell>
          <cell r="AT140">
            <v>0.28484933667066387</v>
          </cell>
          <cell r="AU140">
            <v>0.28356049417446139</v>
          </cell>
          <cell r="AV140">
            <v>0.24594084559259247</v>
          </cell>
          <cell r="AW140">
            <v>0.23680803652410021</v>
          </cell>
          <cell r="AX140">
            <v>0.28316488996374445</v>
          </cell>
          <cell r="AY140">
            <v>0.24643163111163582</v>
          </cell>
          <cell r="AZ140">
            <v>0.19844023411573042</v>
          </cell>
          <cell r="BA140">
            <v>0.2316889745874802</v>
          </cell>
          <cell r="BB140">
            <v>0.25299959495915203</v>
          </cell>
          <cell r="BC140">
            <v>0.27525481175852506</v>
          </cell>
          <cell r="BD140">
            <v>0.26538987141475734</v>
          </cell>
          <cell r="BE140">
            <v>0.25188204899649463</v>
          </cell>
          <cell r="BF140">
            <v>0.27552072823479296</v>
          </cell>
          <cell r="BG140">
            <v>0.26873484510326179</v>
          </cell>
          <cell r="BH140">
            <v>0.21904338510418017</v>
          </cell>
          <cell r="BI140">
            <v>0.23828595971974725</v>
          </cell>
          <cell r="BJ140">
            <v>0.26933550218938673</v>
          </cell>
          <cell r="BK140">
            <v>0.24541749123047796</v>
          </cell>
          <cell r="BL140">
            <v>0.23697239440354614</v>
          </cell>
          <cell r="BM140">
            <v>0.24461912797469182</v>
          </cell>
          <cell r="BN140">
            <v>0.24667759861887317</v>
          </cell>
          <cell r="BO140">
            <v>0.23295032796804435</v>
          </cell>
          <cell r="BP140">
            <v>0.22628175206604018</v>
          </cell>
          <cell r="BQ140">
            <v>0.22004395115154798</v>
          </cell>
          <cell r="BR140">
            <v>0.24196672986681222</v>
          </cell>
          <cell r="BS140">
            <v>0.22908821247601097</v>
          </cell>
          <cell r="BT140">
            <v>0.2160450793791239</v>
          </cell>
          <cell r="BU140">
            <v>0.1893149173447875</v>
          </cell>
          <cell r="BV140">
            <v>0.20788483704752728</v>
          </cell>
          <cell r="BW140">
            <v>0.22147738623491323</v>
          </cell>
          <cell r="BX140">
            <v>0.21382054569759421</v>
          </cell>
          <cell r="BY140">
            <v>0.23391308898696858</v>
          </cell>
          <cell r="BZ140">
            <v>0.22781625287262475</v>
          </cell>
          <cell r="CA140">
            <v>0.22216429582185149</v>
          </cell>
          <cell r="CB140">
            <v>0.22411986307260937</v>
          </cell>
          <cell r="CC140">
            <v>0.21140126098280682</v>
          </cell>
          <cell r="CD140">
            <v>0.24161849638979838</v>
          </cell>
          <cell r="CE140">
            <v>0.23179572059105738</v>
          </cell>
          <cell r="CF140">
            <v>0.19702201706640152</v>
          </cell>
          <cell r="CG140">
            <v>0.19173009471646507</v>
          </cell>
          <cell r="CH140">
            <v>0.22034104945167399</v>
          </cell>
          <cell r="CI140">
            <v>0.2150569369635259</v>
          </cell>
          <cell r="CJ140">
            <v>0.2009284452788411</v>
          </cell>
          <cell r="CK140">
            <v>0.21726457160425874</v>
          </cell>
          <cell r="CL140">
            <v>0.22151779333365884</v>
          </cell>
          <cell r="CM140">
            <v>0.21837457595111545</v>
          </cell>
          <cell r="CN140">
            <v>0.20876555260309362</v>
          </cell>
          <cell r="CO140">
            <v>0.20727821701172161</v>
          </cell>
          <cell r="CP140">
            <v>0.22742145371599978</v>
          </cell>
          <cell r="CQ140">
            <v>0.22278617256233132</v>
          </cell>
          <cell r="CR140">
            <v>0.21074933489244485</v>
          </cell>
          <cell r="CS140">
            <v>0.19644533804965134</v>
          </cell>
        </row>
        <row r="141">
          <cell r="B141" t="str">
            <v>Overnight Guests per Room</v>
          </cell>
          <cell r="L141">
            <v>1.7204521783077502</v>
          </cell>
          <cell r="M141">
            <v>1.754790822008587</v>
          </cell>
          <cell r="N141">
            <v>1.7416082981822836</v>
          </cell>
          <cell r="O141">
            <v>1.7613682053826609</v>
          </cell>
          <cell r="P141">
            <v>1.7443711705790543</v>
          </cell>
          <cell r="Q141">
            <v>1.7178079590948223</v>
          </cell>
          <cell r="R141">
            <v>1.7671273827723311</v>
          </cell>
          <cell r="S141">
            <v>1.7657908048697504</v>
          </cell>
          <cell r="T141">
            <v>1.7615093019791002</v>
          </cell>
          <cell r="U141">
            <v>1.782889096238109</v>
          </cell>
          <cell r="V141">
            <v>1.7632217633847718</v>
          </cell>
          <cell r="W141">
            <v>1.7896504034299374</v>
          </cell>
          <cell r="X141">
            <v>1.7967011227672887</v>
          </cell>
          <cell r="Y141">
            <v>1.8109299380267174</v>
          </cell>
          <cell r="Z141">
            <v>1.7610027689912777</v>
          </cell>
          <cell r="AA141">
            <v>1.7898152533861165</v>
          </cell>
          <cell r="AB141">
            <v>1.7524219361215381</v>
          </cell>
          <cell r="AC141">
            <v>1.8262676325551288</v>
          </cell>
          <cell r="AD141">
            <v>1.7414872690660657</v>
          </cell>
          <cell r="AE141">
            <v>1.7739564993999986</v>
          </cell>
          <cell r="AF141">
            <v>1.7994407966084986</v>
          </cell>
          <cell r="AG141">
            <v>1.7904557153082599</v>
          </cell>
          <cell r="AH141">
            <v>1.7734368625538279</v>
          </cell>
          <cell r="AI141">
            <v>1.7822381983053024</v>
          </cell>
          <cell r="AJ141">
            <v>1.8366562607636649</v>
          </cell>
          <cell r="AK141">
            <v>1.8382304502544702</v>
          </cell>
          <cell r="AL141">
            <v>1.8075244828261412</v>
          </cell>
          <cell r="AM141">
            <v>1.8307206162483864</v>
          </cell>
          <cell r="AN141">
            <v>1.7835007355583208</v>
          </cell>
          <cell r="AO141">
            <v>1.7469981893532804</v>
          </cell>
          <cell r="AP141">
            <v>1.7771235321866077</v>
          </cell>
          <cell r="AQ141">
            <v>1.7606042835962585</v>
          </cell>
          <cell r="AR141">
            <v>1.7193582937002698</v>
          </cell>
          <cell r="AS141">
            <v>1.7175082378062465</v>
          </cell>
          <cell r="AT141">
            <v>1.7544927894865201</v>
          </cell>
          <cell r="AU141">
            <v>1.7414268035776646</v>
          </cell>
          <cell r="AV141">
            <v>1.7127346844168969</v>
          </cell>
          <cell r="AW141">
            <v>1.7242156442116812</v>
          </cell>
          <cell r="AX141">
            <v>1.7459603398895274</v>
          </cell>
          <cell r="AY141">
            <v>1.7471586412893978</v>
          </cell>
          <cell r="AZ141">
            <v>1.7409698389887807</v>
          </cell>
          <cell r="BA141">
            <v>1.7600419342471909</v>
          </cell>
          <cell r="BB141">
            <v>1.7411882492803719</v>
          </cell>
          <cell r="BC141">
            <v>1.8012611702110741</v>
          </cell>
          <cell r="BD141">
            <v>1.7491205240646037</v>
          </cell>
          <cell r="BE141">
            <v>1.7545128864327935</v>
          </cell>
          <cell r="BF141">
            <v>1.7910834164841172</v>
          </cell>
          <cell r="BG141">
            <v>1.7894080605035061</v>
          </cell>
          <cell r="BH141">
            <v>1.8595244996796543</v>
          </cell>
          <cell r="BI141">
            <v>1.7996101006683698</v>
          </cell>
          <cell r="BJ141">
            <v>1.8623882219685244</v>
          </cell>
          <cell r="BK141">
            <v>1.8238491425052623</v>
          </cell>
          <cell r="BL141">
            <v>1.8233434535624129</v>
          </cell>
          <cell r="BM141">
            <v>1.8262179636182065</v>
          </cell>
          <cell r="BN141">
            <v>1.8298612116443747</v>
          </cell>
          <cell r="BO141">
            <v>1.8294381650689047</v>
          </cell>
          <cell r="BP141">
            <v>1.802264125497145</v>
          </cell>
          <cell r="BQ141">
            <v>1.7891380775120251</v>
          </cell>
          <cell r="BR141">
            <v>1.8032294288712736</v>
          </cell>
          <cell r="BS141">
            <v>1.7930045672121</v>
          </cell>
          <cell r="BT141">
            <v>1.7707516637550558</v>
          </cell>
          <cell r="BU141">
            <v>1.7948647890495402</v>
          </cell>
          <cell r="BV141">
            <v>1.7671867875900928</v>
          </cell>
          <cell r="BW141">
            <v>1.7942362675505745</v>
          </cell>
          <cell r="BX141">
            <v>1.7881638732699623</v>
          </cell>
          <cell r="BY141">
            <v>1.7812429842119901</v>
          </cell>
          <cell r="BZ141">
            <v>1.816305085540721</v>
          </cell>
          <cell r="CA141">
            <v>1.801960760508087</v>
          </cell>
          <cell r="CB141">
            <v>1.7767508502759704</v>
          </cell>
          <cell r="CC141">
            <v>1.7698957994103974</v>
          </cell>
          <cell r="CD141">
            <v>1.7492732273745857</v>
          </cell>
          <cell r="CE141">
            <v>1.7245801669474989</v>
          </cell>
          <cell r="CF141">
            <v>1.7232062696170798</v>
          </cell>
          <cell r="CG141">
            <v>1.7685641177266627</v>
          </cell>
          <cell r="CH141">
            <v>1.7459771160505759</v>
          </cell>
          <cell r="CI141">
            <v>1.766391458103836</v>
          </cell>
          <cell r="CJ141">
            <v>1.7183078599922548</v>
          </cell>
          <cell r="CK141">
            <v>1.6794064237884461</v>
          </cell>
          <cell r="CL141">
            <v>1.7397278628631498</v>
          </cell>
          <cell r="CM141">
            <v>1.7934287340460697</v>
          </cell>
          <cell r="CN141">
            <v>1.7208022608180238</v>
          </cell>
          <cell r="CO141">
            <v>1.7326388933775594</v>
          </cell>
          <cell r="CP141">
            <v>1.8010223261377463</v>
          </cell>
          <cell r="CQ141">
            <v>1.8561120428021256</v>
          </cell>
          <cell r="CR141">
            <v>1.7926660441647932</v>
          </cell>
          <cell r="CS141">
            <v>1.8859357165320663</v>
          </cell>
        </row>
        <row r="142">
          <cell r="B142" t="str">
            <v>Other Overnight Guests</v>
          </cell>
          <cell r="L142">
            <v>178882</v>
          </cell>
          <cell r="M142">
            <v>272421</v>
          </cell>
          <cell r="N142">
            <v>198003</v>
          </cell>
          <cell r="O142">
            <v>229839</v>
          </cell>
          <cell r="P142">
            <v>187850</v>
          </cell>
          <cell r="Q142">
            <v>158044</v>
          </cell>
          <cell r="R142">
            <v>217829</v>
          </cell>
          <cell r="S142">
            <v>248642</v>
          </cell>
          <cell r="T142">
            <v>185513</v>
          </cell>
          <cell r="U142">
            <v>200810</v>
          </cell>
          <cell r="V142">
            <v>193187</v>
          </cell>
          <cell r="W142">
            <v>235855</v>
          </cell>
          <cell r="X142">
            <v>293715</v>
          </cell>
          <cell r="Y142">
            <v>211545</v>
          </cell>
          <cell r="Z142">
            <v>250458</v>
          </cell>
          <cell r="AA142">
            <v>279598</v>
          </cell>
          <cell r="AB142">
            <v>228103</v>
          </cell>
          <cell r="AC142">
            <v>233077</v>
          </cell>
          <cell r="AD142">
            <v>232020</v>
          </cell>
          <cell r="AE142">
            <v>347416</v>
          </cell>
          <cell r="AF142">
            <v>241600</v>
          </cell>
          <cell r="AG142">
            <v>254745</v>
          </cell>
          <cell r="AH142">
            <v>245031</v>
          </cell>
          <cell r="AI142">
            <v>257674</v>
          </cell>
          <cell r="AJ142">
            <v>218010</v>
          </cell>
          <cell r="AK142">
            <v>320997</v>
          </cell>
          <cell r="AL142">
            <v>283160</v>
          </cell>
          <cell r="AM142">
            <v>302486</v>
          </cell>
          <cell r="AN142">
            <v>282090</v>
          </cell>
          <cell r="AO142">
            <v>269923</v>
          </cell>
          <cell r="AP142">
            <v>323771</v>
          </cell>
          <cell r="AQ142">
            <v>329641</v>
          </cell>
          <cell r="AR142">
            <v>235980</v>
          </cell>
          <cell r="AS142">
            <v>258502</v>
          </cell>
          <cell r="AT142">
            <v>276300</v>
          </cell>
          <cell r="AU142">
            <v>309498</v>
          </cell>
          <cell r="AV142">
            <v>308457</v>
          </cell>
          <cell r="AW142">
            <v>302582</v>
          </cell>
          <cell r="AX142">
            <v>236839</v>
          </cell>
          <cell r="AY142">
            <v>193366</v>
          </cell>
          <cell r="AZ142">
            <v>197979</v>
          </cell>
          <cell r="BA142">
            <v>235829</v>
          </cell>
          <cell r="BB142">
            <v>290443</v>
          </cell>
          <cell r="BC142">
            <v>359831</v>
          </cell>
          <cell r="BD142">
            <v>251178</v>
          </cell>
          <cell r="BE142">
            <v>284358</v>
          </cell>
          <cell r="BF142">
            <v>284832</v>
          </cell>
          <cell r="BG142">
            <v>319549</v>
          </cell>
          <cell r="BH142">
            <v>394828</v>
          </cell>
          <cell r="BI142">
            <v>276652</v>
          </cell>
          <cell r="BJ142">
            <v>308121</v>
          </cell>
          <cell r="BK142">
            <v>347034</v>
          </cell>
          <cell r="BL142">
            <v>338998</v>
          </cell>
          <cell r="BM142">
            <v>323254</v>
          </cell>
          <cell r="BN142">
            <v>416977</v>
          </cell>
          <cell r="BO142">
            <v>442307</v>
          </cell>
          <cell r="BP142">
            <v>348227</v>
          </cell>
          <cell r="BQ142">
            <v>391899</v>
          </cell>
          <cell r="BR142">
            <v>368565</v>
          </cell>
          <cell r="BS142">
            <v>410415</v>
          </cell>
          <cell r="BT142">
            <v>363799</v>
          </cell>
          <cell r="BU142">
            <v>437198</v>
          </cell>
          <cell r="BV142">
            <v>398386</v>
          </cell>
          <cell r="BW142">
            <v>378843</v>
          </cell>
          <cell r="BX142">
            <v>396930</v>
          </cell>
          <cell r="BY142">
            <v>349095</v>
          </cell>
          <cell r="BZ142">
            <v>436595</v>
          </cell>
          <cell r="CA142">
            <v>462653</v>
          </cell>
          <cell r="CB142">
            <v>386811</v>
          </cell>
          <cell r="CC142">
            <v>433773</v>
          </cell>
          <cell r="CD142">
            <v>399522</v>
          </cell>
          <cell r="CE142">
            <v>449371</v>
          </cell>
          <cell r="CF142">
            <v>470343</v>
          </cell>
          <cell r="CG142">
            <v>494722</v>
          </cell>
          <cell r="CH142">
            <v>462227</v>
          </cell>
          <cell r="CI142">
            <v>507945</v>
          </cell>
          <cell r="CJ142">
            <v>474436</v>
          </cell>
          <cell r="CK142">
            <v>425670</v>
          </cell>
          <cell r="CL142">
            <v>494277</v>
          </cell>
          <cell r="CM142">
            <v>528217</v>
          </cell>
          <cell r="CN142">
            <v>484931</v>
          </cell>
          <cell r="CO142">
            <v>553190</v>
          </cell>
          <cell r="CP142">
            <v>502851</v>
          </cell>
          <cell r="CQ142">
            <v>603000</v>
          </cell>
          <cell r="CR142">
            <v>553846</v>
          </cell>
          <cell r="CS142">
            <v>595477</v>
          </cell>
        </row>
        <row r="144">
          <cell r="B144" t="str">
            <v>From Mainland China</v>
          </cell>
          <cell r="CJ144">
            <v>200543</v>
          </cell>
          <cell r="CK144">
            <v>196699</v>
          </cell>
          <cell r="CL144">
            <v>216010</v>
          </cell>
          <cell r="CM144">
            <v>220256</v>
          </cell>
          <cell r="CN144">
            <v>193469</v>
          </cell>
          <cell r="CO144">
            <v>217507</v>
          </cell>
          <cell r="CP144">
            <v>251866</v>
          </cell>
          <cell r="CQ144">
            <v>252643</v>
          </cell>
          <cell r="CR144">
            <v>230238</v>
          </cell>
          <cell r="CS144">
            <v>228127</v>
          </cell>
        </row>
        <row r="145">
          <cell r="B145" t="str">
            <v>Share of Mainland China</v>
          </cell>
          <cell r="CJ145">
            <v>0.20448756513138441</v>
          </cell>
          <cell r="CK145">
            <v>0.22430768739537196</v>
          </cell>
          <cell r="CL145">
            <v>0.22729807710519837</v>
          </cell>
          <cell r="CM145">
            <v>0.21615871162121977</v>
          </cell>
          <cell r="CN145">
            <v>0.21089228817189767</v>
          </cell>
          <cell r="CO145">
            <v>0.204867302064525</v>
          </cell>
          <cell r="CP145">
            <v>0.23556182391925284</v>
          </cell>
          <cell r="CQ145">
            <v>0.2211172133120364</v>
          </cell>
          <cell r="CR145">
            <v>0.1992074547704128</v>
          </cell>
          <cell r="CS145">
            <v>0.18423577449819661</v>
          </cell>
        </row>
        <row r="147">
          <cell r="B147" t="str">
            <v>Same Day Visitors</v>
          </cell>
          <cell r="L147">
            <v>268066</v>
          </cell>
          <cell r="M147">
            <v>308365</v>
          </cell>
          <cell r="N147">
            <v>307526</v>
          </cell>
          <cell r="O147">
            <v>346122</v>
          </cell>
          <cell r="P147">
            <v>315454</v>
          </cell>
          <cell r="Q147">
            <v>294280</v>
          </cell>
          <cell r="R147">
            <v>381523</v>
          </cell>
          <cell r="S147">
            <v>383938</v>
          </cell>
          <cell r="T147">
            <v>333231</v>
          </cell>
          <cell r="U147">
            <v>353225</v>
          </cell>
          <cell r="V147">
            <v>324609</v>
          </cell>
          <cell r="W147">
            <v>349155</v>
          </cell>
          <cell r="X147">
            <v>362740</v>
          </cell>
          <cell r="Y147">
            <v>316637</v>
          </cell>
          <cell r="Z147">
            <v>383477</v>
          </cell>
          <cell r="AA147">
            <v>414472</v>
          </cell>
          <cell r="AB147">
            <v>369438</v>
          </cell>
          <cell r="AC147">
            <v>355803</v>
          </cell>
          <cell r="AD147">
            <v>375651</v>
          </cell>
          <cell r="AE147">
            <v>437004</v>
          </cell>
          <cell r="AF147">
            <v>333907</v>
          </cell>
          <cell r="AG147">
            <v>369034</v>
          </cell>
          <cell r="AH147">
            <v>342848</v>
          </cell>
          <cell r="AI147">
            <v>376127</v>
          </cell>
          <cell r="AJ147">
            <v>328316</v>
          </cell>
          <cell r="AK147">
            <v>378592</v>
          </cell>
          <cell r="AL147">
            <v>422241</v>
          </cell>
          <cell r="AM147">
            <v>419888</v>
          </cell>
          <cell r="AN147">
            <v>387954</v>
          </cell>
          <cell r="AO147">
            <v>363378</v>
          </cell>
          <cell r="AP147">
            <v>419466</v>
          </cell>
          <cell r="AQ147">
            <v>474782</v>
          </cell>
          <cell r="AR147">
            <v>409809</v>
          </cell>
          <cell r="AS147">
            <v>465588</v>
          </cell>
          <cell r="AT147">
            <v>441137</v>
          </cell>
          <cell r="AU147">
            <v>454531</v>
          </cell>
          <cell r="AV147">
            <v>435960</v>
          </cell>
          <cell r="AW147">
            <v>496799</v>
          </cell>
          <cell r="AX147">
            <v>452008</v>
          </cell>
          <cell r="AY147">
            <v>304491</v>
          </cell>
          <cell r="AZ147">
            <v>280254</v>
          </cell>
          <cell r="BA147">
            <v>390943</v>
          </cell>
          <cell r="BB147">
            <v>491523</v>
          </cell>
          <cell r="BC147">
            <v>563053</v>
          </cell>
          <cell r="BD147">
            <v>484202</v>
          </cell>
          <cell r="BE147">
            <v>549899</v>
          </cell>
          <cell r="BF147">
            <v>555293</v>
          </cell>
          <cell r="BG147">
            <v>574936</v>
          </cell>
          <cell r="BH147">
            <v>646883</v>
          </cell>
          <cell r="BI147">
            <v>569284</v>
          </cell>
          <cell r="BJ147">
            <v>646848</v>
          </cell>
          <cell r="BK147">
            <v>675623</v>
          </cell>
          <cell r="BL147">
            <v>673854</v>
          </cell>
          <cell r="BM147">
            <v>659319</v>
          </cell>
          <cell r="BN147">
            <v>731066</v>
          </cell>
          <cell r="BO147">
            <v>798774</v>
          </cell>
          <cell r="BP147">
            <v>667867</v>
          </cell>
          <cell r="BQ147">
            <v>785369</v>
          </cell>
          <cell r="BR147">
            <v>734099</v>
          </cell>
          <cell r="BS147">
            <v>760139</v>
          </cell>
          <cell r="BT147">
            <v>734866</v>
          </cell>
          <cell r="BU147">
            <v>797143</v>
          </cell>
          <cell r="BV147">
            <v>815921</v>
          </cell>
          <cell r="BW147">
            <v>784030</v>
          </cell>
          <cell r="BX147">
            <v>813420</v>
          </cell>
          <cell r="BY147">
            <v>748765</v>
          </cell>
          <cell r="BZ147">
            <v>849650</v>
          </cell>
          <cell r="CA147">
            <v>884623</v>
          </cell>
          <cell r="CB147">
            <v>740795</v>
          </cell>
          <cell r="CC147">
            <v>878158</v>
          </cell>
          <cell r="CD147">
            <v>818127</v>
          </cell>
          <cell r="CE147">
            <v>831625</v>
          </cell>
          <cell r="CF147">
            <v>863719</v>
          </cell>
          <cell r="CG147">
            <v>939089</v>
          </cell>
          <cell r="CH147">
            <v>951060</v>
          </cell>
          <cell r="CI147">
            <v>960145</v>
          </cell>
          <cell r="CJ147">
            <v>889703</v>
          </cell>
          <cell r="CK147">
            <v>824353</v>
          </cell>
          <cell r="CL147">
            <v>908741</v>
          </cell>
          <cell r="CM147">
            <v>974257</v>
          </cell>
          <cell r="CN147">
            <v>898798</v>
          </cell>
          <cell r="CO147">
            <v>1024190</v>
          </cell>
          <cell r="CP147">
            <v>1003355</v>
          </cell>
          <cell r="CQ147">
            <v>1078049</v>
          </cell>
          <cell r="CR147">
            <v>1055253</v>
          </cell>
          <cell r="CS147">
            <v>1147826</v>
          </cell>
          <cell r="CW147">
            <v>0.22175499207496885</v>
          </cell>
        </row>
        <row r="148">
          <cell r="B148" t="str">
            <v>% of Total</v>
          </cell>
          <cell r="L148">
            <v>0.4175144692330216</v>
          </cell>
          <cell r="M148">
            <v>0.37919759371572198</v>
          </cell>
          <cell r="N148">
            <v>0.42681652327306591</v>
          </cell>
          <cell r="O148">
            <v>0.43095078309525264</v>
          </cell>
          <cell r="P148">
            <v>0.42765769380937918</v>
          </cell>
          <cell r="Q148">
            <v>0.45335781806529535</v>
          </cell>
          <cell r="R148">
            <v>0.44978667367733555</v>
          </cell>
          <cell r="S148">
            <v>0.42613660327601016</v>
          </cell>
          <cell r="T148">
            <v>0.45933182534332961</v>
          </cell>
          <cell r="U148">
            <v>0.4522403003113733</v>
          </cell>
          <cell r="V148">
            <v>0.44382659248797146</v>
          </cell>
          <cell r="W148">
            <v>0.43136176915711771</v>
          </cell>
          <cell r="X148">
            <v>0.40956933909324322</v>
          </cell>
          <cell r="Y148">
            <v>0.44566317374751052</v>
          </cell>
          <cell r="Z148">
            <v>0.44749835168361662</v>
          </cell>
          <cell r="AA148">
            <v>0.44450926936829305</v>
          </cell>
          <cell r="AB148">
            <v>0.44917784835059016</v>
          </cell>
          <cell r="AC148">
            <v>0.44380068802247175</v>
          </cell>
          <cell r="AD148">
            <v>0.44157143293750895</v>
          </cell>
          <cell r="AE148">
            <v>0.41401420519947818</v>
          </cell>
          <cell r="AF148">
            <v>0.42649310970695337</v>
          </cell>
          <cell r="AG148">
            <v>0.43063454981247534</v>
          </cell>
          <cell r="AH148">
            <v>0.41721742283836061</v>
          </cell>
          <cell r="AI148">
            <v>0.41726424764702491</v>
          </cell>
          <cell r="AJ148">
            <v>0.4219430539580134</v>
          </cell>
          <cell r="AK148">
            <v>0.4049645033517778</v>
          </cell>
          <cell r="AL148">
            <v>0.43984857844367892</v>
          </cell>
          <cell r="AM148">
            <v>0.42079017413334191</v>
          </cell>
          <cell r="AN148">
            <v>0.41125051942435059</v>
          </cell>
          <cell r="AO148">
            <v>0.42122480206799817</v>
          </cell>
          <cell r="AP148">
            <v>0.41281594789535375</v>
          </cell>
          <cell r="AQ148">
            <v>0.42669017685666244</v>
          </cell>
          <cell r="AR148">
            <v>0.46332382888372842</v>
          </cell>
          <cell r="AS148">
            <v>0.47945676642562773</v>
          </cell>
          <cell r="AT148">
            <v>0.43973117941939621</v>
          </cell>
          <cell r="AU148">
            <v>0.42621937782778913</v>
          </cell>
          <cell r="AV148">
            <v>0.44160682649033189</v>
          </cell>
          <cell r="AW148">
            <v>0.47430825133805221</v>
          </cell>
          <cell r="AX148">
            <v>0.47037325330192015</v>
          </cell>
          <cell r="AY148">
            <v>0.46088492521183172</v>
          </cell>
          <cell r="AZ148">
            <v>0.46972988193648302</v>
          </cell>
          <cell r="BA148">
            <v>0.4792266042641451</v>
          </cell>
          <cell r="BB148">
            <v>0.46954455831441871</v>
          </cell>
          <cell r="BC148">
            <v>0.4421681950005929</v>
          </cell>
          <cell r="BD148">
            <v>0.48369508754824941</v>
          </cell>
          <cell r="BE148">
            <v>0.49312060089262255</v>
          </cell>
          <cell r="BF148">
            <v>0.47885525160698361</v>
          </cell>
          <cell r="BG148">
            <v>0.47002539237182411</v>
          </cell>
          <cell r="BH148">
            <v>0.48495941572437329</v>
          </cell>
          <cell r="BI148">
            <v>0.51260570032118669</v>
          </cell>
          <cell r="BJ148">
            <v>0.49491540466737621</v>
          </cell>
          <cell r="BK148">
            <v>0.49851836766617819</v>
          </cell>
          <cell r="BL148">
            <v>0.50764495122840536</v>
          </cell>
          <cell r="BM148">
            <v>0.50687018792787319</v>
          </cell>
          <cell r="BN148">
            <v>0.4797105985473496</v>
          </cell>
          <cell r="BO148">
            <v>0.49368198749932785</v>
          </cell>
          <cell r="BP148">
            <v>0.50855618190138896</v>
          </cell>
          <cell r="BQ148">
            <v>0.52031763551549848</v>
          </cell>
          <cell r="BR148">
            <v>0.50466095344683692</v>
          </cell>
          <cell r="BS148">
            <v>0.50061775471844738</v>
          </cell>
          <cell r="BT148">
            <v>0.52436531308176815</v>
          </cell>
          <cell r="BU148">
            <v>0.52354409263163426</v>
          </cell>
          <cell r="BV148">
            <v>0.5322405255601298</v>
          </cell>
          <cell r="BW148">
            <v>0.52489402098960158</v>
          </cell>
          <cell r="BX148">
            <v>0.52835468394981855</v>
          </cell>
          <cell r="BY148">
            <v>0.52248835545941419</v>
          </cell>
          <cell r="BZ148">
            <v>0.51007850039982616</v>
          </cell>
          <cell r="CA148">
            <v>0.51072783463610005</v>
          </cell>
          <cell r="CB148">
            <v>0.50972425300603785</v>
          </cell>
          <cell r="CC148">
            <v>0.52785877569617634</v>
          </cell>
          <cell r="CD148">
            <v>0.50954945505979421</v>
          </cell>
          <cell r="CE148">
            <v>0.49871965553636538</v>
          </cell>
          <cell r="CF148">
            <v>0.51987639288235832</v>
          </cell>
          <cell r="CG148">
            <v>0.52938454027958326</v>
          </cell>
          <cell r="CH148">
            <v>0.52466515400516023</v>
          </cell>
          <cell r="CI148">
            <v>0.51336032345370886</v>
          </cell>
          <cell r="CJ148">
            <v>0.52116123023392724</v>
          </cell>
          <cell r="CK148">
            <v>0.51619074097381767</v>
          </cell>
          <cell r="CL148">
            <v>0.50422638837718226</v>
          </cell>
          <cell r="CM148">
            <v>0.50683342324565628</v>
          </cell>
          <cell r="CN148">
            <v>0.51394452154391834</v>
          </cell>
          <cell r="CO148">
            <v>0.51471282945058572</v>
          </cell>
          <cell r="CP148">
            <v>0.51465108179544039</v>
          </cell>
          <cell r="CQ148">
            <v>0.49842365657119531</v>
          </cell>
          <cell r="CR148">
            <v>0.51759346821217522</v>
          </cell>
          <cell r="CS148">
            <v>0.52907666275330278</v>
          </cell>
        </row>
        <row r="149">
          <cell r="B149" t="str">
            <v>From Mainland China</v>
          </cell>
          <cell r="L149">
            <v>12458</v>
          </cell>
          <cell r="M149">
            <v>13840</v>
          </cell>
          <cell r="N149">
            <v>29757</v>
          </cell>
          <cell r="O149">
            <v>23029</v>
          </cell>
          <cell r="P149">
            <v>32113</v>
          </cell>
          <cell r="Q149">
            <v>22636</v>
          </cell>
          <cell r="R149">
            <v>28651</v>
          </cell>
          <cell r="S149">
            <v>21599</v>
          </cell>
          <cell r="T149">
            <v>19949</v>
          </cell>
          <cell r="U149">
            <v>14371</v>
          </cell>
          <cell r="V149">
            <v>14494</v>
          </cell>
          <cell r="W149">
            <v>17652</v>
          </cell>
          <cell r="X149">
            <v>16751</v>
          </cell>
          <cell r="Y149">
            <v>14063</v>
          </cell>
          <cell r="Z149">
            <v>23849</v>
          </cell>
          <cell r="AA149">
            <v>20003</v>
          </cell>
          <cell r="AB149">
            <v>20927</v>
          </cell>
          <cell r="AC149">
            <v>18472</v>
          </cell>
          <cell r="AD149">
            <v>21789</v>
          </cell>
          <cell r="AE149">
            <v>37245</v>
          </cell>
          <cell r="AF149">
            <v>21159</v>
          </cell>
          <cell r="AG149">
            <v>23356</v>
          </cell>
          <cell r="AH149">
            <v>24141</v>
          </cell>
          <cell r="AI149">
            <v>29848</v>
          </cell>
          <cell r="AJ149">
            <v>28133</v>
          </cell>
          <cell r="AK149">
            <v>28926</v>
          </cell>
          <cell r="AL149">
            <v>37708</v>
          </cell>
          <cell r="AM149">
            <v>26757</v>
          </cell>
          <cell r="AN149">
            <v>28145</v>
          </cell>
          <cell r="AO149">
            <v>20203</v>
          </cell>
          <cell r="AP149">
            <v>33291</v>
          </cell>
          <cell r="AQ149">
            <v>75762</v>
          </cell>
          <cell r="AR149">
            <v>83226</v>
          </cell>
          <cell r="AS149">
            <v>104790</v>
          </cell>
          <cell r="AT149">
            <v>107722</v>
          </cell>
          <cell r="AU149">
            <v>115015</v>
          </cell>
          <cell r="AV149">
            <v>135917</v>
          </cell>
          <cell r="AW149">
            <v>136869</v>
          </cell>
          <cell r="AX149">
            <v>150318</v>
          </cell>
          <cell r="AY149">
            <v>110578</v>
          </cell>
          <cell r="AZ149">
            <v>114674</v>
          </cell>
          <cell r="BA149">
            <v>165006</v>
          </cell>
          <cell r="BB149">
            <v>171319</v>
          </cell>
          <cell r="BC149">
            <v>205277</v>
          </cell>
          <cell r="BD149">
            <v>191420</v>
          </cell>
          <cell r="BE149">
            <v>244046</v>
          </cell>
          <cell r="BF149">
            <v>270224</v>
          </cell>
          <cell r="BG149">
            <v>277719</v>
          </cell>
          <cell r="BH149">
            <v>335315</v>
          </cell>
          <cell r="BI149">
            <v>318631</v>
          </cell>
          <cell r="BJ149">
            <v>360754</v>
          </cell>
          <cell r="BK149">
            <v>328872</v>
          </cell>
          <cell r="BL149">
            <v>387621</v>
          </cell>
          <cell r="BM149">
            <v>346745</v>
          </cell>
          <cell r="BN149">
            <v>382349</v>
          </cell>
          <cell r="BO149">
            <v>405899</v>
          </cell>
          <cell r="BP149">
            <v>325016</v>
          </cell>
          <cell r="BQ149">
            <v>401738</v>
          </cell>
          <cell r="BR149">
            <v>363750</v>
          </cell>
          <cell r="BS149">
            <v>360442</v>
          </cell>
          <cell r="BT149">
            <v>387336</v>
          </cell>
          <cell r="BU149">
            <v>400525</v>
          </cell>
          <cell r="BV149">
            <v>393414</v>
          </cell>
          <cell r="BW149">
            <v>374821</v>
          </cell>
          <cell r="BX149">
            <v>410488</v>
          </cell>
          <cell r="BY149">
            <v>372914</v>
          </cell>
          <cell r="BZ149">
            <v>417058</v>
          </cell>
          <cell r="CA149">
            <v>437544</v>
          </cell>
          <cell r="CB149">
            <v>359298</v>
          </cell>
          <cell r="CC149">
            <v>460891</v>
          </cell>
          <cell r="CD149">
            <v>420513</v>
          </cell>
          <cell r="CE149">
            <v>412437</v>
          </cell>
          <cell r="CF149">
            <v>457232</v>
          </cell>
          <cell r="CG149">
            <v>489712</v>
          </cell>
          <cell r="CH149">
            <v>490644</v>
          </cell>
          <cell r="CI149">
            <v>452255</v>
          </cell>
          <cell r="CJ149">
            <v>464753</v>
          </cell>
          <cell r="CK149">
            <v>408185</v>
          </cell>
          <cell r="CL149">
            <v>431787</v>
          </cell>
          <cell r="CM149">
            <v>472919</v>
          </cell>
          <cell r="CN149">
            <v>426228</v>
          </cell>
          <cell r="CO149">
            <v>498328</v>
          </cell>
          <cell r="CP149">
            <v>495241</v>
          </cell>
          <cell r="CQ149">
            <v>527336</v>
          </cell>
          <cell r="CR149">
            <v>554309</v>
          </cell>
          <cell r="CS149">
            <v>642115</v>
          </cell>
        </row>
        <row r="150">
          <cell r="B150" t="str">
            <v>Share of Mainland China</v>
          </cell>
          <cell r="L150">
            <v>6.8567717363186551E-2</v>
          </cell>
          <cell r="M150">
            <v>7.1979487926273039E-2</v>
          </cell>
          <cell r="N150">
            <v>0.14552309971978111</v>
          </cell>
          <cell r="O150">
            <v>0.13106105445274085</v>
          </cell>
          <cell r="P150">
            <v>0.14562926280655927</v>
          </cell>
          <cell r="Q150">
            <v>0.14822284501951336</v>
          </cell>
          <cell r="R150">
            <v>0.15230738970725044</v>
          </cell>
          <cell r="S150">
            <v>0.11007766950707383</v>
          </cell>
          <cell r="T150">
            <v>0.12021018252375701</v>
          </cell>
          <cell r="U150">
            <v>7.3229144904125923E-2</v>
          </cell>
          <cell r="V150">
            <v>7.4118014042228966E-2</v>
          </cell>
          <cell r="W150">
            <v>8.6004950205608929E-2</v>
          </cell>
          <cell r="X150">
            <v>7.2732088350100518E-2</v>
          </cell>
          <cell r="Y150">
            <v>7.3525874959480514E-2</v>
          </cell>
          <cell r="Z150">
            <v>0.10304169367033916</v>
          </cell>
          <cell r="AA150">
            <v>8.3941468000016783E-2</v>
          </cell>
          <cell r="AB150">
            <v>8.3237210338326428E-2</v>
          </cell>
          <cell r="AC150">
            <v>8.505543890669319E-2</v>
          </cell>
          <cell r="AD150">
            <v>9.8321375389197233E-2</v>
          </cell>
          <cell r="AE150">
            <v>0.11452036430051718</v>
          </cell>
          <cell r="AF150">
            <v>8.6724677123850819E-2</v>
          </cell>
          <cell r="AG150">
            <v>8.2563002188152865E-2</v>
          </cell>
          <cell r="AH150">
            <v>8.4625388668239446E-2</v>
          </cell>
          <cell r="AI150">
            <v>0.10405909976746375</v>
          </cell>
          <cell r="AJ150">
            <v>0.10402023242142004</v>
          </cell>
          <cell r="AK150">
            <v>9.6572584683800408E-2</v>
          </cell>
          <cell r="AL150">
            <v>0.12428682081115378</v>
          </cell>
          <cell r="AM150">
            <v>7.5153568088172099E-2</v>
          </cell>
          <cell r="AN150">
            <v>7.8848357337561736E-2</v>
          </cell>
          <cell r="AO150">
            <v>7.1100271689401293E-2</v>
          </cell>
          <cell r="AP150">
            <v>9.5404719941538069E-2</v>
          </cell>
          <cell r="AQ150">
            <v>0.19544876441770653</v>
          </cell>
          <cell r="AR150">
            <v>0.2464414839907495</v>
          </cell>
          <cell r="AS150">
            <v>0.27457094196253112</v>
          </cell>
          <cell r="AT150">
            <v>0.24205124056822114</v>
          </cell>
          <cell r="AU150">
            <v>0.24525388996573291</v>
          </cell>
          <cell r="AV150">
            <v>0.29071911362080766</v>
          </cell>
          <cell r="AW150">
            <v>0.32896773511258098</v>
          </cell>
          <cell r="AX150">
            <v>0.33057993006531633</v>
          </cell>
          <cell r="AY150">
            <v>0.37035374814953748</v>
          </cell>
          <cell r="AZ150">
            <v>0.42387547729146108</v>
          </cell>
          <cell r="BA150">
            <v>0.44857236840316761</v>
          </cell>
          <cell r="BB150">
            <v>0.38143870828407239</v>
          </cell>
          <cell r="BC150">
            <v>0.34988409749446053</v>
          </cell>
          <cell r="BD150">
            <v>0.38393806285977899</v>
          </cell>
          <cell r="BE150">
            <v>0.41274533846348993</v>
          </cell>
          <cell r="BF150">
            <v>0.40897980557779534</v>
          </cell>
          <cell r="BG150">
            <v>0.40818159237250895</v>
          </cell>
          <cell r="BH150">
            <v>0.45438222771485642</v>
          </cell>
          <cell r="BI150">
            <v>0.48293961265524255</v>
          </cell>
          <cell r="BJ150">
            <v>0.45561885805435537</v>
          </cell>
          <cell r="BK150">
            <v>0.45043060942738805</v>
          </cell>
          <cell r="BL150">
            <v>0.47703618559098948</v>
          </cell>
          <cell r="BM150">
            <v>0.47257911299676036</v>
          </cell>
          <cell r="BN150">
            <v>0.44284776120094466</v>
          </cell>
          <cell r="BO150">
            <v>0.45369535159520302</v>
          </cell>
          <cell r="BP150">
            <v>0.44188541183732349</v>
          </cell>
          <cell r="BQ150">
            <v>0.45821689847184233</v>
          </cell>
          <cell r="BR150">
            <v>0.42580164842304141</v>
          </cell>
          <cell r="BS150">
            <v>0.42949234296281819</v>
          </cell>
          <cell r="BT150">
            <v>0.46926440282477455</v>
          </cell>
          <cell r="BU150">
            <v>0.48120532909146174</v>
          </cell>
          <cell r="BV150">
            <v>0.47555867694468656</v>
          </cell>
          <cell r="BW150">
            <v>0.45122623610763335</v>
          </cell>
          <cell r="BX150">
            <v>0.47080304947074686</v>
          </cell>
          <cell r="BY150">
            <v>0.46439752629494674</v>
          </cell>
          <cell r="BZ150">
            <v>0.45665801290509078</v>
          </cell>
          <cell r="CA150">
            <v>0.46541837169945188</v>
          </cell>
          <cell r="CB150">
            <v>0.45073896260464091</v>
          </cell>
          <cell r="CC150">
            <v>0.47874731744610483</v>
          </cell>
          <cell r="CD150">
            <v>0.45016443072285289</v>
          </cell>
          <cell r="CE150">
            <v>0.44586482340515465</v>
          </cell>
          <cell r="CF150">
            <v>0.49285188422887338</v>
          </cell>
          <cell r="CG150">
            <v>0.48665821967156098</v>
          </cell>
          <cell r="CH150">
            <v>0.47007312976821319</v>
          </cell>
          <cell r="CI150">
            <v>0.45679277947126756</v>
          </cell>
          <cell r="CJ150">
            <v>0.47389442342792465</v>
          </cell>
          <cell r="CK150">
            <v>0.46547787929516626</v>
          </cell>
          <cell r="CL150">
            <v>0.45435097828351595</v>
          </cell>
          <cell r="CM150">
            <v>0.46412157553572042</v>
          </cell>
          <cell r="CN150">
            <v>0.46461292611700894</v>
          </cell>
          <cell r="CO150">
            <v>0.46936932100213147</v>
          </cell>
          <cell r="CP150">
            <v>0.46318230026916968</v>
          </cell>
          <cell r="CQ150">
            <v>0.46153294094479574</v>
          </cell>
          <cell r="CR150">
            <v>0.47960147780267698</v>
          </cell>
          <cell r="CS150">
            <v>0.51857322606227907</v>
          </cell>
        </row>
        <row r="151">
          <cell r="B151" t="str">
            <v xml:space="preserve">   % Change</v>
          </cell>
          <cell r="X151">
            <v>0.34459784877187349</v>
          </cell>
          <cell r="Y151">
            <v>1.6112716763005741E-2</v>
          </cell>
          <cell r="Z151">
            <v>-0.19854151964243705</v>
          </cell>
          <cell r="AA151">
            <v>-0.13139953971079943</v>
          </cell>
          <cell r="AB151">
            <v>-0.34833245103229227</v>
          </cell>
          <cell r="AC151">
            <v>-0.18395476232549923</v>
          </cell>
          <cell r="AD151">
            <v>-0.2395029841890336</v>
          </cell>
          <cell r="AE151">
            <v>0.72438538821241716</v>
          </cell>
          <cell r="AF151">
            <v>6.0654669406987827E-2</v>
          </cell>
          <cell r="AG151">
            <v>0.62521745181267829</v>
          </cell>
          <cell r="AH151">
            <v>0.66558575962467237</v>
          </cell>
          <cell r="AI151">
            <v>0.69091321096759573</v>
          </cell>
          <cell r="AJ151">
            <v>0.67948182198077722</v>
          </cell>
          <cell r="AK151">
            <v>1.0568868662447559</v>
          </cell>
          <cell r="AL151">
            <v>0.58111451213887366</v>
          </cell>
          <cell r="AM151">
            <v>0.33764935259711049</v>
          </cell>
          <cell r="AN151">
            <v>0.34491326993835725</v>
          </cell>
          <cell r="AO151">
            <v>9.3709398007795652E-2</v>
          </cell>
          <cell r="AP151">
            <v>0.52788104089219323</v>
          </cell>
          <cell r="AQ151">
            <v>1.0341522351993557</v>
          </cell>
          <cell r="AR151">
            <v>2.9333616900609671</v>
          </cell>
          <cell r="AS151">
            <v>3.4866415482103097</v>
          </cell>
          <cell r="AT151">
            <v>3.4622012344144819</v>
          </cell>
          <cell r="AU151">
            <v>2.8533570088448137</v>
          </cell>
          <cell r="AV151">
            <v>3.8312302278463015</v>
          </cell>
          <cell r="AW151">
            <v>3.7316946691557771</v>
          </cell>
          <cell r="AX151">
            <v>2.986368940277925</v>
          </cell>
          <cell r="AY151">
            <v>3.132675561535299</v>
          </cell>
          <cell r="AZ151">
            <v>3.074400426363475</v>
          </cell>
          <cell r="BA151">
            <v>7.1674008810572687</v>
          </cell>
          <cell r="BB151">
            <v>4.1461055540536478</v>
          </cell>
          <cell r="BC151">
            <v>1.7094981653071462</v>
          </cell>
          <cell r="BD151">
            <v>1.3000024030951867</v>
          </cell>
          <cell r="BE151">
            <v>1.3289054299074339</v>
          </cell>
          <cell r="BF151">
            <v>1.5085312192495497</v>
          </cell>
          <cell r="BG151">
            <v>1.4146328739729599</v>
          </cell>
          <cell r="BH151">
            <v>1.4670571010248903</v>
          </cell>
          <cell r="BI151">
            <v>1.3279997661997971</v>
          </cell>
          <cell r="BJ151">
            <v>1.3999387964182599</v>
          </cell>
          <cell r="BK151">
            <v>1.9741178172873446</v>
          </cell>
          <cell r="BL151">
            <v>2.380199522123585</v>
          </cell>
          <cell r="BM151">
            <v>1.1014084336327166</v>
          </cell>
          <cell r="BN151">
            <v>1.2317956560568297</v>
          </cell>
          <cell r="BO151">
            <v>0.97732332409378553</v>
          </cell>
          <cell r="BP151">
            <v>0.69792080242398913</v>
          </cell>
          <cell r="BQ151">
            <v>0.64615687206510253</v>
          </cell>
          <cell r="BR151">
            <v>0.34610545325359698</v>
          </cell>
          <cell r="BS151">
            <v>0.29786582840929143</v>
          </cell>
          <cell r="BT151">
            <v>0.15514068860623587</v>
          </cell>
          <cell r="BU151">
            <v>0.25701830644224821</v>
          </cell>
          <cell r="BV151">
            <v>9.0532606707063534E-2</v>
          </cell>
          <cell r="BW151">
            <v>0.13971697195261368</v>
          </cell>
          <cell r="BX151">
            <v>5.8993191803333733E-2</v>
          </cell>
          <cell r="BY151">
            <v>7.5470446581781925E-2</v>
          </cell>
          <cell r="BZ151">
            <v>9.0778320330378692E-2</v>
          </cell>
          <cell r="CA151">
            <v>7.7962744426569142E-2</v>
          </cell>
          <cell r="CB151">
            <v>0.1054778841657027</v>
          </cell>
          <cell r="CC151">
            <v>0.147242730336687</v>
          </cell>
          <cell r="CD151">
            <v>0.15604948453608247</v>
          </cell>
          <cell r="CE151">
            <v>0.14425344438217524</v>
          </cell>
          <cell r="CF151">
            <v>0.18045314662205425</v>
          </cell>
          <cell r="CG151">
            <v>0.22267523874914175</v>
          </cell>
          <cell r="CH151">
            <v>0.24714422974271377</v>
          </cell>
          <cell r="CI151">
            <v>0.20658927861565912</v>
          </cell>
          <cell r="CJ151">
            <v>0.13219631268149135</v>
          </cell>
          <cell r="CK151">
            <v>9.4582128855446479E-2</v>
          </cell>
          <cell r="CL151">
            <v>3.5316430808185029E-2</v>
          </cell>
          <cell r="CM151">
            <v>8.0849011756531919E-2</v>
          </cell>
          <cell r="CN151">
            <v>0.18627991249603393</v>
          </cell>
          <cell r="CO151">
            <v>8.1227448572439132E-2</v>
          </cell>
          <cell r="CP151">
            <v>0.17770675341784914</v>
          </cell>
          <cell r="CQ151">
            <v>0.27858557791856686</v>
          </cell>
          <cell r="CR151">
            <v>0.21231453616544771</v>
          </cell>
          <cell r="CS151">
            <v>0.31120944555167118</v>
          </cell>
        </row>
        <row r="153">
          <cell r="B153" t="str">
            <v>From Hong Kong</v>
          </cell>
          <cell r="L153">
            <v>174260</v>
          </cell>
          <cell r="M153">
            <v>208845</v>
          </cell>
          <cell r="N153">
            <v>189375</v>
          </cell>
          <cell r="O153">
            <v>225476</v>
          </cell>
          <cell r="P153">
            <v>182491</v>
          </cell>
          <cell r="Q153">
            <v>170014</v>
          </cell>
          <cell r="R153">
            <v>223265</v>
          </cell>
          <cell r="S153">
            <v>236295</v>
          </cell>
          <cell r="T153">
            <v>185803</v>
          </cell>
          <cell r="U153">
            <v>201934</v>
          </cell>
          <cell r="V153">
            <v>182975</v>
          </cell>
          <cell r="W153">
            <v>207721</v>
          </cell>
          <cell r="X153">
            <v>236151</v>
          </cell>
          <cell r="Y153">
            <v>191449</v>
          </cell>
          <cell r="Z153">
            <v>222613</v>
          </cell>
          <cell r="AA153">
            <v>247126</v>
          </cell>
          <cell r="AB153">
            <v>203203</v>
          </cell>
          <cell r="AC153">
            <v>196992</v>
          </cell>
          <cell r="AD153">
            <v>216894</v>
          </cell>
          <cell r="AE153">
            <v>254341</v>
          </cell>
          <cell r="AF153">
            <v>190057</v>
          </cell>
          <cell r="AG153">
            <v>213387</v>
          </cell>
          <cell r="AH153">
            <v>194269</v>
          </cell>
          <cell r="AI153">
            <v>213910</v>
          </cell>
          <cell r="AJ153">
            <v>189562</v>
          </cell>
          <cell r="AK153">
            <v>232425</v>
          </cell>
          <cell r="AL153">
            <v>233180</v>
          </cell>
          <cell r="AM153">
            <v>234671</v>
          </cell>
          <cell r="AN153">
            <v>208687</v>
          </cell>
          <cell r="AO153">
            <v>202244</v>
          </cell>
          <cell r="AP153">
            <v>232734</v>
          </cell>
          <cell r="AQ153">
            <v>245132</v>
          </cell>
          <cell r="AR153">
            <v>188974</v>
          </cell>
          <cell r="AS153">
            <v>207153</v>
          </cell>
          <cell r="AT153">
            <v>194190</v>
          </cell>
          <cell r="AU153">
            <v>208149</v>
          </cell>
          <cell r="AV153">
            <v>191298</v>
          </cell>
          <cell r="AW153">
            <v>239505</v>
          </cell>
          <cell r="AX153">
            <v>185773</v>
          </cell>
          <cell r="AY153">
            <v>143183</v>
          </cell>
          <cell r="AZ153">
            <v>144622</v>
          </cell>
          <cell r="BA153">
            <v>192376</v>
          </cell>
          <cell r="BB153">
            <v>219163</v>
          </cell>
          <cell r="BC153">
            <v>238489</v>
          </cell>
          <cell r="BD153">
            <v>175725</v>
          </cell>
          <cell r="BE153">
            <v>189433</v>
          </cell>
          <cell r="BF153">
            <v>172284</v>
          </cell>
          <cell r="BG153">
            <v>192793</v>
          </cell>
          <cell r="BH153">
            <v>213770</v>
          </cell>
          <cell r="BI153">
            <v>166701</v>
          </cell>
          <cell r="BJ153">
            <v>179238</v>
          </cell>
          <cell r="BK153">
            <v>223787</v>
          </cell>
          <cell r="BL153">
            <v>185600</v>
          </cell>
          <cell r="BM153">
            <v>193768</v>
          </cell>
          <cell r="BN153">
            <v>223231</v>
          </cell>
          <cell r="BO153">
            <v>254314</v>
          </cell>
          <cell r="BP153">
            <v>203376</v>
          </cell>
          <cell r="BQ153">
            <v>232046</v>
          </cell>
          <cell r="BR153">
            <v>215687</v>
          </cell>
          <cell r="BS153">
            <v>241655</v>
          </cell>
          <cell r="BT153">
            <v>208040</v>
          </cell>
          <cell r="BU153">
            <v>255163</v>
          </cell>
          <cell r="BV153">
            <v>263160</v>
          </cell>
          <cell r="BW153">
            <v>248339</v>
          </cell>
          <cell r="BX153">
            <v>241597</v>
          </cell>
          <cell r="BY153">
            <v>219260</v>
          </cell>
          <cell r="BZ153">
            <v>268152</v>
          </cell>
          <cell r="CA153">
            <v>281766</v>
          </cell>
          <cell r="CB153">
            <v>235201</v>
          </cell>
          <cell r="CC153">
            <v>255556</v>
          </cell>
          <cell r="CD153">
            <v>245787</v>
          </cell>
          <cell r="CE153">
            <v>271499</v>
          </cell>
          <cell r="CF153">
            <v>270568</v>
          </cell>
          <cell r="CG153">
            <v>296397</v>
          </cell>
          <cell r="CH153">
            <v>289521</v>
          </cell>
          <cell r="CI153">
            <v>335219</v>
          </cell>
          <cell r="CJ153">
            <v>262277</v>
          </cell>
          <cell r="CK153">
            <v>257661</v>
          </cell>
          <cell r="CL153">
            <v>301719</v>
          </cell>
          <cell r="CM153">
            <v>320618</v>
          </cell>
          <cell r="CN153">
            <v>305275</v>
          </cell>
          <cell r="CO153">
            <v>343401</v>
          </cell>
          <cell r="CP153">
            <v>324600</v>
          </cell>
          <cell r="CQ153">
            <v>361094</v>
          </cell>
          <cell r="CR153">
            <v>327693</v>
          </cell>
          <cell r="CS153">
            <v>346155</v>
          </cell>
        </row>
        <row r="154">
          <cell r="B154" t="str">
            <v>Share of Hong Kong</v>
          </cell>
          <cell r="L154">
            <v>0.51387000793245907</v>
          </cell>
          <cell r="M154">
            <v>0.43327310032633704</v>
          </cell>
          <cell r="N154">
            <v>0.5043759188630601</v>
          </cell>
          <cell r="O154">
            <v>0.48588624957170656</v>
          </cell>
          <cell r="P154">
            <v>0.51412577404396065</v>
          </cell>
          <cell r="Q154">
            <v>0.4976830371387338</v>
          </cell>
          <cell r="R154">
            <v>0.46405552079847523</v>
          </cell>
          <cell r="S154">
            <v>0.44657689581856841</v>
          </cell>
          <cell r="T154">
            <v>0.47713487445238228</v>
          </cell>
          <cell r="U154">
            <v>0.5011652176934398</v>
          </cell>
          <cell r="V154">
            <v>0.50774486080895087</v>
          </cell>
          <cell r="W154">
            <v>0.47811746183733222</v>
          </cell>
          <cell r="X154">
            <v>0.46746375018557923</v>
          </cell>
          <cell r="Y154">
            <v>0.51437683371127041</v>
          </cell>
          <cell r="Z154">
            <v>0.49949514894228092</v>
          </cell>
          <cell r="AA154">
            <v>0.49528218694885362</v>
          </cell>
          <cell r="AB154">
            <v>0.52957717847946872</v>
          </cell>
          <cell r="AC154">
            <v>0.49116368133402483</v>
          </cell>
          <cell r="AD154">
            <v>0.48314298888673557</v>
          </cell>
          <cell r="AE154">
            <v>0.47035032954352118</v>
          </cell>
          <cell r="AF154">
            <v>0.50015131618767417</v>
          </cell>
          <cell r="AG154">
            <v>0.52907879142512859</v>
          </cell>
          <cell r="AH154">
            <v>0.51597849702262377</v>
          </cell>
          <cell r="AI154">
            <v>0.48631935524206843</v>
          </cell>
          <cell r="AJ154">
            <v>0.52472893258815745</v>
          </cell>
          <cell r="AK154">
            <v>0.48229859870391006</v>
          </cell>
          <cell r="AL154">
            <v>0.50237528411845178</v>
          </cell>
          <cell r="AM154">
            <v>0.53284908539354414</v>
          </cell>
          <cell r="AN154">
            <v>0.52534236229986908</v>
          </cell>
          <cell r="AO154">
            <v>0.50254073247640041</v>
          </cell>
          <cell r="AP154">
            <v>0.49195692887853587</v>
          </cell>
          <cell r="AQ154">
            <v>0.46579928970605838</v>
          </cell>
          <cell r="AR154">
            <v>0.50777213210340633</v>
          </cell>
          <cell r="AS154">
            <v>0.52945641728177972</v>
          </cell>
          <cell r="AT154">
            <v>0.51975268989882772</v>
          </cell>
          <cell r="AU154">
            <v>0.49838738641669361</v>
          </cell>
          <cell r="AV154">
            <v>0.51704537776059978</v>
          </cell>
          <cell r="AW154">
            <v>0.50709494651795017</v>
          </cell>
          <cell r="AX154">
            <v>0.52229641396179205</v>
          </cell>
          <cell r="AY154">
            <v>0.484948552771512</v>
          </cell>
          <cell r="AZ154">
            <v>0.49682745258355637</v>
          </cell>
          <cell r="BA154">
            <v>0.48745359871279981</v>
          </cell>
          <cell r="BB154">
            <v>0.47333887671025776</v>
          </cell>
          <cell r="BC154">
            <v>0.45122479599346876</v>
          </cell>
          <cell r="BD154">
            <v>0.50324470766129037</v>
          </cell>
          <cell r="BE154">
            <v>0.51687039563437931</v>
          </cell>
          <cell r="BF154">
            <v>0.50389583040853569</v>
          </cell>
          <cell r="BG154">
            <v>0.48802671081342425</v>
          </cell>
          <cell r="BH154">
            <v>0.46703836893780831</v>
          </cell>
          <cell r="BI154">
            <v>0.50044881012779829</v>
          </cell>
          <cell r="BJ154">
            <v>0.48852402717929011</v>
          </cell>
          <cell r="BK154">
            <v>0.49220519858708228</v>
          </cell>
          <cell r="BL154">
            <v>0.49880271223974781</v>
          </cell>
          <cell r="BM154">
            <v>0.48357133231179278</v>
          </cell>
          <cell r="BN154">
            <v>0.46558254391343701</v>
          </cell>
          <cell r="BO154">
            <v>0.48121054782700839</v>
          </cell>
          <cell r="BP154">
            <v>0.52007139678919023</v>
          </cell>
          <cell r="BQ154">
            <v>0.54857469775270806</v>
          </cell>
          <cell r="BR154">
            <v>0.55746327292276199</v>
          </cell>
          <cell r="BS154">
            <v>0.5288133293652183</v>
          </cell>
          <cell r="BT154">
            <v>0.5518961149208792</v>
          </cell>
          <cell r="BU154">
            <v>0.515025088911226</v>
          </cell>
          <cell r="BV154">
            <v>0.54178581795947101</v>
          </cell>
          <cell r="BW154">
            <v>0.56485356600220171</v>
          </cell>
          <cell r="BX154">
            <v>0.54643512246315018</v>
          </cell>
          <cell r="BY154">
            <v>0.52982084777135019</v>
          </cell>
          <cell r="BZ154">
            <v>0.51505885245397831</v>
          </cell>
          <cell r="CA154">
            <v>0.50121850996687789</v>
          </cell>
          <cell r="CB154">
            <v>0.52554419959869325</v>
          </cell>
          <cell r="CC154">
            <v>0.54459477601921324</v>
          </cell>
          <cell r="CD154">
            <v>0.5521045325282693</v>
          </cell>
          <cell r="CE154">
            <v>0.52576958232633075</v>
          </cell>
          <cell r="CF154">
            <v>0.5114948721584196</v>
          </cell>
          <cell r="CG154">
            <v>0.54208716645024413</v>
          </cell>
          <cell r="CH154">
            <v>0.55658170199758927</v>
          </cell>
          <cell r="CI154">
            <v>0.53790559264946813</v>
          </cell>
          <cell r="CJ154">
            <v>0.53905235206103352</v>
          </cell>
          <cell r="CK154">
            <v>0.53038493207081105</v>
          </cell>
          <cell r="CL154">
            <v>0.51086082331965821</v>
          </cell>
          <cell r="CM154">
            <v>0.50429951759208136</v>
          </cell>
          <cell r="CN154">
            <v>0.52730809025600633</v>
          </cell>
          <cell r="CO154">
            <v>0.53532111378892133</v>
          </cell>
          <cell r="CP154">
            <v>0.5445532096932485</v>
          </cell>
          <cell r="CQ154">
            <v>0.51124083085448435</v>
          </cell>
          <cell r="CR154">
            <v>0.5422660486544002</v>
          </cell>
          <cell r="CS154">
            <v>0.50994612607118073</v>
          </cell>
        </row>
        <row r="155">
          <cell r="B155" t="str">
            <v xml:space="preserve">   % Change</v>
          </cell>
          <cell r="X155">
            <v>0.35516469643062099</v>
          </cell>
          <cell r="Y155">
            <v>-8.3296224472695024E-2</v>
          </cell>
          <cell r="Z155">
            <v>0.17551419141914182</v>
          </cell>
          <cell r="AA155">
            <v>9.6019088506093864E-2</v>
          </cell>
          <cell r="AB155">
            <v>0.11349600802231352</v>
          </cell>
          <cell r="AC155">
            <v>0.15868104979589925</v>
          </cell>
          <cell r="AD155">
            <v>-2.8535596712426892E-2</v>
          </cell>
          <cell r="AE155">
            <v>7.6370638396919155E-2</v>
          </cell>
          <cell r="AF155">
            <v>2.2895216977120825E-2</v>
          </cell>
          <cell r="AG155">
            <v>5.6716550952291334E-2</v>
          </cell>
          <cell r="AH155">
            <v>6.1724279273124738E-2</v>
          </cell>
          <cell r="AI155">
            <v>2.9794772796202684E-2</v>
          </cell>
          <cell r="AJ155">
            <v>-0.19728478812285355</v>
          </cell>
          <cell r="AK155">
            <v>0.21403089073330239</v>
          </cell>
          <cell r="AL155">
            <v>4.7468027473687613E-2</v>
          </cell>
          <cell r="AM155">
            <v>-5.0399391403575522E-2</v>
          </cell>
          <cell r="AN155">
            <v>2.6987790534588552E-2</v>
          </cell>
          <cell r="AO155">
            <v>2.6660981156595209E-2</v>
          </cell>
          <cell r="AP155">
            <v>7.3031065866275613E-2</v>
          </cell>
          <cell r="AQ155">
            <v>-3.6207296503512953E-2</v>
          </cell>
          <cell r="AR155">
            <v>-5.6982905128460937E-3</v>
          </cell>
          <cell r="AS155">
            <v>-2.9214525720873352E-2</v>
          </cell>
          <cell r="AT155">
            <v>-4.0665263114547656E-4</v>
          </cell>
          <cell r="AU155">
            <v>-2.6931887242298114E-2</v>
          </cell>
          <cell r="AV155">
            <v>9.1579535982950766E-3</v>
          </cell>
          <cell r="AW155">
            <v>3.0461439173927074E-2</v>
          </cell>
          <cell r="AX155">
            <v>-0.20330645852989104</v>
          </cell>
          <cell r="AY155">
            <v>-0.38985643731010644</v>
          </cell>
          <cell r="AZ155">
            <v>-0.30699085232908618</v>
          </cell>
          <cell r="BA155">
            <v>-4.8792547615751247E-2</v>
          </cell>
          <cell r="BB155">
            <v>-5.8311205066728489E-2</v>
          </cell>
          <cell r="BC155">
            <v>-2.7099685067637047E-2</v>
          </cell>
          <cell r="BD155">
            <v>-7.0110173886354765E-2</v>
          </cell>
          <cell r="BE155">
            <v>-8.5540639044570876E-2</v>
          </cell>
          <cell r="BF155">
            <v>-0.1128070446469952</v>
          </cell>
          <cell r="BG155">
            <v>-7.3774075301827002E-2</v>
          </cell>
          <cell r="BH155">
            <v>0.11747117063429835</v>
          </cell>
          <cell r="BI155">
            <v>-0.30397695246445799</v>
          </cell>
          <cell r="BJ155">
            <v>-3.5177340087095499E-2</v>
          </cell>
          <cell r="BK155">
            <v>0.56294392490728651</v>
          </cell>
          <cell r="BL155">
            <v>0.28334554908658438</v>
          </cell>
          <cell r="BM155">
            <v>7.2358298332433346E-3</v>
          </cell>
          <cell r="BN155">
            <v>1.8561527265094968E-2</v>
          </cell>
          <cell r="BO155">
            <v>6.6355261668253007E-2</v>
          </cell>
          <cell r="BP155">
            <v>0.15735381988903119</v>
          </cell>
          <cell r="BQ155">
            <v>0.22495024626121118</v>
          </cell>
          <cell r="BR155">
            <v>0.25192705068375476</v>
          </cell>
          <cell r="BS155">
            <v>0.25344281172034244</v>
          </cell>
          <cell r="BT155">
            <v>-2.6804509519577135E-2</v>
          </cell>
          <cell r="BU155">
            <v>0.53066268348720169</v>
          </cell>
          <cell r="BV155">
            <v>0.46821544538546522</v>
          </cell>
          <cell r="BW155">
            <v>0.10971146670718146</v>
          </cell>
          <cell r="BX155">
            <v>0.30170797413793093</v>
          </cell>
          <cell r="BY155">
            <v>0.13155939061145294</v>
          </cell>
          <cell r="BZ155">
            <v>0.20123101182183478</v>
          </cell>
          <cell r="CA155">
            <v>0.1079452959726952</v>
          </cell>
          <cell r="CB155">
            <v>0.1564835575485799</v>
          </cell>
          <cell r="CC155">
            <v>0.10131611835584331</v>
          </cell>
          <cell r="CD155">
            <v>0.13955407604538062</v>
          </cell>
          <cell r="CE155">
            <v>0.12349837578365852</v>
          </cell>
          <cell r="CF155">
            <v>0.30055758507979236</v>
          </cell>
          <cell r="CG155">
            <v>0.16159866438315906</v>
          </cell>
          <cell r="CH155">
            <v>0.10017099863201095</v>
          </cell>
          <cell r="CI155">
            <v>0.34984436596748791</v>
          </cell>
          <cell r="CJ155">
            <v>8.5597089367831503E-2</v>
          </cell>
          <cell r="CK155">
            <v>0.17513910425978296</v>
          </cell>
          <cell r="CL155">
            <v>0.12517900295354867</v>
          </cell>
          <cell r="CM155">
            <v>0.1378874669051624</v>
          </cell>
          <cell r="CN155">
            <v>0.29793240674997135</v>
          </cell>
          <cell r="CO155">
            <v>0.34374070653790167</v>
          </cell>
          <cell r="CP155">
            <v>0.32065568968252989</v>
          </cell>
          <cell r="CQ155">
            <v>0.33000121547409011</v>
          </cell>
          <cell r="CR155">
            <v>0.21112991928092018</v>
          </cell>
          <cell r="CS155">
            <v>0.16787619307887724</v>
          </cell>
        </row>
        <row r="157">
          <cell r="B157" t="str">
            <v>From PRC + Hong Kong</v>
          </cell>
          <cell r="L157">
            <v>186718</v>
          </cell>
          <cell r="M157">
            <v>222685</v>
          </cell>
          <cell r="N157">
            <v>219132</v>
          </cell>
          <cell r="O157">
            <v>248505</v>
          </cell>
          <cell r="P157">
            <v>214604</v>
          </cell>
          <cell r="Q157">
            <v>192650</v>
          </cell>
          <cell r="R157">
            <v>251916</v>
          </cell>
          <cell r="S157">
            <v>257894</v>
          </cell>
          <cell r="T157">
            <v>205752</v>
          </cell>
          <cell r="U157">
            <v>216305</v>
          </cell>
          <cell r="V157">
            <v>197469</v>
          </cell>
          <cell r="W157">
            <v>225373</v>
          </cell>
          <cell r="X157">
            <v>252902</v>
          </cell>
          <cell r="Y157">
            <v>205512</v>
          </cell>
          <cell r="Z157">
            <v>246462</v>
          </cell>
          <cell r="AA157">
            <v>267129</v>
          </cell>
          <cell r="AB157">
            <v>224130</v>
          </cell>
          <cell r="AC157">
            <v>215464</v>
          </cell>
          <cell r="AD157">
            <v>238683</v>
          </cell>
          <cell r="AE157">
            <v>291586</v>
          </cell>
          <cell r="AF157">
            <v>211216</v>
          </cell>
          <cell r="AG157">
            <v>236743</v>
          </cell>
          <cell r="AH157">
            <v>218410</v>
          </cell>
          <cell r="AI157">
            <v>243758</v>
          </cell>
          <cell r="AJ157">
            <v>217695</v>
          </cell>
          <cell r="AK157">
            <v>261351</v>
          </cell>
          <cell r="AL157">
            <v>270888</v>
          </cell>
          <cell r="AM157">
            <v>261428</v>
          </cell>
          <cell r="AN157">
            <v>236832</v>
          </cell>
          <cell r="AO157">
            <v>222447</v>
          </cell>
          <cell r="AP157">
            <v>266025</v>
          </cell>
          <cell r="AQ157">
            <v>320894</v>
          </cell>
          <cell r="AR157">
            <v>272200</v>
          </cell>
          <cell r="AS157">
            <v>311943</v>
          </cell>
          <cell r="AT157">
            <v>301912</v>
          </cell>
          <cell r="AU157">
            <v>323164</v>
          </cell>
          <cell r="AV157">
            <v>327215</v>
          </cell>
          <cell r="AW157">
            <v>376374</v>
          </cell>
          <cell r="AX157">
            <v>336091</v>
          </cell>
          <cell r="AY157">
            <v>253761</v>
          </cell>
          <cell r="AZ157">
            <v>259296</v>
          </cell>
          <cell r="BA157">
            <v>357382</v>
          </cell>
          <cell r="BB157">
            <v>390482</v>
          </cell>
          <cell r="BC157">
            <v>443766</v>
          </cell>
          <cell r="BD157">
            <v>367145</v>
          </cell>
          <cell r="BE157">
            <v>433479</v>
          </cell>
          <cell r="BF157">
            <v>442508</v>
          </cell>
          <cell r="BG157">
            <v>470512</v>
          </cell>
          <cell r="BH157">
            <v>549085</v>
          </cell>
          <cell r="BI157">
            <v>485332</v>
          </cell>
          <cell r="BJ157">
            <v>539992</v>
          </cell>
          <cell r="BK157">
            <v>552659</v>
          </cell>
          <cell r="BL157">
            <v>573221</v>
          </cell>
          <cell r="BM157">
            <v>540513</v>
          </cell>
          <cell r="BN157">
            <v>605580</v>
          </cell>
          <cell r="BO157">
            <v>660213</v>
          </cell>
          <cell r="BP157">
            <v>528392</v>
          </cell>
          <cell r="BQ157">
            <v>633784</v>
          </cell>
          <cell r="BR157">
            <v>579437</v>
          </cell>
          <cell r="BS157">
            <v>602097</v>
          </cell>
          <cell r="BT157">
            <v>595376</v>
          </cell>
          <cell r="BU157">
            <v>655688</v>
          </cell>
          <cell r="BV157">
            <v>656574</v>
          </cell>
          <cell r="BW157">
            <v>623160</v>
          </cell>
          <cell r="BX157">
            <v>652085</v>
          </cell>
          <cell r="BY157">
            <v>592174</v>
          </cell>
          <cell r="BZ157">
            <v>685210</v>
          </cell>
          <cell r="CA157">
            <v>719310</v>
          </cell>
          <cell r="CB157">
            <v>594499</v>
          </cell>
          <cell r="CC157">
            <v>716447</v>
          </cell>
          <cell r="CD157">
            <v>666300</v>
          </cell>
          <cell r="CE157">
            <v>683936</v>
          </cell>
          <cell r="CF157">
            <v>727800</v>
          </cell>
          <cell r="CG157">
            <v>786109</v>
          </cell>
          <cell r="CH157">
            <v>780165</v>
          </cell>
          <cell r="CI157">
            <v>787474</v>
          </cell>
          <cell r="CJ157">
            <v>727030</v>
          </cell>
          <cell r="CK157">
            <v>665846</v>
          </cell>
          <cell r="CL157">
            <v>733506</v>
          </cell>
          <cell r="CM157">
            <v>793537</v>
          </cell>
          <cell r="CN157">
            <v>731503</v>
          </cell>
          <cell r="CO157">
            <v>841729</v>
          </cell>
          <cell r="CP157">
            <v>819841</v>
          </cell>
          <cell r="CQ157">
            <v>888430</v>
          </cell>
          <cell r="CR157">
            <v>882002</v>
          </cell>
          <cell r="CS157">
            <v>988270</v>
          </cell>
        </row>
        <row r="158">
          <cell r="B158" t="str">
            <v>Share of Total Same-Day</v>
          </cell>
          <cell r="L158">
            <v>0.69653741988913176</v>
          </cell>
          <cell r="M158">
            <v>0.72214745512623024</v>
          </cell>
          <cell r="N158">
            <v>0.71256414091816622</v>
          </cell>
          <cell r="O158">
            <v>0.7179693865168929</v>
          </cell>
          <cell r="P158">
            <v>0.68030204086808221</v>
          </cell>
          <cell r="Q158">
            <v>0.65464863395405737</v>
          </cell>
          <cell r="R158">
            <v>0.66029046741611908</v>
          </cell>
          <cell r="S158">
            <v>0.67170741109241594</v>
          </cell>
          <cell r="T158">
            <v>0.61744555578562621</v>
          </cell>
          <cell r="U158">
            <v>0.61237171774364785</v>
          </cell>
          <cell r="V158">
            <v>0.60832878940509971</v>
          </cell>
          <cell r="W158">
            <v>0.64548123326316398</v>
          </cell>
          <cell r="X158">
            <v>0.69719909577107575</v>
          </cell>
          <cell r="Y158">
            <v>0.64904606852641988</v>
          </cell>
          <cell r="Z158">
            <v>0.64270347374158032</v>
          </cell>
          <cell r="AA158">
            <v>0.64450433322395728</v>
          </cell>
          <cell r="AB158">
            <v>0.60667825183115975</v>
          </cell>
          <cell r="AC158">
            <v>0.60557106039015973</v>
          </cell>
          <cell r="AD158">
            <v>0.63538497168914765</v>
          </cell>
          <cell r="AE158">
            <v>0.66723874381012527</v>
          </cell>
          <cell r="AF158">
            <v>0.6325593653322632</v>
          </cell>
          <cell r="AG158">
            <v>0.64152083547857375</v>
          </cell>
          <cell r="AH158">
            <v>0.63704615456412172</v>
          </cell>
          <cell r="AI158">
            <v>0.64807365597258371</v>
          </cell>
          <cell r="AJ158">
            <v>0.66306546132384658</v>
          </cell>
          <cell r="AK158">
            <v>0.69032362015045223</v>
          </cell>
          <cell r="AL158">
            <v>0.64154831008831448</v>
          </cell>
          <cell r="AM158">
            <v>0.62261364935411345</v>
          </cell>
          <cell r="AN158">
            <v>0.61046412719033705</v>
          </cell>
          <cell r="AO158">
            <v>0.61216419265888411</v>
          </cell>
          <cell r="AP158">
            <v>0.63419919612078213</v>
          </cell>
          <cell r="AQ158">
            <v>0.67587650753398398</v>
          </cell>
          <cell r="AR158">
            <v>0.66421186455153503</v>
          </cell>
          <cell r="AS158">
            <v>0.66999793809118791</v>
          </cell>
          <cell r="AT158">
            <v>0.68439509721469749</v>
          </cell>
          <cell r="AU158">
            <v>0.71098340927241488</v>
          </cell>
          <cell r="AV158">
            <v>0.75056197816313419</v>
          </cell>
          <cell r="AW158">
            <v>0.75759814331349296</v>
          </cell>
          <cell r="AX158">
            <v>0.74355099909736111</v>
          </cell>
          <cell r="AY158">
            <v>0.8333940904657281</v>
          </cell>
          <cell r="AZ158">
            <v>0.9252178381040056</v>
          </cell>
          <cell r="BA158">
            <v>0.91415372573495368</v>
          </cell>
          <cell r="BB158">
            <v>0.7944328139273239</v>
          </cell>
          <cell r="BC158">
            <v>0.7881425016827901</v>
          </cell>
          <cell r="BD158">
            <v>0.75824759088149163</v>
          </cell>
          <cell r="BE158">
            <v>0.7882883947779501</v>
          </cell>
          <cell r="BF158">
            <v>0.79689101069165291</v>
          </cell>
          <cell r="BG158">
            <v>0.81837282758428764</v>
          </cell>
          <cell r="BH158">
            <v>0.84881655569863479</v>
          </cell>
          <cell r="BI158">
            <v>0.85253054714342924</v>
          </cell>
          <cell r="BJ158">
            <v>0.83480508558424849</v>
          </cell>
          <cell r="BK158">
            <v>0.81799909120915071</v>
          </cell>
          <cell r="BL158">
            <v>0.85066052883859111</v>
          </cell>
          <cell r="BM158">
            <v>0.81980498059361251</v>
          </cell>
          <cell r="BN158">
            <v>0.82835202293636967</v>
          </cell>
          <cell r="BO158">
            <v>0.82653291168716059</v>
          </cell>
          <cell r="BP158">
            <v>0.7911635101000648</v>
          </cell>
          <cell r="BQ158">
            <v>0.80698881672182121</v>
          </cell>
          <cell r="BR158">
            <v>0.78931724467680786</v>
          </cell>
          <cell r="BS158">
            <v>0.79208802600577</v>
          </cell>
          <cell r="BT158">
            <v>0.8101830809970797</v>
          </cell>
          <cell r="BU158">
            <v>0.82254752284094568</v>
          </cell>
          <cell r="BV158">
            <v>0.80470290628627039</v>
          </cell>
          <cell r="BW158">
            <v>0.79481652487787458</v>
          </cell>
          <cell r="BX158">
            <v>0.80165842983944335</v>
          </cell>
          <cell r="BY158">
            <v>0.79086762869525151</v>
          </cell>
          <cell r="BZ158">
            <v>0.80646148414052843</v>
          </cell>
          <cell r="CA158">
            <v>0.81312604352362527</v>
          </cell>
          <cell r="CB158">
            <v>0.80251486578608122</v>
          </cell>
          <cell r="CC158">
            <v>0.81585204484842133</v>
          </cell>
          <cell r="CD158">
            <v>0.81442123288927026</v>
          </cell>
          <cell r="CE158">
            <v>0.82240913873440558</v>
          </cell>
          <cell r="CF158">
            <v>0.84263516259338977</v>
          </cell>
          <cell r="CG158">
            <v>0.83709744230844996</v>
          </cell>
          <cell r="CH158">
            <v>0.82031102138666334</v>
          </cell>
          <cell r="CI158">
            <v>0.820161538101016</v>
          </cell>
          <cell r="CJ158">
            <v>0.81716033327975746</v>
          </cell>
          <cell r="CK158">
            <v>0.80771950851152363</v>
          </cell>
          <cell r="CL158">
            <v>0.80716727868556604</v>
          </cell>
          <cell r="CM158">
            <v>0.81450479698888489</v>
          </cell>
          <cell r="CN158">
            <v>0.81386807714302878</v>
          </cell>
          <cell r="CO158">
            <v>0.82184848514435793</v>
          </cell>
          <cell r="CP158">
            <v>0.81709963073887104</v>
          </cell>
          <cell r="CQ158">
            <v>0.82410910821307748</v>
          </cell>
          <cell r="CR158">
            <v>0.83582041463042511</v>
          </cell>
          <cell r="CS158">
            <v>0.86099286825703547</v>
          </cell>
        </row>
        <row r="159">
          <cell r="B159" t="str">
            <v xml:space="preserve">   % Change</v>
          </cell>
          <cell r="X159">
            <v>0.3544596664488695</v>
          </cell>
          <cell r="Y159">
            <v>-7.711790196914925E-2</v>
          </cell>
          <cell r="Z159">
            <v>0.12471934724275768</v>
          </cell>
          <cell r="AA159">
            <v>7.4944166113357857E-2</v>
          </cell>
          <cell r="AB159">
            <v>4.4388734599541513E-2</v>
          </cell>
          <cell r="AC159">
            <v>0.11842200882429266</v>
          </cell>
          <cell r="AD159">
            <v>-5.2529414566760302E-2</v>
          </cell>
          <cell r="AE159">
            <v>0.13064282224479817</v>
          </cell>
          <cell r="AF159">
            <v>2.6556242466658997E-2</v>
          </cell>
          <cell r="AG159">
            <v>9.4486951295624344E-2</v>
          </cell>
          <cell r="AH159">
            <v>0.10604702510267439</v>
          </cell>
          <cell r="AI159">
            <v>8.1575876435952877E-2</v>
          </cell>
          <cell r="AJ159">
            <v>-0.13921202679298705</v>
          </cell>
          <cell r="AK159">
            <v>0.2717067616489548</v>
          </cell>
          <cell r="AL159">
            <v>9.9106555980232214E-2</v>
          </cell>
          <cell r="AM159">
            <v>-2.1341748743116673E-2</v>
          </cell>
          <cell r="AN159">
            <v>5.6672466871904748E-2</v>
          </cell>
          <cell r="AO159">
            <v>3.2409126350573692E-2</v>
          </cell>
          <cell r="AP159">
            <v>0.11455361295106892</v>
          </cell>
          <cell r="AQ159">
            <v>0.10051237027840854</v>
          </cell>
          <cell r="AR159">
            <v>0.28872812665707137</v>
          </cell>
          <cell r="AS159">
            <v>0.3176440274897252</v>
          </cell>
          <cell r="AT159">
            <v>0.38231765944782747</v>
          </cell>
          <cell r="AU159">
            <v>0.32575751359955363</v>
          </cell>
          <cell r="AV159">
            <v>0.50308918440938011</v>
          </cell>
          <cell r="AW159">
            <v>0.44010927832684787</v>
          </cell>
          <cell r="AX159">
            <v>0.24070095389976665</v>
          </cell>
          <cell r="AY159">
            <v>-2.9327386507948638E-2</v>
          </cell>
          <cell r="AZ159">
            <v>9.4852047020672847E-2</v>
          </cell>
          <cell r="BA159">
            <v>0.60659393023956265</v>
          </cell>
          <cell r="BB159">
            <v>0.46783948876985249</v>
          </cell>
          <cell r="BC159">
            <v>0.38290525843424938</v>
          </cell>
          <cell r="BD159">
            <v>0.34880602498163116</v>
          </cell>
          <cell r="BE159">
            <v>0.38960964022273292</v>
          </cell>
          <cell r="BF159">
            <v>0.46568536527199988</v>
          </cell>
          <cell r="BG159">
            <v>0.45595425233008635</v>
          </cell>
          <cell r="BH159">
            <v>0.6780557126048623</v>
          </cell>
          <cell r="BI159">
            <v>0.28949396079431633</v>
          </cell>
          <cell r="BJ159">
            <v>0.60668390406169759</v>
          </cell>
          <cell r="BK159">
            <v>1.1778720922442769</v>
          </cell>
          <cell r="BL159">
            <v>1.2106820004936445</v>
          </cell>
          <cell r="BM159">
            <v>0.5124236811031333</v>
          </cell>
          <cell r="BN159">
            <v>0.55085253609641427</v>
          </cell>
          <cell r="BO159">
            <v>0.48775030083422344</v>
          </cell>
          <cell r="BP159">
            <v>0.43919160004902702</v>
          </cell>
          <cell r="BQ159">
            <v>0.46208697537827659</v>
          </cell>
          <cell r="BR159">
            <v>0.30943847342872899</v>
          </cell>
          <cell r="BS159">
            <v>0.27966343047573705</v>
          </cell>
          <cell r="BT159">
            <v>8.4305708587923522E-2</v>
          </cell>
          <cell r="BU159">
            <v>0.35100920606924735</v>
          </cell>
          <cell r="BV159">
            <v>0.21589579104875622</v>
          </cell>
          <cell r="BW159">
            <v>0.12756690834673812</v>
          </cell>
          <cell r="BX159">
            <v>0.13758044454058727</v>
          </cell>
          <cell r="BY159">
            <v>9.5577719684817986E-2</v>
          </cell>
          <cell r="BZ159">
            <v>0.13149377456322875</v>
          </cell>
          <cell r="CA159">
            <v>8.9512021120456531E-2</v>
          </cell>
          <cell r="CB159">
            <v>0.12510976699117315</v>
          </cell>
          <cell r="CC159">
            <v>0.13042771669843356</v>
          </cell>
          <cell r="CD159">
            <v>0.14990930851844109</v>
          </cell>
          <cell r="CE159">
            <v>0.13592328146461452</v>
          </cell>
          <cell r="CF159">
            <v>0.22242078955147671</v>
          </cell>
          <cell r="CG159">
            <v>0.19890710215834351</v>
          </cell>
          <cell r="CH159">
            <v>0.18823620795218821</v>
          </cell>
          <cell r="CI159">
            <v>0.2636786700044933</v>
          </cell>
          <cell r="CJ159">
            <v>0.11493133563875868</v>
          </cell>
          <cell r="CK159">
            <v>0.12440937967556831</v>
          </cell>
          <cell r="CL159">
            <v>7.0483501408327376E-2</v>
          </cell>
          <cell r="CM159">
            <v>0.10319194783890118</v>
          </cell>
          <cell r="CN159">
            <v>0.23045286871802984</v>
          </cell>
          <cell r="CO159">
            <v>0.17486569139098918</v>
          </cell>
          <cell r="CP159">
            <v>0.23043824103256783</v>
          </cell>
          <cell r="CQ159">
            <v>0.29899581247368179</v>
          </cell>
          <cell r="CR159">
            <v>0.21187414124759552</v>
          </cell>
          <cell r="CS159">
            <v>0.2571666270199171</v>
          </cell>
        </row>
        <row r="161">
          <cell r="B161" t="str">
            <v>FIT Visitors</v>
          </cell>
          <cell r="BT161">
            <v>401381</v>
          </cell>
          <cell r="BU161">
            <v>463550</v>
          </cell>
          <cell r="BV161">
            <v>422359</v>
          </cell>
          <cell r="BW161">
            <v>398109</v>
          </cell>
          <cell r="BX161">
            <v>446792</v>
          </cell>
          <cell r="BY161">
            <v>402763</v>
          </cell>
          <cell r="BZ161">
            <v>479900</v>
          </cell>
          <cell r="CA161">
            <v>520133</v>
          </cell>
          <cell r="CB161">
            <v>386029</v>
          </cell>
          <cell r="CC161">
            <v>491989</v>
          </cell>
          <cell r="CD161">
            <v>461242</v>
          </cell>
          <cell r="CE161">
            <v>457262</v>
          </cell>
          <cell r="CF161">
            <v>502423</v>
          </cell>
          <cell r="CG161">
            <v>565315</v>
          </cell>
          <cell r="CH161">
            <v>525880</v>
          </cell>
          <cell r="CI161">
            <v>451048</v>
          </cell>
          <cell r="CJ161">
            <v>335978</v>
          </cell>
          <cell r="CK161">
            <v>397465</v>
          </cell>
          <cell r="CL161">
            <v>460039</v>
          </cell>
          <cell r="CM161">
            <v>526649</v>
          </cell>
          <cell r="CN161">
            <v>427097</v>
          </cell>
          <cell r="CO161">
            <v>515673</v>
          </cell>
          <cell r="CP161">
            <v>513119</v>
          </cell>
          <cell r="CQ161">
            <v>554164</v>
          </cell>
          <cell r="CR161">
            <v>565587</v>
          </cell>
          <cell r="CS161">
            <v>766863</v>
          </cell>
          <cell r="CU161">
            <v>0.24791849685971656</v>
          </cell>
        </row>
        <row r="162">
          <cell r="B162" t="str">
            <v>Share of Mainland China</v>
          </cell>
          <cell r="BT162">
            <v>0.48628016830403276</v>
          </cell>
          <cell r="BU162">
            <v>0.55692586055888416</v>
          </cell>
          <cell r="BV162">
            <v>0.51054738071263572</v>
          </cell>
          <cell r="BW162">
            <v>0.47926136910838452</v>
          </cell>
          <cell r="BX162">
            <v>0.51244137728541128</v>
          </cell>
          <cell r="BY162">
            <v>0.50156910409137667</v>
          </cell>
          <cell r="BZ162">
            <v>0.52546691441754634</v>
          </cell>
          <cell r="CA162">
            <v>0.55326882308328074</v>
          </cell>
          <cell r="CB162">
            <v>0.48427297395283836</v>
          </cell>
          <cell r="CC162">
            <v>0.51105014843638008</v>
          </cell>
          <cell r="CD162">
            <v>0.49376533509182857</v>
          </cell>
          <cell r="CE162">
            <v>0.49432286841357065</v>
          </cell>
          <cell r="CF162">
            <v>0.54156341251251716</v>
          </cell>
          <cell r="CG162">
            <v>0.56178976919828083</v>
          </cell>
          <cell r="CH162">
            <v>0.50383181590421566</v>
          </cell>
          <cell r="CI162">
            <v>0.45557366882611866</v>
          </cell>
          <cell r="CJ162">
            <v>0.34258649345882064</v>
          </cell>
          <cell r="CK162">
            <v>0.45325321923650613</v>
          </cell>
          <cell r="CL162">
            <v>0.48407934861070484</v>
          </cell>
          <cell r="CM162">
            <v>0.51685206903150782</v>
          </cell>
          <cell r="CN162">
            <v>0.46556018587656411</v>
          </cell>
          <cell r="CO162">
            <v>0.48570637385242682</v>
          </cell>
          <cell r="CP162">
            <v>0.47990299416206672</v>
          </cell>
          <cell r="CQ162">
            <v>0.4850132376430431</v>
          </cell>
          <cell r="CR162">
            <v>0.48935947463595697</v>
          </cell>
          <cell r="CS162">
            <v>0.61931993468116686</v>
          </cell>
        </row>
        <row r="163">
          <cell r="B163" t="str">
            <v xml:space="preserve">   % Change</v>
          </cell>
          <cell r="CF163">
            <v>0.25173588186785123</v>
          </cell>
          <cell r="CG163">
            <v>0.21953403084888357</v>
          </cell>
          <cell r="CH163">
            <v>0.24510191566889783</v>
          </cell>
          <cell r="CI163">
            <v>0.13297614472418351</v>
          </cell>
          <cell r="CJ163">
            <v>-0.24802145069741621</v>
          </cell>
          <cell r="CK163">
            <v>-1.3154137793193521E-2</v>
          </cell>
          <cell r="CL163">
            <v>-4.1385705355282298E-2</v>
          </cell>
          <cell r="CM163">
            <v>1.2527565065089119E-2</v>
          </cell>
          <cell r="CN163">
            <v>0.10638578966865175</v>
          </cell>
          <cell r="CO163">
            <v>4.8139287667000596E-2</v>
          </cell>
          <cell r="CP163">
            <v>0.11247241144561859</v>
          </cell>
          <cell r="CQ163">
            <v>0.21191789389890259</v>
          </cell>
          <cell r="CR163">
            <v>0.12571876685581662</v>
          </cell>
          <cell r="CS163">
            <v>0.3565233542361339</v>
          </cell>
        </row>
        <row r="165">
          <cell r="B165" t="str">
            <v>Visitor Arrival Stats</v>
          </cell>
        </row>
        <row r="166">
          <cell r="B166" t="str">
            <v>Total % Change</v>
          </cell>
          <cell r="D166">
            <v>2.8122746574793744E-2</v>
          </cell>
          <cell r="E166">
            <v>1.6897859517871927E-2</v>
          </cell>
          <cell r="F166">
            <v>5.7476402743539268E-4</v>
          </cell>
          <cell r="G166">
            <v>-1.0378105134162263E-2</v>
          </cell>
          <cell r="H166">
            <v>5.1415672363753551E-2</v>
          </cell>
          <cell r="I166">
            <v>-0.1411711302768951</v>
          </cell>
          <cell r="J166">
            <v>-7.4138620650248122E-3</v>
          </cell>
          <cell r="K166">
            <v>7.1295963157516073E-2</v>
          </cell>
          <cell r="X166">
            <v>0.37942409649062703</v>
          </cell>
          <cell r="Y166">
            <v>-0.12631393844594963</v>
          </cell>
          <cell r="Z166">
            <v>0.18934339656160692</v>
          </cell>
          <cell r="AA166">
            <v>0.16094820577245605</v>
          </cell>
          <cell r="AB166">
            <v>0.11502212485358543</v>
          </cell>
          <cell r="AC166">
            <v>0.23509964382109705</v>
          </cell>
          <cell r="AD166">
            <v>2.927268633190705E-3</v>
          </cell>
          <cell r="AE166">
            <v>0.17154213107148486</v>
          </cell>
          <cell r="AF166">
            <v>7.9181880962522211E-2</v>
          </cell>
          <cell r="AG166">
            <v>9.7173570140937304E-2</v>
          </cell>
          <cell r="AH166">
            <v>0.12354881888794855</v>
          </cell>
          <cell r="AI166">
            <v>0.11364487135929835</v>
          </cell>
          <cell r="AJ166">
            <v>-0.12144249160514964</v>
          </cell>
          <cell r="AK166">
            <v>0.31582932785350848</v>
          </cell>
          <cell r="AL166">
            <v>0.12023549043976489</v>
          </cell>
          <cell r="AM166">
            <v>7.0171788431468096E-2</v>
          </cell>
          <cell r="AN166">
            <v>0.14696599049698711</v>
          </cell>
          <cell r="AO166">
            <v>7.6026732591759183E-2</v>
          </cell>
          <cell r="AP166">
            <v>0.1944190409467812</v>
          </cell>
          <cell r="AQ166">
            <v>5.4171889166474863E-2</v>
          </cell>
          <cell r="AR166">
            <v>0.12975260341825967</v>
          </cell>
          <cell r="AS166">
            <v>0.13316934164494243</v>
          </cell>
          <cell r="AT166">
            <v>0.22080708342815147</v>
          </cell>
          <cell r="AU166">
            <v>0.18306057607398163</v>
          </cell>
          <cell r="AV166">
            <v>0.26874008006631489</v>
          </cell>
          <cell r="AW166">
            <v>0.12038054203922011</v>
          </cell>
          <cell r="AX166">
            <v>1.028158200941931E-3</v>
          </cell>
          <cell r="AY166">
            <v>-0.337914488663695</v>
          </cell>
          <cell r="AZ166">
            <v>-0.36754467049415274</v>
          </cell>
          <cell r="BA166">
            <v>-5.4355663231594908E-2</v>
          </cell>
          <cell r="BB166">
            <v>3.0212309899823708E-2</v>
          </cell>
          <cell r="BC166">
            <v>0.14440612954510113</v>
          </cell>
          <cell r="BD166">
            <v>0.13176965917390437</v>
          </cell>
          <cell r="BE166">
            <v>0.14835841552754991</v>
          </cell>
          <cell r="BF166">
            <v>0.15593049022275784</v>
          </cell>
          <cell r="BG166">
            <v>0.14701174484844226</v>
          </cell>
          <cell r="BH166">
            <v>0.35116839020555846</v>
          </cell>
          <cell r="BI166">
            <v>6.0292070596457137E-2</v>
          </cell>
          <cell r="BJ166">
            <v>0.36009036834152663</v>
          </cell>
          <cell r="BK166">
            <v>1.0513572667580897</v>
          </cell>
          <cell r="BL166">
            <v>1.2248570298410399</v>
          </cell>
          <cell r="BM166">
            <v>0.59450660043957981</v>
          </cell>
          <cell r="BN166">
            <v>0.45582857601393956</v>
          </cell>
          <cell r="BO166">
            <v>0.27061758721398221</v>
          </cell>
          <cell r="BP166">
            <v>0.31188614332179876</v>
          </cell>
          <cell r="BQ166">
            <v>0.35355349682237502</v>
          </cell>
          <cell r="BR166">
            <v>0.25440271259871716</v>
          </cell>
          <cell r="BS166">
            <v>0.24133381076878546</v>
          </cell>
          <cell r="BT166">
            <v>5.0639819895328841E-2</v>
          </cell>
          <cell r="BU166">
            <v>0.37099991085650696</v>
          </cell>
          <cell r="BV166">
            <v>0.17292138330373596</v>
          </cell>
          <cell r="BW166">
            <v>0.1021426115393187</v>
          </cell>
          <cell r="BX166">
            <v>0.15980117702717767</v>
          </cell>
          <cell r="BY166">
            <v>0.1017170664954854</v>
          </cell>
          <cell r="BZ166">
            <v>9.3014115079466553E-2</v>
          </cell>
          <cell r="CA166">
            <v>7.0513284050054637E-2</v>
          </cell>
          <cell r="CB166">
            <v>0.1066535898043115</v>
          </cell>
          <cell r="CC166">
            <v>0.10217284582049979</v>
          </cell>
          <cell r="CD166">
            <v>0.1037722099931393</v>
          </cell>
          <cell r="CE166">
            <v>9.8207194142262644E-2</v>
          </cell>
          <cell r="CF166">
            <v>0.18549077055797647</v>
          </cell>
          <cell r="CG166">
            <v>0.16507135867173695</v>
          </cell>
          <cell r="CH166">
            <v>0.18245745414362613</v>
          </cell>
          <cell r="CI166">
            <v>0.25214167311601043</v>
          </cell>
          <cell r="CJ166">
            <v>0.10887775131955513</v>
          </cell>
          <cell r="CK166">
            <v>0.11438201071123277</v>
          </cell>
          <cell r="CL166">
            <v>8.1960757004161611E-2</v>
          </cell>
          <cell r="CM166">
            <v>0.10978688665612446</v>
          </cell>
          <cell r="CN166">
            <v>0.2033254777837028</v>
          </cell>
          <cell r="CO166">
            <v>0.19608108327427543</v>
          </cell>
          <cell r="CP166">
            <v>0.21424785545989655</v>
          </cell>
          <cell r="CQ166">
            <v>0.29708609192093638</v>
          </cell>
          <cell r="CR166">
            <v>0.22714372818472217</v>
          </cell>
          <cell r="CS166">
            <v>0.22298731739655442</v>
          </cell>
        </row>
        <row r="167">
          <cell r="B167" t="str">
            <v>Mainland China % Change</v>
          </cell>
          <cell r="D167">
            <v>0.75657894736842102</v>
          </cell>
          <cell r="E167">
            <v>9.191011235955056</v>
          </cell>
          <cell r="F167">
            <v>-9.8493201029033473E-2</v>
          </cell>
          <cell r="G167">
            <v>1.214431308601712</v>
          </cell>
          <cell r="H167">
            <v>0.11229749631811492</v>
          </cell>
          <cell r="I167">
            <v>-0.1231380337636544</v>
          </cell>
          <cell r="J167">
            <v>0.54171385428463581</v>
          </cell>
          <cell r="K167">
            <v>1.0142017629774731</v>
          </cell>
          <cell r="X167">
            <v>0.26761113771334544</v>
          </cell>
          <cell r="Y167">
            <v>-5.2580391830535644E-3</v>
          </cell>
          <cell r="Z167">
            <v>0.13187893370109016</v>
          </cell>
          <cell r="AA167">
            <v>0.35617942997632479</v>
          </cell>
          <cell r="AB167">
            <v>0.14013749818603971</v>
          </cell>
          <cell r="AC167">
            <v>0.42209067812148038</v>
          </cell>
          <cell r="AD167">
            <v>0.17806850137949004</v>
          </cell>
          <cell r="AE167">
            <v>0.65748970522281569</v>
          </cell>
          <cell r="AF167">
            <v>0.47018698290459238</v>
          </cell>
          <cell r="AG167">
            <v>0.44148445581333728</v>
          </cell>
          <cell r="AH167">
            <v>0.45878099543346296</v>
          </cell>
          <cell r="AI167">
            <v>0.39754146284422442</v>
          </cell>
          <cell r="AJ167">
            <v>0.17431212577775268</v>
          </cell>
          <cell r="AK167">
            <v>0.56601800633672483</v>
          </cell>
          <cell r="AL167">
            <v>0.31084467487578316</v>
          </cell>
          <cell r="AM167">
            <v>0.49406413005619032</v>
          </cell>
          <cell r="AN167">
            <v>0.41977375961561414</v>
          </cell>
          <cell r="AO167">
            <v>0.30837661620068513</v>
          </cell>
          <cell r="AP167">
            <v>0.57459049681873564</v>
          </cell>
          <cell r="AQ167">
            <v>0.19188195285739762</v>
          </cell>
          <cell r="AR167">
            <v>0.38418060570786827</v>
          </cell>
          <cell r="AS167">
            <v>0.34912526910038277</v>
          </cell>
          <cell r="AT167">
            <v>0.56006436030553619</v>
          </cell>
          <cell r="AU167">
            <v>0.63494597977248413</v>
          </cell>
          <cell r="AV167">
            <v>0.72862968974735365</v>
          </cell>
          <cell r="AW167">
            <v>0.38904802921950021</v>
          </cell>
          <cell r="AX167">
            <v>0.49873926729181428</v>
          </cell>
          <cell r="AY167">
            <v>-0.16138201448750245</v>
          </cell>
          <cell r="AZ167">
            <v>-0.2420892503452855</v>
          </cell>
          <cell r="BA167">
            <v>0.29456128496417366</v>
          </cell>
          <cell r="BB167">
            <v>0.28713407557064863</v>
          </cell>
          <cell r="BC167">
            <v>0.51355283762134607</v>
          </cell>
          <cell r="BD167">
            <v>0.47632147013274673</v>
          </cell>
          <cell r="BE167">
            <v>0.54925979300406125</v>
          </cell>
          <cell r="BF167">
            <v>0.48465299592394362</v>
          </cell>
          <cell r="BG167">
            <v>0.45082021396144256</v>
          </cell>
          <cell r="BH167">
            <v>0.57845225872689943</v>
          </cell>
          <cell r="BI167">
            <v>0.58578172169131082</v>
          </cell>
          <cell r="BJ167">
            <v>0.74130544742803095</v>
          </cell>
          <cell r="BK167">
            <v>1.4453837239679275</v>
          </cell>
          <cell r="BL167">
            <v>2.003511534466635</v>
          </cell>
          <cell r="BM167">
            <v>0.99465810513610275</v>
          </cell>
          <cell r="BN167">
            <v>0.92231580869174135</v>
          </cell>
          <cell r="BO167">
            <v>0.5248866541673769</v>
          </cell>
          <cell r="BP167">
            <v>0.47526124716689733</v>
          </cell>
          <cell r="BQ167">
            <v>0.48279903598156526</v>
          </cell>
          <cell r="BR167">
            <v>0.29292582261660272</v>
          </cell>
          <cell r="BS167">
            <v>0.23346771882224804</v>
          </cell>
          <cell r="BT167">
            <v>0.11850674428626018</v>
          </cell>
          <cell r="BU167">
            <v>0.2615486515079406</v>
          </cell>
          <cell r="BV167">
            <v>4.4807391868288082E-2</v>
          </cell>
          <cell r="BW167">
            <v>0.13770736090110236</v>
          </cell>
          <cell r="BX167">
            <v>7.3013595286999911E-2</v>
          </cell>
          <cell r="BY167">
            <v>9.4417693726157825E-2</v>
          </cell>
          <cell r="BZ167">
            <v>5.7791002180945572E-2</v>
          </cell>
          <cell r="CA167">
            <v>5.0810874855111043E-2</v>
          </cell>
          <cell r="CB167">
            <v>8.3763753856110235E-2</v>
          </cell>
          <cell r="CC167">
            <v>9.8044806796069972E-2</v>
          </cell>
          <cell r="CD167">
            <v>9.3484386102302475E-2</v>
          </cell>
          <cell r="CE167">
            <v>0.10223562607539316</v>
          </cell>
          <cell r="CF167">
            <v>0.12395764049667379</v>
          </cell>
          <cell r="CG167">
            <v>0.20897545104927451</v>
          </cell>
          <cell r="CH167">
            <v>0.26169785571042969</v>
          </cell>
          <cell r="CI167">
            <v>0.1918856058709093</v>
          </cell>
          <cell r="CJ167">
            <v>0.12481061236005964</v>
          </cell>
          <cell r="CK167">
            <v>9.2041653487022534E-2</v>
          </cell>
          <cell r="CL167">
            <v>4.0573403862767643E-2</v>
          </cell>
          <cell r="CM167">
            <v>8.386899816936122E-2</v>
          </cell>
          <cell r="CN167">
            <v>0.15085600735638183</v>
          </cell>
          <cell r="CO167">
            <v>0.10283036702946502</v>
          </cell>
          <cell r="CP167">
            <v>0.14460697203393091</v>
          </cell>
          <cell r="CQ167">
            <v>0.23518016230877592</v>
          </cell>
          <cell r="CR167">
            <v>0.24580830352032446</v>
          </cell>
          <cell r="CS167">
            <v>0.23051253385009063</v>
          </cell>
        </row>
        <row r="168">
          <cell r="B168" t="str">
            <v>Hong Kong % Change</v>
          </cell>
          <cell r="D168">
            <v>3.0837147401574505E-4</v>
          </cell>
          <cell r="E168">
            <v>-1.5494945889377498E-2</v>
          </cell>
          <cell r="F168">
            <v>3.3949701704076851E-3</v>
          </cell>
          <cell r="G168">
            <v>-7.7343801327113826E-2</v>
          </cell>
          <cell r="H168">
            <v>-7.3324432576769016E-2</v>
          </cell>
          <cell r="I168">
            <v>-9.6645919778699851E-2</v>
          </cell>
          <cell r="J168">
            <v>4.1041998936734991E-3</v>
          </cell>
          <cell r="K168">
            <v>-0.10419755178110046</v>
          </cell>
          <cell r="X168">
            <v>0.48969517535452778</v>
          </cell>
          <cell r="Y168">
            <v>-0.22783636261791596</v>
          </cell>
          <cell r="Z168">
            <v>0.18700061790211575</v>
          </cell>
          <cell r="AA168">
            <v>7.5226645347170829E-2</v>
          </cell>
          <cell r="AB168">
            <v>8.1007679868377203E-2</v>
          </cell>
          <cell r="AC168">
            <v>0.17406055425615685</v>
          </cell>
          <cell r="AD168">
            <v>-6.6915116281486609E-2</v>
          </cell>
          <cell r="AE168">
            <v>2.1966454051500106E-2</v>
          </cell>
          <cell r="AF168">
            <v>-2.4177353664737278E-2</v>
          </cell>
          <cell r="AG168">
            <v>9.6543063418130792E-4</v>
          </cell>
          <cell r="AH168">
            <v>4.4782000621586882E-2</v>
          </cell>
          <cell r="AI168">
            <v>1.2427035188833813E-2</v>
          </cell>
          <cell r="AJ168">
            <v>-0.28488741525214034</v>
          </cell>
          <cell r="AK168">
            <v>0.2947774828316263</v>
          </cell>
          <cell r="AL168">
            <v>4.1462856424846706E-2</v>
          </cell>
          <cell r="AM168">
            <v>-0.11734808401475072</v>
          </cell>
          <cell r="AN168">
            <v>3.5266400492040884E-2</v>
          </cell>
          <cell r="AO168">
            <v>3.4183388518769231E-3</v>
          </cell>
          <cell r="AP168">
            <v>5.3806554798929929E-2</v>
          </cell>
          <cell r="AQ168">
            <v>-2.6790667741720675E-2</v>
          </cell>
          <cell r="AR168">
            <v>-2.0621106897649732E-2</v>
          </cell>
          <cell r="AS168">
            <v>-2.9906922081335274E-2</v>
          </cell>
          <cell r="AT168">
            <v>-7.665216490573834E-3</v>
          </cell>
          <cell r="AU168">
            <v>-5.0493912766707227E-2</v>
          </cell>
          <cell r="AV168">
            <v>2.4154549254408852E-2</v>
          </cell>
          <cell r="AW168">
            <v>-1.9926915965811087E-2</v>
          </cell>
          <cell r="AX168">
            <v>-0.23369348601221573</v>
          </cell>
          <cell r="AY168">
            <v>-0.32958983488038363</v>
          </cell>
          <cell r="AZ168">
            <v>-0.26721629241768197</v>
          </cell>
          <cell r="BA168">
            <v>-1.935180882758547E-2</v>
          </cell>
          <cell r="BB168">
            <v>-2.1271333691272876E-2</v>
          </cell>
          <cell r="BC168">
            <v>4.3248502169075387E-3</v>
          </cell>
          <cell r="BD168">
            <v>-6.1744450684243168E-2</v>
          </cell>
          <cell r="BE168">
            <v>-6.3273151082667067E-2</v>
          </cell>
          <cell r="BF168">
            <v>-8.4888389272522846E-2</v>
          </cell>
          <cell r="BG168">
            <v>-5.4110548432281025E-2</v>
          </cell>
          <cell r="BH168">
            <v>0.23712170559187862</v>
          </cell>
          <cell r="BI168">
            <v>-0.2947335213462402</v>
          </cell>
          <cell r="BJ168">
            <v>3.1522273922150124E-2</v>
          </cell>
          <cell r="BK168">
            <v>0.53990123757849173</v>
          </cell>
          <cell r="BL168">
            <v>0.27826349835618425</v>
          </cell>
          <cell r="BM168">
            <v>1.5322243478481212E-2</v>
          </cell>
          <cell r="BN168">
            <v>3.5530166409295516E-2</v>
          </cell>
          <cell r="BO168">
            <v>-9.2708741299074582E-5</v>
          </cell>
          <cell r="BP168">
            <v>0.11990812866568912</v>
          </cell>
          <cell r="BQ168">
            <v>0.15415552523874498</v>
          </cell>
          <cell r="BR168">
            <v>0.13162759137067725</v>
          </cell>
          <cell r="BS168">
            <v>0.15676655376842197</v>
          </cell>
          <cell r="BT168">
            <v>-0.17643987293375341</v>
          </cell>
          <cell r="BU168">
            <v>0.48734175315142769</v>
          </cell>
          <cell r="BV168">
            <v>0.32387836368245049</v>
          </cell>
          <cell r="BW168">
            <v>-3.3013535329541543E-2</v>
          </cell>
          <cell r="BX168">
            <v>0.18823889854901088</v>
          </cell>
          <cell r="BY168">
            <v>3.2782466770817198E-2</v>
          </cell>
          <cell r="BZ168">
            <v>8.5841331814977551E-2</v>
          </cell>
          <cell r="CA168">
            <v>6.3717624619669788E-2</v>
          </cell>
          <cell r="CB168">
            <v>0.14444040976438033</v>
          </cell>
          <cell r="CC168">
            <v>0.10936458328408172</v>
          </cell>
          <cell r="CD168">
            <v>0.15061461639459517</v>
          </cell>
          <cell r="CE168">
            <v>0.13000245089457652</v>
          </cell>
          <cell r="CF168">
            <v>0.40328421164329953</v>
          </cell>
          <cell r="CG168">
            <v>0.10360933154097984</v>
          </cell>
          <cell r="CH168">
            <v>7.0924614032161992E-2</v>
          </cell>
          <cell r="CI168">
            <v>0.41746881624557597</v>
          </cell>
          <cell r="CJ168">
            <v>0.1004652446209624</v>
          </cell>
          <cell r="CK168">
            <v>0.17388929967765154</v>
          </cell>
          <cell r="CL168">
            <v>0.13442522818771319</v>
          </cell>
          <cell r="CM168">
            <v>0.13093556661602879</v>
          </cell>
          <cell r="CN168">
            <v>0.29359071185016683</v>
          </cell>
          <cell r="CO168">
            <v>0.36701906622994973</v>
          </cell>
          <cell r="CP168">
            <v>0.33896923056188255</v>
          </cell>
          <cell r="CQ168">
            <v>0.36779799529032653</v>
          </cell>
          <cell r="CR168">
            <v>0.14240370527907742</v>
          </cell>
          <cell r="CS168">
            <v>0.2414854509208626</v>
          </cell>
        </row>
        <row r="169">
          <cell r="B169" t="str">
            <v>Other % Change</v>
          </cell>
          <cell r="D169">
            <v>0.15030487804878057</v>
          </cell>
          <cell r="E169">
            <v>-1.3119533527696792E-2</v>
          </cell>
          <cell r="F169">
            <v>7.184100980260455E-3</v>
          </cell>
          <cell r="G169">
            <v>6.1129258049463342E-2</v>
          </cell>
          <cell r="H169">
            <v>0.47085060937303691</v>
          </cell>
          <cell r="I169">
            <v>-0.24482125314995939</v>
          </cell>
          <cell r="J169">
            <v>-0.20259035122447822</v>
          </cell>
          <cell r="K169">
            <v>0.11277395559968784</v>
          </cell>
          <cell r="X169">
            <v>0.23856494845360832</v>
          </cell>
          <cell r="Y169">
            <v>5.8404722482182647E-2</v>
          </cell>
          <cell r="Z169">
            <v>0.27919666486440331</v>
          </cell>
          <cell r="AA169">
            <v>0.19445396460133657</v>
          </cell>
          <cell r="AB169">
            <v>0.15532232403833102</v>
          </cell>
          <cell r="AC169">
            <v>0.18532157508802527</v>
          </cell>
          <cell r="AD169">
            <v>6.5921419433410122E-3</v>
          </cell>
          <cell r="AE169">
            <v>7.9267563612760661E-2</v>
          </cell>
          <cell r="AF169">
            <v>-6.5659831632413068E-2</v>
          </cell>
          <cell r="AG169">
            <v>-6.1199692104684456E-2</v>
          </cell>
          <cell r="AH169">
            <v>-8.8290609006873133E-2</v>
          </cell>
          <cell r="AI169">
            <v>2.9429960229783392E-2</v>
          </cell>
          <cell r="AJ169">
            <v>-2.5203760920519902E-2</v>
          </cell>
          <cell r="AK169">
            <v>4.3646232222169346E-2</v>
          </cell>
          <cell r="AL169">
            <v>7.012997124726783E-2</v>
          </cell>
          <cell r="AM169">
            <v>3.2013280797667631E-2</v>
          </cell>
          <cell r="AN169">
            <v>9.6448434514342374E-3</v>
          </cell>
          <cell r="AO169">
            <v>-4.0284515179593416E-2</v>
          </cell>
          <cell r="AP169">
            <v>7.7172398865585246E-2</v>
          </cell>
          <cell r="AQ169">
            <v>4.8861807918546107E-2</v>
          </cell>
          <cell r="AR169">
            <v>9.8713310472834825E-2</v>
          </cell>
          <cell r="AS169">
            <v>0.16058073546550777</v>
          </cell>
          <cell r="AT169">
            <v>0.15355620288296845</v>
          </cell>
          <cell r="AU169">
            <v>2.9172390109890145E-2</v>
          </cell>
          <cell r="AV169">
            <v>2.2672158807576892E-2</v>
          </cell>
          <cell r="AW169">
            <v>3.6587591240875961E-2</v>
          </cell>
          <cell r="AX169">
            <v>-0.21753569034242981</v>
          </cell>
          <cell r="AY169">
            <v>-0.66816107875700659</v>
          </cell>
          <cell r="AZ169">
            <v>-0.81497243089220295</v>
          </cell>
          <cell r="BA169">
            <v>-0.69742558737839266</v>
          </cell>
          <cell r="BB169">
            <v>-0.30621477077171977</v>
          </cell>
          <cell r="BC169">
            <v>-0.20452476397893538</v>
          </cell>
          <cell r="BD169">
            <v>-0.12214815832875203</v>
          </cell>
          <cell r="BE169">
            <v>-0.20589600742804082</v>
          </cell>
          <cell r="BF169">
            <v>-0.1492584223389094</v>
          </cell>
          <cell r="BG169">
            <v>-0.17819227325558762</v>
          </cell>
          <cell r="BH169">
            <v>-7.6755059782245727E-2</v>
          </cell>
          <cell r="BI169">
            <v>-0.26005004589636227</v>
          </cell>
          <cell r="BJ169">
            <v>-1.5010527294584963E-2</v>
          </cell>
          <cell r="BK169">
            <v>1.5505251503635655</v>
          </cell>
          <cell r="BL169">
            <v>3.0788571428571432</v>
          </cell>
          <cell r="BM169">
            <v>2.1220601760609643</v>
          </cell>
          <cell r="BN169">
            <v>0.34507701219421638</v>
          </cell>
          <cell r="BO169">
            <v>0.23205230345106664</v>
          </cell>
          <cell r="BP169">
            <v>0.21782979112033085</v>
          </cell>
          <cell r="BQ169">
            <v>0.3323271863045385</v>
          </cell>
          <cell r="BR169">
            <v>0.35965476607535263</v>
          </cell>
          <cell r="BS169">
            <v>0.50362375232617151</v>
          </cell>
          <cell r="BT169">
            <v>0.44027232146087014</v>
          </cell>
          <cell r="BU169">
            <v>0.65529517724229347</v>
          </cell>
          <cell r="BV169">
            <v>0.48346268737230358</v>
          </cell>
          <cell r="BW169">
            <v>0.31029142615796146</v>
          </cell>
          <cell r="BX169">
            <v>0.57965816755393673</v>
          </cell>
          <cell r="BY169">
            <v>0.29998076160015397</v>
          </cell>
          <cell r="BZ169">
            <v>0.27990834805653719</v>
          </cell>
          <cell r="CA169">
            <v>0.17940611945353968</v>
          </cell>
          <cell r="CB169">
            <v>0.11768423984658738</v>
          </cell>
          <cell r="CC169">
            <v>0.10492552333983585</v>
          </cell>
          <cell r="CD169">
            <v>6.0039632903742701E-2</v>
          </cell>
          <cell r="CE169">
            <v>1.7601418554622494E-2</v>
          </cell>
          <cell r="CF169">
            <v>2.8220803423869567E-2</v>
          </cell>
          <cell r="CG169">
            <v>0.13379873213048277</v>
          </cell>
          <cell r="CH169">
            <v>0.13073695789526307</v>
          </cell>
          <cell r="CI169">
            <v>0.15081390351348456</v>
          </cell>
          <cell r="CJ169">
            <v>6.3770442371137603E-2</v>
          </cell>
          <cell r="CK169">
            <v>8.3457043624642235E-2</v>
          </cell>
          <cell r="CL169">
            <v>0.12718653075486275</v>
          </cell>
          <cell r="CM169">
            <v>0.16407759385932841</v>
          </cell>
          <cell r="CN169">
            <v>0.21016889042251363</v>
          </cell>
          <cell r="CO169">
            <v>0.23734147162676655</v>
          </cell>
          <cell r="CP169">
            <v>0.25636504253673631</v>
          </cell>
          <cell r="CQ169">
            <v>0.38885670185618437</v>
          </cell>
          <cell r="CR169">
            <v>0.3615400774826445</v>
          </cell>
          <cell r="CS169">
            <v>0.14291405779582678</v>
          </cell>
        </row>
        <row r="171">
          <cell r="B171" t="str">
            <v>Mainland China % of Total</v>
          </cell>
          <cell r="C171">
            <v>2.0297518895387658E-3</v>
          </cell>
          <cell r="D171">
            <v>3.4678927680798005E-3</v>
          </cell>
          <cell r="E171">
            <v>3.4754064858927361E-2</v>
          </cell>
          <cell r="F171">
            <v>3.1313028160024507E-2</v>
          </cell>
          <cell r="G171">
            <v>7.0067720090293453E-2</v>
          </cell>
          <cell r="H171">
            <v>7.4124964728686932E-2</v>
          </cell>
          <cell r="I171">
            <v>7.5681389634878013E-2</v>
          </cell>
          <cell r="J171">
            <v>0.11755055047852055</v>
          </cell>
          <cell r="K171">
            <v>0.22101317857574659</v>
          </cell>
          <cell r="L171">
            <v>0.28298175225682654</v>
          </cell>
          <cell r="M171">
            <v>0.23644374597272025</v>
          </cell>
          <cell r="N171">
            <v>0.28380274555142115</v>
          </cell>
          <cell r="O171">
            <v>0.21877610784415041</v>
          </cell>
          <cell r="P171">
            <v>0.29894581579974838</v>
          </cell>
          <cell r="Q171">
            <v>0.23526910610187457</v>
          </cell>
          <cell r="R171">
            <v>0.22177095626073559</v>
          </cell>
          <cell r="S171">
            <v>0.21778208916128544</v>
          </cell>
          <cell r="T171">
            <v>0.22874995347837054</v>
          </cell>
          <cell r="U171">
            <v>0.25125855252376272</v>
          </cell>
          <cell r="V171">
            <v>0.26737281357202136</v>
          </cell>
          <cell r="W171">
            <v>0.25356765605213577</v>
          </cell>
          <cell r="X171">
            <v>0.26004389936567224</v>
          </cell>
          <cell r="Y171">
            <v>0.26920483894804254</v>
          </cell>
          <cell r="Z171">
            <v>0.2700904969455093</v>
          </cell>
          <cell r="AA171">
            <v>0.25556666159030317</v>
          </cell>
          <cell r="AB171">
            <v>0.30567943623886895</v>
          </cell>
          <cell r="AC171">
            <v>0.27088826744566047</v>
          </cell>
          <cell r="AD171">
            <v>0.26049882804326718</v>
          </cell>
          <cell r="AE171">
            <v>0.30811659367009336</v>
          </cell>
          <cell r="AF171">
            <v>0.31162977240127576</v>
          </cell>
          <cell r="AG171">
            <v>0.33010756703393646</v>
          </cell>
          <cell r="AH171">
            <v>0.34714858186623898</v>
          </cell>
          <cell r="AI171">
            <v>0.31820854392885828</v>
          </cell>
          <cell r="AJ171">
            <v>0.34758419493513087</v>
          </cell>
          <cell r="AK171">
            <v>0.320390810769759</v>
          </cell>
          <cell r="AL171">
            <v>0.31604666400685855</v>
          </cell>
          <cell r="AM171">
            <v>0.35679597056088252</v>
          </cell>
          <cell r="AN171">
            <v>0.37838579872624428</v>
          </cell>
          <cell r="AO171">
            <v>0.32938203484530587</v>
          </cell>
          <cell r="AP171">
            <v>0.34341296061741405</v>
          </cell>
          <cell r="AQ171">
            <v>0.34836691354163579</v>
          </cell>
          <cell r="AR171">
            <v>0.38181092551933415</v>
          </cell>
          <cell r="AS171">
            <v>0.39301845173488326</v>
          </cell>
          <cell r="AT171">
            <v>0.44361974766670953</v>
          </cell>
          <cell r="AU171">
            <v>0.43975244391307405</v>
          </cell>
          <cell r="AV171">
            <v>0.47357561134223314</v>
          </cell>
          <cell r="AW171">
            <v>0.39722059387942543</v>
          </cell>
          <cell r="AX171">
            <v>0.47318503656775129</v>
          </cell>
          <cell r="AY171">
            <v>0.45192881122988016</v>
          </cell>
          <cell r="AZ171">
            <v>0.45344335163619542</v>
          </cell>
          <cell r="BA171">
            <v>0.45091501497341807</v>
          </cell>
          <cell r="BB171">
            <v>0.42905575807597957</v>
          </cell>
          <cell r="BC171">
            <v>0.46073829640699521</v>
          </cell>
          <cell r="BD171">
            <v>0.49804804564816074</v>
          </cell>
          <cell r="BE171">
            <v>0.53022442901839317</v>
          </cell>
          <cell r="BF171">
            <v>0.56977594500295781</v>
          </cell>
          <cell r="BG171">
            <v>0.55622946986679223</v>
          </cell>
          <cell r="BH171">
            <v>0.55323710857933672</v>
          </cell>
          <cell r="BI171">
            <v>0.59408645478128774</v>
          </cell>
          <cell r="BJ171">
            <v>0.60581245261046968</v>
          </cell>
          <cell r="BK171">
            <v>0.53873568358000146</v>
          </cell>
          <cell r="BL171">
            <v>0.61213926045568368</v>
          </cell>
          <cell r="BM171">
            <v>0.5640749866424758</v>
          </cell>
          <cell r="BN171">
            <v>0.56653693995891008</v>
          </cell>
          <cell r="BO171">
            <v>0.55293873335669563</v>
          </cell>
          <cell r="BP171">
            <v>0.560072217175413</v>
          </cell>
          <cell r="BQ171">
            <v>0.58085348975720863</v>
          </cell>
          <cell r="BR171">
            <v>0.58727394719510972</v>
          </cell>
          <cell r="BS171">
            <v>0.55270475144263509</v>
          </cell>
          <cell r="BT171">
            <v>0.58897390467940458</v>
          </cell>
          <cell r="BU171">
            <v>0.54665865400403257</v>
          </cell>
          <cell r="BV171">
            <v>0.53964173352389733</v>
          </cell>
          <cell r="BW171">
            <v>0.55612000332063105</v>
          </cell>
          <cell r="BX171">
            <v>0.56633305922441468</v>
          </cell>
          <cell r="BY171">
            <v>0.56033773528949982</v>
          </cell>
          <cell r="BZ171">
            <v>0.54827990711546448</v>
          </cell>
          <cell r="CA171">
            <v>0.54276209627367744</v>
          </cell>
          <cell r="CB171">
            <v>0.54848777802625015</v>
          </cell>
          <cell r="CC171">
            <v>0.57867798173023577</v>
          </cell>
          <cell r="CD171">
            <v>0.58180019917924197</v>
          </cell>
          <cell r="CE171">
            <v>0.55473217712531186</v>
          </cell>
          <cell r="CF171">
            <v>0.55840309908612829</v>
          </cell>
          <cell r="CG171">
            <v>0.56725872443382641</v>
          </cell>
          <cell r="CH171">
            <v>0.57580491852204918</v>
          </cell>
          <cell r="CI171">
            <v>0.5293581719433208</v>
          </cell>
          <cell r="CJ171">
            <v>0.57447039079638351</v>
          </cell>
          <cell r="CK171">
            <v>0.54910447321935663</v>
          </cell>
          <cell r="CL171">
            <v>0.52730700769261496</v>
          </cell>
          <cell r="CM171">
            <v>0.53008646669541781</v>
          </cell>
          <cell r="CN171">
            <v>0.52457166905970476</v>
          </cell>
          <cell r="CO171">
            <v>0.53356219733564914</v>
          </cell>
          <cell r="CP171">
            <v>0.54843215190120143</v>
          </cell>
          <cell r="CQ171">
            <v>0.52825651654686701</v>
          </cell>
          <cell r="CR171">
            <v>0.56689628246078028</v>
          </cell>
          <cell r="CS171">
            <v>0.57074914876268101</v>
          </cell>
        </row>
        <row r="172">
          <cell r="B172" t="str">
            <v>Hong Kong % of Total</v>
          </cell>
          <cell r="C172">
            <v>0.82277061132922047</v>
          </cell>
          <cell r="D172">
            <v>0.80051174147963422</v>
          </cell>
          <cell r="E172">
            <v>0.77501181459389723</v>
          </cell>
          <cell r="F172">
            <v>0.77719625213817045</v>
          </cell>
          <cell r="G172">
            <v>0.72460496613995484</v>
          </cell>
          <cell r="H172">
            <v>0.63863772987694911</v>
          </cell>
          <cell r="I172">
            <v>0.67174732872407295</v>
          </cell>
          <cell r="J172">
            <v>0.67954234726919482</v>
          </cell>
          <cell r="K172">
            <v>0.56822364620696142</v>
          </cell>
          <cell r="L172">
            <v>0.52817061546416799</v>
          </cell>
          <cell r="M172">
            <v>0.59273810753513267</v>
          </cell>
          <cell r="N172">
            <v>0.52110793589549642</v>
          </cell>
          <cell r="O172">
            <v>0.57778223240977189</v>
          </cell>
          <cell r="P172">
            <v>0.4812074313478808</v>
          </cell>
          <cell r="Q172">
            <v>0.52627435635144626</v>
          </cell>
          <cell r="R172">
            <v>0.56720044421861493</v>
          </cell>
          <cell r="S172">
            <v>0.58728109801170736</v>
          </cell>
          <cell r="T172">
            <v>0.53677552038750109</v>
          </cell>
          <cell r="U172">
            <v>0.51587722263192393</v>
          </cell>
          <cell r="V172">
            <v>0.49271862912521003</v>
          </cell>
          <cell r="W172">
            <v>0.53674645581740121</v>
          </cell>
          <cell r="X172">
            <v>0.57039254252751048</v>
          </cell>
          <cell r="Y172">
            <v>0.52386186900497544</v>
          </cell>
          <cell r="Z172">
            <v>0.52008145308570664</v>
          </cell>
          <cell r="AA172">
            <v>0.53512021329306558</v>
          </cell>
          <cell r="AB172">
            <v>0.46652789868640543</v>
          </cell>
          <cell r="AC172">
            <v>0.50026567945337386</v>
          </cell>
          <cell r="AD172">
            <v>0.52770143667554548</v>
          </cell>
          <cell r="AE172">
            <v>0.51230046734859958</v>
          </cell>
          <cell r="AF172">
            <v>0.48536555147251353</v>
          </cell>
          <cell r="AG172">
            <v>0.47064136464734396</v>
          </cell>
          <cell r="AH172">
            <v>0.4581764017966557</v>
          </cell>
          <cell r="AI172">
            <v>0.4879622192737616</v>
          </cell>
          <cell r="AJ172">
            <v>0.46427795734508837</v>
          </cell>
          <cell r="AK172">
            <v>0.51548064611708277</v>
          </cell>
          <cell r="AL172">
            <v>0.48351040502349557</v>
          </cell>
          <cell r="AM172">
            <v>0.44135426354103197</v>
          </cell>
          <cell r="AN172">
            <v>0.42109414089332509</v>
          </cell>
          <cell r="AO172">
            <v>0.4665086301830364</v>
          </cell>
          <cell r="AP172">
            <v>0.46557800393461723</v>
          </cell>
          <cell r="AQ172">
            <v>0.4729547437829657</v>
          </cell>
          <cell r="AR172">
            <v>0.42076183326587513</v>
          </cell>
          <cell r="AS172">
            <v>0.40291059177776362</v>
          </cell>
          <cell r="AT172">
            <v>0.37242934338918476</v>
          </cell>
          <cell r="AU172">
            <v>0.39163091637949221</v>
          </cell>
          <cell r="AV172">
            <v>0.37477525113627963</v>
          </cell>
          <cell r="AW172">
            <v>0.45092599134252037</v>
          </cell>
          <cell r="AX172">
            <v>0.37013661395526953</v>
          </cell>
          <cell r="AY172">
            <v>0.44690357911561968</v>
          </cell>
          <cell r="AZ172">
            <v>0.48789362886086474</v>
          </cell>
          <cell r="BA172">
            <v>0.48377685623189615</v>
          </cell>
          <cell r="BB172">
            <v>0.4423112929973787</v>
          </cell>
          <cell r="BC172">
            <v>0.41506261627418445</v>
          </cell>
          <cell r="BD172">
            <v>0.34881843827668602</v>
          </cell>
          <cell r="BE172">
            <v>0.32865799033485449</v>
          </cell>
          <cell r="BF172">
            <v>0.29483988803286576</v>
          </cell>
          <cell r="BG172">
            <v>0.32296055761844733</v>
          </cell>
          <cell r="BH172">
            <v>0.3431419808665026</v>
          </cell>
          <cell r="BI172">
            <v>0.29993904025774176</v>
          </cell>
          <cell r="BJ172">
            <v>0.28071970111408912</v>
          </cell>
          <cell r="BK172">
            <v>0.33547904390442584</v>
          </cell>
          <cell r="BL172">
            <v>0.28031312056844448</v>
          </cell>
          <cell r="BM172">
            <v>0.30805103150838159</v>
          </cell>
          <cell r="BN172">
            <v>0.3146158101226203</v>
          </cell>
          <cell r="BO172">
            <v>0.32663182102765587</v>
          </cell>
          <cell r="BP172">
            <v>0.29777325299388319</v>
          </cell>
          <cell r="BQ172">
            <v>0.28024192346245502</v>
          </cell>
          <cell r="BR172">
            <v>0.26598232687445261</v>
          </cell>
          <cell r="BS172">
            <v>0.30095850769427335</v>
          </cell>
          <cell r="BT172">
            <v>0.26897710139363895</v>
          </cell>
          <cell r="BU172">
            <v>0.32539160246684923</v>
          </cell>
          <cell r="BV172">
            <v>0.31684880491952672</v>
          </cell>
          <cell r="BW172">
            <v>0.29433912747741836</v>
          </cell>
          <cell r="BX172">
            <v>0.28718625246340773</v>
          </cell>
          <cell r="BY172">
            <v>0.2887762329257017</v>
          </cell>
          <cell r="BZ172">
            <v>0.31255117894681234</v>
          </cell>
          <cell r="CA172">
            <v>0.32455834968647579</v>
          </cell>
          <cell r="CB172">
            <v>0.3079407565410352</v>
          </cell>
          <cell r="CC172">
            <v>0.28207051717847131</v>
          </cell>
          <cell r="CD172">
            <v>0.27727021049596129</v>
          </cell>
          <cell r="CE172">
            <v>0.30967184801381692</v>
          </cell>
          <cell r="CF172">
            <v>0.31839245741374861</v>
          </cell>
          <cell r="CG172">
            <v>0.30822593501645501</v>
          </cell>
          <cell r="CH172">
            <v>0.28696270037110411</v>
          </cell>
          <cell r="CI172">
            <v>0.33320233928634441</v>
          </cell>
          <cell r="CJ172">
            <v>0.28500751249886508</v>
          </cell>
          <cell r="CK172">
            <v>0.30419669967244689</v>
          </cell>
          <cell r="CL172">
            <v>0.3277068416777269</v>
          </cell>
          <cell r="CM172">
            <v>0.33074330352614106</v>
          </cell>
          <cell r="CN172">
            <v>0.33104036257528635</v>
          </cell>
          <cell r="CO172">
            <v>0.32238263809736317</v>
          </cell>
          <cell r="CP172">
            <v>0.30574999884590703</v>
          </cell>
          <cell r="CQ172">
            <v>0.32655390844863674</v>
          </cell>
          <cell r="CR172">
            <v>0.2964059667406983</v>
          </cell>
          <cell r="CS172">
            <v>0.31288796578364769</v>
          </cell>
        </row>
        <row r="174">
          <cell r="B174" t="str">
            <v>Total Package %</v>
          </cell>
          <cell r="L174">
            <v>0.16545388847009276</v>
          </cell>
          <cell r="M174">
            <v>0.15976925839026862</v>
          </cell>
          <cell r="N174">
            <v>0.19897822517629848</v>
          </cell>
          <cell r="O174">
            <v>0.17202695854743583</v>
          </cell>
          <cell r="P174">
            <v>0.21456227495553337</v>
          </cell>
          <cell r="Q174">
            <v>0.18501121532185508</v>
          </cell>
          <cell r="R174">
            <v>0.16039970243954771</v>
          </cell>
          <cell r="S174">
            <v>0.14623729430594001</v>
          </cell>
          <cell r="T174">
            <v>0.14787813125026708</v>
          </cell>
          <cell r="U174">
            <v>0.13545379588659456</v>
          </cell>
          <cell r="V174">
            <v>0.14702202800979508</v>
          </cell>
          <cell r="W174">
            <v>0.13492293912345182</v>
          </cell>
          <cell r="X174">
            <v>0.12430814464208693</v>
          </cell>
          <cell r="Y174">
            <v>0.13623510700437025</v>
          </cell>
          <cell r="Z174">
            <v>0.15367093186764458</v>
          </cell>
          <cell r="AA174">
            <v>0.14122943804655813</v>
          </cell>
          <cell r="AB174">
            <v>0.17712006186198745</v>
          </cell>
          <cell r="AC174">
            <v>0.15738077478614676</v>
          </cell>
          <cell r="AD174">
            <v>0.14607611958895705</v>
          </cell>
          <cell r="AE174">
            <v>0.13796683937627482</v>
          </cell>
          <cell r="AF174">
            <v>0.1566623622292643</v>
          </cell>
          <cell r="AG174">
            <v>0.16135055090471601</v>
          </cell>
          <cell r="AH174">
            <v>0.20307539163418514</v>
          </cell>
          <cell r="AI174">
            <v>0.19948369890793555</v>
          </cell>
          <cell r="AJ174">
            <v>0.18664833152338053</v>
          </cell>
          <cell r="AK174">
            <v>0.19635524245435496</v>
          </cell>
          <cell r="AL174">
            <v>0.19700011146193264</v>
          </cell>
          <cell r="AM174">
            <v>0.2066630856556457</v>
          </cell>
          <cell r="AN174">
            <v>0.22633015035744874</v>
          </cell>
          <cell r="AO174">
            <v>0.15937148619982147</v>
          </cell>
          <cell r="AP174">
            <v>0.17245886022070467</v>
          </cell>
          <cell r="AQ174">
            <v>0.17304075009728509</v>
          </cell>
          <cell r="AR174">
            <v>0.1701213569731079</v>
          </cell>
          <cell r="AS174">
            <v>0.14862204116267144</v>
          </cell>
          <cell r="AT174">
            <v>0.18545908729790858</v>
          </cell>
          <cell r="AU174">
            <v>0.16769111751881285</v>
          </cell>
          <cell r="AV174">
            <v>0.14826587575325689</v>
          </cell>
          <cell r="AW174">
            <v>0.15801236946472183</v>
          </cell>
          <cell r="AX174">
            <v>0.18634151823808789</v>
          </cell>
          <cell r="AY174">
            <v>9.1354784414515056E-2</v>
          </cell>
          <cell r="AZ174">
            <v>7.8558163545794021E-3</v>
          </cell>
          <cell r="BA174">
            <v>3.1021882151906339E-2</v>
          </cell>
          <cell r="BB174">
            <v>9.2176406752718737E-2</v>
          </cell>
          <cell r="BC174">
            <v>0.17115559949771908</v>
          </cell>
          <cell r="BD174">
            <v>0.14208909063301658</v>
          </cell>
          <cell r="BE174">
            <v>0.11694395596610653</v>
          </cell>
          <cell r="BF174">
            <v>0.15466365880033736</v>
          </cell>
          <cell r="BG174">
            <v>0.15473323294108413</v>
          </cell>
          <cell r="BH174">
            <v>0.11903371414905715</v>
          </cell>
          <cell r="BI174">
            <v>0.1096392930110601</v>
          </cell>
          <cell r="BJ174">
            <v>0.20144653313307631</v>
          </cell>
          <cell r="BK174">
            <v>0.17534469349837892</v>
          </cell>
          <cell r="BL174">
            <v>0.14233862583734364</v>
          </cell>
          <cell r="BM174">
            <v>0.14459798656944184</v>
          </cell>
          <cell r="BN174">
            <v>0.15618386939926102</v>
          </cell>
          <cell r="BO174">
            <v>0.14033311639790777</v>
          </cell>
          <cell r="BP174">
            <v>0.13831142476628788</v>
          </cell>
          <cell r="BQ174">
            <v>0.13493745540455399</v>
          </cell>
          <cell r="BR174">
            <v>0.18651100823710093</v>
          </cell>
          <cell r="BS174">
            <v>0.14518355481618175</v>
          </cell>
          <cell r="BT174">
            <v>0.1304302220788775</v>
          </cell>
          <cell r="BU174">
            <v>0.12457128971029627</v>
          </cell>
          <cell r="BV174">
            <v>0.13771034831861595</v>
          </cell>
          <cell r="BW174">
            <v>0.15514510354209568</v>
          </cell>
          <cell r="BX174">
            <v>0.1398734941872021</v>
          </cell>
          <cell r="BY174">
            <v>0.14997958934459119</v>
          </cell>
          <cell r="BZ174">
            <v>0.14602239026393329</v>
          </cell>
          <cell r="CA174">
            <v>0.1473584118082101</v>
          </cell>
          <cell r="CB174">
            <v>0.13372026215746649</v>
          </cell>
          <cell r="CC174">
            <v>0.12954257064250735</v>
          </cell>
          <cell r="CD174">
            <v>0.18011396440807703</v>
          </cell>
          <cell r="CE174">
            <v>0.1446129581654193</v>
          </cell>
          <cell r="CF174">
            <v>0.12101892809226956</v>
          </cell>
          <cell r="CG174">
            <v>0.13536359464825479</v>
          </cell>
          <cell r="CH174">
            <v>0.16174169015374312</v>
          </cell>
          <cell r="CI174">
            <v>0.14596586455536342</v>
          </cell>
          <cell r="CJ174">
            <v>0.13993164065360206</v>
          </cell>
          <cell r="CK174">
            <v>0.13023789083609008</v>
          </cell>
          <cell r="CL174">
            <v>0.12608642095871378</v>
          </cell>
          <cell r="CM174">
            <v>0.12172914662714339</v>
          </cell>
          <cell r="CN174">
            <v>0.10504036143166004</v>
          </cell>
          <cell r="CO174">
            <v>0.10856817775204691</v>
          </cell>
          <cell r="CP174">
            <v>0.14855792238647958</v>
          </cell>
          <cell r="CQ174">
            <v>0.14938668474102335</v>
          </cell>
          <cell r="CR174">
            <v>0.1606906720136867</v>
          </cell>
          <cell r="CS174">
            <v>0.18073057756918795</v>
          </cell>
        </row>
        <row r="175">
          <cell r="B175" t="str">
            <v>Mainland China Package %</v>
          </cell>
          <cell r="L175">
            <v>0.39365619272493108</v>
          </cell>
          <cell r="M175">
            <v>0.4576990487681834</v>
          </cell>
          <cell r="N175">
            <v>0.49698996982634253</v>
          </cell>
          <cell r="O175">
            <v>0.51544003824439988</v>
          </cell>
          <cell r="P175">
            <v>0.50270280075460749</v>
          </cell>
          <cell r="Q175">
            <v>0.46564210691741531</v>
          </cell>
          <cell r="R175">
            <v>0.44569487488902948</v>
          </cell>
          <cell r="S175">
            <v>0.40467138255799728</v>
          </cell>
          <cell r="T175">
            <v>0.34930190236877151</v>
          </cell>
          <cell r="U175">
            <v>0.30182372214607101</v>
          </cell>
          <cell r="V175">
            <v>0.32366161603248222</v>
          </cell>
          <cell r="W175">
            <v>0.33619496794059756</v>
          </cell>
          <cell r="X175">
            <v>0.31226906226797679</v>
          </cell>
          <cell r="Y175">
            <v>0.30702790877625924</v>
          </cell>
          <cell r="Z175">
            <v>0.33727802981205446</v>
          </cell>
          <cell r="AA175">
            <v>0.32758700277384944</v>
          </cell>
          <cell r="AB175">
            <v>0.32914237075103214</v>
          </cell>
          <cell r="AC175">
            <v>0.31235035178841125</v>
          </cell>
          <cell r="AD175">
            <v>0.31682234556202338</v>
          </cell>
          <cell r="AE175">
            <v>0.26828728330453283</v>
          </cell>
          <cell r="AF175">
            <v>0.29279569143245937</v>
          </cell>
          <cell r="AG175">
            <v>0.32414356262394523</v>
          </cell>
          <cell r="AH175">
            <v>0.39506220444562851</v>
          </cell>
          <cell r="AI175">
            <v>0.41111850981567927</v>
          </cell>
          <cell r="AJ175">
            <v>0.37325711665810091</v>
          </cell>
          <cell r="AK175">
            <v>0.4403490848874555</v>
          </cell>
          <cell r="AL175">
            <v>0.36887555826562729</v>
          </cell>
          <cell r="AM175">
            <v>0.37913552471554446</v>
          </cell>
          <cell r="AN175">
            <v>0.40868074329529824</v>
          </cell>
          <cell r="AO175">
            <v>0.2979644410659234</v>
          </cell>
          <cell r="AP175">
            <v>0.3448451761738956</v>
          </cell>
          <cell r="AQ175">
            <v>0.35683162595354861</v>
          </cell>
          <cell r="AR175">
            <v>0.29127567654000019</v>
          </cell>
          <cell r="AS175">
            <v>0.23754749115681909</v>
          </cell>
          <cell r="AT175">
            <v>0.29753863715008605</v>
          </cell>
          <cell r="AU175">
            <v>0.28748749901378146</v>
          </cell>
          <cell r="AV175">
            <v>0.23708076659822039</v>
          </cell>
          <cell r="AW175">
            <v>0.3092107793181687</v>
          </cell>
          <cell r="AX175">
            <v>0.32466407160607857</v>
          </cell>
          <cell r="AY175">
            <v>0.18984238413257684</v>
          </cell>
          <cell r="AZ175">
            <v>5.6923821880186442E-3</v>
          </cell>
          <cell r="BA175">
            <v>5.2385910446462798E-2</v>
          </cell>
          <cell r="BB175">
            <v>0.17334945306464145</v>
          </cell>
          <cell r="BC175">
            <v>0.31524799727288222</v>
          </cell>
          <cell r="BD175">
            <v>0.23636400104298294</v>
          </cell>
          <cell r="BE175">
            <v>0.17629360280749229</v>
          </cell>
          <cell r="BF175">
            <v>0.22496734657430376</v>
          </cell>
          <cell r="BG175">
            <v>0.23526230156338876</v>
          </cell>
          <cell r="BH175">
            <v>0.17764967653985728</v>
          </cell>
          <cell r="BI175">
            <v>0.15245068765971378</v>
          </cell>
          <cell r="BJ175">
            <v>0.30128228606358515</v>
          </cell>
          <cell r="BK175">
            <v>0.28860282032739465</v>
          </cell>
          <cell r="BL175">
            <v>0.19965270299706731</v>
          </cell>
          <cell r="BM175">
            <v>0.21002304665619051</v>
          </cell>
          <cell r="BN175">
            <v>0.23370053058477833</v>
          </cell>
          <cell r="BO175">
            <v>0.20225764013006189</v>
          </cell>
          <cell r="BP175">
            <v>0.18081060907846275</v>
          </cell>
          <cell r="BQ175">
            <v>0.17858617472414917</v>
          </cell>
          <cell r="BR175">
            <v>0.25848471972008885</v>
          </cell>
          <cell r="BS175">
            <v>0.21193525478177563</v>
          </cell>
          <cell r="BT175">
            <v>0.17587238357618204</v>
          </cell>
          <cell r="BU175">
            <v>0.1729059263255148</v>
          </cell>
          <cell r="BV175">
            <v>0.19214473682620001</v>
          </cell>
          <cell r="BW175">
            <v>0.21431443457826915</v>
          </cell>
          <cell r="BX175">
            <v>0.17992198548209692</v>
          </cell>
          <cell r="BY175">
            <v>0.20850404604697848</v>
          </cell>
          <cell r="BZ175">
            <v>0.2123919967852243</v>
          </cell>
          <cell r="CA175">
            <v>0.21182650096956843</v>
          </cell>
          <cell r="CB175">
            <v>0.18898148485004346</v>
          </cell>
          <cell r="CC175">
            <v>0.17513934737852418</v>
          </cell>
          <cell r="CD175">
            <v>0.25692193394509555</v>
          </cell>
          <cell r="CE175">
            <v>0.21514723354021018</v>
          </cell>
          <cell r="CF175">
            <v>0.17448559759498214</v>
          </cell>
          <cell r="CG175">
            <v>0.19464659263123898</v>
          </cell>
          <cell r="CH175">
            <v>0.24110308777584141</v>
          </cell>
          <cell r="CI175">
            <v>0.22953823280468172</v>
          </cell>
          <cell r="CJ175">
            <v>0.19725403024339508</v>
          </cell>
          <cell r="CK175">
            <v>0.18585018405411693</v>
          </cell>
          <cell r="CL175">
            <v>0.19475597103346387</v>
          </cell>
          <cell r="CM175">
            <v>0.17499791453008229</v>
          </cell>
          <cell r="CN175">
            <v>0.15284782909646244</v>
          </cell>
          <cell r="CO175">
            <v>0.14569505235486208</v>
          </cell>
          <cell r="CP175">
            <v>0.2006183981878277</v>
          </cell>
          <cell r="CQ175">
            <v>0.19976369166137889</v>
          </cell>
          <cell r="CR175">
            <v>0.20739680040146397</v>
          </cell>
          <cell r="CS175">
            <v>0.22951719949541041</v>
          </cell>
        </row>
        <row r="177">
          <cell r="B177" t="str">
            <v>Total Package % Change</v>
          </cell>
          <cell r="X177">
            <v>3.6383319213028287E-2</v>
          </cell>
          <cell r="Y177">
            <v>-0.25500865884163937</v>
          </cell>
          <cell r="Z177">
            <v>-8.1469804556170922E-2</v>
          </cell>
          <cell r="AA177">
            <v>-4.6893207396952907E-2</v>
          </cell>
          <cell r="AB177">
            <v>-7.9554932140420087E-2</v>
          </cell>
          <cell r="AC177">
            <v>5.0644084168103065E-2</v>
          </cell>
          <cell r="AD177">
            <v>-8.6633445052037406E-2</v>
          </cell>
          <cell r="AE177">
            <v>0.10528552779380074</v>
          </cell>
          <cell r="AF177">
            <v>0.14328725496593053</v>
          </cell>
          <cell r="AG177">
            <v>0.3069368696654915</v>
          </cell>
          <cell r="AH177">
            <v>0.55191109457825727</v>
          </cell>
          <cell r="AI177">
            <v>0.6465250434941856</v>
          </cell>
          <cell r="AJ177">
            <v>0.31915164176393107</v>
          </cell>
          <cell r="AK177">
            <v>0.89650078001508371</v>
          </cell>
          <cell r="AL177">
            <v>0.43609799067478705</v>
          </cell>
          <cell r="AM177">
            <v>0.56599790410521988</v>
          </cell>
          <cell r="AN177">
            <v>0.46563287272527587</v>
          </cell>
          <cell r="AO177">
            <v>8.9637408361402882E-2</v>
          </cell>
          <cell r="AP177">
            <v>0.4101425134184713</v>
          </cell>
          <cell r="AQ177">
            <v>0.32216332024061312</v>
          </cell>
          <cell r="AR177">
            <v>0.2268105957457216</v>
          </cell>
          <cell r="AS177">
            <v>4.3776668836334798E-2</v>
          </cell>
          <cell r="AT177">
            <v>0.11490498990274278</v>
          </cell>
          <cell r="AU177">
            <v>-5.4889137289577672E-3</v>
          </cell>
          <cell r="AV177">
            <v>7.835738680180615E-3</v>
          </cell>
          <cell r="AW177">
            <v>-9.8399503181382353E-2</v>
          </cell>
          <cell r="AX177">
            <v>-5.3131973307105729E-2</v>
          </cell>
          <cell r="AY177">
            <v>-0.70732712636989625</v>
          </cell>
          <cell r="AZ177">
            <v>-0.97804776379450042</v>
          </cell>
          <cell r="BA177">
            <v>-0.81592901043750232</v>
          </cell>
          <cell r="BB177">
            <v>-0.44936856942312409</v>
          </cell>
          <cell r="BC177">
            <v>0.13193867375768664</v>
          </cell>
          <cell r="BD177">
            <v>-5.4721144133127786E-2</v>
          </cell>
          <cell r="BE177">
            <v>-9.6408749818116313E-2</v>
          </cell>
          <cell r="BF177">
            <v>-3.6011437662588963E-2</v>
          </cell>
          <cell r="BG177">
            <v>5.8379466532461066E-2</v>
          </cell>
          <cell r="BH177">
            <v>8.4771469563435176E-2</v>
          </cell>
          <cell r="BI177">
            <v>-0.26430017220023561</v>
          </cell>
          <cell r="BJ177">
            <v>0.47034054482704701</v>
          </cell>
          <cell r="BK177">
            <v>2.9373374202634412</v>
          </cell>
          <cell r="BL177">
            <v>39.311926605504588</v>
          </cell>
          <cell r="BM177">
            <v>6.4322519461018688</v>
          </cell>
          <cell r="BN177">
            <v>1.4667585577929549</v>
          </cell>
          <cell r="BO177">
            <v>4.1798961220107511E-2</v>
          </cell>
          <cell r="BP177">
            <v>0.27700755072484151</v>
          </cell>
          <cell r="BQ177">
            <v>0.5618170525040449</v>
          </cell>
          <cell r="BR177">
            <v>0.5127012801641464</v>
          </cell>
          <cell r="BS177">
            <v>0.16472235430865956</v>
          </cell>
          <cell r="BT177">
            <v>0.15123001927219137</v>
          </cell>
          <cell r="BU177">
            <v>0.5577191570440696</v>
          </cell>
          <cell r="BV177">
            <v>-0.19818221871106922</v>
          </cell>
          <cell r="BW177">
            <v>-2.4823470993696306E-2</v>
          </cell>
          <cell r="BX177">
            <v>0.13971483312339239</v>
          </cell>
          <cell r="BY177">
            <v>0.14272042873548552</v>
          </cell>
          <cell r="BZ177">
            <v>2.190152088059838E-2</v>
          </cell>
          <cell r="CA177">
            <v>0.12410485426631079</v>
          </cell>
          <cell r="CB177">
            <v>6.9918905080957217E-2</v>
          </cell>
          <cell r="CC177">
            <v>5.8107278752915104E-2</v>
          </cell>
          <cell r="CD177">
            <v>6.591450244373509E-2</v>
          </cell>
          <cell r="CE177">
            <v>9.3891048642077202E-2</v>
          </cell>
          <cell r="CF177">
            <v>9.9950763170851831E-2</v>
          </cell>
          <cell r="CG177">
            <v>0.26600798224293642</v>
          </cell>
          <cell r="CH177">
            <v>0.38880388803888044</v>
          </cell>
          <cell r="CI177">
            <v>0.17805807395388773</v>
          </cell>
          <cell r="CJ177">
            <v>0.10933872016346236</v>
          </cell>
          <cell r="CK177">
            <v>-3.2303240094541552E-2</v>
          </cell>
          <cell r="CL177">
            <v>-6.5755880164286906E-2</v>
          </cell>
          <cell r="CM177">
            <v>-8.3232446706394403E-2</v>
          </cell>
          <cell r="CN177">
            <v>-5.4759981269842939E-2</v>
          </cell>
          <cell r="CO177">
            <v>2.4221613846224788E-3</v>
          </cell>
          <cell r="CP177">
            <v>1.5111224839119419E-3</v>
          </cell>
          <cell r="CQ177">
            <v>0.3399033776358622</v>
          </cell>
          <cell r="CR177">
            <v>0.62941907888192583</v>
          </cell>
          <cell r="CS177">
            <v>0.63287038001041118</v>
          </cell>
        </row>
        <row r="178">
          <cell r="B178" t="str">
            <v>Mainland China Package % Change</v>
          </cell>
          <cell r="X178">
            <v>5.5366805083678639E-3</v>
          </cell>
          <cell r="Y178">
            <v>-0.33271973183341852</v>
          </cell>
          <cell r="Z178">
            <v>-0.23185995709759311</v>
          </cell>
          <cell r="AA178">
            <v>-0.13808256688270826</v>
          </cell>
          <cell r="AB178">
            <v>-0.25350016237866702</v>
          </cell>
          <cell r="AC178">
            <v>-4.6068821982534369E-2</v>
          </cell>
          <cell r="AD178">
            <v>-0.1625696258393865</v>
          </cell>
          <cell r="AE178">
            <v>9.8875357354256233E-2</v>
          </cell>
          <cell r="AF178">
            <v>0.23235634067659183</v>
          </cell>
          <cell r="AG178">
            <v>0.54808211777417615</v>
          </cell>
          <cell r="AH178">
            <v>0.78059185059959235</v>
          </cell>
          <cell r="AI178">
            <v>0.70899394220457368</v>
          </cell>
          <cell r="AJ178">
            <v>0.40366245359362618</v>
          </cell>
          <cell r="AK178">
            <v>1.2460322866289761</v>
          </cell>
          <cell r="AL178">
            <v>0.4336497444371854</v>
          </cell>
          <cell r="AM178">
            <v>0.72916746730205095</v>
          </cell>
          <cell r="AN178">
            <v>0.76286691399499706</v>
          </cell>
          <cell r="AO178">
            <v>0.24811675388811083</v>
          </cell>
          <cell r="AP178">
            <v>0.71386250017803476</v>
          </cell>
          <cell r="AQ178">
            <v>0.58524537557017453</v>
          </cell>
          <cell r="AR178">
            <v>0.37699479254157575</v>
          </cell>
          <cell r="AS178">
            <v>-1.1298202756935938E-2</v>
          </cell>
          <cell r="AT178">
            <v>0.17495275024623114</v>
          </cell>
          <cell r="AU178">
            <v>0.14328720192666466</v>
          </cell>
          <cell r="AV178">
            <v>9.79692917285786E-2</v>
          </cell>
          <cell r="AW178">
            <v>-2.4617880754533861E-2</v>
          </cell>
          <cell r="AX178">
            <v>0.31910825179823976</v>
          </cell>
          <cell r="AY178">
            <v>-0.58008356545961004</v>
          </cell>
          <cell r="AZ178">
            <v>-0.98944330575339834</v>
          </cell>
          <cell r="BA178">
            <v>-0.77239978267545417</v>
          </cell>
          <cell r="BB178">
            <v>-0.35297344014892129</v>
          </cell>
          <cell r="BC178">
            <v>0.33716987543287624</v>
          </cell>
          <cell r="BD178">
            <v>0.19800339544766032</v>
          </cell>
          <cell r="BE178">
            <v>0.14976836532097959</v>
          </cell>
          <cell r="BF178">
            <v>0.12253806186563554</v>
          </cell>
          <cell r="BG178">
            <v>0.18726311182975941</v>
          </cell>
          <cell r="BH178">
            <v>0.18276795380728972</v>
          </cell>
          <cell r="BI178">
            <v>-0.21815948821988507</v>
          </cell>
          <cell r="BJ178">
            <v>0.61589942287370958</v>
          </cell>
          <cell r="BK178">
            <v>2.717529374404573</v>
          </cell>
          <cell r="BL178">
            <v>104.34415584415585</v>
          </cell>
          <cell r="BM178">
            <v>6.9968863518422415</v>
          </cell>
          <cell r="BN178">
            <v>1.5915641295692158</v>
          </cell>
          <cell r="BO178">
            <v>-2.1659205432643436E-2</v>
          </cell>
          <cell r="BP178">
            <v>0.12852584773089837</v>
          </cell>
          <cell r="BQ178">
            <v>0.5020817744008903</v>
          </cell>
          <cell r="BR178">
            <v>0.48555589940931898</v>
          </cell>
          <cell r="BS178">
            <v>0.11116525476672412</v>
          </cell>
          <cell r="BT178">
            <v>0.1073166638697769</v>
          </cell>
          <cell r="BU178">
            <v>0.4308183291411074</v>
          </cell>
          <cell r="BV178">
            <v>-0.33366729266575001</v>
          </cell>
          <cell r="BW178">
            <v>-0.15514647607929122</v>
          </cell>
          <cell r="BX178">
            <v>-3.3027183628182244E-2</v>
          </cell>
          <cell r="BY178">
            <v>8.6502271252433482E-2</v>
          </cell>
          <cell r="BZ178">
            <v>-3.8657111421689594E-2</v>
          </cell>
          <cell r="CA178">
            <v>0.10052500690798571</v>
          </cell>
          <cell r="CB178">
            <v>0.13273930370704567</v>
          </cell>
          <cell r="CC178">
            <v>7.6851840024525053E-2</v>
          </cell>
          <cell r="CD178">
            <v>8.6873233823635987E-2</v>
          </cell>
          <cell r="CE178">
            <v>0.11894052692536916</v>
          </cell>
          <cell r="CF178">
            <v>0.1150950284844352</v>
          </cell>
          <cell r="CG178">
            <v>0.36098835431779652</v>
          </cell>
          <cell r="CH178">
            <v>0.58317762888867919</v>
          </cell>
          <cell r="CI178">
            <v>0.27655104620137627</v>
          </cell>
          <cell r="CJ178">
            <v>0.23316461828752111</v>
          </cell>
          <cell r="CK178">
            <v>-2.6608134742877598E-2</v>
          </cell>
          <cell r="CL178">
            <v>-4.5830884551537832E-2</v>
          </cell>
          <cell r="CM178">
            <v>-0.10457467108566842</v>
          </cell>
          <cell r="CN178">
            <v>-6.919007189182369E-2</v>
          </cell>
          <cell r="CO178">
            <v>-8.2576642725391003E-2</v>
          </cell>
          <cell r="CP178">
            <v>-0.10622960929003866</v>
          </cell>
          <cell r="CQ178">
            <v>0.14686182587417163</v>
          </cell>
          <cell r="CR178">
            <v>0.48079073359073354</v>
          </cell>
          <cell r="CS178">
            <v>0.45095676680213215</v>
          </cell>
        </row>
        <row r="180">
          <cell r="B180" t="str">
            <v>Overnight % Change</v>
          </cell>
          <cell r="X180">
            <v>0.17479395604395598</v>
          </cell>
          <cell r="Y180">
            <v>-0.21562443528470254</v>
          </cell>
          <cell r="Z180">
            <v>3.7296145723828111E-2</v>
          </cell>
          <cell r="AA180">
            <v>4.9111347811160222E-2</v>
          </cell>
          <cell r="AB180">
            <v>-4.0084838346249652E-2</v>
          </cell>
          <cell r="AC180">
            <v>8.1559851210439627E-2</v>
          </cell>
          <cell r="AD180">
            <v>-2.3449145970531826E-2</v>
          </cell>
          <cell r="AE180">
            <v>1.0115725388794017E-2</v>
          </cell>
          <cell r="AF180">
            <v>3.2942314669246464E-3</v>
          </cell>
          <cell r="AG180">
            <v>2.7107624404790753E-2</v>
          </cell>
          <cell r="AH180">
            <v>9.4943138989938669E-2</v>
          </cell>
          <cell r="AI180">
            <v>0.1924826771828978</v>
          </cell>
          <cell r="AJ180">
            <v>1.1221297778863715E-2</v>
          </cell>
          <cell r="AK180">
            <v>0.29064250176903283</v>
          </cell>
          <cell r="AL180">
            <v>0.14156053811659186</v>
          </cell>
          <cell r="AM180">
            <v>0.15575861316685957</v>
          </cell>
          <cell r="AN180">
            <v>0.21505323760197381</v>
          </cell>
          <cell r="AO180">
            <v>7.7669401140773697E-2</v>
          </cell>
          <cell r="AP180">
            <v>0.12273136852326538</v>
          </cell>
          <cell r="AQ180">
            <v>0.13712934649900954</v>
          </cell>
          <cell r="AR180">
            <v>0.15092620271351831</v>
          </cell>
          <cell r="AS180">
            <v>5.9221614667095634E-2</v>
          </cell>
          <cell r="AT180">
            <v>0.22187540086372781</v>
          </cell>
          <cell r="AU180">
            <v>0.12998344612142243</v>
          </cell>
          <cell r="AV180">
            <v>4.7532347624245519E-2</v>
          </cell>
          <cell r="AW180">
            <v>5.4184658801128771E-2</v>
          </cell>
          <cell r="AX180">
            <v>6.8904968417083046E-2</v>
          </cell>
          <cell r="AY180">
            <v>-0.40900312906106384</v>
          </cell>
          <cell r="AZ180">
            <v>-0.56680741141861923</v>
          </cell>
          <cell r="BA180">
            <v>-0.17596972563859981</v>
          </cell>
          <cell r="BB180">
            <v>-2.9427717024832156E-2</v>
          </cell>
          <cell r="BC180">
            <v>0.13695399726228241</v>
          </cell>
          <cell r="BD180">
            <v>0.11293667184731193</v>
          </cell>
          <cell r="BE180">
            <v>0.13725585463025936</v>
          </cell>
          <cell r="BF180">
            <v>0.11807460806270997</v>
          </cell>
          <cell r="BG180">
            <v>8.7041495257873747E-2</v>
          </cell>
          <cell r="BH180">
            <v>0.20339709056162381</v>
          </cell>
          <cell r="BI180">
            <v>6.6909372392022215E-2</v>
          </cell>
          <cell r="BJ180">
            <v>0.29366540614239156</v>
          </cell>
          <cell r="BK180">
            <v>1.0429153179492534</v>
          </cell>
          <cell r="BL180">
            <v>1.6568689556146796</v>
          </cell>
          <cell r="BM180">
            <v>0.68349320395540913</v>
          </cell>
          <cell r="BN180">
            <v>0.4194500872218152</v>
          </cell>
          <cell r="BO180">
            <v>7.5333730852736203E-2</v>
          </cell>
          <cell r="BP180">
            <v>0.11856527696222363</v>
          </cell>
          <cell r="BQ180">
            <v>0.18246322325230335</v>
          </cell>
          <cell r="BR180">
            <v>0.10163661459588536</v>
          </cell>
          <cell r="BS180">
            <v>5.8198997922224827E-2</v>
          </cell>
          <cell r="BT180">
            <v>3.6258470805667686E-2</v>
          </cell>
          <cell r="BU180">
            <v>8.9240570903855509E-2</v>
          </cell>
          <cell r="BV180">
            <v>-9.4688339800805599E-2</v>
          </cell>
          <cell r="BW180">
            <v>-5.3697328663129262E-3</v>
          </cell>
          <cell r="BX180">
            <v>4.6490335707019437E-2</v>
          </cell>
          <cell r="BY180">
            <v>5.3499145170211593E-2</v>
          </cell>
          <cell r="BZ180">
            <v>9.4405873433884846E-3</v>
          </cell>
          <cell r="CA180">
            <v>2.0946533938956513E-2</v>
          </cell>
          <cell r="CB180">
            <v>9.6080654985243985E-2</v>
          </cell>
          <cell r="CC180">
            <v>5.8882683246270329E-2</v>
          </cell>
          <cell r="CD180">
            <v>0.10218368402211531</v>
          </cell>
          <cell r="CE180">
            <v>0.11118649525079927</v>
          </cell>
          <cell r="CF180">
            <v>8.1106700046899682E-2</v>
          </cell>
          <cell r="CG180">
            <v>0.17993470922709176</v>
          </cell>
          <cell r="CH180">
            <v>0.25330889966926695</v>
          </cell>
          <cell r="CI180">
            <v>0.21584310453752664</v>
          </cell>
          <cell r="CJ180">
            <v>4.201905317390886E-2</v>
          </cell>
          <cell r="CK180">
            <v>3.506704652238124E-2</v>
          </cell>
          <cell r="CL180">
            <v>5.2047675892473722E-2</v>
          </cell>
          <cell r="CM180">
            <v>9.0855935572897506E-2</v>
          </cell>
          <cell r="CN180">
            <v>0.12088640822303898</v>
          </cell>
          <cell r="CO180">
            <v>0.1727534319802555</v>
          </cell>
          <cell r="CP180">
            <v>0.14290096406660835</v>
          </cell>
          <cell r="CQ180">
            <v>0.2466703231882108</v>
          </cell>
          <cell r="CR180">
            <v>0.3126437764831318</v>
          </cell>
          <cell r="CS180">
            <v>0.25306440468665015</v>
          </cell>
        </row>
        <row r="181">
          <cell r="B181" t="str">
            <v>Overnight % of Total</v>
          </cell>
          <cell r="L181">
            <v>0.30387569854155116</v>
          </cell>
          <cell r="M181">
            <v>0.28580528379102904</v>
          </cell>
          <cell r="N181">
            <v>0.29837434820564851</v>
          </cell>
          <cell r="O181">
            <v>0.28288047572149477</v>
          </cell>
          <cell r="P181">
            <v>0.31767602273220252</v>
          </cell>
          <cell r="Q181">
            <v>0.30316493917844689</v>
          </cell>
          <cell r="R181">
            <v>0.29340946039463306</v>
          </cell>
          <cell r="S181">
            <v>0.29789316894827156</v>
          </cell>
          <cell r="T181">
            <v>0.28495359553612903</v>
          </cell>
          <cell r="U181">
            <v>0.29065905645689938</v>
          </cell>
          <cell r="V181">
            <v>0.29203554342639398</v>
          </cell>
          <cell r="W181">
            <v>0.2772523705099299</v>
          </cell>
          <cell r="X181">
            <v>0.25879737416757181</v>
          </cell>
          <cell r="Y181">
            <v>0.25658951279759601</v>
          </cell>
          <cell r="Z181">
            <v>0.26022977238647038</v>
          </cell>
          <cell r="AA181">
            <v>0.25562993738913331</v>
          </cell>
          <cell r="AB181">
            <v>0.27348518376220099</v>
          </cell>
          <cell r="AC181">
            <v>0.26547738731075016</v>
          </cell>
          <cell r="AD181">
            <v>0.28569295909083431</v>
          </cell>
          <cell r="AE181">
            <v>0.25684656698205355</v>
          </cell>
          <cell r="AF181">
            <v>0.26491576969599434</v>
          </cell>
          <cell r="AG181">
            <v>0.27209745213862119</v>
          </cell>
          <cell r="AH181">
            <v>0.28460028548863459</v>
          </cell>
          <cell r="AI181">
            <v>0.29687978416084987</v>
          </cell>
          <cell r="AJ181">
            <v>0.29787625063455447</v>
          </cell>
          <cell r="AK181">
            <v>0.251678028232591</v>
          </cell>
          <cell r="AL181">
            <v>0.26518356321922898</v>
          </cell>
          <cell r="AM181">
            <v>0.27607390244684604</v>
          </cell>
          <cell r="AN181">
            <v>0.28972006207651013</v>
          </cell>
          <cell r="AO181">
            <v>0.26588266660484311</v>
          </cell>
          <cell r="AP181">
            <v>0.26854599260512407</v>
          </cell>
          <cell r="AQ181">
            <v>0.27705896150745613</v>
          </cell>
          <cell r="AR181">
            <v>0.26988076852632792</v>
          </cell>
          <cell r="AS181">
            <v>0.25434106978458904</v>
          </cell>
          <cell r="AT181">
            <v>0.28484933667066387</v>
          </cell>
          <cell r="AU181">
            <v>0.28356049417446139</v>
          </cell>
          <cell r="AV181">
            <v>0.24594084559259247</v>
          </cell>
          <cell r="AW181">
            <v>0.23680803652410021</v>
          </cell>
          <cell r="AX181">
            <v>0.28316488996374445</v>
          </cell>
          <cell r="AY181">
            <v>0.24643163111163582</v>
          </cell>
          <cell r="AZ181">
            <v>0.19844023411573042</v>
          </cell>
          <cell r="BA181">
            <v>0.2316889745874802</v>
          </cell>
          <cell r="BB181">
            <v>0.25299959495915203</v>
          </cell>
          <cell r="BC181">
            <v>0.27525481175852506</v>
          </cell>
          <cell r="BD181">
            <v>0.26538987141475734</v>
          </cell>
          <cell r="BE181">
            <v>0.25188204899649463</v>
          </cell>
          <cell r="BF181">
            <v>0.27552072823479296</v>
          </cell>
          <cell r="BG181">
            <v>0.26873484510326179</v>
          </cell>
          <cell r="BH181">
            <v>0.21904338510418017</v>
          </cell>
          <cell r="BI181">
            <v>0.23828595971974725</v>
          </cell>
          <cell r="BJ181">
            <v>0.26933550218938673</v>
          </cell>
          <cell r="BK181">
            <v>0.24541749123047796</v>
          </cell>
          <cell r="BL181">
            <v>0.23697239440354614</v>
          </cell>
          <cell r="BM181">
            <v>0.24461912797469182</v>
          </cell>
          <cell r="BN181">
            <v>0.24667759861887317</v>
          </cell>
          <cell r="BO181">
            <v>0.23295032796804435</v>
          </cell>
          <cell r="BP181">
            <v>0.22628175206604018</v>
          </cell>
          <cell r="BQ181">
            <v>0.22004395115154798</v>
          </cell>
          <cell r="BR181">
            <v>0.24196672986681222</v>
          </cell>
          <cell r="BS181">
            <v>0.22908821247601097</v>
          </cell>
          <cell r="BT181">
            <v>0.2160450793791239</v>
          </cell>
          <cell r="BU181">
            <v>0.1893149173447875</v>
          </cell>
          <cell r="BV181">
            <v>0.20788483704752728</v>
          </cell>
          <cell r="BW181">
            <v>0.22147738623491323</v>
          </cell>
          <cell r="BX181">
            <v>0.21382054569759421</v>
          </cell>
          <cell r="BY181">
            <v>0.23391308898696858</v>
          </cell>
          <cell r="BZ181">
            <v>0.22781625287262475</v>
          </cell>
          <cell r="CA181">
            <v>0.22216429582185149</v>
          </cell>
          <cell r="CB181">
            <v>0.22411986307260937</v>
          </cell>
          <cell r="CC181">
            <v>0.21140126098280682</v>
          </cell>
          <cell r="CD181">
            <v>0.24161849638979838</v>
          </cell>
          <cell r="CE181">
            <v>0.23179572059105738</v>
          </cell>
          <cell r="CF181">
            <v>0.19702201706640152</v>
          </cell>
          <cell r="CG181">
            <v>0.19173009471646507</v>
          </cell>
          <cell r="CH181">
            <v>0.22034104945167399</v>
          </cell>
          <cell r="CI181">
            <v>0.2150569369635259</v>
          </cell>
          <cell r="CJ181">
            <v>0.2009284452788411</v>
          </cell>
          <cell r="CK181">
            <v>0.21726457160425874</v>
          </cell>
          <cell r="CL181">
            <v>0.22151779333365884</v>
          </cell>
          <cell r="CM181">
            <v>0.21837457595111545</v>
          </cell>
          <cell r="CN181">
            <v>0.20876555260309362</v>
          </cell>
          <cell r="CO181">
            <v>0.20727821701172161</v>
          </cell>
          <cell r="CP181">
            <v>0.22742145371599978</v>
          </cell>
          <cell r="CQ181">
            <v>0.22278617256233132</v>
          </cell>
          <cell r="CR181">
            <v>0.21074933489244485</v>
          </cell>
          <cell r="CS181">
            <v>0.19644533804965134</v>
          </cell>
        </row>
        <row r="183">
          <cell r="B183" t="str">
            <v>Visitor Arrivals</v>
          </cell>
        </row>
        <row r="184">
          <cell r="B184" t="str">
            <v>Grand Total (units)</v>
          </cell>
          <cell r="C184">
            <v>7488600</v>
          </cell>
          <cell r="D184">
            <v>7699200</v>
          </cell>
          <cell r="E184">
            <v>7829300</v>
          </cell>
          <cell r="F184">
            <v>7833800</v>
          </cell>
          <cell r="G184">
            <v>7752500</v>
          </cell>
          <cell r="H184">
            <v>8151100</v>
          </cell>
          <cell r="I184">
            <v>7000400</v>
          </cell>
          <cell r="J184">
            <v>6948500</v>
          </cell>
          <cell r="K184">
            <v>7443900</v>
          </cell>
          <cell r="L184">
            <v>642052</v>
          </cell>
          <cell r="M184">
            <v>813204</v>
          </cell>
          <cell r="N184">
            <v>720511</v>
          </cell>
          <cell r="O184">
            <v>803159</v>
          </cell>
          <cell r="P184">
            <v>737632</v>
          </cell>
          <cell r="Q184">
            <v>649112</v>
          </cell>
          <cell r="R184">
            <v>848231</v>
          </cell>
          <cell r="S184">
            <v>900974</v>
          </cell>
          <cell r="T184">
            <v>725469</v>
          </cell>
          <cell r="U184">
            <v>781056</v>
          </cell>
          <cell r="V184">
            <v>731387</v>
          </cell>
          <cell r="W184">
            <v>809425</v>
          </cell>
          <cell r="X184">
            <v>885662</v>
          </cell>
          <cell r="Y184">
            <v>710485</v>
          </cell>
          <cell r="Z184">
            <v>856935</v>
          </cell>
          <cell r="AA184">
            <v>932426</v>
          </cell>
          <cell r="AB184">
            <v>822476</v>
          </cell>
          <cell r="AC184">
            <v>801718</v>
          </cell>
          <cell r="AD184">
            <v>850714</v>
          </cell>
          <cell r="AE184">
            <v>1055529</v>
          </cell>
          <cell r="AF184">
            <v>782913</v>
          </cell>
          <cell r="AG184">
            <v>856954</v>
          </cell>
          <cell r="AH184">
            <v>821749</v>
          </cell>
          <cell r="AI184">
            <v>901412</v>
          </cell>
          <cell r="AJ184">
            <v>778105</v>
          </cell>
          <cell r="AK184">
            <v>934877</v>
          </cell>
          <cell r="AL184">
            <v>959969</v>
          </cell>
          <cell r="AM184">
            <v>997856</v>
          </cell>
          <cell r="AN184">
            <v>943352</v>
          </cell>
          <cell r="AO184">
            <v>862670</v>
          </cell>
          <cell r="AP184">
            <v>1016109</v>
          </cell>
          <cell r="AQ184">
            <v>1112709</v>
          </cell>
          <cell r="AR184">
            <v>884498</v>
          </cell>
          <cell r="AS184">
            <v>971074</v>
          </cell>
          <cell r="AT184">
            <v>1003197</v>
          </cell>
          <cell r="AU184">
            <v>1066425</v>
          </cell>
          <cell r="AV184">
            <v>987213</v>
          </cell>
          <cell r="AW184">
            <v>1047418</v>
          </cell>
          <cell r="AX184">
            <v>960956</v>
          </cell>
          <cell r="AY184">
            <v>660666</v>
          </cell>
          <cell r="AZ184">
            <v>596628</v>
          </cell>
          <cell r="BA184">
            <v>815779</v>
          </cell>
          <cell r="BB184">
            <v>1046808</v>
          </cell>
          <cell r="BC184">
            <v>1273391</v>
          </cell>
          <cell r="BD184">
            <v>1001048</v>
          </cell>
          <cell r="BE184">
            <v>1115141</v>
          </cell>
          <cell r="BF184">
            <v>1159626</v>
          </cell>
          <cell r="BG184">
            <v>1223202</v>
          </cell>
          <cell r="BH184">
            <v>1333891</v>
          </cell>
          <cell r="BI184">
            <v>1110569</v>
          </cell>
          <cell r="BJ184">
            <v>1306987</v>
          </cell>
          <cell r="BK184">
            <v>1355262</v>
          </cell>
          <cell r="BL184">
            <v>1327412</v>
          </cell>
          <cell r="BM184">
            <v>1300765</v>
          </cell>
          <cell r="BN184">
            <v>1523973</v>
          </cell>
          <cell r="BO184">
            <v>1617993</v>
          </cell>
          <cell r="BP184">
            <v>1313261</v>
          </cell>
          <cell r="BQ184">
            <v>1509403</v>
          </cell>
          <cell r="BR184">
            <v>1454638</v>
          </cell>
          <cell r="BS184">
            <v>1518402</v>
          </cell>
          <cell r="BT184">
            <v>1401439</v>
          </cell>
          <cell r="BU184">
            <v>1522590</v>
          </cell>
          <cell r="BV184">
            <v>1532993</v>
          </cell>
          <cell r="BW184">
            <v>1493692</v>
          </cell>
          <cell r="BX184">
            <v>1539534</v>
          </cell>
          <cell r="BY184">
            <v>1433075</v>
          </cell>
          <cell r="BZ184">
            <v>1665724</v>
          </cell>
          <cell r="CA184">
            <v>1732083</v>
          </cell>
          <cell r="CB184">
            <v>1453325</v>
          </cell>
          <cell r="CC184">
            <v>1663623</v>
          </cell>
          <cell r="CD184">
            <v>1605589</v>
          </cell>
          <cell r="CE184">
            <v>1667520</v>
          </cell>
          <cell r="CF184">
            <v>1661393</v>
          </cell>
          <cell r="CG184">
            <v>1773926</v>
          </cell>
          <cell r="CH184">
            <v>1812699</v>
          </cell>
          <cell r="CI184">
            <v>1870314</v>
          </cell>
          <cell r="CJ184">
            <v>1707155</v>
          </cell>
          <cell r="CK184">
            <v>1596993</v>
          </cell>
          <cell r="CL184">
            <v>1802248</v>
          </cell>
          <cell r="CM184">
            <v>1922243</v>
          </cell>
          <cell r="CN184">
            <v>1748823</v>
          </cell>
          <cell r="CO184">
            <v>1989828</v>
          </cell>
          <cell r="CP184">
            <v>1949583</v>
          </cell>
          <cell r="CQ184">
            <v>2162917</v>
          </cell>
          <cell r="CR184">
            <v>2038768</v>
          </cell>
          <cell r="CS184">
            <v>2169489</v>
          </cell>
          <cell r="CU184">
            <v>0.22499744565206314</v>
          </cell>
          <cell r="CW184">
            <v>0.29708609192093638</v>
          </cell>
        </row>
        <row r="185">
          <cell r="CO185">
            <v>0.19608108327427543</v>
          </cell>
          <cell r="CP185">
            <v>0.21424785545989655</v>
          </cell>
          <cell r="CQ185">
            <v>0.29708609192093638</v>
          </cell>
          <cell r="CR185">
            <v>0.22714372818472217</v>
          </cell>
          <cell r="CS185">
            <v>0.22298731739655442</v>
          </cell>
        </row>
        <row r="186">
          <cell r="B186" t="str">
            <v>Total on Package Tours</v>
          </cell>
          <cell r="L186">
            <v>106230</v>
          </cell>
          <cell r="M186">
            <v>129925</v>
          </cell>
          <cell r="N186">
            <v>143366</v>
          </cell>
          <cell r="O186">
            <v>138165</v>
          </cell>
          <cell r="P186">
            <v>158268</v>
          </cell>
          <cell r="Q186">
            <v>120093</v>
          </cell>
          <cell r="R186">
            <v>136056</v>
          </cell>
          <cell r="S186">
            <v>131756</v>
          </cell>
          <cell r="T186">
            <v>107281</v>
          </cell>
          <cell r="U186">
            <v>105797</v>
          </cell>
          <cell r="V186">
            <v>107530</v>
          </cell>
          <cell r="W186">
            <v>109210</v>
          </cell>
          <cell r="X186">
            <v>110095</v>
          </cell>
          <cell r="Y186">
            <v>96793</v>
          </cell>
          <cell r="Z186">
            <v>131686</v>
          </cell>
          <cell r="AA186">
            <v>131686</v>
          </cell>
          <cell r="AB186">
            <v>145677</v>
          </cell>
          <cell r="AC186">
            <v>126175</v>
          </cell>
          <cell r="AD186">
            <v>124269</v>
          </cell>
          <cell r="AE186">
            <v>145628</v>
          </cell>
          <cell r="AF186">
            <v>122653</v>
          </cell>
          <cell r="AG186">
            <v>138270</v>
          </cell>
          <cell r="AH186">
            <v>166877</v>
          </cell>
          <cell r="AI186">
            <v>179817</v>
          </cell>
          <cell r="AJ186">
            <v>145232</v>
          </cell>
          <cell r="AK186">
            <v>183568</v>
          </cell>
          <cell r="AL186">
            <v>189114</v>
          </cell>
          <cell r="AM186">
            <v>206220</v>
          </cell>
          <cell r="AN186">
            <v>213509</v>
          </cell>
          <cell r="AO186">
            <v>137485</v>
          </cell>
          <cell r="AP186">
            <v>175237</v>
          </cell>
          <cell r="AQ186">
            <v>192544</v>
          </cell>
          <cell r="AR186">
            <v>150472</v>
          </cell>
          <cell r="AS186">
            <v>144323</v>
          </cell>
          <cell r="AT186">
            <v>186052</v>
          </cell>
          <cell r="AU186">
            <v>178830</v>
          </cell>
          <cell r="AV186">
            <v>146370</v>
          </cell>
          <cell r="AW186">
            <v>165505</v>
          </cell>
          <cell r="AX186">
            <v>179066</v>
          </cell>
          <cell r="AY186">
            <v>60355</v>
          </cell>
          <cell r="AZ186">
            <v>4687</v>
          </cell>
          <cell r="BA186">
            <v>25307</v>
          </cell>
          <cell r="BB186">
            <v>96491</v>
          </cell>
          <cell r="BC186">
            <v>217948</v>
          </cell>
          <cell r="BD186">
            <v>142238</v>
          </cell>
          <cell r="BE186">
            <v>130409</v>
          </cell>
          <cell r="BF186">
            <v>179352</v>
          </cell>
          <cell r="BG186">
            <v>189270</v>
          </cell>
          <cell r="BH186">
            <v>158778</v>
          </cell>
          <cell r="BI186">
            <v>121762</v>
          </cell>
          <cell r="BJ186">
            <v>263288</v>
          </cell>
          <cell r="BK186">
            <v>237638</v>
          </cell>
          <cell r="BL186">
            <v>188942</v>
          </cell>
          <cell r="BM186">
            <v>188088</v>
          </cell>
          <cell r="BN186">
            <v>238020</v>
          </cell>
          <cell r="BO186">
            <v>227058</v>
          </cell>
          <cell r="BP186">
            <v>181639</v>
          </cell>
          <cell r="BQ186">
            <v>203675</v>
          </cell>
          <cell r="BR186">
            <v>271306</v>
          </cell>
          <cell r="BS186">
            <v>220447</v>
          </cell>
          <cell r="BT186">
            <v>182790</v>
          </cell>
          <cell r="BU186">
            <v>189671</v>
          </cell>
          <cell r="BV186">
            <v>211109</v>
          </cell>
          <cell r="BW186">
            <v>231739</v>
          </cell>
          <cell r="BX186">
            <v>215340</v>
          </cell>
          <cell r="BY186">
            <v>214932</v>
          </cell>
          <cell r="BZ186">
            <v>243233</v>
          </cell>
          <cell r="CA186">
            <v>255237</v>
          </cell>
          <cell r="CB186">
            <v>194339</v>
          </cell>
          <cell r="CC186">
            <v>215510</v>
          </cell>
          <cell r="CD186">
            <v>289189</v>
          </cell>
          <cell r="CE186">
            <v>241145</v>
          </cell>
          <cell r="CF186">
            <v>201060</v>
          </cell>
          <cell r="CG186">
            <v>240125</v>
          </cell>
          <cell r="CH186">
            <v>293189</v>
          </cell>
          <cell r="CI186">
            <v>273002</v>
          </cell>
          <cell r="CJ186">
            <v>238885</v>
          </cell>
          <cell r="CK186">
            <v>207989</v>
          </cell>
          <cell r="CL186">
            <v>227239</v>
          </cell>
          <cell r="CM186">
            <v>233993</v>
          </cell>
          <cell r="CN186">
            <v>183697</v>
          </cell>
          <cell r="CO186">
            <v>216032</v>
          </cell>
          <cell r="CP186">
            <v>289626</v>
          </cell>
          <cell r="CQ186">
            <v>323111</v>
          </cell>
          <cell r="CR186">
            <v>327611</v>
          </cell>
          <cell r="CS186">
            <v>392093</v>
          </cell>
          <cell r="CW186">
            <v>0.3399033776358622</v>
          </cell>
          <cell r="CX186">
            <v>0.62941907888192583</v>
          </cell>
        </row>
        <row r="187">
          <cell r="B187" t="str">
            <v>China on Package Tours</v>
          </cell>
          <cell r="L187">
            <v>71523</v>
          </cell>
          <cell r="M187">
            <v>88005</v>
          </cell>
          <cell r="N187">
            <v>101626</v>
          </cell>
          <cell r="O187">
            <v>90569</v>
          </cell>
          <cell r="P187">
            <v>110852</v>
          </cell>
          <cell r="Q187">
            <v>71111</v>
          </cell>
          <cell r="R187">
            <v>83841</v>
          </cell>
          <cell r="S187">
            <v>79403</v>
          </cell>
          <cell r="T187">
            <v>57967</v>
          </cell>
          <cell r="U187">
            <v>59232</v>
          </cell>
          <cell r="V187">
            <v>63293</v>
          </cell>
          <cell r="W187">
            <v>69002</v>
          </cell>
          <cell r="X187">
            <v>71919</v>
          </cell>
          <cell r="Y187">
            <v>58724</v>
          </cell>
          <cell r="Z187">
            <v>78063</v>
          </cell>
          <cell r="AA187">
            <v>78063</v>
          </cell>
          <cell r="AB187">
            <v>82751</v>
          </cell>
          <cell r="AC187">
            <v>67835</v>
          </cell>
          <cell r="AD187">
            <v>70211</v>
          </cell>
          <cell r="AE187">
            <v>87254</v>
          </cell>
          <cell r="AF187">
            <v>71436</v>
          </cell>
          <cell r="AG187">
            <v>91696</v>
          </cell>
          <cell r="AH187">
            <v>112699</v>
          </cell>
          <cell r="AI187">
            <v>117924</v>
          </cell>
          <cell r="AJ187">
            <v>100950</v>
          </cell>
          <cell r="AK187">
            <v>131896</v>
          </cell>
          <cell r="AL187">
            <v>111915</v>
          </cell>
          <cell r="AM187">
            <v>134984</v>
          </cell>
          <cell r="AN187">
            <v>145879</v>
          </cell>
          <cell r="AO187">
            <v>84666</v>
          </cell>
          <cell r="AP187">
            <v>120332</v>
          </cell>
          <cell r="AQ187">
            <v>138319</v>
          </cell>
          <cell r="AR187">
            <v>98367</v>
          </cell>
          <cell r="AS187">
            <v>90660</v>
          </cell>
          <cell r="AT187">
            <v>132416</v>
          </cell>
          <cell r="AU187">
            <v>134821</v>
          </cell>
          <cell r="AV187">
            <v>110840</v>
          </cell>
          <cell r="AW187">
            <v>128649</v>
          </cell>
          <cell r="AX187">
            <v>147628</v>
          </cell>
          <cell r="AY187">
            <v>56682</v>
          </cell>
          <cell r="AZ187">
            <v>1540</v>
          </cell>
          <cell r="BA187">
            <v>19270</v>
          </cell>
          <cell r="BB187">
            <v>77858</v>
          </cell>
          <cell r="BC187">
            <v>184956</v>
          </cell>
          <cell r="BD187">
            <v>117844</v>
          </cell>
          <cell r="BE187">
            <v>104238</v>
          </cell>
          <cell r="BF187">
            <v>148642</v>
          </cell>
          <cell r="BG187">
            <v>160068</v>
          </cell>
          <cell r="BH187">
            <v>131098</v>
          </cell>
          <cell r="BI187">
            <v>100583</v>
          </cell>
          <cell r="BJ187">
            <v>238552</v>
          </cell>
          <cell r="BK187">
            <v>210717</v>
          </cell>
          <cell r="BL187">
            <v>162230</v>
          </cell>
          <cell r="BM187">
            <v>154100</v>
          </cell>
          <cell r="BN187">
            <v>201774</v>
          </cell>
          <cell r="BO187">
            <v>180950</v>
          </cell>
          <cell r="BP187">
            <v>132990</v>
          </cell>
          <cell r="BQ187">
            <v>156574</v>
          </cell>
          <cell r="BR187">
            <v>220816</v>
          </cell>
          <cell r="BS187">
            <v>177862</v>
          </cell>
          <cell r="BT187">
            <v>145167</v>
          </cell>
          <cell r="BU187">
            <v>143916</v>
          </cell>
          <cell r="BV187">
            <v>158955</v>
          </cell>
          <cell r="BW187">
            <v>178025</v>
          </cell>
          <cell r="BX187">
            <v>156872</v>
          </cell>
          <cell r="BY187">
            <v>167430</v>
          </cell>
          <cell r="BZ187">
            <v>193974</v>
          </cell>
          <cell r="CA187">
            <v>199140</v>
          </cell>
          <cell r="CB187">
            <v>150643</v>
          </cell>
          <cell r="CC187">
            <v>168607</v>
          </cell>
          <cell r="CD187">
            <v>239999</v>
          </cell>
          <cell r="CE187">
            <v>199017</v>
          </cell>
          <cell r="CF187">
            <v>161875</v>
          </cell>
          <cell r="CG187">
            <v>195868</v>
          </cell>
          <cell r="CH187">
            <v>251654</v>
          </cell>
          <cell r="CI187">
            <v>227258</v>
          </cell>
          <cell r="CJ187">
            <v>193449</v>
          </cell>
          <cell r="CK187">
            <v>162975</v>
          </cell>
          <cell r="CL187">
            <v>185084</v>
          </cell>
          <cell r="CM187">
            <v>178315</v>
          </cell>
          <cell r="CN187">
            <v>140220</v>
          </cell>
          <cell r="CO187">
            <v>154684</v>
          </cell>
          <cell r="CP187">
            <v>214504</v>
          </cell>
          <cell r="CQ187">
            <v>228245</v>
          </cell>
          <cell r="CR187">
            <v>239703</v>
          </cell>
          <cell r="CS187">
            <v>284196</v>
          </cell>
          <cell r="CW187">
            <v>0.14686182587417163</v>
          </cell>
          <cell r="CX187">
            <v>0.48079073359073354</v>
          </cell>
        </row>
        <row r="189">
          <cell r="B189" t="str">
            <v>Republic of Korea</v>
          </cell>
          <cell r="L189">
            <v>3804</v>
          </cell>
          <cell r="M189">
            <v>3801</v>
          </cell>
          <cell r="N189">
            <v>3006</v>
          </cell>
          <cell r="O189">
            <v>3451</v>
          </cell>
          <cell r="P189">
            <v>3091</v>
          </cell>
          <cell r="Q189">
            <v>3057</v>
          </cell>
          <cell r="R189">
            <v>4597</v>
          </cell>
          <cell r="S189">
            <v>4969</v>
          </cell>
          <cell r="T189">
            <v>3792</v>
          </cell>
          <cell r="U189">
            <v>3448</v>
          </cell>
          <cell r="V189">
            <v>3801</v>
          </cell>
          <cell r="W189">
            <v>4548</v>
          </cell>
          <cell r="X189">
            <v>4363</v>
          </cell>
          <cell r="Y189">
            <v>3715</v>
          </cell>
          <cell r="Z189">
            <v>3622</v>
          </cell>
          <cell r="AA189">
            <v>3312</v>
          </cell>
          <cell r="AB189">
            <v>3503</v>
          </cell>
          <cell r="AC189">
            <v>3439</v>
          </cell>
          <cell r="AD189">
            <v>4788</v>
          </cell>
          <cell r="AE189">
            <v>6820</v>
          </cell>
          <cell r="AF189">
            <v>3090</v>
          </cell>
          <cell r="AG189">
            <v>3763</v>
          </cell>
          <cell r="AH189">
            <v>2803</v>
          </cell>
          <cell r="AI189">
            <v>5056</v>
          </cell>
          <cell r="AJ189">
            <v>6075</v>
          </cell>
          <cell r="AK189">
            <v>4913</v>
          </cell>
          <cell r="AL189">
            <v>4234</v>
          </cell>
          <cell r="AM189">
            <v>3408</v>
          </cell>
          <cell r="AN189">
            <v>3107</v>
          </cell>
          <cell r="AO189">
            <v>2461</v>
          </cell>
          <cell r="AP189">
            <v>3727</v>
          </cell>
          <cell r="AQ189">
            <v>5691</v>
          </cell>
          <cell r="AR189">
            <v>3103</v>
          </cell>
          <cell r="AS189">
            <v>3978</v>
          </cell>
          <cell r="AT189">
            <v>4945</v>
          </cell>
          <cell r="AU189">
            <v>4805</v>
          </cell>
          <cell r="AV189">
            <v>5880</v>
          </cell>
          <cell r="AW189">
            <v>5194</v>
          </cell>
          <cell r="AX189">
            <v>2583</v>
          </cell>
          <cell r="AY189">
            <v>711</v>
          </cell>
          <cell r="AZ189">
            <v>798</v>
          </cell>
          <cell r="BA189">
            <v>1314</v>
          </cell>
          <cell r="BB189">
            <v>2565</v>
          </cell>
          <cell r="BC189">
            <v>4581</v>
          </cell>
          <cell r="BD189">
            <v>3283</v>
          </cell>
          <cell r="BE189">
            <v>2979</v>
          </cell>
          <cell r="BF189">
            <v>4000</v>
          </cell>
          <cell r="BG189">
            <v>4393</v>
          </cell>
          <cell r="BH189">
            <v>5677</v>
          </cell>
          <cell r="BI189">
            <v>3770</v>
          </cell>
          <cell r="BJ189">
            <v>3098</v>
          </cell>
          <cell r="BK189">
            <v>4163</v>
          </cell>
          <cell r="BL189">
            <v>3729</v>
          </cell>
          <cell r="BM189">
            <v>4082</v>
          </cell>
          <cell r="BN189">
            <v>5738</v>
          </cell>
          <cell r="BO189">
            <v>7230</v>
          </cell>
          <cell r="BP189">
            <v>6322</v>
          </cell>
          <cell r="BQ189">
            <v>6688</v>
          </cell>
          <cell r="BR189">
            <v>7453</v>
          </cell>
          <cell r="BS189">
            <v>7681</v>
          </cell>
          <cell r="BT189">
            <v>12988</v>
          </cell>
          <cell r="BU189">
            <v>9682</v>
          </cell>
          <cell r="BV189">
            <v>7067</v>
          </cell>
          <cell r="BW189">
            <v>8225</v>
          </cell>
          <cell r="BX189">
            <v>9092</v>
          </cell>
          <cell r="BY189">
            <v>9246</v>
          </cell>
          <cell r="BZ189">
            <v>10235</v>
          </cell>
          <cell r="CA189">
            <v>11708</v>
          </cell>
          <cell r="CB189">
            <v>7553</v>
          </cell>
          <cell r="CC189">
            <v>9594</v>
          </cell>
          <cell r="CD189">
            <v>10870</v>
          </cell>
          <cell r="CE189">
            <v>14479</v>
          </cell>
          <cell r="CF189">
            <v>18451</v>
          </cell>
          <cell r="CG189">
            <v>18200</v>
          </cell>
          <cell r="CH189">
            <v>12279</v>
          </cell>
          <cell r="CI189">
            <v>10509</v>
          </cell>
          <cell r="CJ189">
            <v>10705</v>
          </cell>
          <cell r="CK189">
            <v>10482</v>
          </cell>
          <cell r="CL189">
            <v>13314</v>
          </cell>
          <cell r="CM189">
            <v>15697</v>
          </cell>
          <cell r="CN189">
            <v>9321</v>
          </cell>
          <cell r="CO189">
            <v>11394</v>
          </cell>
          <cell r="CP189">
            <v>13406</v>
          </cell>
          <cell r="CQ189">
            <v>18951</v>
          </cell>
          <cell r="CR189">
            <v>25627</v>
          </cell>
          <cell r="CS189">
            <v>16886</v>
          </cell>
          <cell r="CW189">
            <v>0.30886110919262388</v>
          </cell>
          <cell r="CX189">
            <v>8.6829543273843797E-3</v>
          </cell>
          <cell r="CY189">
            <v>2.6818269046248329E-3</v>
          </cell>
          <cell r="CZ189">
            <v>9.0271035149587162E-3</v>
          </cell>
        </row>
        <row r="190">
          <cell r="B190" t="str">
            <v>Mainland China</v>
          </cell>
          <cell r="C190">
            <v>15200</v>
          </cell>
          <cell r="D190">
            <v>26700</v>
          </cell>
          <cell r="E190">
            <v>272100</v>
          </cell>
          <cell r="F190">
            <v>245300</v>
          </cell>
          <cell r="G190">
            <v>543200</v>
          </cell>
          <cell r="H190">
            <v>604200</v>
          </cell>
          <cell r="I190">
            <v>529800</v>
          </cell>
          <cell r="J190">
            <v>816800</v>
          </cell>
          <cell r="K190">
            <v>1645200</v>
          </cell>
          <cell r="L190">
            <v>181689</v>
          </cell>
          <cell r="M190">
            <v>192277</v>
          </cell>
          <cell r="N190">
            <v>204483</v>
          </cell>
          <cell r="O190">
            <v>175712</v>
          </cell>
          <cell r="P190">
            <v>220512</v>
          </cell>
          <cell r="Q190">
            <v>152716</v>
          </cell>
          <cell r="R190">
            <v>188113</v>
          </cell>
          <cell r="S190">
            <v>196216</v>
          </cell>
          <cell r="T190">
            <v>165951</v>
          </cell>
          <cell r="U190">
            <v>196247</v>
          </cell>
          <cell r="V190">
            <v>195553</v>
          </cell>
          <cell r="W190">
            <v>205244</v>
          </cell>
          <cell r="X190">
            <v>230311</v>
          </cell>
          <cell r="Y190">
            <v>191266</v>
          </cell>
          <cell r="Z190">
            <v>231450</v>
          </cell>
          <cell r="AA190">
            <v>238297</v>
          </cell>
          <cell r="AB190">
            <v>251414</v>
          </cell>
          <cell r="AC190">
            <v>217176</v>
          </cell>
          <cell r="AD190">
            <v>221610</v>
          </cell>
          <cell r="AE190">
            <v>325226</v>
          </cell>
          <cell r="AF190">
            <v>243979</v>
          </cell>
          <cell r="AG190">
            <v>282887</v>
          </cell>
          <cell r="AH190">
            <v>285269</v>
          </cell>
          <cell r="AI190">
            <v>286837</v>
          </cell>
          <cell r="AJ190">
            <v>270457</v>
          </cell>
          <cell r="AK190">
            <v>299526</v>
          </cell>
          <cell r="AL190">
            <v>303395</v>
          </cell>
          <cell r="AM190">
            <v>356031</v>
          </cell>
          <cell r="AN190">
            <v>356951</v>
          </cell>
          <cell r="AO190">
            <v>284148</v>
          </cell>
          <cell r="AP190">
            <v>348945</v>
          </cell>
          <cell r="AQ190">
            <v>387631</v>
          </cell>
          <cell r="AR190">
            <v>337711</v>
          </cell>
          <cell r="AS190">
            <v>381650</v>
          </cell>
          <cell r="AT190">
            <v>445038</v>
          </cell>
          <cell r="AU190">
            <v>468963</v>
          </cell>
          <cell r="AV190">
            <v>467520</v>
          </cell>
          <cell r="AW190">
            <v>416056</v>
          </cell>
          <cell r="AX190">
            <v>454710</v>
          </cell>
          <cell r="AY190">
            <v>298574</v>
          </cell>
          <cell r="AZ190">
            <v>270537</v>
          </cell>
          <cell r="BA190">
            <v>367847</v>
          </cell>
          <cell r="BB190">
            <v>449139</v>
          </cell>
          <cell r="BC190">
            <v>586700</v>
          </cell>
          <cell r="BD190">
            <v>498570</v>
          </cell>
          <cell r="BE190">
            <v>591275</v>
          </cell>
          <cell r="BF190">
            <v>660727</v>
          </cell>
          <cell r="BG190">
            <v>680381</v>
          </cell>
          <cell r="BH190">
            <v>737958</v>
          </cell>
          <cell r="BI190">
            <v>659774</v>
          </cell>
          <cell r="BJ190">
            <v>791789</v>
          </cell>
          <cell r="BK190">
            <v>730128</v>
          </cell>
          <cell r="BL190">
            <v>812561</v>
          </cell>
          <cell r="BM190">
            <v>733729</v>
          </cell>
          <cell r="BN190">
            <v>863387</v>
          </cell>
          <cell r="BO190">
            <v>894651</v>
          </cell>
          <cell r="BP190">
            <v>735521</v>
          </cell>
          <cell r="BQ190">
            <v>876742</v>
          </cell>
          <cell r="BR190">
            <v>854271</v>
          </cell>
          <cell r="BS190">
            <v>839228</v>
          </cell>
          <cell r="BT190">
            <v>825411</v>
          </cell>
          <cell r="BU190">
            <v>832337</v>
          </cell>
          <cell r="BV190">
            <v>827267</v>
          </cell>
          <cell r="BW190">
            <v>830672</v>
          </cell>
          <cell r="BX190">
            <v>871889</v>
          </cell>
          <cell r="BY190">
            <v>803006</v>
          </cell>
          <cell r="BZ190">
            <v>913283</v>
          </cell>
          <cell r="CA190">
            <v>940109</v>
          </cell>
          <cell r="CB190">
            <v>797131</v>
          </cell>
          <cell r="CC190">
            <v>962702</v>
          </cell>
          <cell r="CD190">
            <v>934132</v>
          </cell>
          <cell r="CE190">
            <v>925027</v>
          </cell>
          <cell r="CF190">
            <v>927727</v>
          </cell>
          <cell r="CG190">
            <v>1006275</v>
          </cell>
          <cell r="CH190">
            <v>1043761</v>
          </cell>
          <cell r="CI190">
            <v>990066</v>
          </cell>
          <cell r="CJ190">
            <v>980710</v>
          </cell>
          <cell r="CK190">
            <v>876916</v>
          </cell>
          <cell r="CL190">
            <v>950338</v>
          </cell>
          <cell r="CM190">
            <v>1018955</v>
          </cell>
          <cell r="CN190">
            <v>917383</v>
          </cell>
          <cell r="CO190">
            <v>1061697</v>
          </cell>
          <cell r="CP190">
            <v>1069214</v>
          </cell>
          <cell r="CQ190">
            <v>1142575</v>
          </cell>
          <cell r="CR190">
            <v>1155770</v>
          </cell>
          <cell r="CS190">
            <v>1238234</v>
          </cell>
          <cell r="CU190">
            <v>0.23784980573960102</v>
          </cell>
          <cell r="CW190">
            <v>0.23518016230877592</v>
          </cell>
          <cell r="CX190">
            <v>0.55473217712531186</v>
          </cell>
          <cell r="CY190">
            <v>0.13046200345423148</v>
          </cell>
          <cell r="CZ190">
            <v>0.43913871097321977</v>
          </cell>
        </row>
        <row r="191">
          <cell r="B191" t="str">
            <v>Hong Kong</v>
          </cell>
          <cell r="C191">
            <v>6161400</v>
          </cell>
          <cell r="D191">
            <v>6163300</v>
          </cell>
          <cell r="E191">
            <v>6067800</v>
          </cell>
          <cell r="F191">
            <v>6088400</v>
          </cell>
          <cell r="G191">
            <v>5617500</v>
          </cell>
          <cell r="H191">
            <v>5205600</v>
          </cell>
          <cell r="I191">
            <v>4702500</v>
          </cell>
          <cell r="J191">
            <v>4721800</v>
          </cell>
          <cell r="K191">
            <v>4229800</v>
          </cell>
          <cell r="L191">
            <v>339113</v>
          </cell>
          <cell r="M191">
            <v>482017</v>
          </cell>
          <cell r="N191">
            <v>375464</v>
          </cell>
          <cell r="O191">
            <v>464051</v>
          </cell>
          <cell r="P191">
            <v>354954</v>
          </cell>
          <cell r="Q191">
            <v>341611</v>
          </cell>
          <cell r="R191">
            <v>481117</v>
          </cell>
          <cell r="S191">
            <v>529125</v>
          </cell>
          <cell r="T191">
            <v>389414</v>
          </cell>
          <cell r="U191">
            <v>402929</v>
          </cell>
          <cell r="V191">
            <v>360368</v>
          </cell>
          <cell r="W191">
            <v>434456</v>
          </cell>
          <cell r="X191">
            <v>505175</v>
          </cell>
          <cell r="Y191">
            <v>372196</v>
          </cell>
          <cell r="Z191">
            <v>445676</v>
          </cell>
          <cell r="AA191">
            <v>498960</v>
          </cell>
          <cell r="AB191">
            <v>383708</v>
          </cell>
          <cell r="AC191">
            <v>401072</v>
          </cell>
          <cell r="AD191">
            <v>448923</v>
          </cell>
          <cell r="AE191">
            <v>540748</v>
          </cell>
          <cell r="AF191">
            <v>379999</v>
          </cell>
          <cell r="AG191">
            <v>403318</v>
          </cell>
          <cell r="AH191">
            <v>376506</v>
          </cell>
          <cell r="AI191">
            <v>439855</v>
          </cell>
          <cell r="AJ191">
            <v>361257</v>
          </cell>
          <cell r="AK191">
            <v>481911</v>
          </cell>
          <cell r="AL191">
            <v>464155</v>
          </cell>
          <cell r="AM191">
            <v>440408</v>
          </cell>
          <cell r="AN191">
            <v>397240</v>
          </cell>
          <cell r="AO191">
            <v>402443</v>
          </cell>
          <cell r="AP191">
            <v>473078</v>
          </cell>
          <cell r="AQ191">
            <v>526261</v>
          </cell>
          <cell r="AR191">
            <v>372163</v>
          </cell>
          <cell r="AS191">
            <v>391256</v>
          </cell>
          <cell r="AT191">
            <v>373620</v>
          </cell>
          <cell r="AU191">
            <v>417645</v>
          </cell>
          <cell r="AV191">
            <v>369983</v>
          </cell>
          <cell r="AW191">
            <v>472308</v>
          </cell>
          <cell r="AX191">
            <v>355685</v>
          </cell>
          <cell r="AY191">
            <v>295254</v>
          </cell>
          <cell r="AZ191">
            <v>291091</v>
          </cell>
          <cell r="BA191">
            <v>394655</v>
          </cell>
          <cell r="BB191">
            <v>463015</v>
          </cell>
          <cell r="BC191">
            <v>528537</v>
          </cell>
          <cell r="BD191">
            <v>349184</v>
          </cell>
          <cell r="BE191">
            <v>366500</v>
          </cell>
          <cell r="BF191">
            <v>341904</v>
          </cell>
          <cell r="BG191">
            <v>395046</v>
          </cell>
          <cell r="BH191">
            <v>457714</v>
          </cell>
          <cell r="BI191">
            <v>333103</v>
          </cell>
          <cell r="BJ191">
            <v>366897</v>
          </cell>
          <cell r="BK191">
            <v>454662</v>
          </cell>
          <cell r="BL191">
            <v>372091</v>
          </cell>
          <cell r="BM191">
            <v>400702</v>
          </cell>
          <cell r="BN191">
            <v>479466</v>
          </cell>
          <cell r="BO191">
            <v>528488</v>
          </cell>
          <cell r="BP191">
            <v>391054</v>
          </cell>
          <cell r="BQ191">
            <v>422998</v>
          </cell>
          <cell r="BR191">
            <v>386908</v>
          </cell>
          <cell r="BS191">
            <v>456976</v>
          </cell>
          <cell r="BT191">
            <v>376955</v>
          </cell>
          <cell r="BU191">
            <v>495438</v>
          </cell>
          <cell r="BV191">
            <v>485727</v>
          </cell>
          <cell r="BW191">
            <v>439652</v>
          </cell>
          <cell r="BX191">
            <v>442133</v>
          </cell>
          <cell r="BY191">
            <v>413838</v>
          </cell>
          <cell r="BZ191">
            <v>520624</v>
          </cell>
          <cell r="CA191">
            <v>562162</v>
          </cell>
          <cell r="CB191">
            <v>447538</v>
          </cell>
          <cell r="CC191">
            <v>469259</v>
          </cell>
          <cell r="CD191">
            <v>445182</v>
          </cell>
          <cell r="CE191">
            <v>516384</v>
          </cell>
          <cell r="CF191">
            <v>528975</v>
          </cell>
          <cell r="CG191">
            <v>546770</v>
          </cell>
          <cell r="CH191">
            <v>520177</v>
          </cell>
          <cell r="CI191">
            <v>623193</v>
          </cell>
          <cell r="CJ191">
            <v>486552</v>
          </cell>
          <cell r="CK191">
            <v>485800</v>
          </cell>
          <cell r="CL191">
            <v>590609</v>
          </cell>
          <cell r="CM191">
            <v>635769</v>
          </cell>
          <cell r="CN191">
            <v>578931</v>
          </cell>
          <cell r="CO191">
            <v>641486</v>
          </cell>
          <cell r="CP191">
            <v>596085</v>
          </cell>
          <cell r="CQ191">
            <v>706309</v>
          </cell>
          <cell r="CR191">
            <v>604303</v>
          </cell>
          <cell r="CS191">
            <v>678807</v>
          </cell>
          <cell r="CW191">
            <v>0.36779799529032653</v>
          </cell>
          <cell r="CX191">
            <v>0.30967184801381692</v>
          </cell>
          <cell r="CY191">
            <v>0.11389668489733255</v>
          </cell>
          <cell r="CZ191">
            <v>0.38337939067051285</v>
          </cell>
        </row>
        <row r="192">
          <cell r="B192" t="str">
            <v>Taiwan</v>
          </cell>
          <cell r="C192">
            <v>161900</v>
          </cell>
          <cell r="D192">
            <v>236500</v>
          </cell>
          <cell r="E192">
            <v>272300</v>
          </cell>
          <cell r="F192">
            <v>244300</v>
          </cell>
          <cell r="G192">
            <v>280100</v>
          </cell>
          <cell r="H192">
            <v>758800</v>
          </cell>
          <cell r="I192">
            <v>908900</v>
          </cell>
          <cell r="J192">
            <v>816600</v>
          </cell>
          <cell r="K192">
            <v>984800</v>
          </cell>
          <cell r="L192">
            <v>73126</v>
          </cell>
          <cell r="M192">
            <v>91788</v>
          </cell>
          <cell r="N192">
            <v>91370</v>
          </cell>
          <cell r="O192">
            <v>108905</v>
          </cell>
          <cell r="P192">
            <v>110809</v>
          </cell>
          <cell r="Q192">
            <v>107213</v>
          </cell>
          <cell r="R192">
            <v>129022</v>
          </cell>
          <cell r="S192">
            <v>124100</v>
          </cell>
          <cell r="T192">
            <v>119717</v>
          </cell>
          <cell r="U192">
            <v>127422</v>
          </cell>
          <cell r="V192">
            <v>117695</v>
          </cell>
          <cell r="W192">
            <v>109868</v>
          </cell>
          <cell r="X192">
            <v>98405</v>
          </cell>
          <cell r="Y192">
            <v>100867</v>
          </cell>
          <cell r="Z192">
            <v>123738</v>
          </cell>
          <cell r="AA192">
            <v>138147</v>
          </cell>
          <cell r="AB192">
            <v>135248</v>
          </cell>
          <cell r="AC192">
            <v>133391</v>
          </cell>
          <cell r="AD192">
            <v>130060</v>
          </cell>
          <cell r="AE192">
            <v>132809</v>
          </cell>
          <cell r="AF192">
            <v>111193</v>
          </cell>
          <cell r="AG192">
            <v>121583</v>
          </cell>
          <cell r="AH192">
            <v>112185</v>
          </cell>
          <cell r="AI192">
            <v>114200</v>
          </cell>
          <cell r="AJ192">
            <v>97392</v>
          </cell>
          <cell r="AK192">
            <v>105777</v>
          </cell>
          <cell r="AL192">
            <v>135883</v>
          </cell>
          <cell r="AM192">
            <v>147181</v>
          </cell>
          <cell r="AN192">
            <v>135796</v>
          </cell>
          <cell r="AO192">
            <v>127147</v>
          </cell>
          <cell r="AP192">
            <v>142311</v>
          </cell>
          <cell r="AQ192">
            <v>141267</v>
          </cell>
          <cell r="AR192">
            <v>125243</v>
          </cell>
          <cell r="AS192">
            <v>140361</v>
          </cell>
          <cell r="AT192">
            <v>121524</v>
          </cell>
          <cell r="AU192">
            <v>113047</v>
          </cell>
          <cell r="AV192">
            <v>94753</v>
          </cell>
          <cell r="AW192">
            <v>107583</v>
          </cell>
          <cell r="AX192">
            <v>105408</v>
          </cell>
          <cell r="AY192">
            <v>48361</v>
          </cell>
          <cell r="AZ192">
            <v>17427</v>
          </cell>
          <cell r="BA192">
            <v>31266</v>
          </cell>
          <cell r="BB192">
            <v>99667</v>
          </cell>
          <cell r="BC192">
            <v>112606</v>
          </cell>
          <cell r="BD192">
            <v>108704</v>
          </cell>
          <cell r="BE192">
            <v>108066</v>
          </cell>
          <cell r="BF192">
            <v>97818</v>
          </cell>
          <cell r="BG192">
            <v>91171</v>
          </cell>
          <cell r="BH192">
            <v>86715</v>
          </cell>
          <cell r="BI192">
            <v>74072</v>
          </cell>
          <cell r="BJ192">
            <v>96686</v>
          </cell>
          <cell r="BK192">
            <v>110708</v>
          </cell>
          <cell r="BL192">
            <v>86782</v>
          </cell>
          <cell r="BM192">
            <v>107939</v>
          </cell>
          <cell r="BN192">
            <v>114510</v>
          </cell>
          <cell r="BO192">
            <v>121062</v>
          </cell>
          <cell r="BP192">
            <v>117460</v>
          </cell>
          <cell r="BQ192">
            <v>125957</v>
          </cell>
          <cell r="BR192">
            <v>122138</v>
          </cell>
          <cell r="BS192">
            <v>122920</v>
          </cell>
          <cell r="BT192">
            <v>104506</v>
          </cell>
          <cell r="BU192">
            <v>121826</v>
          </cell>
          <cell r="BV192">
            <v>128586</v>
          </cell>
          <cell r="BW192">
            <v>131840</v>
          </cell>
          <cell r="BX192">
            <v>128237</v>
          </cell>
          <cell r="BY192">
            <v>129840</v>
          </cell>
          <cell r="BZ192">
            <v>138761</v>
          </cell>
          <cell r="CA192">
            <v>138181</v>
          </cell>
          <cell r="CB192">
            <v>120265</v>
          </cell>
          <cell r="CC192">
            <v>129603</v>
          </cell>
          <cell r="CD192">
            <v>108291</v>
          </cell>
          <cell r="CE192">
            <v>102547</v>
          </cell>
          <cell r="CF192">
            <v>93254</v>
          </cell>
          <cell r="CG192">
            <v>111968</v>
          </cell>
          <cell r="CH192">
            <v>123817</v>
          </cell>
          <cell r="CI192">
            <v>126528</v>
          </cell>
          <cell r="CJ192">
            <v>112296</v>
          </cell>
          <cell r="CK192">
            <v>116410</v>
          </cell>
          <cell r="CL192">
            <v>133479</v>
          </cell>
          <cell r="CM192">
            <v>133595</v>
          </cell>
          <cell r="CN192">
            <v>121916</v>
          </cell>
          <cell r="CO192">
            <v>128214</v>
          </cell>
          <cell r="CP192">
            <v>118113</v>
          </cell>
          <cell r="CQ192">
            <v>118234</v>
          </cell>
          <cell r="CR192">
            <v>104751</v>
          </cell>
          <cell r="CS192">
            <v>109970</v>
          </cell>
          <cell r="CW192">
            <v>0.15297375837420879</v>
          </cell>
          <cell r="CX192">
            <v>6.149671368259451E-2</v>
          </cell>
          <cell r="CY192">
            <v>9.4073834196891117E-3</v>
          </cell>
          <cell r="CZ192">
            <v>3.1665512710008323E-2</v>
          </cell>
        </row>
        <row r="193">
          <cell r="B193" t="str">
            <v>Japan</v>
          </cell>
          <cell r="L193">
            <v>11543</v>
          </cell>
          <cell r="M193">
            <v>11713</v>
          </cell>
          <cell r="N193">
            <v>12574</v>
          </cell>
          <cell r="O193">
            <v>9369</v>
          </cell>
          <cell r="P193">
            <v>12630</v>
          </cell>
          <cell r="Q193">
            <v>11991</v>
          </cell>
          <cell r="R193">
            <v>10705</v>
          </cell>
          <cell r="S193">
            <v>12370</v>
          </cell>
          <cell r="T193">
            <v>14466</v>
          </cell>
          <cell r="U193">
            <v>11380</v>
          </cell>
          <cell r="V193">
            <v>13278</v>
          </cell>
          <cell r="W193">
            <v>12869</v>
          </cell>
          <cell r="X193">
            <v>12426</v>
          </cell>
          <cell r="Y193">
            <v>12958</v>
          </cell>
          <cell r="Z193">
            <v>13211</v>
          </cell>
          <cell r="AA193">
            <v>10910</v>
          </cell>
          <cell r="AB193">
            <v>12192</v>
          </cell>
          <cell r="AC193">
            <v>12623</v>
          </cell>
          <cell r="AD193">
            <v>10626</v>
          </cell>
          <cell r="AE193">
            <v>13393</v>
          </cell>
          <cell r="AF193">
            <v>11912</v>
          </cell>
          <cell r="AG193">
            <v>8936</v>
          </cell>
          <cell r="AH193">
            <v>10280</v>
          </cell>
          <cell r="AI193">
            <v>11470</v>
          </cell>
          <cell r="AJ193">
            <v>11116</v>
          </cell>
          <cell r="AK193">
            <v>10075</v>
          </cell>
          <cell r="AL193">
            <v>12602</v>
          </cell>
          <cell r="AM193">
            <v>10843</v>
          </cell>
          <cell r="AN193">
            <v>13169</v>
          </cell>
          <cell r="AO193">
            <v>11337</v>
          </cell>
          <cell r="AP193">
            <v>10738</v>
          </cell>
          <cell r="AQ193">
            <v>12698</v>
          </cell>
          <cell r="AR193">
            <v>13082</v>
          </cell>
          <cell r="AS193">
            <v>11152</v>
          </cell>
          <cell r="AT193">
            <v>13522</v>
          </cell>
          <cell r="AU193">
            <v>12254</v>
          </cell>
          <cell r="AV193">
            <v>13285</v>
          </cell>
          <cell r="AW193">
            <v>10124</v>
          </cell>
          <cell r="AX193">
            <v>10235</v>
          </cell>
          <cell r="AY193">
            <v>2515</v>
          </cell>
          <cell r="AZ193">
            <v>2306</v>
          </cell>
          <cell r="BA193">
            <v>2556</v>
          </cell>
          <cell r="BB193">
            <v>4525</v>
          </cell>
          <cell r="BC193">
            <v>7383</v>
          </cell>
          <cell r="BD193">
            <v>7970</v>
          </cell>
          <cell r="BE193">
            <v>6756</v>
          </cell>
          <cell r="BF193">
            <v>8824</v>
          </cell>
          <cell r="BG193">
            <v>9134</v>
          </cell>
          <cell r="BH193">
            <v>8158</v>
          </cell>
          <cell r="BI193">
            <v>6751</v>
          </cell>
          <cell r="BJ193">
            <v>7289</v>
          </cell>
          <cell r="BK193">
            <v>7343</v>
          </cell>
          <cell r="BL193">
            <v>9028</v>
          </cell>
          <cell r="BM193">
            <v>7819</v>
          </cell>
          <cell r="BN193">
            <v>9207</v>
          </cell>
          <cell r="BO193">
            <v>11568</v>
          </cell>
          <cell r="BP193">
            <v>14206</v>
          </cell>
          <cell r="BQ193">
            <v>11900</v>
          </cell>
          <cell r="BR193">
            <v>13974</v>
          </cell>
          <cell r="BS193">
            <v>14941</v>
          </cell>
          <cell r="BT193">
            <v>16031</v>
          </cell>
          <cell r="BU193">
            <v>12207</v>
          </cell>
          <cell r="BV193">
            <v>14527</v>
          </cell>
          <cell r="BW193">
            <v>10214</v>
          </cell>
          <cell r="BX193">
            <v>15228</v>
          </cell>
          <cell r="BY193">
            <v>11832</v>
          </cell>
          <cell r="BZ193">
            <v>12066</v>
          </cell>
          <cell r="CA193">
            <v>13701</v>
          </cell>
          <cell r="CB193">
            <v>16774</v>
          </cell>
          <cell r="CC193">
            <v>12991</v>
          </cell>
          <cell r="CD193">
            <v>17202</v>
          </cell>
          <cell r="CE193">
            <v>16342</v>
          </cell>
          <cell r="CF193">
            <v>16696</v>
          </cell>
          <cell r="CG193">
            <v>14856</v>
          </cell>
          <cell r="CH193">
            <v>18563</v>
          </cell>
          <cell r="CI193">
            <v>12718</v>
          </cell>
          <cell r="CJ193">
            <v>18618</v>
          </cell>
          <cell r="CK193">
            <v>16000</v>
          </cell>
          <cell r="CL193">
            <v>15522</v>
          </cell>
          <cell r="CM193">
            <v>21669</v>
          </cell>
          <cell r="CN193">
            <v>20151</v>
          </cell>
          <cell r="CO193">
            <v>18184</v>
          </cell>
          <cell r="CP193">
            <v>25187</v>
          </cell>
          <cell r="CQ193">
            <v>22026</v>
          </cell>
          <cell r="CR193">
            <v>24074</v>
          </cell>
          <cell r="CS193">
            <v>19258</v>
          </cell>
          <cell r="CW193">
            <v>0.34781544486598936</v>
          </cell>
          <cell r="CX193">
            <v>9.8001823066589909E-3</v>
          </cell>
          <cell r="CY193">
            <v>3.4086547687583947E-3</v>
          </cell>
          <cell r="CZ193">
            <v>1.1473626202823191E-2</v>
          </cell>
        </row>
        <row r="194">
          <cell r="B194" t="str">
            <v>Other East Asia</v>
          </cell>
          <cell r="L194">
            <v>156</v>
          </cell>
          <cell r="M194">
            <v>171</v>
          </cell>
          <cell r="N194">
            <v>189</v>
          </cell>
          <cell r="O194">
            <v>191</v>
          </cell>
          <cell r="P194">
            <v>175</v>
          </cell>
          <cell r="Q194">
            <v>173</v>
          </cell>
          <cell r="R194">
            <v>181</v>
          </cell>
          <cell r="S194">
            <v>233</v>
          </cell>
          <cell r="T194">
            <v>135</v>
          </cell>
          <cell r="U194">
            <v>112</v>
          </cell>
          <cell r="V194">
            <v>141</v>
          </cell>
          <cell r="W194">
            <v>135</v>
          </cell>
          <cell r="X194">
            <v>130</v>
          </cell>
          <cell r="Y194">
            <v>123</v>
          </cell>
          <cell r="Z194">
            <v>177</v>
          </cell>
          <cell r="AA194">
            <v>132</v>
          </cell>
          <cell r="AB194">
            <v>151</v>
          </cell>
          <cell r="AC194">
            <v>166</v>
          </cell>
          <cell r="AD194">
            <v>223</v>
          </cell>
          <cell r="AE194">
            <v>101</v>
          </cell>
          <cell r="AF194">
            <v>119</v>
          </cell>
          <cell r="AG194">
            <v>152</v>
          </cell>
          <cell r="AH194">
            <v>242</v>
          </cell>
          <cell r="AI194">
            <v>175</v>
          </cell>
          <cell r="AJ194">
            <v>204</v>
          </cell>
          <cell r="AK194">
            <v>190</v>
          </cell>
          <cell r="AL194">
            <v>248</v>
          </cell>
          <cell r="AM194">
            <v>221</v>
          </cell>
          <cell r="AN194">
            <v>192</v>
          </cell>
          <cell r="AO194">
            <v>204</v>
          </cell>
          <cell r="AP194">
            <v>166</v>
          </cell>
          <cell r="AQ194">
            <v>307</v>
          </cell>
          <cell r="AR194">
            <v>239</v>
          </cell>
          <cell r="AS194">
            <v>220</v>
          </cell>
          <cell r="AT194">
            <v>218</v>
          </cell>
          <cell r="AU194">
            <v>296</v>
          </cell>
          <cell r="AV194">
            <v>281</v>
          </cell>
          <cell r="AW194">
            <v>167</v>
          </cell>
          <cell r="AX194">
            <v>243</v>
          </cell>
          <cell r="AY194">
            <v>188</v>
          </cell>
          <cell r="AZ194">
            <v>197</v>
          </cell>
          <cell r="BA194">
            <v>158</v>
          </cell>
          <cell r="BB194">
            <v>210</v>
          </cell>
          <cell r="BC194">
            <v>294</v>
          </cell>
          <cell r="BD194">
            <v>266</v>
          </cell>
          <cell r="BE194">
            <v>217</v>
          </cell>
          <cell r="BF194">
            <v>204</v>
          </cell>
          <cell r="BG194">
            <v>242</v>
          </cell>
          <cell r="BH194">
            <v>240</v>
          </cell>
          <cell r="BI194">
            <v>216</v>
          </cell>
          <cell r="BJ194">
            <v>204</v>
          </cell>
          <cell r="BK194">
            <v>253</v>
          </cell>
          <cell r="BL194">
            <v>288</v>
          </cell>
          <cell r="BM194">
            <v>270</v>
          </cell>
          <cell r="BN194">
            <v>407</v>
          </cell>
          <cell r="BO194">
            <v>265</v>
          </cell>
          <cell r="BP194">
            <v>254</v>
          </cell>
          <cell r="BQ194">
            <v>390</v>
          </cell>
          <cell r="BR194">
            <v>371</v>
          </cell>
          <cell r="BS194">
            <v>397</v>
          </cell>
          <cell r="BT194">
            <v>370</v>
          </cell>
          <cell r="BU194">
            <v>309</v>
          </cell>
          <cell r="BV194">
            <v>440</v>
          </cell>
          <cell r="BW194">
            <v>400</v>
          </cell>
          <cell r="BX194">
            <v>387</v>
          </cell>
          <cell r="BY194">
            <v>327</v>
          </cell>
          <cell r="BZ194">
            <v>436</v>
          </cell>
          <cell r="CA194">
            <v>441</v>
          </cell>
          <cell r="CB194">
            <v>390</v>
          </cell>
          <cell r="CC194">
            <v>896</v>
          </cell>
          <cell r="CD194">
            <v>512</v>
          </cell>
          <cell r="CE194">
            <v>393</v>
          </cell>
          <cell r="CF194">
            <v>407</v>
          </cell>
          <cell r="CG194">
            <v>313</v>
          </cell>
          <cell r="CH194">
            <v>409</v>
          </cell>
          <cell r="CI194">
            <v>353</v>
          </cell>
          <cell r="CJ194">
            <v>352</v>
          </cell>
          <cell r="CK194">
            <v>286</v>
          </cell>
          <cell r="CL194">
            <v>214</v>
          </cell>
          <cell r="CM194">
            <v>300</v>
          </cell>
          <cell r="CN194">
            <v>282</v>
          </cell>
          <cell r="CO194">
            <v>293</v>
          </cell>
          <cell r="CP194">
            <v>343</v>
          </cell>
          <cell r="CQ194">
            <v>382</v>
          </cell>
          <cell r="CR194">
            <v>385</v>
          </cell>
          <cell r="CS194">
            <v>290</v>
          </cell>
          <cell r="CW194">
            <v>-2.7989821882951627E-2</v>
          </cell>
          <cell r="CX194">
            <v>2.3567933218192284E-4</v>
          </cell>
          <cell r="CY194">
            <v>-6.5966225292650099E-6</v>
          </cell>
          <cell r="CZ194">
            <v>-2.220441383375352E-5</v>
          </cell>
        </row>
        <row r="195">
          <cell r="CX195">
            <v>0.23518016230877592</v>
          </cell>
          <cell r="CY195">
            <v>0.24580830352032446</v>
          </cell>
          <cell r="CZ195">
            <v>0.8273975463844383</v>
          </cell>
        </row>
        <row r="196">
          <cell r="B196" t="str">
            <v>India</v>
          </cell>
          <cell r="L196">
            <v>408</v>
          </cell>
          <cell r="M196">
            <v>534</v>
          </cell>
          <cell r="N196">
            <v>386</v>
          </cell>
          <cell r="O196">
            <v>836</v>
          </cell>
          <cell r="P196">
            <v>735</v>
          </cell>
          <cell r="Q196">
            <v>726</v>
          </cell>
          <cell r="R196">
            <v>558</v>
          </cell>
          <cell r="S196">
            <v>624</v>
          </cell>
          <cell r="T196">
            <v>634</v>
          </cell>
          <cell r="U196">
            <v>688</v>
          </cell>
          <cell r="V196">
            <v>593</v>
          </cell>
          <cell r="W196">
            <v>808</v>
          </cell>
          <cell r="X196">
            <v>478</v>
          </cell>
          <cell r="Y196">
            <v>410</v>
          </cell>
          <cell r="Z196">
            <v>632</v>
          </cell>
          <cell r="AA196">
            <v>910</v>
          </cell>
          <cell r="AB196">
            <v>731</v>
          </cell>
          <cell r="AC196">
            <v>874</v>
          </cell>
          <cell r="AD196">
            <v>942</v>
          </cell>
          <cell r="AE196">
            <v>875</v>
          </cell>
          <cell r="AF196">
            <v>779</v>
          </cell>
          <cell r="AG196">
            <v>798</v>
          </cell>
          <cell r="AH196">
            <v>521</v>
          </cell>
          <cell r="AI196">
            <v>709</v>
          </cell>
          <cell r="AJ196">
            <v>655</v>
          </cell>
          <cell r="AK196">
            <v>1225</v>
          </cell>
          <cell r="AL196">
            <v>750</v>
          </cell>
          <cell r="AM196">
            <v>786</v>
          </cell>
          <cell r="AN196">
            <v>813</v>
          </cell>
          <cell r="AO196">
            <v>869</v>
          </cell>
          <cell r="AP196">
            <v>1150</v>
          </cell>
          <cell r="AQ196">
            <v>706</v>
          </cell>
          <cell r="AR196">
            <v>735</v>
          </cell>
          <cell r="AS196">
            <v>1004</v>
          </cell>
          <cell r="AT196">
            <v>976</v>
          </cell>
          <cell r="AU196">
            <v>905</v>
          </cell>
          <cell r="AV196">
            <v>707</v>
          </cell>
          <cell r="AW196">
            <v>1149</v>
          </cell>
          <cell r="AX196">
            <v>728</v>
          </cell>
          <cell r="AY196">
            <v>361</v>
          </cell>
          <cell r="AZ196">
            <v>297</v>
          </cell>
          <cell r="BA196">
            <v>488</v>
          </cell>
          <cell r="BB196">
            <v>903</v>
          </cell>
          <cell r="BC196">
            <v>972</v>
          </cell>
          <cell r="BD196">
            <v>1035</v>
          </cell>
          <cell r="BE196">
            <v>962</v>
          </cell>
          <cell r="BF196">
            <v>1145</v>
          </cell>
          <cell r="BG196">
            <v>1073</v>
          </cell>
          <cell r="BH196">
            <v>1028</v>
          </cell>
          <cell r="BI196">
            <v>1051</v>
          </cell>
          <cell r="BJ196">
            <v>962</v>
          </cell>
          <cell r="BK196">
            <v>1393</v>
          </cell>
          <cell r="BL196">
            <v>1364</v>
          </cell>
          <cell r="BM196">
            <v>1725</v>
          </cell>
          <cell r="BN196">
            <v>1329</v>
          </cell>
          <cell r="BO196">
            <v>1222</v>
          </cell>
          <cell r="BP196">
            <v>1245</v>
          </cell>
          <cell r="BQ196">
            <v>1440</v>
          </cell>
          <cell r="BR196">
            <v>1004</v>
          </cell>
          <cell r="BS196">
            <v>1515</v>
          </cell>
          <cell r="BT196">
            <v>1421</v>
          </cell>
          <cell r="BU196">
            <v>970</v>
          </cell>
          <cell r="BV196">
            <v>1512</v>
          </cell>
          <cell r="BW196">
            <v>1525</v>
          </cell>
          <cell r="BX196">
            <v>1862</v>
          </cell>
          <cell r="BY196">
            <v>2505</v>
          </cell>
          <cell r="BZ196">
            <v>1844</v>
          </cell>
          <cell r="CA196">
            <v>1703</v>
          </cell>
          <cell r="CB196">
            <v>1802</v>
          </cell>
          <cell r="CC196">
            <v>1839</v>
          </cell>
          <cell r="CD196">
            <v>1498</v>
          </cell>
          <cell r="CE196">
            <v>2365</v>
          </cell>
          <cell r="CF196">
            <v>1673</v>
          </cell>
          <cell r="CG196">
            <v>1497</v>
          </cell>
          <cell r="CH196">
            <v>1685</v>
          </cell>
          <cell r="CI196">
            <v>2559</v>
          </cell>
          <cell r="CJ196">
            <v>3108</v>
          </cell>
          <cell r="CK196">
            <v>2745</v>
          </cell>
          <cell r="CL196">
            <v>2318</v>
          </cell>
          <cell r="CM196">
            <v>2263</v>
          </cell>
          <cell r="CN196">
            <v>2721</v>
          </cell>
          <cell r="CO196">
            <v>2913</v>
          </cell>
          <cell r="CP196">
            <v>2151</v>
          </cell>
          <cell r="CQ196">
            <v>3270</v>
          </cell>
          <cell r="CR196">
            <v>2693</v>
          </cell>
          <cell r="CS196">
            <v>2445</v>
          </cell>
          <cell r="CW196">
            <v>0.38266384778012674</v>
          </cell>
          <cell r="CX196">
            <v>1.4182738437919784E-3</v>
          </cell>
          <cell r="CY196">
            <v>5.4272212627134889E-4</v>
          </cell>
          <cell r="CZ196">
            <v>1.8268176835951771E-3</v>
          </cell>
        </row>
        <row r="197">
          <cell r="B197" t="str">
            <v>Other South Asia</v>
          </cell>
          <cell r="L197">
            <v>535</v>
          </cell>
          <cell r="M197">
            <v>706</v>
          </cell>
          <cell r="N197">
            <v>573</v>
          </cell>
          <cell r="O197">
            <v>630</v>
          </cell>
          <cell r="P197">
            <v>739</v>
          </cell>
          <cell r="Q197">
            <v>790</v>
          </cell>
          <cell r="R197">
            <v>893</v>
          </cell>
          <cell r="S197">
            <v>774</v>
          </cell>
          <cell r="T197">
            <v>752</v>
          </cell>
          <cell r="U197">
            <v>891</v>
          </cell>
          <cell r="V197">
            <v>1038</v>
          </cell>
          <cell r="W197">
            <v>785</v>
          </cell>
          <cell r="X197">
            <v>919</v>
          </cell>
          <cell r="Y197">
            <v>887</v>
          </cell>
          <cell r="Z197">
            <v>686</v>
          </cell>
          <cell r="AA197">
            <v>906</v>
          </cell>
          <cell r="AB197">
            <v>888</v>
          </cell>
          <cell r="AC197">
            <v>763</v>
          </cell>
          <cell r="AD197">
            <v>753</v>
          </cell>
          <cell r="AE197">
            <v>690</v>
          </cell>
          <cell r="AF197">
            <v>979</v>
          </cell>
          <cell r="AG197">
            <v>738</v>
          </cell>
          <cell r="AH197">
            <v>395</v>
          </cell>
          <cell r="AI197">
            <v>575</v>
          </cell>
          <cell r="AJ197">
            <v>457</v>
          </cell>
          <cell r="AK197">
            <v>425</v>
          </cell>
          <cell r="AL197">
            <v>591</v>
          </cell>
          <cell r="AM197">
            <v>651</v>
          </cell>
          <cell r="AN197">
            <v>588</v>
          </cell>
          <cell r="AO197">
            <v>774</v>
          </cell>
          <cell r="AP197">
            <v>591</v>
          </cell>
          <cell r="AQ197">
            <v>865</v>
          </cell>
          <cell r="AR197">
            <v>578</v>
          </cell>
          <cell r="AS197">
            <v>724</v>
          </cell>
          <cell r="AT197">
            <v>451</v>
          </cell>
          <cell r="AU197">
            <v>840</v>
          </cell>
          <cell r="AV197">
            <v>573</v>
          </cell>
          <cell r="AW197">
            <v>549</v>
          </cell>
          <cell r="AX197">
            <v>589</v>
          </cell>
          <cell r="AY197">
            <v>390</v>
          </cell>
          <cell r="AZ197">
            <v>534</v>
          </cell>
          <cell r="BA197">
            <v>672</v>
          </cell>
          <cell r="BB197">
            <v>902</v>
          </cell>
          <cell r="BC197">
            <v>866</v>
          </cell>
          <cell r="BD197">
            <v>789</v>
          </cell>
          <cell r="BE197">
            <v>763</v>
          </cell>
          <cell r="BF197">
            <v>986</v>
          </cell>
          <cell r="BG197">
            <v>617</v>
          </cell>
          <cell r="BH197">
            <v>950</v>
          </cell>
          <cell r="BI197">
            <v>649</v>
          </cell>
          <cell r="BJ197">
            <v>956</v>
          </cell>
          <cell r="BK197">
            <v>1857</v>
          </cell>
          <cell r="BL197">
            <v>780</v>
          </cell>
          <cell r="BM197">
            <v>841</v>
          </cell>
          <cell r="BN197">
            <v>870</v>
          </cell>
          <cell r="BO197">
            <v>896</v>
          </cell>
          <cell r="BP197">
            <v>787</v>
          </cell>
          <cell r="BQ197">
            <v>849</v>
          </cell>
          <cell r="BR197">
            <v>914</v>
          </cell>
          <cell r="BS197">
            <v>796</v>
          </cell>
          <cell r="BT197">
            <v>711</v>
          </cell>
          <cell r="BU197">
            <v>659</v>
          </cell>
          <cell r="BV197">
            <v>894</v>
          </cell>
          <cell r="BW197">
            <v>1137</v>
          </cell>
          <cell r="BX197">
            <v>1082</v>
          </cell>
          <cell r="BY197">
            <v>1023</v>
          </cell>
          <cell r="BZ197">
            <v>912</v>
          </cell>
          <cell r="CA197">
            <v>848</v>
          </cell>
          <cell r="CB197">
            <v>926</v>
          </cell>
          <cell r="CC197">
            <v>1026</v>
          </cell>
          <cell r="CD197">
            <v>917</v>
          </cell>
          <cell r="CE197">
            <v>873</v>
          </cell>
          <cell r="CF197">
            <v>871</v>
          </cell>
          <cell r="CG197">
            <v>621</v>
          </cell>
          <cell r="CH197">
            <v>1053</v>
          </cell>
          <cell r="CI197">
            <v>1039</v>
          </cell>
          <cell r="CJ197">
            <v>1157</v>
          </cell>
          <cell r="CK197">
            <v>1103</v>
          </cell>
          <cell r="CL197">
            <v>1432</v>
          </cell>
          <cell r="CM197">
            <v>1200</v>
          </cell>
          <cell r="CN197">
            <v>978</v>
          </cell>
          <cell r="CO197">
            <v>1114</v>
          </cell>
          <cell r="CP197">
            <v>1164</v>
          </cell>
          <cell r="CQ197">
            <v>1079</v>
          </cell>
          <cell r="CR197">
            <v>1103</v>
          </cell>
          <cell r="CS197">
            <v>1130</v>
          </cell>
          <cell r="CW197">
            <v>0.23596792668957622</v>
          </cell>
          <cell r="CX197">
            <v>5.2353195164075994E-4</v>
          </cell>
          <cell r="CY197">
            <v>1.2353674918441762E-4</v>
          </cell>
          <cell r="CZ197">
            <v>4.1582811361393014E-4</v>
          </cell>
        </row>
        <row r="199">
          <cell r="B199" t="str">
            <v>Philippines</v>
          </cell>
          <cell r="L199">
            <v>2907</v>
          </cell>
          <cell r="M199">
            <v>3423</v>
          </cell>
          <cell r="N199">
            <v>2825</v>
          </cell>
          <cell r="O199">
            <v>4048</v>
          </cell>
          <cell r="P199">
            <v>3802</v>
          </cell>
          <cell r="Q199">
            <v>3531</v>
          </cell>
          <cell r="R199">
            <v>3469</v>
          </cell>
          <cell r="S199">
            <v>3575</v>
          </cell>
          <cell r="T199">
            <v>3300</v>
          </cell>
          <cell r="U199">
            <v>4328</v>
          </cell>
          <cell r="V199">
            <v>3171</v>
          </cell>
          <cell r="W199">
            <v>3732</v>
          </cell>
          <cell r="X199">
            <v>3845</v>
          </cell>
          <cell r="Y199">
            <v>3365</v>
          </cell>
          <cell r="Z199">
            <v>4105</v>
          </cell>
          <cell r="AA199">
            <v>5467</v>
          </cell>
          <cell r="AB199">
            <v>4839</v>
          </cell>
          <cell r="AC199">
            <v>3994</v>
          </cell>
          <cell r="AD199">
            <v>4019</v>
          </cell>
          <cell r="AE199">
            <v>4301</v>
          </cell>
          <cell r="AF199">
            <v>4406</v>
          </cell>
          <cell r="AG199">
            <v>4276</v>
          </cell>
          <cell r="AH199">
            <v>3496</v>
          </cell>
          <cell r="AI199">
            <v>4592</v>
          </cell>
          <cell r="AJ199">
            <v>3310</v>
          </cell>
          <cell r="AK199">
            <v>4610</v>
          </cell>
          <cell r="AL199">
            <v>4458</v>
          </cell>
          <cell r="AM199">
            <v>4809</v>
          </cell>
          <cell r="AN199">
            <v>4911</v>
          </cell>
          <cell r="AO199">
            <v>4907</v>
          </cell>
          <cell r="AP199">
            <v>4695</v>
          </cell>
          <cell r="AQ199">
            <v>4959</v>
          </cell>
          <cell r="AR199">
            <v>4102</v>
          </cell>
          <cell r="AS199">
            <v>4631</v>
          </cell>
          <cell r="AT199">
            <v>4286</v>
          </cell>
          <cell r="AU199">
            <v>5061</v>
          </cell>
          <cell r="AV199">
            <v>4056</v>
          </cell>
          <cell r="AW199">
            <v>4484</v>
          </cell>
          <cell r="AX199">
            <v>4148</v>
          </cell>
          <cell r="AY199">
            <v>2829</v>
          </cell>
          <cell r="AZ199">
            <v>2727</v>
          </cell>
          <cell r="BA199">
            <v>3118</v>
          </cell>
          <cell r="BB199">
            <v>4430</v>
          </cell>
          <cell r="BC199">
            <v>5215</v>
          </cell>
          <cell r="BD199">
            <v>4868</v>
          </cell>
          <cell r="BE199">
            <v>5097</v>
          </cell>
          <cell r="BF199">
            <v>5742</v>
          </cell>
          <cell r="BG199">
            <v>5448</v>
          </cell>
          <cell r="BH199">
            <v>4973</v>
          </cell>
          <cell r="BI199">
            <v>4462</v>
          </cell>
          <cell r="BJ199">
            <v>5697</v>
          </cell>
          <cell r="BK199">
            <v>6853</v>
          </cell>
          <cell r="BL199">
            <v>6572</v>
          </cell>
          <cell r="BM199">
            <v>5901</v>
          </cell>
          <cell r="BN199">
            <v>7361</v>
          </cell>
          <cell r="BO199">
            <v>8361</v>
          </cell>
          <cell r="BP199">
            <v>5536</v>
          </cell>
          <cell r="BQ199">
            <v>6862</v>
          </cell>
          <cell r="BR199">
            <v>6581</v>
          </cell>
          <cell r="BS199">
            <v>7719</v>
          </cell>
          <cell r="BT199">
            <v>6263</v>
          </cell>
          <cell r="BU199">
            <v>6505</v>
          </cell>
          <cell r="BV199">
            <v>7302</v>
          </cell>
          <cell r="BW199">
            <v>7349</v>
          </cell>
          <cell r="BX199">
            <v>7894</v>
          </cell>
          <cell r="BY199">
            <v>7008</v>
          </cell>
          <cell r="BZ199">
            <v>7337</v>
          </cell>
          <cell r="CA199">
            <v>7398</v>
          </cell>
          <cell r="CB199">
            <v>7450</v>
          </cell>
          <cell r="CC199">
            <v>8583</v>
          </cell>
          <cell r="CD199">
            <v>9549</v>
          </cell>
          <cell r="CE199">
            <v>11240</v>
          </cell>
          <cell r="CF199">
            <v>10672</v>
          </cell>
          <cell r="CG199">
            <v>11065</v>
          </cell>
          <cell r="CH199">
            <v>12283</v>
          </cell>
          <cell r="CI199">
            <v>16668</v>
          </cell>
          <cell r="CJ199">
            <v>16348</v>
          </cell>
          <cell r="CK199">
            <v>13002</v>
          </cell>
          <cell r="CL199">
            <v>13565</v>
          </cell>
          <cell r="CM199">
            <v>14102</v>
          </cell>
          <cell r="CN199">
            <v>14225</v>
          </cell>
          <cell r="CO199">
            <v>17464</v>
          </cell>
          <cell r="CP199">
            <v>16340</v>
          </cell>
          <cell r="CQ199">
            <v>20512</v>
          </cell>
          <cell r="CR199">
            <v>16889</v>
          </cell>
          <cell r="CS199">
            <v>16803</v>
          </cell>
          <cell r="CW199">
            <v>0.82491103202846983</v>
          </cell>
          <cell r="CX199">
            <v>6.7405488389944345E-3</v>
          </cell>
          <cell r="CY199">
            <v>5.5603530992132033E-3</v>
          </cell>
          <cell r="CZ199">
            <v>1.8716302278778442E-2</v>
          </cell>
        </row>
        <row r="200">
          <cell r="B200" t="str">
            <v>Indonesia</v>
          </cell>
          <cell r="L200">
            <v>2719</v>
          </cell>
          <cell r="M200">
            <v>838</v>
          </cell>
          <cell r="N200">
            <v>774</v>
          </cell>
          <cell r="O200">
            <v>1774</v>
          </cell>
          <cell r="P200">
            <v>970</v>
          </cell>
          <cell r="Q200">
            <v>954</v>
          </cell>
          <cell r="R200">
            <v>1437</v>
          </cell>
          <cell r="S200">
            <v>1056</v>
          </cell>
          <cell r="T200">
            <v>1019</v>
          </cell>
          <cell r="U200">
            <v>1486</v>
          </cell>
          <cell r="V200">
            <v>953</v>
          </cell>
          <cell r="W200">
            <v>2940</v>
          </cell>
          <cell r="X200">
            <v>1838</v>
          </cell>
          <cell r="Y200">
            <v>850</v>
          </cell>
          <cell r="Z200">
            <v>890</v>
          </cell>
          <cell r="AA200">
            <v>1219</v>
          </cell>
          <cell r="AB200">
            <v>935</v>
          </cell>
          <cell r="AC200">
            <v>847</v>
          </cell>
          <cell r="AD200">
            <v>1177</v>
          </cell>
          <cell r="AE200">
            <v>1085</v>
          </cell>
          <cell r="AF200">
            <v>1114</v>
          </cell>
          <cell r="AG200">
            <v>1389</v>
          </cell>
          <cell r="AH200">
            <v>1185</v>
          </cell>
          <cell r="AI200">
            <v>4242</v>
          </cell>
          <cell r="AJ200">
            <v>1093</v>
          </cell>
          <cell r="AK200">
            <v>995</v>
          </cell>
          <cell r="AL200">
            <v>1087</v>
          </cell>
          <cell r="AM200">
            <v>1480</v>
          </cell>
          <cell r="AN200">
            <v>1197</v>
          </cell>
          <cell r="AO200">
            <v>1378</v>
          </cell>
          <cell r="AP200">
            <v>1779</v>
          </cell>
          <cell r="AQ200">
            <v>1359</v>
          </cell>
          <cell r="AR200">
            <v>1415</v>
          </cell>
          <cell r="AS200">
            <v>1610</v>
          </cell>
          <cell r="AT200">
            <v>1115</v>
          </cell>
          <cell r="AU200">
            <v>4915</v>
          </cell>
          <cell r="AV200">
            <v>1615</v>
          </cell>
          <cell r="AW200">
            <v>1139</v>
          </cell>
          <cell r="AX200">
            <v>700</v>
          </cell>
          <cell r="AY200">
            <v>354</v>
          </cell>
          <cell r="AZ200">
            <v>312</v>
          </cell>
          <cell r="BA200">
            <v>604</v>
          </cell>
          <cell r="BB200">
            <v>947</v>
          </cell>
          <cell r="BC200">
            <v>1650</v>
          </cell>
          <cell r="BD200">
            <v>1434</v>
          </cell>
          <cell r="BE200">
            <v>1699</v>
          </cell>
          <cell r="BF200">
            <v>3794</v>
          </cell>
          <cell r="BG200">
            <v>3457</v>
          </cell>
          <cell r="BH200">
            <v>2156</v>
          </cell>
          <cell r="BI200">
            <v>1478</v>
          </cell>
          <cell r="BJ200">
            <v>1518</v>
          </cell>
          <cell r="BK200">
            <v>2138</v>
          </cell>
          <cell r="BL200">
            <v>2142</v>
          </cell>
          <cell r="BM200">
            <v>2527</v>
          </cell>
          <cell r="BN200">
            <v>3175</v>
          </cell>
          <cell r="BO200">
            <v>3218</v>
          </cell>
          <cell r="BP200">
            <v>2155</v>
          </cell>
          <cell r="BQ200">
            <v>2485</v>
          </cell>
          <cell r="BR200">
            <v>5818</v>
          </cell>
          <cell r="BS200">
            <v>4129</v>
          </cell>
          <cell r="BT200">
            <v>2712</v>
          </cell>
          <cell r="BU200">
            <v>2583</v>
          </cell>
          <cell r="BV200">
            <v>3029</v>
          </cell>
          <cell r="BW200">
            <v>3266</v>
          </cell>
          <cell r="BX200">
            <v>2967</v>
          </cell>
          <cell r="BY200">
            <v>2922</v>
          </cell>
          <cell r="BZ200">
            <v>3999</v>
          </cell>
          <cell r="CA200">
            <v>3237</v>
          </cell>
          <cell r="CB200">
            <v>3474</v>
          </cell>
          <cell r="CC200">
            <v>3860</v>
          </cell>
          <cell r="CD200">
            <v>8297</v>
          </cell>
          <cell r="CE200">
            <v>5808</v>
          </cell>
          <cell r="CF200">
            <v>4154</v>
          </cell>
          <cell r="CG200">
            <v>3614</v>
          </cell>
          <cell r="CH200">
            <v>3715</v>
          </cell>
          <cell r="CI200">
            <v>5431</v>
          </cell>
          <cell r="CJ200">
            <v>4637</v>
          </cell>
          <cell r="CK200">
            <v>4950</v>
          </cell>
          <cell r="CL200">
            <v>6195</v>
          </cell>
          <cell r="CM200">
            <v>5472</v>
          </cell>
          <cell r="CN200">
            <v>4351</v>
          </cell>
          <cell r="CO200">
            <v>10591</v>
          </cell>
          <cell r="CP200">
            <v>5188</v>
          </cell>
          <cell r="CQ200">
            <v>9816</v>
          </cell>
          <cell r="CR200">
            <v>6961</v>
          </cell>
          <cell r="CS200">
            <v>4992</v>
          </cell>
          <cell r="CW200">
            <v>0.69008264462809921</v>
          </cell>
          <cell r="CX200">
            <v>3.4830166954519285E-3</v>
          </cell>
          <cell r="CY200">
            <v>2.4035693724812897E-3</v>
          </cell>
          <cell r="CZ200">
            <v>8.0904809677894724E-3</v>
          </cell>
        </row>
        <row r="201">
          <cell r="B201" t="str">
            <v>Malaysia</v>
          </cell>
          <cell r="L201">
            <v>1619</v>
          </cell>
          <cell r="M201">
            <v>1715</v>
          </cell>
          <cell r="N201">
            <v>1942</v>
          </cell>
          <cell r="O201">
            <v>2259</v>
          </cell>
          <cell r="P201">
            <v>2410</v>
          </cell>
          <cell r="Q201">
            <v>1752</v>
          </cell>
          <cell r="R201">
            <v>1575</v>
          </cell>
          <cell r="S201">
            <v>1841</v>
          </cell>
          <cell r="T201">
            <v>2533</v>
          </cell>
          <cell r="U201">
            <v>2046</v>
          </cell>
          <cell r="V201">
            <v>2702</v>
          </cell>
          <cell r="W201">
            <v>3359</v>
          </cell>
          <cell r="X201">
            <v>2197</v>
          </cell>
          <cell r="Y201">
            <v>1572</v>
          </cell>
          <cell r="Z201">
            <v>2385</v>
          </cell>
          <cell r="AA201">
            <v>2006</v>
          </cell>
          <cell r="AB201">
            <v>2813</v>
          </cell>
          <cell r="AC201">
            <v>1985</v>
          </cell>
          <cell r="AD201">
            <v>1584</v>
          </cell>
          <cell r="AE201">
            <v>1966</v>
          </cell>
          <cell r="AF201">
            <v>2624</v>
          </cell>
          <cell r="AG201">
            <v>2039</v>
          </cell>
          <cell r="AH201">
            <v>2141</v>
          </cell>
          <cell r="AI201">
            <v>3942</v>
          </cell>
          <cell r="AJ201">
            <v>1647</v>
          </cell>
          <cell r="AK201">
            <v>3089</v>
          </cell>
          <cell r="AL201">
            <v>2650</v>
          </cell>
          <cell r="AM201">
            <v>2321</v>
          </cell>
          <cell r="AN201">
            <v>2419</v>
          </cell>
          <cell r="AO201">
            <v>2000</v>
          </cell>
          <cell r="AP201">
            <v>1978</v>
          </cell>
          <cell r="AQ201">
            <v>2358</v>
          </cell>
          <cell r="AR201">
            <v>2538</v>
          </cell>
          <cell r="AS201">
            <v>2301</v>
          </cell>
          <cell r="AT201">
            <v>3364</v>
          </cell>
          <cell r="AU201">
            <v>4658</v>
          </cell>
          <cell r="AV201">
            <v>1748</v>
          </cell>
          <cell r="AW201">
            <v>2467</v>
          </cell>
          <cell r="AX201">
            <v>2174</v>
          </cell>
          <cell r="AY201">
            <v>627</v>
          </cell>
          <cell r="AZ201">
            <v>624</v>
          </cell>
          <cell r="BA201">
            <v>1027</v>
          </cell>
          <cell r="BB201">
            <v>1455</v>
          </cell>
          <cell r="BC201">
            <v>1947</v>
          </cell>
          <cell r="BD201">
            <v>2571</v>
          </cell>
          <cell r="BE201">
            <v>2658</v>
          </cell>
          <cell r="BF201">
            <v>4025</v>
          </cell>
          <cell r="BG201">
            <v>3232</v>
          </cell>
          <cell r="BH201">
            <v>1959</v>
          </cell>
          <cell r="BI201">
            <v>1732</v>
          </cell>
          <cell r="BJ201">
            <v>2722</v>
          </cell>
          <cell r="BK201">
            <v>3150</v>
          </cell>
          <cell r="BL201">
            <v>3342</v>
          </cell>
          <cell r="BM201">
            <v>3275</v>
          </cell>
          <cell r="BN201">
            <v>3128</v>
          </cell>
          <cell r="BO201">
            <v>4363</v>
          </cell>
          <cell r="BP201">
            <v>3711</v>
          </cell>
          <cell r="BQ201">
            <v>4498</v>
          </cell>
          <cell r="BR201">
            <v>6718</v>
          </cell>
          <cell r="BS201">
            <v>9793</v>
          </cell>
          <cell r="BT201">
            <v>8567</v>
          </cell>
          <cell r="BU201">
            <v>5591</v>
          </cell>
          <cell r="BV201">
            <v>8329</v>
          </cell>
          <cell r="BW201">
            <v>7886</v>
          </cell>
          <cell r="BX201">
            <v>8676</v>
          </cell>
          <cell r="BY201">
            <v>7280</v>
          </cell>
          <cell r="BZ201">
            <v>6510</v>
          </cell>
          <cell r="CA201">
            <v>5656</v>
          </cell>
          <cell r="CB201">
            <v>7299</v>
          </cell>
          <cell r="CC201">
            <v>8111</v>
          </cell>
          <cell r="CD201">
            <v>11474</v>
          </cell>
          <cell r="CE201">
            <v>13071</v>
          </cell>
          <cell r="CF201">
            <v>9529</v>
          </cell>
          <cell r="CG201">
            <v>11641</v>
          </cell>
          <cell r="CH201">
            <v>16959</v>
          </cell>
          <cell r="CI201">
            <v>15864</v>
          </cell>
          <cell r="CJ201">
            <v>15912</v>
          </cell>
          <cell r="CK201">
            <v>14921</v>
          </cell>
          <cell r="CL201">
            <v>13736</v>
          </cell>
          <cell r="CM201">
            <v>12965</v>
          </cell>
          <cell r="CN201">
            <v>18213</v>
          </cell>
          <cell r="CO201">
            <v>19745</v>
          </cell>
          <cell r="CP201">
            <v>23215</v>
          </cell>
          <cell r="CQ201">
            <v>30121</v>
          </cell>
          <cell r="CR201">
            <v>22358</v>
          </cell>
          <cell r="CS201">
            <v>18592</v>
          </cell>
          <cell r="CW201">
            <v>1.3044143523831382</v>
          </cell>
          <cell r="CX201">
            <v>7.8385866436384566E-3</v>
          </cell>
          <cell r="CY201">
            <v>1.0224764920360774E-2</v>
          </cell>
          <cell r="CZ201">
            <v>3.4416841442317991E-2</v>
          </cell>
        </row>
        <row r="202">
          <cell r="B202" t="str">
            <v>Singapore</v>
          </cell>
          <cell r="L202">
            <v>1493</v>
          </cell>
          <cell r="M202">
            <v>1787</v>
          </cell>
          <cell r="N202">
            <v>1993</v>
          </cell>
          <cell r="O202">
            <v>2139</v>
          </cell>
          <cell r="P202">
            <v>1983</v>
          </cell>
          <cell r="Q202">
            <v>2494</v>
          </cell>
          <cell r="R202">
            <v>1804</v>
          </cell>
          <cell r="S202">
            <v>1729</v>
          </cell>
          <cell r="T202">
            <v>2039</v>
          </cell>
          <cell r="U202">
            <v>1935</v>
          </cell>
          <cell r="V202">
            <v>2396</v>
          </cell>
          <cell r="W202">
            <v>4234</v>
          </cell>
          <cell r="X202">
            <v>1787</v>
          </cell>
          <cell r="Y202">
            <v>1448</v>
          </cell>
          <cell r="Z202">
            <v>2836</v>
          </cell>
          <cell r="AA202">
            <v>1942</v>
          </cell>
          <cell r="AB202">
            <v>2336</v>
          </cell>
          <cell r="AC202">
            <v>2693</v>
          </cell>
          <cell r="AD202">
            <v>1900</v>
          </cell>
          <cell r="AE202">
            <v>2136</v>
          </cell>
          <cell r="AF202">
            <v>1686</v>
          </cell>
          <cell r="AG202">
            <v>1543</v>
          </cell>
          <cell r="AH202">
            <v>1920</v>
          </cell>
          <cell r="AI202">
            <v>3475</v>
          </cell>
          <cell r="AJ202">
            <v>1527</v>
          </cell>
          <cell r="AK202">
            <v>1707</v>
          </cell>
          <cell r="AL202">
            <v>2478</v>
          </cell>
          <cell r="AM202">
            <v>1895</v>
          </cell>
          <cell r="AN202">
            <v>2257</v>
          </cell>
          <cell r="AO202">
            <v>2431</v>
          </cell>
          <cell r="AP202">
            <v>2223</v>
          </cell>
          <cell r="AQ202">
            <v>2401</v>
          </cell>
          <cell r="AR202">
            <v>1951</v>
          </cell>
          <cell r="AS202">
            <v>2418</v>
          </cell>
          <cell r="AT202">
            <v>3893</v>
          </cell>
          <cell r="AU202">
            <v>5759</v>
          </cell>
          <cell r="AV202">
            <v>2025</v>
          </cell>
          <cell r="AW202">
            <v>2225</v>
          </cell>
          <cell r="AX202">
            <v>2480</v>
          </cell>
          <cell r="AY202">
            <v>674</v>
          </cell>
          <cell r="AZ202">
            <v>806</v>
          </cell>
          <cell r="BA202">
            <v>1343</v>
          </cell>
          <cell r="BB202">
            <v>2013</v>
          </cell>
          <cell r="BC202">
            <v>2520</v>
          </cell>
          <cell r="BD202">
            <v>2181</v>
          </cell>
          <cell r="BE202">
            <v>2792</v>
          </cell>
          <cell r="BF202">
            <v>3004</v>
          </cell>
          <cell r="BG202">
            <v>3704</v>
          </cell>
          <cell r="BH202">
            <v>2109</v>
          </cell>
          <cell r="BI202">
            <v>2117</v>
          </cell>
          <cell r="BJ202">
            <v>2788</v>
          </cell>
          <cell r="BK202">
            <v>2796</v>
          </cell>
          <cell r="BL202">
            <v>3036</v>
          </cell>
          <cell r="BM202">
            <v>4783</v>
          </cell>
          <cell r="BN202">
            <v>3267</v>
          </cell>
          <cell r="BO202">
            <v>3730</v>
          </cell>
          <cell r="BP202">
            <v>3505</v>
          </cell>
          <cell r="BQ202">
            <v>3811</v>
          </cell>
          <cell r="BR202">
            <v>5791</v>
          </cell>
          <cell r="BS202">
            <v>8027</v>
          </cell>
          <cell r="BT202">
            <v>4934</v>
          </cell>
          <cell r="BU202">
            <v>3261</v>
          </cell>
          <cell r="BV202">
            <v>5666</v>
          </cell>
          <cell r="BW202">
            <v>6233</v>
          </cell>
          <cell r="BX202">
            <v>8526</v>
          </cell>
          <cell r="BY202">
            <v>7221</v>
          </cell>
          <cell r="BZ202">
            <v>5767</v>
          </cell>
          <cell r="CA202">
            <v>5633</v>
          </cell>
          <cell r="CB202">
            <v>5884</v>
          </cell>
          <cell r="CC202">
            <v>6851</v>
          </cell>
          <cell r="CD202">
            <v>10418</v>
          </cell>
          <cell r="CE202">
            <v>11904</v>
          </cell>
          <cell r="CF202">
            <v>6050</v>
          </cell>
          <cell r="CG202">
            <v>7572</v>
          </cell>
          <cell r="CH202">
            <v>10268</v>
          </cell>
          <cell r="CI202">
            <v>8614</v>
          </cell>
          <cell r="CJ202">
            <v>9656</v>
          </cell>
          <cell r="CK202">
            <v>10703</v>
          </cell>
          <cell r="CL202">
            <v>8909</v>
          </cell>
          <cell r="CM202">
            <v>9053</v>
          </cell>
          <cell r="CN202">
            <v>10005</v>
          </cell>
          <cell r="CO202">
            <v>10538</v>
          </cell>
          <cell r="CP202">
            <v>14573</v>
          </cell>
          <cell r="CQ202">
            <v>20350</v>
          </cell>
          <cell r="CR202">
            <v>11364</v>
          </cell>
          <cell r="CS202">
            <v>8413</v>
          </cell>
          <cell r="CW202">
            <v>0.7095094086021505</v>
          </cell>
          <cell r="CX202">
            <v>7.1387449625791594E-3</v>
          </cell>
          <cell r="CY202">
            <v>5.0650067165611207E-3</v>
          </cell>
          <cell r="CZ202">
            <v>1.7048952658171128E-2</v>
          </cell>
        </row>
        <row r="203">
          <cell r="B203" t="str">
            <v>Thailand</v>
          </cell>
          <cell r="L203">
            <v>1898</v>
          </cell>
          <cell r="M203">
            <v>1768</v>
          </cell>
          <cell r="N203">
            <v>1708</v>
          </cell>
          <cell r="O203">
            <v>2915</v>
          </cell>
          <cell r="P203">
            <v>2507</v>
          </cell>
          <cell r="Q203">
            <v>1523</v>
          </cell>
          <cell r="R203">
            <v>1836</v>
          </cell>
          <cell r="S203">
            <v>1726</v>
          </cell>
          <cell r="T203">
            <v>1756</v>
          </cell>
          <cell r="U203">
            <v>2415</v>
          </cell>
          <cell r="V203">
            <v>2060</v>
          </cell>
          <cell r="W203">
            <v>2284</v>
          </cell>
          <cell r="X203">
            <v>1691</v>
          </cell>
          <cell r="Y203">
            <v>1631</v>
          </cell>
          <cell r="Z203">
            <v>2099</v>
          </cell>
          <cell r="AA203">
            <v>2237</v>
          </cell>
          <cell r="AB203">
            <v>1854</v>
          </cell>
          <cell r="AC203">
            <v>1903</v>
          </cell>
          <cell r="AD203">
            <v>1621</v>
          </cell>
          <cell r="AE203">
            <v>1631</v>
          </cell>
          <cell r="AF203">
            <v>1530</v>
          </cell>
          <cell r="AG203">
            <v>1604</v>
          </cell>
          <cell r="AH203">
            <v>1579</v>
          </cell>
          <cell r="AI203">
            <v>2192</v>
          </cell>
          <cell r="AJ203">
            <v>1493</v>
          </cell>
          <cell r="AK203">
            <v>1447</v>
          </cell>
          <cell r="AL203">
            <v>1973</v>
          </cell>
          <cell r="AM203">
            <v>3161</v>
          </cell>
          <cell r="AN203">
            <v>1891</v>
          </cell>
          <cell r="AO203">
            <v>1478</v>
          </cell>
          <cell r="AP203">
            <v>1872</v>
          </cell>
          <cell r="AQ203">
            <v>2168</v>
          </cell>
          <cell r="AR203">
            <v>1846</v>
          </cell>
          <cell r="AS203">
            <v>2621</v>
          </cell>
          <cell r="AT203">
            <v>1956</v>
          </cell>
          <cell r="AU203">
            <v>2719</v>
          </cell>
          <cell r="AV203">
            <v>1876</v>
          </cell>
          <cell r="AW203">
            <v>1891</v>
          </cell>
          <cell r="AX203">
            <v>1628</v>
          </cell>
          <cell r="AY203">
            <v>874</v>
          </cell>
          <cell r="AZ203">
            <v>563</v>
          </cell>
          <cell r="BA203">
            <v>690</v>
          </cell>
          <cell r="BB203">
            <v>1129</v>
          </cell>
          <cell r="BC203">
            <v>1463</v>
          </cell>
          <cell r="BD203">
            <v>1547</v>
          </cell>
          <cell r="BE203">
            <v>1932</v>
          </cell>
          <cell r="BF203">
            <v>2003</v>
          </cell>
          <cell r="BG203">
            <v>2500</v>
          </cell>
          <cell r="BH203">
            <v>2388</v>
          </cell>
          <cell r="BI203">
            <v>1471</v>
          </cell>
          <cell r="BJ203">
            <v>2251</v>
          </cell>
          <cell r="BK203">
            <v>3160</v>
          </cell>
          <cell r="BL203">
            <v>2118</v>
          </cell>
          <cell r="BM203">
            <v>1948</v>
          </cell>
          <cell r="BN203">
            <v>3630</v>
          </cell>
          <cell r="BO203">
            <v>2805</v>
          </cell>
          <cell r="BP203">
            <v>3537</v>
          </cell>
          <cell r="BQ203">
            <v>6601</v>
          </cell>
          <cell r="BR203">
            <v>4773</v>
          </cell>
          <cell r="BS203">
            <v>7159</v>
          </cell>
          <cell r="BT203">
            <v>6923</v>
          </cell>
          <cell r="BU203">
            <v>3129</v>
          </cell>
          <cell r="BV203">
            <v>5395</v>
          </cell>
          <cell r="BW203">
            <v>8349</v>
          </cell>
          <cell r="BX203">
            <v>5525</v>
          </cell>
          <cell r="BY203">
            <v>3785</v>
          </cell>
          <cell r="BZ203">
            <v>4768</v>
          </cell>
          <cell r="CA203">
            <v>3298</v>
          </cell>
          <cell r="CB203">
            <v>2823</v>
          </cell>
          <cell r="CC203">
            <v>4954</v>
          </cell>
          <cell r="CD203">
            <v>3398</v>
          </cell>
          <cell r="CE203">
            <v>5529</v>
          </cell>
          <cell r="CF203">
            <v>3808</v>
          </cell>
          <cell r="CG203">
            <v>5191</v>
          </cell>
          <cell r="CH203">
            <v>7243</v>
          </cell>
          <cell r="CI203">
            <v>9519</v>
          </cell>
          <cell r="CJ203">
            <v>8064</v>
          </cell>
          <cell r="CK203">
            <v>6228</v>
          </cell>
          <cell r="CL203">
            <v>7252</v>
          </cell>
          <cell r="CM203">
            <v>6508</v>
          </cell>
          <cell r="CN203">
            <v>6211</v>
          </cell>
          <cell r="CO203">
            <v>9403</v>
          </cell>
          <cell r="CP203">
            <v>7771</v>
          </cell>
          <cell r="CQ203">
            <v>12250</v>
          </cell>
          <cell r="CR203">
            <v>9370</v>
          </cell>
          <cell r="CS203">
            <v>5469</v>
          </cell>
          <cell r="CW203">
            <v>1.2155905226984989</v>
          </cell>
          <cell r="CX203">
            <v>3.3157023603914795E-3</v>
          </cell>
          <cell r="CY203">
            <v>4.0305363653809247E-3</v>
          </cell>
          <cell r="CZ203">
            <v>1.3566896852423413E-2</v>
          </cell>
        </row>
        <row r="204">
          <cell r="B204" t="str">
            <v>Other Southeast Asia</v>
          </cell>
          <cell r="L204">
            <v>329</v>
          </cell>
          <cell r="M204">
            <v>712</v>
          </cell>
          <cell r="N204">
            <v>479</v>
          </cell>
          <cell r="O204">
            <v>796</v>
          </cell>
          <cell r="P204">
            <v>589</v>
          </cell>
          <cell r="Q204">
            <v>562</v>
          </cell>
          <cell r="R204">
            <v>637</v>
          </cell>
          <cell r="S204">
            <v>653</v>
          </cell>
          <cell r="T204">
            <v>406</v>
          </cell>
          <cell r="U204">
            <v>495</v>
          </cell>
          <cell r="V204">
            <v>538</v>
          </cell>
          <cell r="W204">
            <v>444</v>
          </cell>
          <cell r="X204">
            <v>529</v>
          </cell>
          <cell r="Y204">
            <v>623</v>
          </cell>
          <cell r="Z204">
            <v>668</v>
          </cell>
          <cell r="AA204">
            <v>960</v>
          </cell>
          <cell r="AB204">
            <v>685</v>
          </cell>
          <cell r="AC204">
            <v>886</v>
          </cell>
          <cell r="AD204">
            <v>1000</v>
          </cell>
          <cell r="AE204">
            <v>877</v>
          </cell>
          <cell r="AF204">
            <v>551</v>
          </cell>
          <cell r="AG204">
            <v>450</v>
          </cell>
          <cell r="AH204">
            <v>415</v>
          </cell>
          <cell r="AI204">
            <v>377</v>
          </cell>
          <cell r="AJ204">
            <v>408</v>
          </cell>
          <cell r="AK204">
            <v>393</v>
          </cell>
          <cell r="AL204">
            <v>493</v>
          </cell>
          <cell r="AM204">
            <v>1098</v>
          </cell>
          <cell r="AN204">
            <v>576</v>
          </cell>
          <cell r="AO204">
            <v>836</v>
          </cell>
          <cell r="AP204">
            <v>896</v>
          </cell>
          <cell r="AQ204">
            <v>1053</v>
          </cell>
          <cell r="AR204">
            <v>814</v>
          </cell>
          <cell r="AS204">
            <v>841</v>
          </cell>
          <cell r="AT204">
            <v>701</v>
          </cell>
          <cell r="AU204">
            <v>739</v>
          </cell>
          <cell r="AV204">
            <v>631</v>
          </cell>
          <cell r="AW204">
            <v>1215</v>
          </cell>
          <cell r="AX204">
            <v>857</v>
          </cell>
          <cell r="AY204">
            <v>262</v>
          </cell>
          <cell r="AZ204">
            <v>193</v>
          </cell>
          <cell r="BA204">
            <v>323</v>
          </cell>
          <cell r="BB204">
            <v>413</v>
          </cell>
          <cell r="BC204">
            <v>785</v>
          </cell>
          <cell r="BD204">
            <v>1050</v>
          </cell>
          <cell r="BE204">
            <v>728</v>
          </cell>
          <cell r="BF204">
            <v>1047</v>
          </cell>
          <cell r="BG204">
            <v>753</v>
          </cell>
          <cell r="BH204">
            <v>865</v>
          </cell>
          <cell r="BI204">
            <v>549</v>
          </cell>
          <cell r="BJ204">
            <v>920</v>
          </cell>
          <cell r="BK204">
            <v>1522</v>
          </cell>
          <cell r="BL204">
            <v>1074</v>
          </cell>
          <cell r="BM204">
            <v>1410</v>
          </cell>
          <cell r="BN204">
            <v>1747</v>
          </cell>
          <cell r="BO204">
            <v>1436</v>
          </cell>
          <cell r="BP204">
            <v>1186</v>
          </cell>
          <cell r="BQ204">
            <v>1312</v>
          </cell>
          <cell r="BR204">
            <v>1359</v>
          </cell>
          <cell r="BS204">
            <v>1334</v>
          </cell>
          <cell r="BT204">
            <v>1028</v>
          </cell>
          <cell r="BU204">
            <v>1124</v>
          </cell>
          <cell r="BV204">
            <v>937</v>
          </cell>
          <cell r="BW204">
            <v>1764</v>
          </cell>
          <cell r="BX204">
            <v>1343</v>
          </cell>
          <cell r="BY204">
            <v>1541</v>
          </cell>
          <cell r="BZ204">
            <v>1884</v>
          </cell>
          <cell r="CA204">
            <v>1799</v>
          </cell>
          <cell r="CB204">
            <v>1279</v>
          </cell>
          <cell r="CC204">
            <v>1410</v>
          </cell>
          <cell r="CD204">
            <v>1567</v>
          </cell>
          <cell r="CE204">
            <v>1768</v>
          </cell>
          <cell r="CF204">
            <v>1383</v>
          </cell>
          <cell r="CG204">
            <v>2090</v>
          </cell>
          <cell r="CH204">
            <v>1692</v>
          </cell>
          <cell r="CI204">
            <v>2514</v>
          </cell>
          <cell r="CJ204">
            <v>2103</v>
          </cell>
          <cell r="CK204">
            <v>2608</v>
          </cell>
          <cell r="CL204">
            <v>3292</v>
          </cell>
          <cell r="CM204">
            <v>3694</v>
          </cell>
          <cell r="CN204">
            <v>2571</v>
          </cell>
          <cell r="CO204">
            <v>2626</v>
          </cell>
          <cell r="CP204">
            <v>2769</v>
          </cell>
          <cell r="CQ204">
            <v>3112</v>
          </cell>
          <cell r="CR204">
            <v>2411</v>
          </cell>
          <cell r="CS204">
            <v>3237</v>
          </cell>
          <cell r="CW204">
            <v>0.76018099547511309</v>
          </cell>
          <cell r="CX204">
            <v>1.0602571483400499E-3</v>
          </cell>
          <cell r="CY204">
            <v>8.0598733448474381E-4</v>
          </cell>
          <cell r="CZ204">
            <v>2.7129756538695239E-3</v>
          </cell>
        </row>
        <row r="206">
          <cell r="B206" t="str">
            <v>Canada</v>
          </cell>
          <cell r="L206">
            <v>1827</v>
          </cell>
          <cell r="M206">
            <v>2067</v>
          </cell>
          <cell r="N206">
            <v>2184</v>
          </cell>
          <cell r="O206">
            <v>2350</v>
          </cell>
          <cell r="P206">
            <v>1812</v>
          </cell>
          <cell r="Q206">
            <v>1595</v>
          </cell>
          <cell r="R206">
            <v>2550</v>
          </cell>
          <cell r="S206">
            <v>2444</v>
          </cell>
          <cell r="T206">
            <v>1616</v>
          </cell>
          <cell r="U206">
            <v>2318</v>
          </cell>
          <cell r="V206">
            <v>2328</v>
          </cell>
          <cell r="W206">
            <v>2391</v>
          </cell>
          <cell r="X206">
            <v>2490</v>
          </cell>
          <cell r="Y206">
            <v>1998</v>
          </cell>
          <cell r="Z206">
            <v>2562</v>
          </cell>
          <cell r="AA206">
            <v>2391</v>
          </cell>
          <cell r="AB206">
            <v>2021</v>
          </cell>
          <cell r="AC206">
            <v>1886</v>
          </cell>
          <cell r="AD206">
            <v>2395</v>
          </cell>
          <cell r="AE206">
            <v>2471</v>
          </cell>
          <cell r="AF206">
            <v>1694</v>
          </cell>
          <cell r="AG206">
            <v>2042</v>
          </cell>
          <cell r="AH206">
            <v>2092</v>
          </cell>
          <cell r="AI206">
            <v>2406</v>
          </cell>
          <cell r="AJ206">
            <v>2116</v>
          </cell>
          <cell r="AK206">
            <v>1937</v>
          </cell>
          <cell r="AL206">
            <v>2640</v>
          </cell>
          <cell r="AM206">
            <v>2484</v>
          </cell>
          <cell r="AN206">
            <v>2345</v>
          </cell>
          <cell r="AO206">
            <v>1900</v>
          </cell>
          <cell r="AP206">
            <v>2610</v>
          </cell>
          <cell r="AQ206">
            <v>2785</v>
          </cell>
          <cell r="AR206">
            <v>1695</v>
          </cell>
          <cell r="AS206">
            <v>2540</v>
          </cell>
          <cell r="AT206">
            <v>2705</v>
          </cell>
          <cell r="AU206">
            <v>2795</v>
          </cell>
          <cell r="AV206">
            <v>2432</v>
          </cell>
          <cell r="AW206">
            <v>2273</v>
          </cell>
          <cell r="AX206">
            <v>2149</v>
          </cell>
          <cell r="AY206">
            <v>1046</v>
          </cell>
          <cell r="AZ206">
            <v>992</v>
          </cell>
          <cell r="BA206">
            <v>1200</v>
          </cell>
          <cell r="BB206">
            <v>1853</v>
          </cell>
          <cell r="BC206">
            <v>2103</v>
          </cell>
          <cell r="BD206">
            <v>1639</v>
          </cell>
          <cell r="BE206">
            <v>2273</v>
          </cell>
          <cell r="BF206">
            <v>2464</v>
          </cell>
          <cell r="BG206">
            <v>2778</v>
          </cell>
          <cell r="BH206">
            <v>2914</v>
          </cell>
          <cell r="BI206">
            <v>2016</v>
          </cell>
          <cell r="BJ206">
            <v>2633</v>
          </cell>
          <cell r="BK206">
            <v>2780</v>
          </cell>
          <cell r="BL206">
            <v>2659</v>
          </cell>
          <cell r="BM206">
            <v>2612</v>
          </cell>
          <cell r="BN206">
            <v>3502</v>
          </cell>
          <cell r="BO206">
            <v>3885</v>
          </cell>
          <cell r="BP206">
            <v>2488</v>
          </cell>
          <cell r="BQ206">
            <v>3819</v>
          </cell>
          <cell r="BR206">
            <v>4027</v>
          </cell>
          <cell r="BS206">
            <v>4447</v>
          </cell>
          <cell r="BT206">
            <v>3799</v>
          </cell>
          <cell r="BU206">
            <v>3317</v>
          </cell>
          <cell r="BV206">
            <v>4244</v>
          </cell>
          <cell r="BW206">
            <v>3695</v>
          </cell>
          <cell r="BX206">
            <v>3808</v>
          </cell>
          <cell r="BY206">
            <v>2906</v>
          </cell>
          <cell r="BZ206">
            <v>3889</v>
          </cell>
          <cell r="CA206">
            <v>4075</v>
          </cell>
          <cell r="CB206">
            <v>2807</v>
          </cell>
          <cell r="CC206">
            <v>4305</v>
          </cell>
          <cell r="CD206">
            <v>4823</v>
          </cell>
          <cell r="CE206">
            <v>4779</v>
          </cell>
          <cell r="CF206">
            <v>4406</v>
          </cell>
          <cell r="CG206">
            <v>3685</v>
          </cell>
          <cell r="CH206">
            <v>4457</v>
          </cell>
          <cell r="CI206">
            <v>4711</v>
          </cell>
          <cell r="CJ206">
            <v>4097</v>
          </cell>
          <cell r="CK206">
            <v>3276</v>
          </cell>
          <cell r="CL206">
            <v>4737</v>
          </cell>
          <cell r="CM206">
            <v>4363</v>
          </cell>
          <cell r="CN206">
            <v>3339</v>
          </cell>
          <cell r="CO206">
            <v>5108</v>
          </cell>
          <cell r="CP206">
            <v>6364</v>
          </cell>
          <cell r="CQ206">
            <v>6699</v>
          </cell>
          <cell r="CR206">
            <v>5818</v>
          </cell>
          <cell r="CS206">
            <v>5322</v>
          </cell>
          <cell r="CW206">
            <v>0.40175768989328309</v>
          </cell>
          <cell r="CX206">
            <v>2.8659326424870465E-3</v>
          </cell>
          <cell r="CY206">
            <v>1.1514104778353482E-3</v>
          </cell>
          <cell r="CZ206">
            <v>3.8756795055278907E-3</v>
          </cell>
        </row>
        <row r="207">
          <cell r="B207" t="str">
            <v>United States of America</v>
          </cell>
          <cell r="L207">
            <v>5258</v>
          </cell>
          <cell r="M207">
            <v>5209</v>
          </cell>
          <cell r="N207">
            <v>5973</v>
          </cell>
          <cell r="O207">
            <v>6795</v>
          </cell>
          <cell r="P207">
            <v>6171</v>
          </cell>
          <cell r="Q207">
            <v>6412</v>
          </cell>
          <cell r="R207">
            <v>6832</v>
          </cell>
          <cell r="S207">
            <v>5566</v>
          </cell>
          <cell r="T207">
            <v>4960</v>
          </cell>
          <cell r="U207">
            <v>7200</v>
          </cell>
          <cell r="V207">
            <v>7164</v>
          </cell>
          <cell r="W207">
            <v>6813</v>
          </cell>
          <cell r="X207">
            <v>5417</v>
          </cell>
          <cell r="Y207">
            <v>4908</v>
          </cell>
          <cell r="Z207">
            <v>7418</v>
          </cell>
          <cell r="AA207">
            <v>7222</v>
          </cell>
          <cell r="AB207">
            <v>6554</v>
          </cell>
          <cell r="AC207">
            <v>5910</v>
          </cell>
          <cell r="AD207">
            <v>6458</v>
          </cell>
          <cell r="AE207">
            <v>6106</v>
          </cell>
          <cell r="AF207">
            <v>4618</v>
          </cell>
          <cell r="AG207">
            <v>6172</v>
          </cell>
          <cell r="AH207">
            <v>6133</v>
          </cell>
          <cell r="AI207">
            <v>6691</v>
          </cell>
          <cell r="AJ207">
            <v>6174</v>
          </cell>
          <cell r="AK207">
            <v>4925</v>
          </cell>
          <cell r="AL207">
            <v>6957</v>
          </cell>
          <cell r="AM207">
            <v>6642</v>
          </cell>
          <cell r="AN207">
            <v>6160</v>
          </cell>
          <cell r="AO207">
            <v>6685</v>
          </cell>
          <cell r="AP207">
            <v>6612</v>
          </cell>
          <cell r="AQ207">
            <v>6329</v>
          </cell>
          <cell r="AR207">
            <v>4965</v>
          </cell>
          <cell r="AS207">
            <v>7144</v>
          </cell>
          <cell r="AT207">
            <v>7649</v>
          </cell>
          <cell r="AU207">
            <v>6662</v>
          </cell>
          <cell r="AV207">
            <v>6418</v>
          </cell>
          <cell r="AW207">
            <v>5563</v>
          </cell>
          <cell r="AX207">
            <v>5217</v>
          </cell>
          <cell r="AY207">
            <v>1896</v>
          </cell>
          <cell r="AZ207">
            <v>1569</v>
          </cell>
          <cell r="BA207">
            <v>2228</v>
          </cell>
          <cell r="BB207">
            <v>4231</v>
          </cell>
          <cell r="BC207">
            <v>5841</v>
          </cell>
          <cell r="BD207">
            <v>5112</v>
          </cell>
          <cell r="BE207">
            <v>6256</v>
          </cell>
          <cell r="BF207">
            <v>6451</v>
          </cell>
          <cell r="BG207">
            <v>5860</v>
          </cell>
          <cell r="BH207">
            <v>5713</v>
          </cell>
          <cell r="BI207">
            <v>5334</v>
          </cell>
          <cell r="BJ207">
            <v>6487</v>
          </cell>
          <cell r="BK207">
            <v>6768</v>
          </cell>
          <cell r="BL207">
            <v>6570</v>
          </cell>
          <cell r="BM207">
            <v>8683</v>
          </cell>
          <cell r="BN207">
            <v>8537</v>
          </cell>
          <cell r="BO207">
            <v>7664</v>
          </cell>
          <cell r="BP207">
            <v>7550</v>
          </cell>
          <cell r="BQ207">
            <v>10763</v>
          </cell>
          <cell r="BR207">
            <v>10613</v>
          </cell>
          <cell r="BS207">
            <v>10408</v>
          </cell>
          <cell r="BT207">
            <v>8964</v>
          </cell>
          <cell r="BU207">
            <v>7533</v>
          </cell>
          <cell r="BV207">
            <v>10241</v>
          </cell>
          <cell r="BW207">
            <v>9688</v>
          </cell>
          <cell r="BX207">
            <v>9629</v>
          </cell>
          <cell r="BY207">
            <v>9969</v>
          </cell>
          <cell r="BZ207">
            <v>11526</v>
          </cell>
          <cell r="CA207">
            <v>9785</v>
          </cell>
          <cell r="CB207">
            <v>8768</v>
          </cell>
          <cell r="CC207">
            <v>11704</v>
          </cell>
          <cell r="CD207">
            <v>12618</v>
          </cell>
          <cell r="CE207">
            <v>11464</v>
          </cell>
          <cell r="CF207">
            <v>10206</v>
          </cell>
          <cell r="CG207">
            <v>8933</v>
          </cell>
          <cell r="CH207">
            <v>11421</v>
          </cell>
          <cell r="CI207">
            <v>12027</v>
          </cell>
          <cell r="CJ207">
            <v>10928</v>
          </cell>
          <cell r="CK207">
            <v>11243</v>
          </cell>
          <cell r="CL207">
            <v>13488</v>
          </cell>
          <cell r="CM207">
            <v>10919</v>
          </cell>
          <cell r="CN207">
            <v>11818</v>
          </cell>
          <cell r="CO207">
            <v>15154</v>
          </cell>
          <cell r="CP207">
            <v>15807</v>
          </cell>
          <cell r="CQ207">
            <v>14524</v>
          </cell>
          <cell r="CR207">
            <v>13753</v>
          </cell>
          <cell r="CS207">
            <v>11966</v>
          </cell>
          <cell r="CW207">
            <v>0.26692254012561056</v>
          </cell>
          <cell r="CX207">
            <v>6.8748800614085587E-3</v>
          </cell>
          <cell r="CY207">
            <v>1.8350604490500861E-3</v>
          </cell>
          <cell r="CZ207">
            <v>6.1768642119350752E-3</v>
          </cell>
        </row>
        <row r="208">
          <cell r="B208" t="str">
            <v>Other Americas</v>
          </cell>
          <cell r="L208">
            <v>681</v>
          </cell>
          <cell r="M208">
            <v>704</v>
          </cell>
          <cell r="N208">
            <v>657</v>
          </cell>
          <cell r="O208">
            <v>894</v>
          </cell>
          <cell r="P208">
            <v>681</v>
          </cell>
          <cell r="Q208">
            <v>652</v>
          </cell>
          <cell r="R208">
            <v>765</v>
          </cell>
          <cell r="S208">
            <v>841</v>
          </cell>
          <cell r="T208">
            <v>738</v>
          </cell>
          <cell r="U208">
            <v>950</v>
          </cell>
          <cell r="V208">
            <v>661</v>
          </cell>
          <cell r="W208">
            <v>567</v>
          </cell>
          <cell r="X208">
            <v>778</v>
          </cell>
          <cell r="Y208">
            <v>657</v>
          </cell>
          <cell r="Z208">
            <v>759</v>
          </cell>
          <cell r="AA208">
            <v>1033</v>
          </cell>
          <cell r="AB208">
            <v>797</v>
          </cell>
          <cell r="AC208">
            <v>724</v>
          </cell>
          <cell r="AD208">
            <v>789</v>
          </cell>
          <cell r="AE208">
            <v>726</v>
          </cell>
          <cell r="AF208">
            <v>728</v>
          </cell>
          <cell r="AG208">
            <v>725</v>
          </cell>
          <cell r="AH208">
            <v>685</v>
          </cell>
          <cell r="AI208">
            <v>588</v>
          </cell>
          <cell r="AJ208">
            <v>772</v>
          </cell>
          <cell r="AK208">
            <v>686</v>
          </cell>
          <cell r="AL208">
            <v>982</v>
          </cell>
          <cell r="AM208">
            <v>1019</v>
          </cell>
          <cell r="AN208">
            <v>825</v>
          </cell>
          <cell r="AO208">
            <v>824</v>
          </cell>
          <cell r="AP208">
            <v>884</v>
          </cell>
          <cell r="AQ208">
            <v>814</v>
          </cell>
          <cell r="AR208">
            <v>807</v>
          </cell>
          <cell r="AS208">
            <v>999</v>
          </cell>
          <cell r="AT208">
            <v>764</v>
          </cell>
          <cell r="AU208">
            <v>553</v>
          </cell>
          <cell r="AV208">
            <v>765</v>
          </cell>
          <cell r="AW208">
            <v>698</v>
          </cell>
          <cell r="AX208">
            <v>627</v>
          </cell>
          <cell r="AY208">
            <v>387</v>
          </cell>
          <cell r="AZ208">
            <v>255</v>
          </cell>
          <cell r="BA208">
            <v>316</v>
          </cell>
          <cell r="BB208">
            <v>451</v>
          </cell>
          <cell r="BC208">
            <v>528</v>
          </cell>
          <cell r="BD208">
            <v>656</v>
          </cell>
          <cell r="BE208">
            <v>851</v>
          </cell>
          <cell r="BF208">
            <v>706</v>
          </cell>
          <cell r="BG208">
            <v>590</v>
          </cell>
          <cell r="BH208">
            <v>664</v>
          </cell>
          <cell r="BI208">
            <v>710</v>
          </cell>
          <cell r="BJ208">
            <v>620</v>
          </cell>
          <cell r="BK208">
            <v>1063</v>
          </cell>
          <cell r="BL208">
            <v>915</v>
          </cell>
          <cell r="BM208">
            <v>763</v>
          </cell>
          <cell r="BN208">
            <v>929</v>
          </cell>
          <cell r="BO208">
            <v>893</v>
          </cell>
          <cell r="BP208">
            <v>831</v>
          </cell>
          <cell r="BQ208">
            <v>1425</v>
          </cell>
          <cell r="BR208">
            <v>999</v>
          </cell>
          <cell r="BS208">
            <v>868</v>
          </cell>
          <cell r="BT208">
            <v>951</v>
          </cell>
          <cell r="BU208">
            <v>863</v>
          </cell>
          <cell r="BV208">
            <v>1127</v>
          </cell>
          <cell r="BW208">
            <v>1385</v>
          </cell>
          <cell r="BX208">
            <v>1154</v>
          </cell>
          <cell r="BY208">
            <v>1010</v>
          </cell>
          <cell r="BZ208">
            <v>1406</v>
          </cell>
          <cell r="CA208">
            <v>993</v>
          </cell>
          <cell r="CB208">
            <v>1355</v>
          </cell>
          <cell r="CC208">
            <v>1706</v>
          </cell>
          <cell r="CD208">
            <v>1327</v>
          </cell>
          <cell r="CE208">
            <v>1156</v>
          </cell>
          <cell r="CF208">
            <v>1280</v>
          </cell>
          <cell r="CG208">
            <v>1132</v>
          </cell>
          <cell r="CH208">
            <v>1214</v>
          </cell>
          <cell r="CI208">
            <v>1797</v>
          </cell>
          <cell r="CJ208">
            <v>1382</v>
          </cell>
          <cell r="CK208">
            <v>1246</v>
          </cell>
          <cell r="CL208">
            <v>1518</v>
          </cell>
          <cell r="CM208">
            <v>1374</v>
          </cell>
          <cell r="CN208">
            <v>1623</v>
          </cell>
          <cell r="CO208">
            <v>2461</v>
          </cell>
          <cell r="CP208">
            <v>1480</v>
          </cell>
          <cell r="CQ208">
            <v>1393</v>
          </cell>
          <cell r="CR208">
            <v>1705</v>
          </cell>
          <cell r="CS208">
            <v>1490</v>
          </cell>
          <cell r="CW208">
            <v>0.20501730103806226</v>
          </cell>
          <cell r="CX208">
            <v>6.9324505853003259E-4</v>
          </cell>
          <cell r="CY208">
            <v>1.4212723085780079E-4</v>
          </cell>
          <cell r="CZ208">
            <v>4.7840418896359898E-4</v>
          </cell>
        </row>
        <row r="210">
          <cell r="B210" t="str">
            <v>Germany</v>
          </cell>
          <cell r="L210">
            <v>1399</v>
          </cell>
          <cell r="M210">
            <v>1236</v>
          </cell>
          <cell r="N210">
            <v>1493</v>
          </cell>
          <cell r="O210">
            <v>1369</v>
          </cell>
          <cell r="P210">
            <v>1025</v>
          </cell>
          <cell r="Q210">
            <v>959</v>
          </cell>
          <cell r="R210">
            <v>878</v>
          </cell>
          <cell r="S210">
            <v>904</v>
          </cell>
          <cell r="T210">
            <v>969</v>
          </cell>
          <cell r="U210">
            <v>1417</v>
          </cell>
          <cell r="V210">
            <v>1765</v>
          </cell>
          <cell r="W210">
            <v>982</v>
          </cell>
          <cell r="X210">
            <v>964</v>
          </cell>
          <cell r="Y210">
            <v>1082</v>
          </cell>
          <cell r="Z210">
            <v>1321</v>
          </cell>
          <cell r="AA210">
            <v>1166</v>
          </cell>
          <cell r="AB210">
            <v>935</v>
          </cell>
          <cell r="AC210">
            <v>868</v>
          </cell>
          <cell r="AD210">
            <v>738</v>
          </cell>
          <cell r="AE210">
            <v>819</v>
          </cell>
          <cell r="AF210">
            <v>775</v>
          </cell>
          <cell r="AG210">
            <v>1064</v>
          </cell>
          <cell r="AH210">
            <v>1250</v>
          </cell>
          <cell r="AI210">
            <v>1194</v>
          </cell>
          <cell r="AJ210">
            <v>739</v>
          </cell>
          <cell r="AK210">
            <v>798</v>
          </cell>
          <cell r="AL210">
            <v>1005</v>
          </cell>
          <cell r="AM210">
            <v>1004</v>
          </cell>
          <cell r="AN210">
            <v>863</v>
          </cell>
          <cell r="AO210">
            <v>642</v>
          </cell>
          <cell r="AP210">
            <v>716</v>
          </cell>
          <cell r="AQ210">
            <v>777</v>
          </cell>
          <cell r="AR210">
            <v>898</v>
          </cell>
          <cell r="AS210">
            <v>1120</v>
          </cell>
          <cell r="AT210">
            <v>1255</v>
          </cell>
          <cell r="AU210">
            <v>904</v>
          </cell>
          <cell r="AV210">
            <v>815</v>
          </cell>
          <cell r="AW210">
            <v>833</v>
          </cell>
          <cell r="AX210">
            <v>902</v>
          </cell>
          <cell r="AY210">
            <v>245</v>
          </cell>
          <cell r="AZ210">
            <v>240</v>
          </cell>
          <cell r="BA210">
            <v>196</v>
          </cell>
          <cell r="BB210">
            <v>375</v>
          </cell>
          <cell r="BC210">
            <v>488</v>
          </cell>
          <cell r="BD210">
            <v>756</v>
          </cell>
          <cell r="BE210">
            <v>1001</v>
          </cell>
          <cell r="BF210">
            <v>1034</v>
          </cell>
          <cell r="BG210">
            <v>758</v>
          </cell>
          <cell r="BH210">
            <v>652</v>
          </cell>
          <cell r="BI210">
            <v>752</v>
          </cell>
          <cell r="BJ210">
            <v>762</v>
          </cell>
          <cell r="BK210">
            <v>810</v>
          </cell>
          <cell r="BL210">
            <v>776</v>
          </cell>
          <cell r="BM210">
            <v>605</v>
          </cell>
          <cell r="BN210">
            <v>753</v>
          </cell>
          <cell r="BO210">
            <v>892</v>
          </cell>
          <cell r="BP210">
            <v>1277</v>
          </cell>
          <cell r="BQ210">
            <v>1620</v>
          </cell>
          <cell r="BR210">
            <v>1761</v>
          </cell>
          <cell r="BS210">
            <v>1221</v>
          </cell>
          <cell r="BT210">
            <v>1356</v>
          </cell>
          <cell r="BU210">
            <v>1140</v>
          </cell>
          <cell r="BV210">
            <v>1739</v>
          </cell>
          <cell r="BW210">
            <v>1360</v>
          </cell>
          <cell r="BX210">
            <v>1622</v>
          </cell>
          <cell r="BY210">
            <v>1226</v>
          </cell>
          <cell r="BZ210">
            <v>1243</v>
          </cell>
          <cell r="CA210">
            <v>1247</v>
          </cell>
          <cell r="CB210">
            <v>1418</v>
          </cell>
          <cell r="CC210">
            <v>2138</v>
          </cell>
          <cell r="CD210">
            <v>2106</v>
          </cell>
          <cell r="CE210">
            <v>1487</v>
          </cell>
          <cell r="CF210">
            <v>1557</v>
          </cell>
          <cell r="CG210">
            <v>1391</v>
          </cell>
          <cell r="CH210">
            <v>1666</v>
          </cell>
          <cell r="CI210">
            <v>1782</v>
          </cell>
          <cell r="CJ210">
            <v>1677</v>
          </cell>
          <cell r="CK210">
            <v>1235</v>
          </cell>
          <cell r="CL210">
            <v>1291</v>
          </cell>
          <cell r="CM210">
            <v>1516</v>
          </cell>
          <cell r="CN210">
            <v>1630</v>
          </cell>
          <cell r="CO210">
            <v>2544</v>
          </cell>
          <cell r="CP210">
            <v>2418</v>
          </cell>
          <cell r="CQ210">
            <v>2062</v>
          </cell>
          <cell r="CR210">
            <v>1818</v>
          </cell>
          <cell r="CS210">
            <v>1751</v>
          </cell>
          <cell r="CW210">
            <v>0.38668459986550108</v>
          </cell>
          <cell r="CX210">
            <v>8.9174342736518899E-4</v>
          </cell>
          <cell r="CY210">
            <v>3.4482345039339864E-4</v>
          </cell>
          <cell r="CZ210">
            <v>1.1606852685825718E-3</v>
          </cell>
        </row>
        <row r="211">
          <cell r="B211" t="str">
            <v>France</v>
          </cell>
          <cell r="L211">
            <v>1169</v>
          </cell>
          <cell r="M211">
            <v>1287</v>
          </cell>
          <cell r="N211">
            <v>1233</v>
          </cell>
          <cell r="O211">
            <v>1525</v>
          </cell>
          <cell r="P211">
            <v>1356</v>
          </cell>
          <cell r="Q211">
            <v>1031</v>
          </cell>
          <cell r="R211">
            <v>1142</v>
          </cell>
          <cell r="S211">
            <v>1611</v>
          </cell>
          <cell r="T211">
            <v>1279</v>
          </cell>
          <cell r="U211">
            <v>1459</v>
          </cell>
          <cell r="V211">
            <v>1698</v>
          </cell>
          <cell r="W211">
            <v>1396</v>
          </cell>
          <cell r="X211">
            <v>984</v>
          </cell>
          <cell r="Y211">
            <v>1132</v>
          </cell>
          <cell r="Z211">
            <v>1104</v>
          </cell>
          <cell r="AA211">
            <v>1735</v>
          </cell>
          <cell r="AB211">
            <v>1435</v>
          </cell>
          <cell r="AC211">
            <v>1028</v>
          </cell>
          <cell r="AD211">
            <v>1297</v>
          </cell>
          <cell r="AE211">
            <v>1560</v>
          </cell>
          <cell r="AF211">
            <v>1154</v>
          </cell>
          <cell r="AG211">
            <v>1565</v>
          </cell>
          <cell r="AH211">
            <v>1593</v>
          </cell>
          <cell r="AI211">
            <v>1399</v>
          </cell>
          <cell r="AJ211">
            <v>1191</v>
          </cell>
          <cell r="AK211">
            <v>1270</v>
          </cell>
          <cell r="AL211">
            <v>1322</v>
          </cell>
          <cell r="AM211">
            <v>1539</v>
          </cell>
          <cell r="AN211">
            <v>1455</v>
          </cell>
          <cell r="AO211">
            <v>1024</v>
          </cell>
          <cell r="AP211">
            <v>1275</v>
          </cell>
          <cell r="AQ211">
            <v>1698</v>
          </cell>
          <cell r="AR211">
            <v>992</v>
          </cell>
          <cell r="AS211">
            <v>1677</v>
          </cell>
          <cell r="AT211">
            <v>1698</v>
          </cell>
          <cell r="AU211">
            <v>1163</v>
          </cell>
          <cell r="AV211">
            <v>1027</v>
          </cell>
          <cell r="AW211">
            <v>1295</v>
          </cell>
          <cell r="AX211">
            <v>1069</v>
          </cell>
          <cell r="AY211">
            <v>335</v>
          </cell>
          <cell r="AZ211">
            <v>443</v>
          </cell>
          <cell r="BA211">
            <v>657</v>
          </cell>
          <cell r="BB211">
            <v>676</v>
          </cell>
          <cell r="BC211">
            <v>930</v>
          </cell>
          <cell r="BD211">
            <v>953</v>
          </cell>
          <cell r="BE211">
            <v>1401</v>
          </cell>
          <cell r="BF211">
            <v>1493</v>
          </cell>
          <cell r="BG211">
            <v>1397</v>
          </cell>
          <cell r="BH211">
            <v>1123</v>
          </cell>
          <cell r="BI211">
            <v>1389</v>
          </cell>
          <cell r="BJ211">
            <v>1742</v>
          </cell>
          <cell r="BK211">
            <v>1556</v>
          </cell>
          <cell r="BL211">
            <v>1524</v>
          </cell>
          <cell r="BM211">
            <v>1469</v>
          </cell>
          <cell r="BN211">
            <v>1747</v>
          </cell>
          <cell r="BO211">
            <v>2071</v>
          </cell>
          <cell r="BP211">
            <v>1341</v>
          </cell>
          <cell r="BQ211">
            <v>2230</v>
          </cell>
          <cell r="BR211">
            <v>2124</v>
          </cell>
          <cell r="BS211">
            <v>1992</v>
          </cell>
          <cell r="BT211">
            <v>1586</v>
          </cell>
          <cell r="BU211">
            <v>1488</v>
          </cell>
          <cell r="BV211">
            <v>1811</v>
          </cell>
          <cell r="BW211">
            <v>2390</v>
          </cell>
          <cell r="BX211">
            <v>2484</v>
          </cell>
          <cell r="BY211">
            <v>1878</v>
          </cell>
          <cell r="BZ211">
            <v>2135</v>
          </cell>
          <cell r="CA211">
            <v>2824</v>
          </cell>
          <cell r="CB211">
            <v>2202</v>
          </cell>
          <cell r="CC211">
            <v>2322</v>
          </cell>
          <cell r="CD211">
            <v>2595</v>
          </cell>
          <cell r="CE211">
            <v>2271</v>
          </cell>
          <cell r="CF211">
            <v>1867</v>
          </cell>
          <cell r="CG211">
            <v>1946</v>
          </cell>
          <cell r="CH211">
            <v>2365</v>
          </cell>
          <cell r="CI211">
            <v>2788</v>
          </cell>
          <cell r="CJ211">
            <v>2222</v>
          </cell>
          <cell r="CK211">
            <v>1759</v>
          </cell>
          <cell r="CL211">
            <v>2249</v>
          </cell>
          <cell r="CM211">
            <v>3066</v>
          </cell>
          <cell r="CN211">
            <v>2218</v>
          </cell>
          <cell r="CO211">
            <v>2822</v>
          </cell>
          <cell r="CP211">
            <v>2926</v>
          </cell>
          <cell r="CQ211">
            <v>2644</v>
          </cell>
          <cell r="CR211">
            <v>2069</v>
          </cell>
          <cell r="CS211">
            <v>2479</v>
          </cell>
          <cell r="CW211">
            <v>0.16424482606781154</v>
          </cell>
          <cell r="CX211">
            <v>1.361902705814623E-3</v>
          </cell>
          <cell r="CY211">
            <v>2.2368547303780467E-4</v>
          </cell>
          <cell r="CZ211">
            <v>7.5293148727182476E-4</v>
          </cell>
        </row>
        <row r="212">
          <cell r="B212" t="str">
            <v>Italy</v>
          </cell>
          <cell r="L212">
            <v>487</v>
          </cell>
          <cell r="M212">
            <v>392</v>
          </cell>
          <cell r="N212">
            <v>507</v>
          </cell>
          <cell r="O212">
            <v>403</v>
          </cell>
          <cell r="P212">
            <v>295</v>
          </cell>
          <cell r="Q212">
            <v>278</v>
          </cell>
          <cell r="R212">
            <v>240</v>
          </cell>
          <cell r="S212">
            <v>531</v>
          </cell>
          <cell r="T212">
            <v>279</v>
          </cell>
          <cell r="U212">
            <v>377</v>
          </cell>
          <cell r="V212">
            <v>380</v>
          </cell>
          <cell r="W212">
            <v>344</v>
          </cell>
          <cell r="X212">
            <v>367</v>
          </cell>
          <cell r="Y212">
            <v>254</v>
          </cell>
          <cell r="Z212">
            <v>366</v>
          </cell>
          <cell r="AA212">
            <v>368</v>
          </cell>
          <cell r="AB212">
            <v>322</v>
          </cell>
          <cell r="AC212">
            <v>295</v>
          </cell>
          <cell r="AD212">
            <v>301</v>
          </cell>
          <cell r="AE212">
            <v>553</v>
          </cell>
          <cell r="AF212">
            <v>441</v>
          </cell>
          <cell r="AG212">
            <v>364</v>
          </cell>
          <cell r="AH212">
            <v>320</v>
          </cell>
          <cell r="AI212">
            <v>364</v>
          </cell>
          <cell r="AJ212">
            <v>268</v>
          </cell>
          <cell r="AK212">
            <v>273</v>
          </cell>
          <cell r="AL212">
            <v>324</v>
          </cell>
          <cell r="AM212">
            <v>429</v>
          </cell>
          <cell r="AN212">
            <v>247</v>
          </cell>
          <cell r="AO212">
            <v>306</v>
          </cell>
          <cell r="AP212">
            <v>362</v>
          </cell>
          <cell r="AQ212">
            <v>598</v>
          </cell>
          <cell r="AR212">
            <v>337</v>
          </cell>
          <cell r="AS212">
            <v>364</v>
          </cell>
          <cell r="AT212">
            <v>427</v>
          </cell>
          <cell r="AU212">
            <v>392</v>
          </cell>
          <cell r="AV212">
            <v>333</v>
          </cell>
          <cell r="AW212">
            <v>777</v>
          </cell>
          <cell r="AX212">
            <v>252</v>
          </cell>
          <cell r="AY212">
            <v>86</v>
          </cell>
          <cell r="AZ212">
            <v>55</v>
          </cell>
          <cell r="BA212">
            <v>92</v>
          </cell>
          <cell r="BB212">
            <v>323</v>
          </cell>
          <cell r="BC212">
            <v>263</v>
          </cell>
          <cell r="BD212">
            <v>173</v>
          </cell>
          <cell r="BE212">
            <v>309</v>
          </cell>
          <cell r="BF212">
            <v>359</v>
          </cell>
          <cell r="BG212">
            <v>218</v>
          </cell>
          <cell r="BH212">
            <v>163</v>
          </cell>
          <cell r="BI212">
            <v>255</v>
          </cell>
          <cell r="BJ212">
            <v>411</v>
          </cell>
          <cell r="BK212">
            <v>341</v>
          </cell>
          <cell r="BL212">
            <v>283</v>
          </cell>
          <cell r="BM212">
            <v>275</v>
          </cell>
          <cell r="BN212">
            <v>297</v>
          </cell>
          <cell r="BO212">
            <v>702</v>
          </cell>
          <cell r="BP212">
            <v>336</v>
          </cell>
          <cell r="BQ212">
            <v>528</v>
          </cell>
          <cell r="BR212">
            <v>528</v>
          </cell>
          <cell r="BS212">
            <v>417</v>
          </cell>
          <cell r="BT212">
            <v>477</v>
          </cell>
          <cell r="BU212">
            <v>433</v>
          </cell>
          <cell r="BV212">
            <v>535</v>
          </cell>
          <cell r="BW212">
            <v>476</v>
          </cell>
          <cell r="BX212">
            <v>503</v>
          </cell>
          <cell r="BY212">
            <v>465</v>
          </cell>
          <cell r="BZ212">
            <v>521</v>
          </cell>
          <cell r="CA212">
            <v>927</v>
          </cell>
          <cell r="CB212">
            <v>428</v>
          </cell>
          <cell r="CC212">
            <v>657</v>
          </cell>
          <cell r="CD212">
            <v>810</v>
          </cell>
          <cell r="CE212">
            <v>539</v>
          </cell>
          <cell r="CF212">
            <v>561</v>
          </cell>
          <cell r="CG212">
            <v>421</v>
          </cell>
          <cell r="CH212">
            <v>585</v>
          </cell>
          <cell r="CI212">
            <v>636</v>
          </cell>
          <cell r="CJ212">
            <v>561</v>
          </cell>
          <cell r="CK212">
            <v>423</v>
          </cell>
          <cell r="CL212">
            <v>600</v>
          </cell>
          <cell r="CM212">
            <v>1279</v>
          </cell>
          <cell r="CN212">
            <v>744</v>
          </cell>
          <cell r="CO212">
            <v>870</v>
          </cell>
          <cell r="CP212">
            <v>1049</v>
          </cell>
          <cell r="CQ212">
            <v>963</v>
          </cell>
          <cell r="CR212">
            <v>826</v>
          </cell>
          <cell r="CS212">
            <v>741</v>
          </cell>
          <cell r="CW212">
            <v>0.7866419294990723</v>
          </cell>
          <cell r="CX212">
            <v>3.2323450393398578E-4</v>
          </cell>
          <cell r="CY212">
            <v>2.5426981385530607E-4</v>
          </cell>
          <cell r="CZ212">
            <v>8.5587922413740919E-4</v>
          </cell>
        </row>
        <row r="213">
          <cell r="B213" t="str">
            <v>Portugal</v>
          </cell>
          <cell r="L213">
            <v>1054</v>
          </cell>
          <cell r="M213">
            <v>1129</v>
          </cell>
          <cell r="N213">
            <v>1069</v>
          </cell>
          <cell r="O213">
            <v>1349</v>
          </cell>
          <cell r="P213">
            <v>1054</v>
          </cell>
          <cell r="Q213">
            <v>901</v>
          </cell>
          <cell r="R213">
            <v>1076</v>
          </cell>
          <cell r="S213">
            <v>1094</v>
          </cell>
          <cell r="T213">
            <v>808</v>
          </cell>
          <cell r="U213">
            <v>854</v>
          </cell>
          <cell r="V213">
            <v>947</v>
          </cell>
          <cell r="W213">
            <v>1029</v>
          </cell>
          <cell r="X213">
            <v>919</v>
          </cell>
          <cell r="Y213">
            <v>701</v>
          </cell>
          <cell r="Z213">
            <v>625</v>
          </cell>
          <cell r="AA213">
            <v>1088</v>
          </cell>
          <cell r="AB213">
            <v>619</v>
          </cell>
          <cell r="AC213">
            <v>661</v>
          </cell>
          <cell r="AD213">
            <v>825</v>
          </cell>
          <cell r="AE213">
            <v>1035</v>
          </cell>
          <cell r="AF213">
            <v>783</v>
          </cell>
          <cell r="AG213">
            <v>749</v>
          </cell>
          <cell r="AH213">
            <v>761</v>
          </cell>
          <cell r="AI213">
            <v>1058</v>
          </cell>
          <cell r="AJ213">
            <v>628</v>
          </cell>
          <cell r="AK213">
            <v>755</v>
          </cell>
          <cell r="AL213">
            <v>993</v>
          </cell>
          <cell r="AM213">
            <v>822</v>
          </cell>
          <cell r="AN213">
            <v>827</v>
          </cell>
          <cell r="AO213">
            <v>726</v>
          </cell>
          <cell r="AP213">
            <v>801</v>
          </cell>
          <cell r="AQ213">
            <v>935</v>
          </cell>
          <cell r="AR213">
            <v>678</v>
          </cell>
          <cell r="AS213">
            <v>783</v>
          </cell>
          <cell r="AT213">
            <v>1119</v>
          </cell>
          <cell r="AU213">
            <v>990</v>
          </cell>
          <cell r="AV213">
            <v>661</v>
          </cell>
          <cell r="AW213">
            <v>590</v>
          </cell>
          <cell r="AX213">
            <v>521</v>
          </cell>
          <cell r="AY213">
            <v>208</v>
          </cell>
          <cell r="AZ213">
            <v>197</v>
          </cell>
          <cell r="BA213">
            <v>345</v>
          </cell>
          <cell r="BB213">
            <v>452</v>
          </cell>
          <cell r="BC213">
            <v>633</v>
          </cell>
          <cell r="BD213">
            <v>457</v>
          </cell>
          <cell r="BE213">
            <v>897</v>
          </cell>
          <cell r="BF213">
            <v>820</v>
          </cell>
          <cell r="BG213">
            <v>795</v>
          </cell>
          <cell r="BH213">
            <v>581</v>
          </cell>
          <cell r="BI213">
            <v>425</v>
          </cell>
          <cell r="BJ213">
            <v>539</v>
          </cell>
          <cell r="BK213">
            <v>800</v>
          </cell>
          <cell r="BL213">
            <v>584</v>
          </cell>
          <cell r="BM213">
            <v>475</v>
          </cell>
          <cell r="BN213">
            <v>646</v>
          </cell>
          <cell r="BO213">
            <v>980</v>
          </cell>
          <cell r="BP213">
            <v>822</v>
          </cell>
          <cell r="BQ213">
            <v>1152</v>
          </cell>
          <cell r="BR213">
            <v>1099</v>
          </cell>
          <cell r="BS213">
            <v>1457</v>
          </cell>
          <cell r="BT213">
            <v>876</v>
          </cell>
          <cell r="BU213">
            <v>612</v>
          </cell>
          <cell r="BV213">
            <v>1204</v>
          </cell>
          <cell r="BW213">
            <v>900</v>
          </cell>
          <cell r="BX213">
            <v>802</v>
          </cell>
          <cell r="BY213">
            <v>757</v>
          </cell>
          <cell r="BZ213">
            <v>850</v>
          </cell>
          <cell r="CA213">
            <v>1447</v>
          </cell>
          <cell r="CB213">
            <v>922</v>
          </cell>
          <cell r="CC213">
            <v>1195</v>
          </cell>
          <cell r="CD213">
            <v>941</v>
          </cell>
          <cell r="CE213">
            <v>1337</v>
          </cell>
          <cell r="CF213">
            <v>760</v>
          </cell>
          <cell r="CG213">
            <v>775</v>
          </cell>
          <cell r="CH213">
            <v>856</v>
          </cell>
          <cell r="CI213">
            <v>1293</v>
          </cell>
          <cell r="CJ213">
            <v>716</v>
          </cell>
          <cell r="CK213">
            <v>783</v>
          </cell>
          <cell r="CL213">
            <v>884</v>
          </cell>
          <cell r="CM213">
            <v>1345</v>
          </cell>
          <cell r="CN213">
            <v>1230</v>
          </cell>
          <cell r="CO213">
            <v>1917</v>
          </cell>
          <cell r="CP213">
            <v>1246</v>
          </cell>
          <cell r="CQ213">
            <v>1320</v>
          </cell>
          <cell r="CR213">
            <v>745</v>
          </cell>
          <cell r="CS213">
            <v>973</v>
          </cell>
          <cell r="CW213">
            <v>-1.2715033657442087E-2</v>
          </cell>
          <cell r="CX213">
            <v>8.0178948378430246E-4</v>
          </cell>
          <cell r="CY213">
            <v>-1.0194780272500523E-5</v>
          </cell>
          <cell r="CZ213">
            <v>-3.4315912288528344E-5</v>
          </cell>
        </row>
        <row r="214">
          <cell r="B214" t="str">
            <v>United Kingdom</v>
          </cell>
          <cell r="L214">
            <v>2975</v>
          </cell>
          <cell r="M214">
            <v>3561</v>
          </cell>
          <cell r="N214">
            <v>3813</v>
          </cell>
          <cell r="O214">
            <v>4999</v>
          </cell>
          <cell r="P214">
            <v>3846</v>
          </cell>
          <cell r="Q214">
            <v>3232</v>
          </cell>
          <cell r="R214">
            <v>3457</v>
          </cell>
          <cell r="S214">
            <v>4015</v>
          </cell>
          <cell r="T214">
            <v>3493</v>
          </cell>
          <cell r="U214">
            <v>4270</v>
          </cell>
          <cell r="V214">
            <v>4103</v>
          </cell>
          <cell r="W214">
            <v>3794</v>
          </cell>
          <cell r="X214">
            <v>3570</v>
          </cell>
          <cell r="Y214">
            <v>2976</v>
          </cell>
          <cell r="Z214">
            <v>4385</v>
          </cell>
          <cell r="AA214">
            <v>5016</v>
          </cell>
          <cell r="AB214">
            <v>3155</v>
          </cell>
          <cell r="AC214">
            <v>3363</v>
          </cell>
          <cell r="AD214">
            <v>3033</v>
          </cell>
          <cell r="AE214">
            <v>4095</v>
          </cell>
          <cell r="AF214">
            <v>2989</v>
          </cell>
          <cell r="AG214">
            <v>4317</v>
          </cell>
          <cell r="AH214">
            <v>4060</v>
          </cell>
          <cell r="AI214">
            <v>3707</v>
          </cell>
          <cell r="AJ214">
            <v>3054</v>
          </cell>
          <cell r="AK214">
            <v>3154</v>
          </cell>
          <cell r="AL214">
            <v>3742</v>
          </cell>
          <cell r="AM214">
            <v>3361</v>
          </cell>
          <cell r="AN214">
            <v>3073</v>
          </cell>
          <cell r="AO214">
            <v>2865</v>
          </cell>
          <cell r="AP214">
            <v>3059</v>
          </cell>
          <cell r="AQ214">
            <v>3371</v>
          </cell>
          <cell r="AR214">
            <v>2773</v>
          </cell>
          <cell r="AS214">
            <v>4070</v>
          </cell>
          <cell r="AT214">
            <v>4509</v>
          </cell>
          <cell r="AU214">
            <v>3486</v>
          </cell>
          <cell r="AV214">
            <v>2814</v>
          </cell>
          <cell r="AW214">
            <v>3133</v>
          </cell>
          <cell r="AX214">
            <v>2521</v>
          </cell>
          <cell r="AY214">
            <v>1764</v>
          </cell>
          <cell r="AZ214">
            <v>1982</v>
          </cell>
          <cell r="BA214">
            <v>2044</v>
          </cell>
          <cell r="BB214">
            <v>2847</v>
          </cell>
          <cell r="BC214">
            <v>2893</v>
          </cell>
          <cell r="BD214">
            <v>2580</v>
          </cell>
          <cell r="BE214">
            <v>3152</v>
          </cell>
          <cell r="BF214">
            <v>4491</v>
          </cell>
          <cell r="BG214">
            <v>3607</v>
          </cell>
          <cell r="BH214">
            <v>3000</v>
          </cell>
          <cell r="BI214">
            <v>3204</v>
          </cell>
          <cell r="BJ214">
            <v>3443</v>
          </cell>
          <cell r="BK214">
            <v>3904</v>
          </cell>
          <cell r="BL214">
            <v>2959</v>
          </cell>
          <cell r="BM214">
            <v>3067</v>
          </cell>
          <cell r="BN214">
            <v>3380</v>
          </cell>
          <cell r="BO214">
            <v>4195</v>
          </cell>
          <cell r="BP214">
            <v>3291</v>
          </cell>
          <cell r="BQ214">
            <v>4700</v>
          </cell>
          <cell r="BR214">
            <v>4953</v>
          </cell>
          <cell r="BS214">
            <v>3913</v>
          </cell>
          <cell r="BT214">
            <v>3537</v>
          </cell>
          <cell r="BU214">
            <v>3341</v>
          </cell>
          <cell r="BV214">
            <v>4641</v>
          </cell>
          <cell r="BW214">
            <v>4439</v>
          </cell>
          <cell r="BX214">
            <v>3804</v>
          </cell>
          <cell r="BY214">
            <v>3435</v>
          </cell>
          <cell r="BZ214">
            <v>4182</v>
          </cell>
          <cell r="CA214">
            <v>4195</v>
          </cell>
          <cell r="CB214">
            <v>3622</v>
          </cell>
          <cell r="CC214">
            <v>4925</v>
          </cell>
          <cell r="CD214">
            <v>5089</v>
          </cell>
          <cell r="CE214">
            <v>4153</v>
          </cell>
          <cell r="CF214">
            <v>4127</v>
          </cell>
          <cell r="CG214">
            <v>3819</v>
          </cell>
          <cell r="CH214">
            <v>4557</v>
          </cell>
          <cell r="CI214">
            <v>5414</v>
          </cell>
          <cell r="CJ214">
            <v>3863</v>
          </cell>
          <cell r="CK214">
            <v>3602</v>
          </cell>
          <cell r="CL214">
            <v>4545</v>
          </cell>
          <cell r="CM214">
            <v>4682</v>
          </cell>
          <cell r="CN214">
            <v>4469</v>
          </cell>
          <cell r="CO214">
            <v>5716</v>
          </cell>
          <cell r="CP214">
            <v>6623</v>
          </cell>
          <cell r="CQ214">
            <v>5689</v>
          </cell>
          <cell r="CR214">
            <v>5207</v>
          </cell>
          <cell r="CS214">
            <v>5284</v>
          </cell>
          <cell r="CW214">
            <v>0.3698531182277871</v>
          </cell>
          <cell r="CX214">
            <v>2.4905248512761464E-3</v>
          </cell>
          <cell r="CY214">
            <v>9.2112838226827845E-4</v>
          </cell>
          <cell r="CZ214">
            <v>3.1005436044223124E-3</v>
          </cell>
        </row>
        <row r="215">
          <cell r="B215" t="str">
            <v>Other Europe</v>
          </cell>
          <cell r="L215">
            <v>2179</v>
          </cell>
          <cell r="M215">
            <v>1697</v>
          </cell>
          <cell r="N215">
            <v>2268</v>
          </cell>
          <cell r="O215">
            <v>2556</v>
          </cell>
          <cell r="P215">
            <v>2139</v>
          </cell>
          <cell r="Q215">
            <v>1792</v>
          </cell>
          <cell r="R215">
            <v>2078</v>
          </cell>
          <cell r="S215">
            <v>1962</v>
          </cell>
          <cell r="T215">
            <v>2026</v>
          </cell>
          <cell r="U215">
            <v>2816</v>
          </cell>
          <cell r="V215">
            <v>4157</v>
          </cell>
          <cell r="W215">
            <v>2220</v>
          </cell>
          <cell r="X215">
            <v>2153</v>
          </cell>
          <cell r="Y215">
            <v>1892</v>
          </cell>
          <cell r="Z215">
            <v>2455</v>
          </cell>
          <cell r="AA215">
            <v>2479</v>
          </cell>
          <cell r="AB215">
            <v>2156</v>
          </cell>
          <cell r="AC215">
            <v>1968</v>
          </cell>
          <cell r="AD215">
            <v>2363</v>
          </cell>
          <cell r="AE215">
            <v>2178</v>
          </cell>
          <cell r="AF215">
            <v>2280</v>
          </cell>
          <cell r="AG215">
            <v>2724</v>
          </cell>
          <cell r="AH215">
            <v>2518</v>
          </cell>
          <cell r="AI215">
            <v>2462</v>
          </cell>
          <cell r="AJ215">
            <v>2103</v>
          </cell>
          <cell r="AK215">
            <v>2011</v>
          </cell>
          <cell r="AL215">
            <v>3161</v>
          </cell>
          <cell r="AM215">
            <v>2643</v>
          </cell>
          <cell r="AN215">
            <v>2511</v>
          </cell>
          <cell r="AO215">
            <v>2253</v>
          </cell>
          <cell r="AP215">
            <v>2254</v>
          </cell>
          <cell r="AQ215">
            <v>2399</v>
          </cell>
          <cell r="AR215">
            <v>2311</v>
          </cell>
          <cell r="AS215">
            <v>3475</v>
          </cell>
          <cell r="AT215">
            <v>3301</v>
          </cell>
          <cell r="AU215">
            <v>2808</v>
          </cell>
          <cell r="AV215">
            <v>2359</v>
          </cell>
          <cell r="AW215">
            <v>2463</v>
          </cell>
          <cell r="AX215">
            <v>2221</v>
          </cell>
          <cell r="AY215">
            <v>1109</v>
          </cell>
          <cell r="AZ215">
            <v>814</v>
          </cell>
          <cell r="BA215">
            <v>858</v>
          </cell>
          <cell r="BB215">
            <v>1380</v>
          </cell>
          <cell r="BC215">
            <v>1489</v>
          </cell>
          <cell r="BD215">
            <v>1942</v>
          </cell>
          <cell r="BE215">
            <v>2681</v>
          </cell>
          <cell r="BF215">
            <v>2734</v>
          </cell>
          <cell r="BG215">
            <v>2198</v>
          </cell>
          <cell r="BH215">
            <v>2037</v>
          </cell>
          <cell r="BI215">
            <v>1954</v>
          </cell>
          <cell r="BJ215">
            <v>2492</v>
          </cell>
          <cell r="BK215">
            <v>2488</v>
          </cell>
          <cell r="BL215">
            <v>2537</v>
          </cell>
          <cell r="BM215">
            <v>2234</v>
          </cell>
          <cell r="BN215">
            <v>2777</v>
          </cell>
          <cell r="BO215">
            <v>2850</v>
          </cell>
          <cell r="BP215">
            <v>3318</v>
          </cell>
          <cell r="BQ215">
            <v>4486</v>
          </cell>
          <cell r="BR215">
            <v>4314</v>
          </cell>
          <cell r="BS215">
            <v>3499</v>
          </cell>
          <cell r="BT215">
            <v>3719</v>
          </cell>
          <cell r="BU215">
            <v>3066</v>
          </cell>
          <cell r="BV215">
            <v>4006</v>
          </cell>
          <cell r="BW215">
            <v>4071</v>
          </cell>
          <cell r="BX215">
            <v>4296</v>
          </cell>
          <cell r="BY215">
            <v>3350</v>
          </cell>
          <cell r="BZ215">
            <v>4506</v>
          </cell>
          <cell r="CA215">
            <v>4227</v>
          </cell>
          <cell r="CB215">
            <v>4002</v>
          </cell>
          <cell r="CC215">
            <v>5824</v>
          </cell>
          <cell r="CD215">
            <v>5186</v>
          </cell>
          <cell r="CE215">
            <v>4266</v>
          </cell>
          <cell r="CF215">
            <v>4274</v>
          </cell>
          <cell r="CG215">
            <v>3831</v>
          </cell>
          <cell r="CH215">
            <v>4684</v>
          </cell>
          <cell r="CI215">
            <v>5105</v>
          </cell>
          <cell r="CJ215">
            <v>4891</v>
          </cell>
          <cell r="CK215">
            <v>3709</v>
          </cell>
          <cell r="CL215">
            <v>5104</v>
          </cell>
          <cell r="CM215">
            <v>5328</v>
          </cell>
          <cell r="CN215">
            <v>5415</v>
          </cell>
          <cell r="CO215">
            <v>7089</v>
          </cell>
          <cell r="CP215">
            <v>6606</v>
          </cell>
          <cell r="CQ215">
            <v>6402</v>
          </cell>
          <cell r="CR215">
            <v>6072</v>
          </cell>
          <cell r="CS215">
            <v>5938</v>
          </cell>
          <cell r="CW215">
            <v>0.5007032348804501</v>
          </cell>
          <cell r="CX215">
            <v>2.5582901554404144E-3</v>
          </cell>
          <cell r="CY215">
            <v>1.280944156591825E-3</v>
          </cell>
          <cell r="CZ215">
            <v>4.311693449899779E-3</v>
          </cell>
        </row>
        <row r="217">
          <cell r="B217" t="str">
            <v>Australia</v>
          </cell>
          <cell r="L217">
            <v>2739</v>
          </cell>
          <cell r="M217">
            <v>1885</v>
          </cell>
          <cell r="N217">
            <v>2487</v>
          </cell>
          <cell r="O217">
            <v>2624</v>
          </cell>
          <cell r="P217">
            <v>2311</v>
          </cell>
          <cell r="Q217">
            <v>2146</v>
          </cell>
          <cell r="R217">
            <v>2181</v>
          </cell>
          <cell r="S217">
            <v>1920</v>
          </cell>
          <cell r="T217">
            <v>2450</v>
          </cell>
          <cell r="U217">
            <v>2359</v>
          </cell>
          <cell r="V217">
            <v>2671</v>
          </cell>
          <cell r="W217">
            <v>3036</v>
          </cell>
          <cell r="X217">
            <v>2915</v>
          </cell>
          <cell r="Y217">
            <v>2215</v>
          </cell>
          <cell r="Z217">
            <v>2604</v>
          </cell>
          <cell r="AA217">
            <v>2884</v>
          </cell>
          <cell r="AB217">
            <v>2144</v>
          </cell>
          <cell r="AC217">
            <v>2126</v>
          </cell>
          <cell r="AD217">
            <v>2121</v>
          </cell>
          <cell r="AE217">
            <v>2114</v>
          </cell>
          <cell r="AF217">
            <v>2520</v>
          </cell>
          <cell r="AG217">
            <v>2528</v>
          </cell>
          <cell r="AH217">
            <v>2372</v>
          </cell>
          <cell r="AI217">
            <v>2791</v>
          </cell>
          <cell r="AJ217">
            <v>2963</v>
          </cell>
          <cell r="AK217">
            <v>2004</v>
          </cell>
          <cell r="AL217">
            <v>2791</v>
          </cell>
          <cell r="AM217">
            <v>2540</v>
          </cell>
          <cell r="AN217">
            <v>2768</v>
          </cell>
          <cell r="AO217">
            <v>2126</v>
          </cell>
          <cell r="AP217">
            <v>2410</v>
          </cell>
          <cell r="AQ217">
            <v>2196</v>
          </cell>
          <cell r="AR217">
            <v>2525</v>
          </cell>
          <cell r="AS217">
            <v>2867</v>
          </cell>
          <cell r="AT217">
            <v>2957</v>
          </cell>
          <cell r="AU217">
            <v>2881</v>
          </cell>
          <cell r="AV217">
            <v>3588</v>
          </cell>
          <cell r="AW217">
            <v>2378</v>
          </cell>
          <cell r="AX217">
            <v>2277</v>
          </cell>
          <cell r="AY217">
            <v>1024</v>
          </cell>
          <cell r="AZ217">
            <v>1079</v>
          </cell>
          <cell r="BA217">
            <v>1153</v>
          </cell>
          <cell r="BB217">
            <v>2030</v>
          </cell>
          <cell r="BC217">
            <v>1652</v>
          </cell>
          <cell r="BD217">
            <v>2245</v>
          </cell>
          <cell r="BE217">
            <v>2433</v>
          </cell>
          <cell r="BF217">
            <v>2677</v>
          </cell>
          <cell r="BG217">
            <v>2849</v>
          </cell>
          <cell r="BH217">
            <v>3143</v>
          </cell>
          <cell r="BI217">
            <v>2462</v>
          </cell>
          <cell r="BJ217">
            <v>2866</v>
          </cell>
          <cell r="BK217">
            <v>3316</v>
          </cell>
          <cell r="BL217">
            <v>2586</v>
          </cell>
          <cell r="BM217">
            <v>2455</v>
          </cell>
          <cell r="BN217">
            <v>3108</v>
          </cell>
          <cell r="BO217">
            <v>3157</v>
          </cell>
          <cell r="BP217">
            <v>4089</v>
          </cell>
          <cell r="BQ217">
            <v>4297</v>
          </cell>
          <cell r="BR217">
            <v>4777</v>
          </cell>
          <cell r="BS217">
            <v>5803</v>
          </cell>
          <cell r="BT217">
            <v>5702</v>
          </cell>
          <cell r="BU217">
            <v>3991</v>
          </cell>
          <cell r="BV217">
            <v>5129</v>
          </cell>
          <cell r="BW217">
            <v>4974</v>
          </cell>
          <cell r="BX217">
            <v>4746</v>
          </cell>
          <cell r="BY217">
            <v>5164</v>
          </cell>
          <cell r="BZ217">
            <v>5220</v>
          </cell>
          <cell r="CA217">
            <v>4582</v>
          </cell>
          <cell r="CB217">
            <v>5402</v>
          </cell>
          <cell r="CC217">
            <v>5185</v>
          </cell>
          <cell r="CD217">
            <v>5142</v>
          </cell>
          <cell r="CE217">
            <v>6409</v>
          </cell>
          <cell r="CF217">
            <v>6819</v>
          </cell>
          <cell r="CG217">
            <v>4857</v>
          </cell>
          <cell r="CH217">
            <v>5356</v>
          </cell>
          <cell r="CI217">
            <v>6868</v>
          </cell>
          <cell r="CJ217">
            <v>4680</v>
          </cell>
          <cell r="CK217">
            <v>5610</v>
          </cell>
          <cell r="CL217">
            <v>5451</v>
          </cell>
          <cell r="CM217">
            <v>4744</v>
          </cell>
          <cell r="CN217">
            <v>6260</v>
          </cell>
          <cell r="CO217">
            <v>6945</v>
          </cell>
          <cell r="CP217">
            <v>6644</v>
          </cell>
          <cell r="CQ217">
            <v>8576</v>
          </cell>
          <cell r="CR217">
            <v>9116</v>
          </cell>
          <cell r="CS217">
            <v>6023</v>
          </cell>
          <cell r="CW217">
            <v>0.33811827118115145</v>
          </cell>
          <cell r="CX217">
            <v>3.843432162732681E-3</v>
          </cell>
          <cell r="CY217">
            <v>1.299534638265208E-3</v>
          </cell>
          <cell r="CZ217">
            <v>4.3742695252494473E-3</v>
          </cell>
        </row>
        <row r="218">
          <cell r="B218" t="str">
            <v>New Zealand</v>
          </cell>
          <cell r="L218">
            <v>311</v>
          </cell>
          <cell r="M218">
            <v>271</v>
          </cell>
          <cell r="N218">
            <v>467</v>
          </cell>
          <cell r="O218">
            <v>515</v>
          </cell>
          <cell r="P218">
            <v>410</v>
          </cell>
          <cell r="Q218">
            <v>442</v>
          </cell>
          <cell r="R218">
            <v>451</v>
          </cell>
          <cell r="S218">
            <v>357</v>
          </cell>
          <cell r="T218">
            <v>406</v>
          </cell>
          <cell r="U218">
            <v>486</v>
          </cell>
          <cell r="V218">
            <v>503</v>
          </cell>
          <cell r="W218">
            <v>503</v>
          </cell>
          <cell r="X218">
            <v>437</v>
          </cell>
          <cell r="Y218">
            <v>305</v>
          </cell>
          <cell r="Z218">
            <v>524</v>
          </cell>
          <cell r="AA218">
            <v>713</v>
          </cell>
          <cell r="AB218">
            <v>404</v>
          </cell>
          <cell r="AC218">
            <v>527</v>
          </cell>
          <cell r="AD218">
            <v>506</v>
          </cell>
          <cell r="AE218">
            <v>570</v>
          </cell>
          <cell r="AF218">
            <v>483</v>
          </cell>
          <cell r="AG218">
            <v>551</v>
          </cell>
          <cell r="AH218">
            <v>555</v>
          </cell>
          <cell r="AI218">
            <v>486</v>
          </cell>
          <cell r="AJ218">
            <v>418</v>
          </cell>
          <cell r="AK218">
            <v>311</v>
          </cell>
          <cell r="AL218">
            <v>570</v>
          </cell>
          <cell r="AM218">
            <v>496</v>
          </cell>
          <cell r="AN218">
            <v>575</v>
          </cell>
          <cell r="AO218">
            <v>360</v>
          </cell>
          <cell r="AP218">
            <v>412</v>
          </cell>
          <cell r="AQ218">
            <v>498</v>
          </cell>
          <cell r="AR218">
            <v>420</v>
          </cell>
          <cell r="AS218">
            <v>511</v>
          </cell>
          <cell r="AT218">
            <v>444</v>
          </cell>
          <cell r="AU218">
            <v>474</v>
          </cell>
          <cell r="AV218">
            <v>403</v>
          </cell>
          <cell r="AW218">
            <v>337</v>
          </cell>
          <cell r="AX218">
            <v>389</v>
          </cell>
          <cell r="AY218">
            <v>215</v>
          </cell>
          <cell r="AZ218">
            <v>234</v>
          </cell>
          <cell r="BA218">
            <v>216</v>
          </cell>
          <cell r="BB218">
            <v>285</v>
          </cell>
          <cell r="BC218">
            <v>420</v>
          </cell>
          <cell r="BD218">
            <v>413</v>
          </cell>
          <cell r="BE218">
            <v>458</v>
          </cell>
          <cell r="BF218">
            <v>541</v>
          </cell>
          <cell r="BG218">
            <v>447</v>
          </cell>
          <cell r="BH218">
            <v>406</v>
          </cell>
          <cell r="BI218">
            <v>385</v>
          </cell>
          <cell r="BJ218">
            <v>581</v>
          </cell>
          <cell r="BK218">
            <v>477</v>
          </cell>
          <cell r="BL218">
            <v>430</v>
          </cell>
          <cell r="BM218">
            <v>448</v>
          </cell>
          <cell r="BN218">
            <v>405</v>
          </cell>
          <cell r="BO218">
            <v>520</v>
          </cell>
          <cell r="BP218">
            <v>702</v>
          </cell>
          <cell r="BQ218">
            <v>865</v>
          </cell>
          <cell r="BR218">
            <v>635</v>
          </cell>
          <cell r="BS218">
            <v>847</v>
          </cell>
          <cell r="BT218">
            <v>817</v>
          </cell>
          <cell r="BU218">
            <v>549</v>
          </cell>
          <cell r="BV218">
            <v>738</v>
          </cell>
          <cell r="BW218">
            <v>769</v>
          </cell>
          <cell r="BX218">
            <v>759</v>
          </cell>
          <cell r="BY218">
            <v>696</v>
          </cell>
          <cell r="BZ218">
            <v>803</v>
          </cell>
          <cell r="CA218">
            <v>750</v>
          </cell>
          <cell r="CB218">
            <v>762</v>
          </cell>
          <cell r="CC218">
            <v>828</v>
          </cell>
          <cell r="CD218">
            <v>776</v>
          </cell>
          <cell r="CE218">
            <v>847</v>
          </cell>
          <cell r="CF218">
            <v>909</v>
          </cell>
          <cell r="CG218">
            <v>636</v>
          </cell>
          <cell r="CH218">
            <v>649</v>
          </cell>
          <cell r="CI218">
            <v>981</v>
          </cell>
          <cell r="CJ218">
            <v>736</v>
          </cell>
          <cell r="CK218">
            <v>783</v>
          </cell>
          <cell r="CL218">
            <v>882</v>
          </cell>
          <cell r="CM218">
            <v>806</v>
          </cell>
          <cell r="CN218">
            <v>938</v>
          </cell>
          <cell r="CO218">
            <v>1135</v>
          </cell>
          <cell r="CP218">
            <v>1000</v>
          </cell>
          <cell r="CQ218">
            <v>1192</v>
          </cell>
          <cell r="CR218">
            <v>1457</v>
          </cell>
          <cell r="CS218">
            <v>896</v>
          </cell>
          <cell r="CW218">
            <v>0.40731995277449817</v>
          </cell>
          <cell r="CX218">
            <v>5.079399347534063E-4</v>
          </cell>
          <cell r="CY218">
            <v>2.0689407023603913E-4</v>
          </cell>
          <cell r="CZ218">
            <v>6.964111611495429E-4</v>
          </cell>
        </row>
        <row r="219">
          <cell r="B219" t="str">
            <v>Other Oceania</v>
          </cell>
          <cell r="L219">
            <v>223</v>
          </cell>
          <cell r="M219">
            <v>159</v>
          </cell>
          <cell r="N219">
            <v>161</v>
          </cell>
          <cell r="O219">
            <v>164</v>
          </cell>
          <cell r="P219">
            <v>173</v>
          </cell>
          <cell r="Q219">
            <v>192</v>
          </cell>
          <cell r="R219">
            <v>224</v>
          </cell>
          <cell r="S219">
            <v>256</v>
          </cell>
          <cell r="T219">
            <v>199</v>
          </cell>
          <cell r="U219">
            <v>206</v>
          </cell>
          <cell r="V219">
            <v>242</v>
          </cell>
          <cell r="W219">
            <v>217</v>
          </cell>
          <cell r="X219">
            <v>212</v>
          </cell>
          <cell r="Y219">
            <v>160</v>
          </cell>
          <cell r="Z219">
            <v>186</v>
          </cell>
          <cell r="AA219">
            <v>188</v>
          </cell>
          <cell r="AB219">
            <v>234</v>
          </cell>
          <cell r="AC219">
            <v>159</v>
          </cell>
          <cell r="AD219">
            <v>211</v>
          </cell>
          <cell r="AE219">
            <v>177</v>
          </cell>
          <cell r="AF219">
            <v>171</v>
          </cell>
          <cell r="AG219">
            <v>165</v>
          </cell>
          <cell r="AH219">
            <v>152</v>
          </cell>
          <cell r="AI219">
            <v>167</v>
          </cell>
          <cell r="AJ219">
            <v>163</v>
          </cell>
          <cell r="AK219">
            <v>134</v>
          </cell>
          <cell r="AL219">
            <v>150</v>
          </cell>
          <cell r="AM219">
            <v>137</v>
          </cell>
          <cell r="AN219">
            <v>181</v>
          </cell>
          <cell r="AO219">
            <v>208</v>
          </cell>
          <cell r="AP219">
            <v>143</v>
          </cell>
          <cell r="AQ219">
            <v>132</v>
          </cell>
          <cell r="AR219">
            <v>172</v>
          </cell>
          <cell r="AS219">
            <v>160</v>
          </cell>
          <cell r="AT219">
            <v>148</v>
          </cell>
          <cell r="AU219">
            <v>155</v>
          </cell>
          <cell r="AV219">
            <v>145</v>
          </cell>
          <cell r="AW219">
            <v>110</v>
          </cell>
          <cell r="AX219">
            <v>127</v>
          </cell>
          <cell r="AY219">
            <v>79</v>
          </cell>
          <cell r="AZ219">
            <v>89</v>
          </cell>
          <cell r="BA219">
            <v>97</v>
          </cell>
          <cell r="BB219">
            <v>145</v>
          </cell>
          <cell r="BC219">
            <v>133</v>
          </cell>
          <cell r="BD219">
            <v>123</v>
          </cell>
          <cell r="BE219">
            <v>88</v>
          </cell>
          <cell r="BF219">
            <v>93</v>
          </cell>
          <cell r="BG219">
            <v>95</v>
          </cell>
          <cell r="BH219">
            <v>129</v>
          </cell>
          <cell r="BI219">
            <v>77</v>
          </cell>
          <cell r="BJ219">
            <v>131</v>
          </cell>
          <cell r="BK219">
            <v>102</v>
          </cell>
          <cell r="BL219">
            <v>77</v>
          </cell>
          <cell r="BM219">
            <v>115</v>
          </cell>
          <cell r="BN219">
            <v>103</v>
          </cell>
          <cell r="BO219">
            <v>127</v>
          </cell>
          <cell r="BP219">
            <v>93</v>
          </cell>
          <cell r="BQ219">
            <v>103</v>
          </cell>
          <cell r="BR219">
            <v>88</v>
          </cell>
          <cell r="BS219">
            <v>91</v>
          </cell>
          <cell r="BT219">
            <v>79</v>
          </cell>
          <cell r="BU219">
            <v>84</v>
          </cell>
          <cell r="BV219">
            <v>81</v>
          </cell>
          <cell r="BW219">
            <v>112</v>
          </cell>
          <cell r="BX219">
            <v>86</v>
          </cell>
          <cell r="BY219">
            <v>78</v>
          </cell>
          <cell r="BZ219">
            <v>67</v>
          </cell>
          <cell r="CA219">
            <v>62</v>
          </cell>
          <cell r="CB219">
            <v>84</v>
          </cell>
          <cell r="CC219">
            <v>77</v>
          </cell>
          <cell r="CD219">
            <v>62</v>
          </cell>
          <cell r="CE219">
            <v>68</v>
          </cell>
          <cell r="CF219">
            <v>72</v>
          </cell>
          <cell r="CG219">
            <v>61</v>
          </cell>
          <cell r="CH219">
            <v>53</v>
          </cell>
          <cell r="CI219">
            <v>63</v>
          </cell>
          <cell r="CJ219">
            <v>65</v>
          </cell>
          <cell r="CK219">
            <v>71</v>
          </cell>
          <cell r="CL219">
            <v>51</v>
          </cell>
          <cell r="CM219">
            <v>59</v>
          </cell>
          <cell r="CN219">
            <v>55</v>
          </cell>
          <cell r="CO219">
            <v>52</v>
          </cell>
          <cell r="CP219">
            <v>74</v>
          </cell>
          <cell r="CQ219">
            <v>89</v>
          </cell>
          <cell r="CR219">
            <v>70</v>
          </cell>
          <cell r="CS219">
            <v>86</v>
          </cell>
          <cell r="CW219">
            <v>0.30882352941176472</v>
          </cell>
          <cell r="CX219">
            <v>4.0779121090001921E-5</v>
          </cell>
          <cell r="CY219">
            <v>1.2593552101324124E-5</v>
          </cell>
          <cell r="CZ219">
            <v>4.2390244591711311E-5</v>
          </cell>
        </row>
        <row r="221">
          <cell r="B221" t="str">
            <v>Africa</v>
          </cell>
          <cell r="L221">
            <v>344</v>
          </cell>
          <cell r="M221">
            <v>299</v>
          </cell>
          <cell r="N221">
            <v>372</v>
          </cell>
          <cell r="O221">
            <v>417</v>
          </cell>
          <cell r="P221">
            <v>386</v>
          </cell>
          <cell r="Q221">
            <v>309</v>
          </cell>
          <cell r="R221">
            <v>342</v>
          </cell>
          <cell r="S221">
            <v>283</v>
          </cell>
          <cell r="T221">
            <v>277</v>
          </cell>
          <cell r="U221">
            <v>395</v>
          </cell>
          <cell r="V221">
            <v>403</v>
          </cell>
          <cell r="W221">
            <v>355</v>
          </cell>
          <cell r="X221">
            <v>312</v>
          </cell>
          <cell r="Y221">
            <v>221</v>
          </cell>
          <cell r="Z221">
            <v>358</v>
          </cell>
          <cell r="AA221">
            <v>417</v>
          </cell>
          <cell r="AB221">
            <v>292</v>
          </cell>
          <cell r="AC221">
            <v>304</v>
          </cell>
          <cell r="AD221">
            <v>305</v>
          </cell>
          <cell r="AE221">
            <v>317</v>
          </cell>
          <cell r="AF221">
            <v>266</v>
          </cell>
          <cell r="AG221">
            <v>403</v>
          </cell>
          <cell r="AH221">
            <v>277</v>
          </cell>
          <cell r="AI221">
            <v>351</v>
          </cell>
          <cell r="AJ221">
            <v>356</v>
          </cell>
          <cell r="AK221">
            <v>274</v>
          </cell>
          <cell r="AL221">
            <v>274</v>
          </cell>
          <cell r="AM221">
            <v>325</v>
          </cell>
          <cell r="AN221">
            <v>321</v>
          </cell>
          <cell r="AO221">
            <v>269</v>
          </cell>
          <cell r="AP221">
            <v>322</v>
          </cell>
          <cell r="AQ221">
            <v>340</v>
          </cell>
          <cell r="AR221">
            <v>314</v>
          </cell>
          <cell r="AS221">
            <v>501</v>
          </cell>
          <cell r="AT221">
            <v>397</v>
          </cell>
          <cell r="AU221">
            <v>432</v>
          </cell>
          <cell r="AV221">
            <v>408</v>
          </cell>
          <cell r="AW221">
            <v>323</v>
          </cell>
          <cell r="AX221">
            <v>439</v>
          </cell>
          <cell r="AY221">
            <v>227</v>
          </cell>
          <cell r="AZ221">
            <v>199</v>
          </cell>
          <cell r="BA221">
            <v>237</v>
          </cell>
          <cell r="BB221">
            <v>356</v>
          </cell>
          <cell r="BC221">
            <v>344</v>
          </cell>
          <cell r="BD221">
            <v>374</v>
          </cell>
          <cell r="BE221">
            <v>699</v>
          </cell>
          <cell r="BF221">
            <v>371</v>
          </cell>
          <cell r="BG221">
            <v>331</v>
          </cell>
          <cell r="BH221">
            <v>377</v>
          </cell>
          <cell r="BI221">
            <v>318</v>
          </cell>
          <cell r="BJ221">
            <v>368</v>
          </cell>
          <cell r="BK221">
            <v>446</v>
          </cell>
          <cell r="BL221">
            <v>410</v>
          </cell>
          <cell r="BM221">
            <v>468</v>
          </cell>
          <cell r="BN221">
            <v>447</v>
          </cell>
          <cell r="BO221">
            <v>423</v>
          </cell>
          <cell r="BP221">
            <v>453</v>
          </cell>
          <cell r="BQ221">
            <v>705</v>
          </cell>
          <cell r="BR221">
            <v>510</v>
          </cell>
          <cell r="BS221">
            <v>624</v>
          </cell>
          <cell r="BT221">
            <v>591</v>
          </cell>
          <cell r="BU221">
            <v>436</v>
          </cell>
          <cell r="BV221">
            <v>655</v>
          </cell>
          <cell r="BW221">
            <v>631</v>
          </cell>
          <cell r="BX221">
            <v>663</v>
          </cell>
          <cell r="BY221">
            <v>530</v>
          </cell>
          <cell r="BZ221">
            <v>706</v>
          </cell>
          <cell r="CA221">
            <v>708</v>
          </cell>
          <cell r="CB221">
            <v>723</v>
          </cell>
          <cell r="CC221">
            <v>872</v>
          </cell>
          <cell r="CD221">
            <v>603</v>
          </cell>
          <cell r="CE221">
            <v>817</v>
          </cell>
          <cell r="CF221">
            <v>676</v>
          </cell>
          <cell r="CG221">
            <v>624</v>
          </cell>
          <cell r="CH221">
            <v>720</v>
          </cell>
          <cell r="CI221">
            <v>885</v>
          </cell>
          <cell r="CJ221">
            <v>787</v>
          </cell>
          <cell r="CK221">
            <v>755</v>
          </cell>
          <cell r="CL221">
            <v>897</v>
          </cell>
          <cell r="CM221">
            <v>1157</v>
          </cell>
          <cell r="CN221">
            <v>1553</v>
          </cell>
          <cell r="CO221">
            <v>1973</v>
          </cell>
          <cell r="CP221">
            <v>1474</v>
          </cell>
          <cell r="CQ221">
            <v>1968</v>
          </cell>
          <cell r="CR221">
            <v>1742</v>
          </cell>
          <cell r="CS221">
            <v>1696</v>
          </cell>
          <cell r="CW221">
            <v>1.4088127294981638</v>
          </cell>
          <cell r="CX221">
            <v>4.8994914603722891E-4</v>
          </cell>
          <cell r="CY221">
            <v>6.902465937440029E-4</v>
          </cell>
          <cell r="CZ221">
            <v>2.3233891202409382E-3</v>
          </cell>
        </row>
        <row r="222">
          <cell r="B222" t="str">
            <v>Middle East</v>
          </cell>
          <cell r="L222">
            <v>59</v>
          </cell>
          <cell r="M222">
            <v>49</v>
          </cell>
          <cell r="N222">
            <v>50</v>
          </cell>
          <cell r="O222">
            <v>111</v>
          </cell>
          <cell r="P222">
            <v>53</v>
          </cell>
          <cell r="Q222">
            <v>72</v>
          </cell>
          <cell r="R222">
            <v>60</v>
          </cell>
          <cell r="S222">
            <v>166</v>
          </cell>
          <cell r="T222">
            <v>47</v>
          </cell>
          <cell r="U222">
            <v>93</v>
          </cell>
          <cell r="V222">
            <v>61</v>
          </cell>
          <cell r="W222">
            <v>50</v>
          </cell>
          <cell r="X222">
            <v>38</v>
          </cell>
          <cell r="Y222">
            <v>58</v>
          </cell>
          <cell r="Z222">
            <v>85</v>
          </cell>
          <cell r="AA222">
            <v>306</v>
          </cell>
          <cell r="AB222">
            <v>77</v>
          </cell>
          <cell r="AC222">
            <v>68</v>
          </cell>
          <cell r="AD222">
            <v>121</v>
          </cell>
          <cell r="AE222">
            <v>120</v>
          </cell>
          <cell r="AF222">
            <v>39</v>
          </cell>
          <cell r="AG222">
            <v>84</v>
          </cell>
          <cell r="AH222">
            <v>23</v>
          </cell>
          <cell r="AI222">
            <v>40</v>
          </cell>
          <cell r="AJ222">
            <v>67</v>
          </cell>
          <cell r="AK222">
            <v>52</v>
          </cell>
          <cell r="AL222">
            <v>52</v>
          </cell>
          <cell r="AM222">
            <v>109</v>
          </cell>
          <cell r="AN222">
            <v>72</v>
          </cell>
          <cell r="AO222">
            <v>64</v>
          </cell>
          <cell r="AP222">
            <v>92</v>
          </cell>
          <cell r="AQ222">
            <v>105</v>
          </cell>
          <cell r="AR222">
            <v>90</v>
          </cell>
          <cell r="AS222">
            <v>92</v>
          </cell>
          <cell r="AT222">
            <v>200</v>
          </cell>
          <cell r="AU222">
            <v>110</v>
          </cell>
          <cell r="AV222">
            <v>101</v>
          </cell>
          <cell r="AW222">
            <v>77</v>
          </cell>
          <cell r="AX222">
            <v>71</v>
          </cell>
          <cell r="AY222">
            <v>70</v>
          </cell>
          <cell r="AZ222">
            <v>63</v>
          </cell>
          <cell r="BA222">
            <v>75</v>
          </cell>
          <cell r="BB222">
            <v>84</v>
          </cell>
          <cell r="BC222">
            <v>147</v>
          </cell>
          <cell r="BD222">
            <v>169</v>
          </cell>
          <cell r="BE222">
            <v>213</v>
          </cell>
          <cell r="BF222">
            <v>161</v>
          </cell>
          <cell r="BG222">
            <v>103</v>
          </cell>
          <cell r="BH222">
            <v>92</v>
          </cell>
          <cell r="BI222">
            <v>85</v>
          </cell>
          <cell r="BJ222">
            <v>133</v>
          </cell>
          <cell r="BK222">
            <v>267</v>
          </cell>
          <cell r="BL222">
            <v>190</v>
          </cell>
          <cell r="BM222">
            <v>140</v>
          </cell>
          <cell r="BN222">
            <v>117</v>
          </cell>
          <cell r="BO222">
            <v>336</v>
          </cell>
          <cell r="BP222">
            <v>182</v>
          </cell>
          <cell r="BQ222">
            <v>172</v>
          </cell>
          <cell r="BR222">
            <v>135</v>
          </cell>
          <cell r="BS222">
            <v>192</v>
          </cell>
          <cell r="BT222">
            <v>163</v>
          </cell>
          <cell r="BU222">
            <v>115</v>
          </cell>
          <cell r="BV222">
            <v>157</v>
          </cell>
          <cell r="BW222">
            <v>269</v>
          </cell>
          <cell r="BX222">
            <v>325</v>
          </cell>
          <cell r="BY222">
            <v>225</v>
          </cell>
          <cell r="BZ222">
            <v>239</v>
          </cell>
          <cell r="CA222">
            <v>349</v>
          </cell>
          <cell r="CB222">
            <v>239</v>
          </cell>
          <cell r="CC222">
            <v>191</v>
          </cell>
          <cell r="CD222">
            <v>203</v>
          </cell>
          <cell r="CE222">
            <v>191</v>
          </cell>
          <cell r="CF222">
            <v>223</v>
          </cell>
          <cell r="CG222">
            <v>138</v>
          </cell>
          <cell r="CH222">
            <v>209</v>
          </cell>
          <cell r="CI222">
            <v>370</v>
          </cell>
          <cell r="CJ222">
            <v>327</v>
          </cell>
          <cell r="CK222">
            <v>337</v>
          </cell>
          <cell r="CL222">
            <v>373</v>
          </cell>
          <cell r="CM222">
            <v>360</v>
          </cell>
          <cell r="CN222">
            <v>268</v>
          </cell>
          <cell r="CO222">
            <v>376</v>
          </cell>
          <cell r="CP222">
            <v>352</v>
          </cell>
          <cell r="CQ222">
            <v>402</v>
          </cell>
          <cell r="CR222">
            <v>311</v>
          </cell>
          <cell r="CS222">
            <v>316</v>
          </cell>
          <cell r="CW222">
            <v>1.1047120418848166</v>
          </cell>
          <cell r="CX222">
            <v>1.1454135482632892E-4</v>
          </cell>
          <cell r="CY222">
            <v>1.2653521397044712E-4</v>
          </cell>
          <cell r="CZ222">
            <v>4.2592102899290883E-4</v>
          </cell>
        </row>
        <row r="223">
          <cell r="B223" t="str">
            <v>Other</v>
          </cell>
          <cell r="L223">
            <v>8</v>
          </cell>
          <cell r="M223">
            <v>9</v>
          </cell>
          <cell r="N223">
            <v>11</v>
          </cell>
          <cell r="O223">
            <v>12</v>
          </cell>
          <cell r="P223">
            <v>14</v>
          </cell>
          <cell r="Q223">
            <v>6</v>
          </cell>
          <cell r="R223">
            <v>11</v>
          </cell>
          <cell r="S223">
            <v>33</v>
          </cell>
          <cell r="T223">
            <v>8</v>
          </cell>
          <cell r="U223">
            <v>34</v>
          </cell>
          <cell r="V223">
            <v>17</v>
          </cell>
          <cell r="W223">
            <v>22</v>
          </cell>
          <cell r="X223">
            <v>12</v>
          </cell>
          <cell r="Y223">
            <v>15</v>
          </cell>
          <cell r="Z223">
            <v>8</v>
          </cell>
          <cell r="AA223">
            <v>15</v>
          </cell>
          <cell r="AB223">
            <v>34</v>
          </cell>
          <cell r="AC223">
            <v>19</v>
          </cell>
          <cell r="AD223">
            <v>25</v>
          </cell>
          <cell r="AE223">
            <v>30</v>
          </cell>
          <cell r="AF223">
            <v>11</v>
          </cell>
          <cell r="AG223">
            <v>25</v>
          </cell>
          <cell r="AH223">
            <v>21</v>
          </cell>
          <cell r="AI223">
            <v>11</v>
          </cell>
          <cell r="AJ223">
            <v>2</v>
          </cell>
          <cell r="AK223">
            <v>10</v>
          </cell>
          <cell r="AL223">
            <v>9</v>
          </cell>
          <cell r="AM223">
            <v>13</v>
          </cell>
          <cell r="AN223">
            <v>22</v>
          </cell>
          <cell r="AO223">
            <v>5</v>
          </cell>
          <cell r="AP223">
            <v>8</v>
          </cell>
          <cell r="AQ223">
            <v>8</v>
          </cell>
          <cell r="AR223">
            <v>1</v>
          </cell>
          <cell r="AS223">
            <v>4</v>
          </cell>
          <cell r="AT223">
            <v>15</v>
          </cell>
          <cell r="AU223">
            <v>14</v>
          </cell>
          <cell r="AV223">
            <v>11</v>
          </cell>
          <cell r="AW223">
            <v>17</v>
          </cell>
          <cell r="AX223">
            <v>6</v>
          </cell>
          <cell r="AY223">
            <v>1</v>
          </cell>
          <cell r="AZ223">
            <v>5</v>
          </cell>
          <cell r="BA223">
            <v>4</v>
          </cell>
          <cell r="BB223">
            <v>7</v>
          </cell>
          <cell r="BC223">
            <v>8</v>
          </cell>
          <cell r="BD223">
            <v>4</v>
          </cell>
          <cell r="BE223">
            <v>5</v>
          </cell>
          <cell r="BF223">
            <v>8</v>
          </cell>
          <cell r="BG223">
            <v>25</v>
          </cell>
          <cell r="BH223">
            <v>7</v>
          </cell>
          <cell r="BI223">
            <v>8</v>
          </cell>
          <cell r="BJ223">
            <v>2</v>
          </cell>
          <cell r="BK223">
            <v>18</v>
          </cell>
          <cell r="BL223">
            <v>5</v>
          </cell>
          <cell r="BM223">
            <v>5</v>
          </cell>
          <cell r="BN223">
            <v>3</v>
          </cell>
          <cell r="BO223">
            <v>3</v>
          </cell>
          <cell r="BP223">
            <v>9</v>
          </cell>
          <cell r="BQ223">
            <v>5</v>
          </cell>
          <cell r="BR223">
            <v>2</v>
          </cell>
          <cell r="BS223">
            <v>8</v>
          </cell>
          <cell r="BT223">
            <v>2</v>
          </cell>
          <cell r="BU223">
            <v>1</v>
          </cell>
          <cell r="BV223">
            <v>7</v>
          </cell>
          <cell r="BW223">
            <v>21</v>
          </cell>
          <cell r="BX223">
            <v>12</v>
          </cell>
          <cell r="BY223">
            <v>12</v>
          </cell>
          <cell r="BZ223">
            <v>5</v>
          </cell>
          <cell r="CA223">
            <v>38</v>
          </cell>
          <cell r="CB223">
            <v>3</v>
          </cell>
          <cell r="CC223">
            <v>15</v>
          </cell>
          <cell r="CD223">
            <v>1</v>
          </cell>
          <cell r="CE223">
            <v>6</v>
          </cell>
          <cell r="CF223">
            <v>6</v>
          </cell>
          <cell r="CG223">
            <v>4</v>
          </cell>
          <cell r="CH223">
            <v>3</v>
          </cell>
          <cell r="CI223">
            <v>19</v>
          </cell>
          <cell r="CJ223">
            <v>5</v>
          </cell>
          <cell r="CK223">
            <v>7</v>
          </cell>
          <cell r="CL223">
            <v>3</v>
          </cell>
          <cell r="CM223">
            <v>3</v>
          </cell>
          <cell r="CN223">
            <v>4</v>
          </cell>
          <cell r="CO223">
            <v>4</v>
          </cell>
          <cell r="CP223">
            <v>1</v>
          </cell>
          <cell r="CQ223">
            <v>7</v>
          </cell>
          <cell r="CR223">
            <v>0</v>
          </cell>
          <cell r="CS223">
            <v>2</v>
          </cell>
          <cell r="CW223">
            <v>0.16666666666666674</v>
          </cell>
          <cell r="CX223">
            <v>3.5981577432354636E-6</v>
          </cell>
          <cell r="CY223">
            <v>5.9969295720591088E-7</v>
          </cell>
          <cell r="CZ223">
            <v>2.0185830757957774E-6</v>
          </cell>
        </row>
        <row r="225">
          <cell r="B225" t="str">
            <v>Visitor Arrivals by Method</v>
          </cell>
        </row>
        <row r="226">
          <cell r="B226" t="str">
            <v>Outer Harbour</v>
          </cell>
          <cell r="AV226">
            <v>418700</v>
          </cell>
          <cell r="AW226">
            <v>497704</v>
          </cell>
          <cell r="AX226">
            <v>422558</v>
          </cell>
          <cell r="AY226">
            <v>274974</v>
          </cell>
          <cell r="AZ226">
            <v>242932</v>
          </cell>
          <cell r="BA226">
            <v>352148</v>
          </cell>
          <cell r="BB226">
            <v>462398</v>
          </cell>
          <cell r="BC226">
            <v>610206</v>
          </cell>
          <cell r="BD226">
            <v>404074</v>
          </cell>
          <cell r="BE226">
            <v>431526</v>
          </cell>
          <cell r="BF226">
            <v>464783</v>
          </cell>
          <cell r="BG226">
            <v>504280</v>
          </cell>
          <cell r="BH226">
            <v>525727</v>
          </cell>
          <cell r="BI226">
            <v>393174</v>
          </cell>
          <cell r="BJ226">
            <v>495507</v>
          </cell>
          <cell r="BK226">
            <v>535072</v>
          </cell>
          <cell r="BL226">
            <v>466744</v>
          </cell>
          <cell r="BM226">
            <v>480947</v>
          </cell>
          <cell r="BN226">
            <v>599271</v>
          </cell>
          <cell r="BO226">
            <v>623527</v>
          </cell>
          <cell r="BP226">
            <v>457573</v>
          </cell>
          <cell r="BQ226">
            <v>506637</v>
          </cell>
          <cell r="BR226">
            <v>528097</v>
          </cell>
          <cell r="BS226">
            <v>555728</v>
          </cell>
          <cell r="BT226">
            <v>461140</v>
          </cell>
          <cell r="BU226">
            <v>556152</v>
          </cell>
          <cell r="BV226">
            <v>532147</v>
          </cell>
          <cell r="BW226">
            <v>523626</v>
          </cell>
          <cell r="BX226">
            <v>517613</v>
          </cell>
          <cell r="BY226">
            <v>487793</v>
          </cell>
          <cell r="BZ226">
            <v>597980</v>
          </cell>
          <cell r="CA226">
            <v>627549</v>
          </cell>
          <cell r="CB226">
            <v>491528</v>
          </cell>
          <cell r="CC226">
            <v>543620</v>
          </cell>
          <cell r="CD226">
            <v>567260</v>
          </cell>
          <cell r="CE226">
            <v>596787</v>
          </cell>
          <cell r="CF226">
            <v>576738</v>
          </cell>
          <cell r="CG226">
            <v>615970</v>
          </cell>
          <cell r="CH226">
            <v>596647</v>
          </cell>
          <cell r="CI226">
            <v>656641</v>
          </cell>
          <cell r="CJ226">
            <v>537279</v>
          </cell>
          <cell r="CK226">
            <v>518984</v>
          </cell>
          <cell r="CL226">
            <v>623401</v>
          </cell>
          <cell r="CM226">
            <v>646629</v>
          </cell>
          <cell r="CN226">
            <v>550668</v>
          </cell>
          <cell r="CO226">
            <v>623235</v>
          </cell>
          <cell r="CP226">
            <v>616083</v>
          </cell>
          <cell r="CQ226">
            <v>721827</v>
          </cell>
          <cell r="CR226">
            <v>615279</v>
          </cell>
          <cell r="CS226">
            <v>716057</v>
          </cell>
        </row>
        <row r="227">
          <cell r="B227" t="str">
            <v>Inner Harbour</v>
          </cell>
          <cell r="AV227">
            <v>12751</v>
          </cell>
          <cell r="AW227">
            <v>10373</v>
          </cell>
          <cell r="AX227">
            <v>13092</v>
          </cell>
          <cell r="AY227">
            <v>5235</v>
          </cell>
          <cell r="AZ227">
            <v>1778</v>
          </cell>
          <cell r="BA227">
            <v>4710</v>
          </cell>
          <cell r="BB227">
            <v>5558</v>
          </cell>
          <cell r="BC227">
            <v>5883</v>
          </cell>
          <cell r="BD227">
            <v>5445</v>
          </cell>
          <cell r="BE227">
            <v>7848</v>
          </cell>
          <cell r="BF227">
            <v>7922</v>
          </cell>
          <cell r="BG227">
            <v>7709</v>
          </cell>
          <cell r="BH227">
            <v>14264</v>
          </cell>
          <cell r="BI227">
            <v>9663</v>
          </cell>
          <cell r="BJ227">
            <v>10096</v>
          </cell>
          <cell r="BK227">
            <v>9975</v>
          </cell>
          <cell r="BL227">
            <v>11463</v>
          </cell>
          <cell r="BM227">
            <v>9014</v>
          </cell>
          <cell r="BN227">
            <v>9712</v>
          </cell>
          <cell r="BO227">
            <v>11515</v>
          </cell>
          <cell r="BP227">
            <v>11031</v>
          </cell>
          <cell r="BQ227">
            <v>15085</v>
          </cell>
          <cell r="BR227">
            <v>12623</v>
          </cell>
          <cell r="BS227">
            <v>12118</v>
          </cell>
          <cell r="BT227">
            <v>14149</v>
          </cell>
          <cell r="BU227">
            <v>16455</v>
          </cell>
          <cell r="BV227">
            <v>13108</v>
          </cell>
          <cell r="BW227">
            <v>12856</v>
          </cell>
          <cell r="BX227">
            <v>14510</v>
          </cell>
          <cell r="BY227">
            <v>11893</v>
          </cell>
          <cell r="BZ227">
            <v>13959</v>
          </cell>
          <cell r="CA227">
            <v>16046</v>
          </cell>
          <cell r="CB227">
            <v>16441</v>
          </cell>
          <cell r="CC227">
            <v>32097</v>
          </cell>
          <cell r="CD227">
            <v>27629</v>
          </cell>
          <cell r="CE227">
            <v>27557</v>
          </cell>
          <cell r="CF227">
            <v>34902</v>
          </cell>
          <cell r="CG227">
            <v>35573</v>
          </cell>
          <cell r="CH227">
            <v>30832</v>
          </cell>
          <cell r="CI227">
            <v>31179</v>
          </cell>
          <cell r="CJ227">
            <v>32615</v>
          </cell>
          <cell r="CK227">
            <v>25987</v>
          </cell>
          <cell r="CL227">
            <v>28481</v>
          </cell>
          <cell r="CM227">
            <v>28986</v>
          </cell>
          <cell r="CN227">
            <v>25508</v>
          </cell>
          <cell r="CO227">
            <v>33649</v>
          </cell>
          <cell r="CP227">
            <v>30244</v>
          </cell>
          <cell r="CQ227">
            <v>33797</v>
          </cell>
          <cell r="CR227">
            <v>40000</v>
          </cell>
          <cell r="CS227">
            <v>69087</v>
          </cell>
        </row>
        <row r="228">
          <cell r="B228" t="str">
            <v>Border Gate</v>
          </cell>
          <cell r="AV228">
            <v>481686</v>
          </cell>
          <cell r="AW228">
            <v>442682</v>
          </cell>
          <cell r="AX228">
            <v>441409</v>
          </cell>
          <cell r="AY228">
            <v>336629</v>
          </cell>
          <cell r="AZ228">
            <v>333555</v>
          </cell>
          <cell r="BA228">
            <v>425541</v>
          </cell>
          <cell r="BB228">
            <v>494710</v>
          </cell>
          <cell r="BC228">
            <v>557189</v>
          </cell>
          <cell r="BD228">
            <v>496125</v>
          </cell>
          <cell r="BE228">
            <v>574508</v>
          </cell>
          <cell r="BF228">
            <v>590685</v>
          </cell>
          <cell r="BG228">
            <v>615964</v>
          </cell>
          <cell r="BH228">
            <v>692180</v>
          </cell>
          <cell r="BI228">
            <v>626338</v>
          </cell>
          <cell r="BJ228">
            <v>687375</v>
          </cell>
          <cell r="BK228">
            <v>690010</v>
          </cell>
          <cell r="BL228">
            <v>742707</v>
          </cell>
          <cell r="BM228">
            <v>687420</v>
          </cell>
          <cell r="BN228">
            <v>770073</v>
          </cell>
          <cell r="BO228">
            <v>826519</v>
          </cell>
          <cell r="BP228">
            <v>706374</v>
          </cell>
          <cell r="BQ228">
            <v>821958</v>
          </cell>
          <cell r="BR228">
            <v>762312</v>
          </cell>
          <cell r="BS228">
            <v>797648</v>
          </cell>
          <cell r="BT228">
            <v>788281</v>
          </cell>
          <cell r="BU228">
            <v>799722</v>
          </cell>
          <cell r="BV228">
            <v>831479</v>
          </cell>
          <cell r="BW228">
            <v>801009</v>
          </cell>
          <cell r="BX228">
            <v>846354</v>
          </cell>
          <cell r="BY228">
            <v>779027</v>
          </cell>
          <cell r="BZ228">
            <v>881652</v>
          </cell>
          <cell r="CA228">
            <v>907290</v>
          </cell>
          <cell r="CB228">
            <v>823692</v>
          </cell>
          <cell r="CC228">
            <v>996220</v>
          </cell>
          <cell r="CD228">
            <v>929452</v>
          </cell>
          <cell r="CE228">
            <v>957636</v>
          </cell>
          <cell r="CF228">
            <v>971957</v>
          </cell>
          <cell r="CG228">
            <v>1020194</v>
          </cell>
          <cell r="CH228">
            <v>1080086</v>
          </cell>
          <cell r="CI228">
            <v>1074850</v>
          </cell>
          <cell r="CJ228">
            <v>1038715</v>
          </cell>
          <cell r="CK228">
            <v>954221</v>
          </cell>
          <cell r="CL228">
            <v>1046279</v>
          </cell>
          <cell r="CM228">
            <v>1138397</v>
          </cell>
          <cell r="CN228">
            <v>1074543</v>
          </cell>
          <cell r="CO228">
            <v>1221707</v>
          </cell>
          <cell r="CP228">
            <v>1195621</v>
          </cell>
          <cell r="CQ228">
            <v>1289519</v>
          </cell>
          <cell r="CR228">
            <v>1275615</v>
          </cell>
          <cell r="CS228">
            <v>1277422</v>
          </cell>
        </row>
        <row r="229">
          <cell r="B229" t="str">
            <v>Cotai Checkpoint</v>
          </cell>
          <cell r="AV229">
            <v>23104</v>
          </cell>
          <cell r="AW229">
            <v>19194</v>
          </cell>
          <cell r="AX229">
            <v>22595</v>
          </cell>
          <cell r="AY229">
            <v>13672</v>
          </cell>
          <cell r="AZ229">
            <v>6904</v>
          </cell>
          <cell r="BA229">
            <v>11730</v>
          </cell>
          <cell r="BB229">
            <v>20511</v>
          </cell>
          <cell r="BC229">
            <v>26423</v>
          </cell>
          <cell r="BD229">
            <v>26501</v>
          </cell>
          <cell r="BE229">
            <v>30446</v>
          </cell>
          <cell r="BF229">
            <v>31807</v>
          </cell>
          <cell r="BG229">
            <v>35116</v>
          </cell>
          <cell r="BH229">
            <v>44062</v>
          </cell>
          <cell r="BI229">
            <v>28988</v>
          </cell>
          <cell r="BJ229">
            <v>53268</v>
          </cell>
          <cell r="BK229">
            <v>48613</v>
          </cell>
          <cell r="BL229">
            <v>47569</v>
          </cell>
          <cell r="BM229">
            <v>51895</v>
          </cell>
          <cell r="BN229">
            <v>64435</v>
          </cell>
          <cell r="BO229">
            <v>75768</v>
          </cell>
          <cell r="BP229">
            <v>64390</v>
          </cell>
          <cell r="BQ229">
            <v>78685</v>
          </cell>
          <cell r="BR229">
            <v>70279</v>
          </cell>
          <cell r="BS229">
            <v>67344</v>
          </cell>
          <cell r="BT229">
            <v>64248</v>
          </cell>
          <cell r="BU229">
            <v>63305</v>
          </cell>
          <cell r="BV229">
            <v>72726</v>
          </cell>
          <cell r="BW229">
            <v>64896</v>
          </cell>
          <cell r="BX229">
            <v>70658</v>
          </cell>
          <cell r="BY229">
            <v>66765</v>
          </cell>
          <cell r="BZ229">
            <v>78911</v>
          </cell>
          <cell r="CA229">
            <v>89983</v>
          </cell>
          <cell r="CB229">
            <v>37885</v>
          </cell>
          <cell r="CC229">
            <v>0</v>
          </cell>
          <cell r="CD229">
            <v>0</v>
          </cell>
          <cell r="CE229">
            <v>0</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row>
        <row r="230">
          <cell r="B230" t="str">
            <v>Airport</v>
          </cell>
          <cell r="AV230">
            <v>49811</v>
          </cell>
          <cell r="AW230">
            <v>76713</v>
          </cell>
          <cell r="AX230">
            <v>60316</v>
          </cell>
          <cell r="AY230">
            <v>29502</v>
          </cell>
          <cell r="AZ230">
            <v>10677</v>
          </cell>
          <cell r="BA230">
            <v>20645</v>
          </cell>
          <cell r="BB230">
            <v>62214</v>
          </cell>
          <cell r="BC230">
            <v>72238</v>
          </cell>
          <cell r="BD230">
            <v>67665</v>
          </cell>
          <cell r="BE230">
            <v>69068</v>
          </cell>
          <cell r="BF230">
            <v>63212</v>
          </cell>
          <cell r="BG230">
            <v>58574</v>
          </cell>
          <cell r="BH230">
            <v>56360</v>
          </cell>
          <cell r="BI230">
            <v>51514</v>
          </cell>
          <cell r="BJ230">
            <v>59600</v>
          </cell>
          <cell r="BK230">
            <v>70135</v>
          </cell>
          <cell r="BL230">
            <v>57060</v>
          </cell>
          <cell r="BM230">
            <v>69898</v>
          </cell>
          <cell r="BN230">
            <v>79215</v>
          </cell>
          <cell r="BO230">
            <v>78848</v>
          </cell>
          <cell r="BP230">
            <v>72540</v>
          </cell>
          <cell r="BQ230">
            <v>85414</v>
          </cell>
          <cell r="BR230">
            <v>79480</v>
          </cell>
          <cell r="BS230">
            <v>84083</v>
          </cell>
          <cell r="BT230">
            <v>72658</v>
          </cell>
          <cell r="BU230">
            <v>86324</v>
          </cell>
          <cell r="BV230">
            <v>82463</v>
          </cell>
          <cell r="BW230">
            <v>90204</v>
          </cell>
          <cell r="BX230">
            <v>89374</v>
          </cell>
          <cell r="BY230">
            <v>86674</v>
          </cell>
          <cell r="BZ230">
            <v>91990</v>
          </cell>
          <cell r="CA230">
            <v>90482</v>
          </cell>
          <cell r="CB230">
            <v>83220</v>
          </cell>
          <cell r="CC230">
            <v>91064</v>
          </cell>
          <cell r="CD230">
            <v>80249</v>
          </cell>
          <cell r="CE230">
            <v>84838</v>
          </cell>
          <cell r="CF230">
            <v>76877</v>
          </cell>
          <cell r="CG230">
            <v>101133</v>
          </cell>
          <cell r="CH230">
            <v>104082</v>
          </cell>
          <cell r="CI230">
            <v>106776</v>
          </cell>
          <cell r="CJ230">
            <v>97630</v>
          </cell>
          <cell r="CK230">
            <v>97546</v>
          </cell>
          <cell r="CL230">
            <v>103416</v>
          </cell>
          <cell r="CM230">
            <v>107508</v>
          </cell>
          <cell r="CN230">
            <v>97500</v>
          </cell>
          <cell r="CO230">
            <v>111237</v>
          </cell>
          <cell r="CP230">
            <v>107635</v>
          </cell>
          <cell r="CQ230">
            <v>117774</v>
          </cell>
          <cell r="CR230">
            <v>106631</v>
          </cell>
          <cell r="CS230">
            <v>106686</v>
          </cell>
        </row>
        <row r="231">
          <cell r="B231" t="str">
            <v>Helicopter</v>
          </cell>
          <cell r="AV231">
            <v>1161</v>
          </cell>
          <cell r="AW231">
            <v>752</v>
          </cell>
          <cell r="AX231">
            <v>986</v>
          </cell>
          <cell r="AY231">
            <v>654</v>
          </cell>
          <cell r="AZ231">
            <v>782</v>
          </cell>
          <cell r="BA231">
            <v>1005</v>
          </cell>
          <cell r="BB231">
            <v>1417</v>
          </cell>
          <cell r="BC231">
            <v>1452</v>
          </cell>
          <cell r="BD231">
            <v>1238</v>
          </cell>
          <cell r="BE231">
            <v>1745</v>
          </cell>
          <cell r="BF231">
            <v>1217</v>
          </cell>
          <cell r="BG231">
            <v>1559</v>
          </cell>
          <cell r="BH231">
            <v>1298</v>
          </cell>
          <cell r="BI231">
            <v>892</v>
          </cell>
          <cell r="BJ231">
            <v>1141</v>
          </cell>
          <cell r="BK231">
            <v>1457</v>
          </cell>
          <cell r="BL231">
            <v>1869</v>
          </cell>
          <cell r="BM231">
            <v>1591</v>
          </cell>
          <cell r="BN231">
            <v>1267</v>
          </cell>
          <cell r="BO231">
            <v>1816</v>
          </cell>
          <cell r="BP231">
            <v>1353</v>
          </cell>
          <cell r="BQ231">
            <v>1624</v>
          </cell>
          <cell r="BR231">
            <v>1847</v>
          </cell>
          <cell r="BS231">
            <v>1481</v>
          </cell>
          <cell r="BT231">
            <v>963</v>
          </cell>
          <cell r="BU231">
            <v>632</v>
          </cell>
          <cell r="BV231">
            <v>1070</v>
          </cell>
          <cell r="BW231">
            <v>1101</v>
          </cell>
          <cell r="BX231">
            <v>1025</v>
          </cell>
          <cell r="BY231">
            <v>923</v>
          </cell>
          <cell r="BZ231">
            <v>1232</v>
          </cell>
          <cell r="CA231">
            <v>733</v>
          </cell>
          <cell r="CB231">
            <v>559</v>
          </cell>
          <cell r="CC231">
            <v>622</v>
          </cell>
          <cell r="CD231">
            <v>999</v>
          </cell>
          <cell r="CE231">
            <v>702</v>
          </cell>
          <cell r="CF231">
            <v>919</v>
          </cell>
          <cell r="CG231">
            <v>1056</v>
          </cell>
          <cell r="CH231">
            <v>1052</v>
          </cell>
          <cell r="CI231">
            <v>868</v>
          </cell>
          <cell r="CJ231">
            <v>916</v>
          </cell>
          <cell r="CK231">
            <v>255</v>
          </cell>
          <cell r="CL231">
            <v>671</v>
          </cell>
          <cell r="CM231">
            <v>723</v>
          </cell>
          <cell r="CN231">
            <v>604</v>
          </cell>
          <cell r="CO231">
            <v>1144</v>
          </cell>
          <cell r="CP231">
            <v>1049</v>
          </cell>
          <cell r="CQ231">
            <v>1281</v>
          </cell>
          <cell r="CR231">
            <v>1102</v>
          </cell>
          <cell r="CS231">
            <v>1212</v>
          </cell>
        </row>
        <row r="233">
          <cell r="B233" t="str">
            <v>Weather</v>
          </cell>
        </row>
        <row r="234">
          <cell r="B234" t="str">
            <v>Average Temperature</v>
          </cell>
          <cell r="AV234">
            <v>15.3</v>
          </cell>
          <cell r="AW234">
            <v>17.8</v>
          </cell>
          <cell r="AX234">
            <v>18.3</v>
          </cell>
          <cell r="AY234">
            <v>23.3</v>
          </cell>
          <cell r="AZ234">
            <v>26.4</v>
          </cell>
          <cell r="BA234">
            <v>27</v>
          </cell>
          <cell r="BB234">
            <v>29</v>
          </cell>
          <cell r="BC234">
            <v>28.4</v>
          </cell>
          <cell r="BD234">
            <v>27.2</v>
          </cell>
          <cell r="BE234">
            <v>24.9</v>
          </cell>
          <cell r="BF234">
            <v>21.5</v>
          </cell>
          <cell r="BG234">
            <v>16.8</v>
          </cell>
          <cell r="BH234">
            <v>14.6</v>
          </cell>
          <cell r="BI234">
            <v>16.399999999999999</v>
          </cell>
          <cell r="BJ234">
            <v>18.399999999999999</v>
          </cell>
          <cell r="BK234">
            <v>22.4</v>
          </cell>
          <cell r="BL234">
            <v>25.7</v>
          </cell>
          <cell r="BM234">
            <v>28.4</v>
          </cell>
          <cell r="BN234">
            <v>28</v>
          </cell>
          <cell r="BO234">
            <v>28.3</v>
          </cell>
          <cell r="BP234">
            <v>27.4</v>
          </cell>
          <cell r="BQ234">
            <v>24.4</v>
          </cell>
          <cell r="BR234">
            <v>21.9</v>
          </cell>
          <cell r="BS234">
            <v>18</v>
          </cell>
          <cell r="BT234">
            <v>14.4</v>
          </cell>
          <cell r="BU234">
            <v>14.8</v>
          </cell>
          <cell r="BV234">
            <v>16.2</v>
          </cell>
          <cell r="BW234">
            <v>22</v>
          </cell>
          <cell r="BX234">
            <v>26.5</v>
          </cell>
          <cell r="BY234">
            <v>27.1</v>
          </cell>
          <cell r="BZ234">
            <v>28.5</v>
          </cell>
          <cell r="CA234">
            <v>27.8</v>
          </cell>
          <cell r="CB234">
            <v>31.2</v>
          </cell>
          <cell r="CC234">
            <v>25.9</v>
          </cell>
          <cell r="CD234">
            <v>22.4</v>
          </cell>
          <cell r="CE234">
            <v>16.100000000000001</v>
          </cell>
          <cell r="CF234">
            <v>15.6</v>
          </cell>
          <cell r="CG234">
            <v>17.3</v>
          </cell>
          <cell r="CH234">
            <v>17.899999999999999</v>
          </cell>
          <cell r="CI234">
            <v>23.2</v>
          </cell>
          <cell r="CJ234">
            <v>25.3</v>
          </cell>
          <cell r="CK234">
            <v>27.4</v>
          </cell>
          <cell r="CL234">
            <v>31.4</v>
          </cell>
          <cell r="CM234">
            <v>31.3</v>
          </cell>
          <cell r="CN234">
            <v>26.3</v>
          </cell>
          <cell r="CO234">
            <v>26.4</v>
          </cell>
          <cell r="CP234">
            <v>22.8</v>
          </cell>
          <cell r="CQ234">
            <v>17.5</v>
          </cell>
          <cell r="CR234">
            <v>15.3</v>
          </cell>
          <cell r="CS234">
            <v>19.3</v>
          </cell>
        </row>
        <row r="235">
          <cell r="B235" t="str">
            <v>Average Windspeed</v>
          </cell>
          <cell r="AV235">
            <v>16.399999999999999</v>
          </cell>
          <cell r="AW235">
            <v>14.1</v>
          </cell>
          <cell r="AX235">
            <v>17</v>
          </cell>
          <cell r="AY235">
            <v>16.399999999999999</v>
          </cell>
          <cell r="AZ235">
            <v>17.600000000000001</v>
          </cell>
          <cell r="BA235">
            <v>15.6</v>
          </cell>
          <cell r="BB235">
            <v>16.600000000000001</v>
          </cell>
          <cell r="BC235">
            <v>14.1</v>
          </cell>
          <cell r="BD235">
            <v>16.600000000000001</v>
          </cell>
          <cell r="BE235">
            <v>15</v>
          </cell>
          <cell r="BF235">
            <v>17.5</v>
          </cell>
          <cell r="BG235">
            <v>16.7</v>
          </cell>
          <cell r="BH235">
            <v>17.7</v>
          </cell>
          <cell r="BI235">
            <v>14.8</v>
          </cell>
          <cell r="BJ235">
            <v>15.7</v>
          </cell>
          <cell r="BK235">
            <v>15.1</v>
          </cell>
          <cell r="BL235">
            <v>14.2</v>
          </cell>
          <cell r="BM235">
            <v>15.4</v>
          </cell>
          <cell r="BN235">
            <v>16.7</v>
          </cell>
          <cell r="BO235">
            <v>12.5</v>
          </cell>
          <cell r="BP235">
            <v>12.3</v>
          </cell>
          <cell r="BQ235">
            <v>15.2</v>
          </cell>
          <cell r="BR235">
            <v>15.4</v>
          </cell>
          <cell r="BS235">
            <v>16.3</v>
          </cell>
          <cell r="BT235">
            <v>14.3</v>
          </cell>
          <cell r="BU235">
            <v>16.100000000000001</v>
          </cell>
          <cell r="BV235">
            <v>15.4</v>
          </cell>
          <cell r="BW235">
            <v>14.1</v>
          </cell>
          <cell r="BX235">
            <v>16.600000000000001</v>
          </cell>
          <cell r="BY235">
            <v>15.7</v>
          </cell>
          <cell r="BZ235">
            <v>13.4</v>
          </cell>
          <cell r="CA235">
            <v>14.4</v>
          </cell>
          <cell r="CB235">
            <v>15.1</v>
          </cell>
          <cell r="CC235">
            <v>15.4</v>
          </cell>
          <cell r="CD235">
            <v>14.8</v>
          </cell>
          <cell r="CE235">
            <v>19.399999999999999</v>
          </cell>
          <cell r="CF235">
            <v>15.7</v>
          </cell>
          <cell r="CG235">
            <v>14</v>
          </cell>
          <cell r="CH235">
            <v>13.9</v>
          </cell>
          <cell r="CI235">
            <v>14.8</v>
          </cell>
          <cell r="CJ235">
            <v>16.899999999999999</v>
          </cell>
          <cell r="CK235">
            <v>14.8</v>
          </cell>
          <cell r="CL235">
            <v>15.4</v>
          </cell>
          <cell r="CM235">
            <v>14.7</v>
          </cell>
          <cell r="CN235">
            <v>14.3</v>
          </cell>
          <cell r="CO235">
            <v>12.1</v>
          </cell>
          <cell r="CP235">
            <v>14.3</v>
          </cell>
          <cell r="CQ235">
            <v>17.100000000000001</v>
          </cell>
          <cell r="CR235">
            <v>16.2</v>
          </cell>
          <cell r="CS235">
            <v>13</v>
          </cell>
        </row>
        <row r="236">
          <cell r="B236" t="str">
            <v>Sunshine %</v>
          </cell>
          <cell r="AV236">
            <v>53</v>
          </cell>
          <cell r="AW236">
            <v>30</v>
          </cell>
          <cell r="AX236">
            <v>19</v>
          </cell>
          <cell r="AY236">
            <v>28</v>
          </cell>
          <cell r="AZ236">
            <v>34</v>
          </cell>
          <cell r="BA236">
            <v>32</v>
          </cell>
          <cell r="BB236">
            <v>77</v>
          </cell>
          <cell r="BC236">
            <v>49</v>
          </cell>
          <cell r="BD236">
            <v>48</v>
          </cell>
          <cell r="BE236">
            <v>59</v>
          </cell>
          <cell r="BF236">
            <v>47</v>
          </cell>
          <cell r="BG236">
            <v>67</v>
          </cell>
          <cell r="BH236">
            <v>32</v>
          </cell>
          <cell r="BI236">
            <v>36</v>
          </cell>
          <cell r="BJ236">
            <v>17</v>
          </cell>
          <cell r="BK236">
            <v>26.1</v>
          </cell>
          <cell r="BL236">
            <v>37</v>
          </cell>
          <cell r="BM236">
            <v>55.5</v>
          </cell>
          <cell r="BN236">
            <v>40.6</v>
          </cell>
          <cell r="BO236">
            <v>42.3</v>
          </cell>
          <cell r="BP236">
            <v>56.3</v>
          </cell>
          <cell r="BQ236">
            <v>69.5</v>
          </cell>
          <cell r="BR236">
            <v>47</v>
          </cell>
          <cell r="BS236">
            <v>55.5</v>
          </cell>
          <cell r="BT236">
            <v>28.2</v>
          </cell>
          <cell r="BU236">
            <v>6.3</v>
          </cell>
          <cell r="BV236">
            <v>17.5</v>
          </cell>
          <cell r="BW236">
            <v>17.5</v>
          </cell>
          <cell r="BX236">
            <v>32.200000000000003</v>
          </cell>
          <cell r="BY236">
            <v>21.7</v>
          </cell>
          <cell r="BZ236">
            <v>53.2</v>
          </cell>
          <cell r="CA236">
            <v>48.8</v>
          </cell>
          <cell r="CB236">
            <v>47.9</v>
          </cell>
          <cell r="CC236">
            <v>53.6</v>
          </cell>
          <cell r="CD236">
            <v>57.6</v>
          </cell>
          <cell r="CE236">
            <v>43.4</v>
          </cell>
          <cell r="CF236">
            <v>26.4</v>
          </cell>
          <cell r="CG236">
            <v>26</v>
          </cell>
          <cell r="CH236">
            <v>15.1</v>
          </cell>
          <cell r="CI236">
            <v>21.4</v>
          </cell>
          <cell r="CJ236">
            <v>30.4</v>
          </cell>
          <cell r="CK236">
            <v>27.4</v>
          </cell>
          <cell r="CL236">
            <v>48</v>
          </cell>
          <cell r="CM236">
            <v>48.2</v>
          </cell>
          <cell r="CN236">
            <v>37.6</v>
          </cell>
          <cell r="CO236">
            <v>46</v>
          </cell>
          <cell r="CP236">
            <v>33.5</v>
          </cell>
          <cell r="CQ236">
            <v>56.6</v>
          </cell>
          <cell r="CR236">
            <v>40.799999999999997</v>
          </cell>
          <cell r="CS236">
            <v>33.799999999999997</v>
          </cell>
        </row>
        <row r="237">
          <cell r="B237" t="str">
            <v>Total Rainfall</v>
          </cell>
          <cell r="AV237">
            <v>8.6</v>
          </cell>
          <cell r="AW237">
            <v>3.6</v>
          </cell>
          <cell r="AX237">
            <v>34.6</v>
          </cell>
          <cell r="AY237">
            <v>70.2</v>
          </cell>
          <cell r="AZ237">
            <v>266.39999999999998</v>
          </cell>
          <cell r="BA237">
            <v>420.4</v>
          </cell>
          <cell r="BB237">
            <v>33</v>
          </cell>
          <cell r="BC237">
            <v>237.4</v>
          </cell>
          <cell r="BD237">
            <v>367.4</v>
          </cell>
          <cell r="BE237">
            <v>41.8</v>
          </cell>
          <cell r="BF237">
            <v>3.8</v>
          </cell>
          <cell r="BG237">
            <v>2.8</v>
          </cell>
          <cell r="BH237">
            <v>37.6</v>
          </cell>
          <cell r="BI237">
            <v>45</v>
          </cell>
          <cell r="BJ237">
            <v>56</v>
          </cell>
          <cell r="BK237">
            <v>71.599999999999994</v>
          </cell>
          <cell r="BL237">
            <v>357</v>
          </cell>
          <cell r="BM237">
            <v>74.2</v>
          </cell>
          <cell r="BN237">
            <v>165.2</v>
          </cell>
          <cell r="BO237">
            <v>519.4</v>
          </cell>
          <cell r="BP237">
            <v>188.4</v>
          </cell>
          <cell r="BQ237">
            <v>1.6</v>
          </cell>
          <cell r="BR237">
            <v>0</v>
          </cell>
          <cell r="BS237" t="str">
            <v>o</v>
          </cell>
          <cell r="BT237">
            <v>8</v>
          </cell>
          <cell r="BU237">
            <v>28</v>
          </cell>
          <cell r="BV237">
            <v>61.8</v>
          </cell>
          <cell r="BW237">
            <v>33.799999999999997</v>
          </cell>
          <cell r="BX237">
            <v>385.2</v>
          </cell>
          <cell r="BY237">
            <v>483.6</v>
          </cell>
          <cell r="BZ237">
            <v>192.4</v>
          </cell>
          <cell r="CA237">
            <v>416.4</v>
          </cell>
          <cell r="CB237">
            <v>187.6</v>
          </cell>
          <cell r="CC237">
            <v>1</v>
          </cell>
          <cell r="CD237">
            <v>99.4</v>
          </cell>
          <cell r="CE237">
            <v>1.6</v>
          </cell>
          <cell r="CF237">
            <v>14.2</v>
          </cell>
          <cell r="CG237">
            <v>61</v>
          </cell>
          <cell r="CH237">
            <v>69</v>
          </cell>
          <cell r="CI237">
            <v>96.8</v>
          </cell>
          <cell r="CJ237">
            <v>435</v>
          </cell>
          <cell r="CK237">
            <v>443.4</v>
          </cell>
          <cell r="CL237">
            <v>221.4</v>
          </cell>
          <cell r="CM237">
            <v>370.6</v>
          </cell>
          <cell r="CN237">
            <v>188.4</v>
          </cell>
          <cell r="CO237">
            <v>1</v>
          </cell>
          <cell r="CP237">
            <v>80.599999999999994</v>
          </cell>
          <cell r="CQ237">
            <v>16.399999999999999</v>
          </cell>
          <cell r="CR237">
            <v>16.8</v>
          </cell>
          <cell r="CS237">
            <v>14.2</v>
          </cell>
        </row>
        <row r="238">
          <cell r="B238" t="str">
            <v>Daily Max Rainfall</v>
          </cell>
          <cell r="AV238">
            <v>7.4</v>
          </cell>
          <cell r="AW238">
            <v>2</v>
          </cell>
          <cell r="AX238">
            <v>12</v>
          </cell>
          <cell r="AY238">
            <v>32.799999999999997</v>
          </cell>
          <cell r="AZ238">
            <v>142</v>
          </cell>
          <cell r="BA238">
            <v>94.8</v>
          </cell>
          <cell r="BB238">
            <v>11.8</v>
          </cell>
          <cell r="BC238">
            <v>30.4</v>
          </cell>
          <cell r="BD238">
            <v>95.6</v>
          </cell>
          <cell r="BE238">
            <v>40</v>
          </cell>
          <cell r="BF238">
            <v>2</v>
          </cell>
          <cell r="BG238">
            <v>1.4</v>
          </cell>
          <cell r="BH238">
            <v>14.4</v>
          </cell>
          <cell r="BI238">
            <v>16.399999999999999</v>
          </cell>
          <cell r="BJ238">
            <v>28.4</v>
          </cell>
          <cell r="BK238">
            <v>26.6</v>
          </cell>
          <cell r="BL238">
            <v>177.6</v>
          </cell>
          <cell r="BM238">
            <v>39</v>
          </cell>
          <cell r="BN238">
            <v>33.200000000000003</v>
          </cell>
          <cell r="BO238">
            <v>167.2</v>
          </cell>
          <cell r="BP238">
            <v>82.6</v>
          </cell>
          <cell r="BQ238">
            <v>1</v>
          </cell>
          <cell r="BR238">
            <v>0</v>
          </cell>
          <cell r="BS238" t="str">
            <v>o</v>
          </cell>
          <cell r="BT238">
            <v>3.6</v>
          </cell>
          <cell r="BU238">
            <v>7.4</v>
          </cell>
          <cell r="BV238">
            <v>13.6</v>
          </cell>
          <cell r="BW238">
            <v>10.199999999999999</v>
          </cell>
          <cell r="BX238">
            <v>87.8</v>
          </cell>
          <cell r="BY238">
            <v>81.2</v>
          </cell>
          <cell r="BZ238">
            <v>43.8</v>
          </cell>
          <cell r="CA238">
            <v>167.4</v>
          </cell>
          <cell r="CB238">
            <v>47.6</v>
          </cell>
          <cell r="CC238">
            <v>0.6</v>
          </cell>
          <cell r="CD238">
            <v>79</v>
          </cell>
          <cell r="CE238">
            <v>0.8</v>
          </cell>
          <cell r="CF238">
            <v>10</v>
          </cell>
          <cell r="CG238">
            <v>35.200000000000003</v>
          </cell>
          <cell r="CH238">
            <v>24.4</v>
          </cell>
          <cell r="CI238">
            <v>75.599999999999994</v>
          </cell>
          <cell r="CJ238">
            <v>130.19999999999999</v>
          </cell>
          <cell r="CK238">
            <v>123.2</v>
          </cell>
          <cell r="CL238">
            <v>67.400000000000006</v>
          </cell>
          <cell r="CM238">
            <v>113.2</v>
          </cell>
          <cell r="CN238">
            <v>52.8</v>
          </cell>
          <cell r="CO238">
            <v>0.6</v>
          </cell>
          <cell r="CP238">
            <v>59</v>
          </cell>
          <cell r="CQ238">
            <v>11.2</v>
          </cell>
          <cell r="CR238">
            <v>15.2</v>
          </cell>
          <cell r="CS238">
            <v>6.4</v>
          </cell>
        </row>
        <row r="240">
          <cell r="B240" t="str">
            <v>Total Airport Passengers</v>
          </cell>
          <cell r="L240">
            <v>184381</v>
          </cell>
          <cell r="M240">
            <v>264066</v>
          </cell>
          <cell r="N240">
            <v>226483</v>
          </cell>
          <cell r="O240">
            <v>296541</v>
          </cell>
          <cell r="P240">
            <v>288949</v>
          </cell>
          <cell r="Q240">
            <v>271181</v>
          </cell>
          <cell r="R240">
            <v>304276</v>
          </cell>
          <cell r="S240">
            <v>300418</v>
          </cell>
          <cell r="T240">
            <v>280803</v>
          </cell>
          <cell r="U240">
            <v>298873</v>
          </cell>
          <cell r="V240">
            <v>265528</v>
          </cell>
          <cell r="W240">
            <v>257929</v>
          </cell>
          <cell r="X240">
            <v>265603</v>
          </cell>
          <cell r="Y240">
            <v>249259</v>
          </cell>
          <cell r="Z240">
            <v>312319</v>
          </cell>
          <cell r="AA240">
            <v>351793</v>
          </cell>
          <cell r="AB240">
            <v>338692</v>
          </cell>
          <cell r="AC240">
            <v>332630</v>
          </cell>
          <cell r="AD240">
            <v>344658</v>
          </cell>
          <cell r="AE240">
            <v>360899</v>
          </cell>
          <cell r="AF240">
            <v>291817</v>
          </cell>
          <cell r="AG240">
            <v>327232</v>
          </cell>
          <cell r="AH240">
            <v>315538</v>
          </cell>
          <cell r="AI240">
            <v>314866</v>
          </cell>
          <cell r="AJ240">
            <v>268783</v>
          </cell>
          <cell r="AK240">
            <v>323654</v>
          </cell>
          <cell r="AL240">
            <v>360668</v>
          </cell>
          <cell r="AM240">
            <v>380648</v>
          </cell>
          <cell r="AN240">
            <v>359547</v>
          </cell>
          <cell r="AO240">
            <v>326508</v>
          </cell>
          <cell r="AP240">
            <v>388061</v>
          </cell>
          <cell r="AQ240">
            <v>384719</v>
          </cell>
          <cell r="AR240">
            <v>334029</v>
          </cell>
          <cell r="AS240">
            <v>372706</v>
          </cell>
          <cell r="AT240">
            <v>350324</v>
          </cell>
          <cell r="AU240">
            <v>322056</v>
          </cell>
          <cell r="AV240">
            <v>290140</v>
          </cell>
          <cell r="AW240">
            <v>323264</v>
          </cell>
          <cell r="AX240">
            <v>295052</v>
          </cell>
          <cell r="AY240">
            <v>144082</v>
          </cell>
          <cell r="AZ240">
            <v>47333</v>
          </cell>
          <cell r="BA240">
            <v>94294</v>
          </cell>
          <cell r="BB240">
            <v>272784</v>
          </cell>
          <cell r="BC240">
            <v>333840</v>
          </cell>
          <cell r="BD240">
            <v>295447</v>
          </cell>
          <cell r="BE240">
            <v>291193</v>
          </cell>
          <cell r="BF240">
            <v>268282</v>
          </cell>
          <cell r="BG240">
            <v>249855</v>
          </cell>
          <cell r="BH240">
            <v>288507</v>
          </cell>
          <cell r="BI240">
            <v>207710</v>
          </cell>
          <cell r="BJ240">
            <v>273910</v>
          </cell>
          <cell r="BK240">
            <v>324931</v>
          </cell>
          <cell r="BL240">
            <v>250601</v>
          </cell>
          <cell r="BM240">
            <v>296000</v>
          </cell>
          <cell r="BN240">
            <v>365454</v>
          </cell>
          <cell r="BO240">
            <v>372802</v>
          </cell>
          <cell r="BP240">
            <v>321456</v>
          </cell>
          <cell r="BQ240">
            <v>358362</v>
          </cell>
          <cell r="BR240">
            <v>327593</v>
          </cell>
          <cell r="BS240">
            <v>326933</v>
          </cell>
          <cell r="BT240">
            <v>289701</v>
          </cell>
          <cell r="BU240">
            <v>348723</v>
          </cell>
          <cell r="BV240">
            <v>321953</v>
          </cell>
          <cell r="BW240">
            <v>367976</v>
          </cell>
          <cell r="BX240">
            <v>359298</v>
          </cell>
          <cell r="BY240">
            <v>360147</v>
          </cell>
          <cell r="BZ240">
            <v>416131</v>
          </cell>
          <cell r="CA240">
            <v>409281</v>
          </cell>
          <cell r="CB240">
            <v>354751</v>
          </cell>
          <cell r="CC240">
            <v>390435</v>
          </cell>
          <cell r="CD240">
            <v>323347</v>
          </cell>
          <cell r="CE240">
            <v>308999</v>
          </cell>
          <cell r="CF240">
            <v>323282</v>
          </cell>
          <cell r="CG240">
            <v>360820</v>
          </cell>
          <cell r="CH240">
            <v>389125</v>
          </cell>
          <cell r="CI240">
            <v>431656</v>
          </cell>
          <cell r="CJ240">
            <v>399492</v>
          </cell>
          <cell r="CK240">
            <v>393601</v>
          </cell>
          <cell r="CL240">
            <v>465497</v>
          </cell>
          <cell r="CM240">
            <v>478474</v>
          </cell>
          <cell r="CN240">
            <v>412444</v>
          </cell>
          <cell r="CO240">
            <v>461215</v>
          </cell>
          <cell r="CP240">
            <v>425116</v>
          </cell>
          <cell r="CQ240">
            <v>435114</v>
          </cell>
        </row>
        <row r="241">
          <cell r="B241" t="str">
            <v>Growth</v>
          </cell>
          <cell r="X241">
            <v>0.4405117663967546</v>
          </cell>
          <cell r="Y241">
            <v>-5.607310293638712E-2</v>
          </cell>
          <cell r="Z241">
            <v>0.37899533298304955</v>
          </cell>
          <cell r="AA241">
            <v>0.18632162163073573</v>
          </cell>
          <cell r="AB241">
            <v>0.17215148694060201</v>
          </cell>
          <cell r="AC241">
            <v>0.22659773361703062</v>
          </cell>
          <cell r="AD241">
            <v>0.1327150350339823</v>
          </cell>
          <cell r="AE241">
            <v>0.2013228235325446</v>
          </cell>
          <cell r="AF241">
            <v>3.9223227672068983E-2</v>
          </cell>
          <cell r="AG241">
            <v>9.4886456789338602E-2</v>
          </cell>
          <cell r="AH241">
            <v>0.18834171914073083</v>
          </cell>
          <cell r="AI241">
            <v>0.22074679466054614</v>
          </cell>
          <cell r="AJ241">
            <v>1.1972756331818601E-2</v>
          </cell>
          <cell r="AK241">
            <v>0.29846464922028892</v>
          </cell>
          <cell r="AL241">
            <v>0.15480646390389308</v>
          </cell>
          <cell r="AM241">
            <v>8.2022666738678751E-2</v>
          </cell>
          <cell r="AN241">
            <v>6.1575118396655304E-2</v>
          </cell>
          <cell r="AO241">
            <v>-1.8404834200162368E-2</v>
          </cell>
          <cell r="AP241">
            <v>0.12593063268515459</v>
          </cell>
          <cell r="AQ241">
            <v>6.6001845391646885E-2</v>
          </cell>
          <cell r="AR241">
            <v>0.14465229921491884</v>
          </cell>
          <cell r="AS241">
            <v>0.13896562683356151</v>
          </cell>
          <cell r="AT241">
            <v>0.11024345720642215</v>
          </cell>
          <cell r="AU241">
            <v>2.2835110809042547E-2</v>
          </cell>
          <cell r="AV241">
            <v>7.945815025503844E-2</v>
          </cell>
          <cell r="AW241">
            <v>-1.204990514561799E-3</v>
          </cell>
          <cell r="AX241">
            <v>-0.18192908713831002</v>
          </cell>
          <cell r="AY241">
            <v>-0.621482314369181</v>
          </cell>
          <cell r="AZ241">
            <v>-0.86835378962972853</v>
          </cell>
          <cell r="BA241">
            <v>-0.71120462592034506</v>
          </cell>
          <cell r="BB241">
            <v>-0.29705896753345484</v>
          </cell>
          <cell r="BC241">
            <v>-0.13224977191144704</v>
          </cell>
          <cell r="BD241">
            <v>-0.11550494118774124</v>
          </cell>
          <cell r="BE241">
            <v>-0.21870589687313857</v>
          </cell>
          <cell r="BF241">
            <v>-0.23418892225482701</v>
          </cell>
          <cell r="BG241">
            <v>-0.22418771890602873</v>
          </cell>
          <cell r="BH241">
            <v>-5.6283173640311324E-3</v>
          </cell>
          <cell r="BI241">
            <v>-0.35746015640467232</v>
          </cell>
          <cell r="BJ241">
            <v>-7.1655165869067172E-2</v>
          </cell>
          <cell r="BK241">
            <v>1.2551810774420122</v>
          </cell>
          <cell r="BL241">
            <v>4.2944246086240048</v>
          </cell>
          <cell r="BM241">
            <v>2.13911807750228</v>
          </cell>
          <cell r="BN241">
            <v>0.33971933837761736</v>
          </cell>
          <cell r="BO241">
            <v>0.11670860292355623</v>
          </cell>
          <cell r="BP241">
            <v>8.8032709758433914E-2</v>
          </cell>
          <cell r="BQ241">
            <v>0.23066831963680445</v>
          </cell>
          <cell r="BR241">
            <v>0.22107707561446532</v>
          </cell>
          <cell r="BS241">
            <v>0.30849092473634698</v>
          </cell>
          <cell r="BT241">
            <v>4.1385477648723246E-3</v>
          </cell>
          <cell r="BU241">
            <v>0.67889364980020228</v>
          </cell>
          <cell r="BV241">
            <v>0.17539702822094849</v>
          </cell>
          <cell r="BW241">
            <v>0.13247427915465138</v>
          </cell>
          <cell r="BX241">
            <v>0.43374527635564109</v>
          </cell>
          <cell r="BY241">
            <v>0.21671283783783779</v>
          </cell>
          <cell r="BZ241">
            <v>0.13866861492828098</v>
          </cell>
          <cell r="CA241">
            <v>9.7850869898766568E-2</v>
          </cell>
          <cell r="CB241">
            <v>0.10357560599273308</v>
          </cell>
          <cell r="CC241">
            <v>8.9498886600699823E-2</v>
          </cell>
          <cell r="CD241">
            <v>-1.2961204909750834E-2</v>
          </cell>
          <cell r="CE241">
            <v>-5.4855276157500188E-2</v>
          </cell>
          <cell r="CF241">
            <v>0.11591606518444886</v>
          </cell>
          <cell r="CG241">
            <v>3.4689423984079149E-2</v>
          </cell>
          <cell r="CH241">
            <v>0.20863914919258408</v>
          </cell>
          <cell r="CI241">
            <v>0.1730547644411593</v>
          </cell>
          <cell r="CJ241">
            <v>0.11186814287861324</v>
          </cell>
          <cell r="CK241">
            <v>9.2889847756610466E-2</v>
          </cell>
          <cell r="CL241">
            <v>0.11863091190033903</v>
          </cell>
          <cell r="CM241">
            <v>0.16905988794984372</v>
          </cell>
          <cell r="CN241">
            <v>0.16262956270736373</v>
          </cell>
          <cell r="CO241">
            <v>0.18128497701281909</v>
          </cell>
          <cell r="CP241">
            <v>0.31473618125419445</v>
          </cell>
          <cell r="CQ241">
            <v>0.40814047941902731</v>
          </cell>
        </row>
        <row r="244">
          <cell r="B244" t="str">
            <v>Sources:</v>
          </cell>
        </row>
        <row r="245">
          <cell r="B245" t="str">
            <v>Gaming Data</v>
          </cell>
          <cell r="C245" t="str">
            <v>e_bme_pub_</v>
          </cell>
          <cell r="D245" t="str">
            <v>Monthly Bulletin of Statistics</v>
          </cell>
        </row>
        <row r="246">
          <cell r="B246" t="str">
            <v>Preliminary gaming tax</v>
          </cell>
          <cell r="C246" t="str">
            <v>DSF</v>
          </cell>
          <cell r="D246" t="str">
            <v>Public Finance Report</v>
          </cell>
        </row>
        <row r="247">
          <cell r="B247" t="str">
            <v>Hotel stats</v>
          </cell>
          <cell r="C247" t="str">
            <v>e_eoh_fr_</v>
          </cell>
          <cell r="D247" t="str">
            <v>Package Tour and Hotel Occupancy Rate</v>
          </cell>
        </row>
        <row r="248">
          <cell r="B248" t="str">
            <v>Non-Resident Workers</v>
          </cell>
          <cell r="C248" t="str">
            <v>e_bme_pub_</v>
          </cell>
          <cell r="D248" t="str">
            <v>Monthly Bulletin of Statistics</v>
          </cell>
        </row>
        <row r="249">
          <cell r="B249" t="str">
            <v>Construction Employment</v>
          </cell>
          <cell r="C249" t="str">
            <v>e_issc_pub</v>
          </cell>
          <cell r="D249" t="str">
            <v>Indices and Daily Wages of Construction Worker</v>
          </cell>
        </row>
        <row r="250">
          <cell r="B250" t="str">
            <v>Hotel Employment</v>
          </cell>
          <cell r="C250" t="str">
            <v>e_neci_fr_</v>
          </cell>
          <cell r="D250" t="str">
            <v>Manpower Needs and Wages Survey</v>
          </cell>
        </row>
        <row r="251">
          <cell r="B251" t="str">
            <v>Gaming Employment</v>
          </cell>
          <cell r="C251" t="str">
            <v>e_necJ_fr_</v>
          </cell>
          <cell r="D251" t="str">
            <v>Manpower Needs and Wages Survey</v>
          </cell>
        </row>
        <row r="252">
          <cell r="B252" t="str">
            <v>Non-Gaming Spend</v>
          </cell>
          <cell r="C252" t="str">
            <v>e_idv_fr</v>
          </cell>
          <cell r="D252" t="str">
            <v>Visitor Expenditure Report</v>
          </cell>
        </row>
        <row r="253">
          <cell r="B253" t="str">
            <v>Per-Diem Spend</v>
          </cell>
          <cell r="C253" t="str">
            <v>e_idv_fr</v>
          </cell>
          <cell r="D253" t="str">
            <v>Visitor Expenditure Report</v>
          </cell>
        </row>
        <row r="254">
          <cell r="B254" t="str">
            <v>Overnight Guests</v>
          </cell>
          <cell r="C254" t="str">
            <v>e_bme_pub_</v>
          </cell>
          <cell r="D254" t="str">
            <v>Monthly Bulletin of Statistics</v>
          </cell>
        </row>
        <row r="255">
          <cell r="B255" t="str">
            <v>Overnight Guests</v>
          </cell>
          <cell r="C255" t="str">
            <v>e_eoh_fr_</v>
          </cell>
          <cell r="D255" t="str">
            <v>Package Tour and Hotel Occupancy Rate</v>
          </cell>
        </row>
        <row r="256">
          <cell r="B256" t="str">
            <v>Same Day Visitors</v>
          </cell>
          <cell r="C256" t="str">
            <v>e_bme_pub_</v>
          </cell>
          <cell r="D256" t="str">
            <v>Monthly Bulletin of Statistics</v>
          </cell>
        </row>
        <row r="257">
          <cell r="B257" t="str">
            <v>Same Day Visitors</v>
          </cell>
          <cell r="C257" t="str">
            <v>e_mv_fr_</v>
          </cell>
          <cell r="D257" t="str">
            <v>Visitor Arrivals</v>
          </cell>
        </row>
        <row r="258">
          <cell r="B258" t="str">
            <v>FIT Visitors</v>
          </cell>
          <cell r="C258" t="str">
            <v>PDF</v>
          </cell>
          <cell r="D258" t="str">
            <v>Visitor Arrivals</v>
          </cell>
        </row>
        <row r="259">
          <cell r="B259" t="str">
            <v>FIT Visitors</v>
          </cell>
          <cell r="C259" t="str">
            <v>e_bet_pub_</v>
          </cell>
          <cell r="D259" t="str">
            <v>Economic Bulletin</v>
          </cell>
        </row>
        <row r="260">
          <cell r="B260" t="str">
            <v>Visitor Arrivals</v>
          </cell>
          <cell r="C260" t="str">
            <v>e_mv_fr_</v>
          </cell>
          <cell r="D260" t="str">
            <v>Visitor Arrivals</v>
          </cell>
        </row>
        <row r="261">
          <cell r="B261" t="str">
            <v>Visitor Arrivals in Package Tours</v>
          </cell>
          <cell r="C261" t="str">
            <v>e_bme_pub_</v>
          </cell>
          <cell r="D261" t="str">
            <v>Monthly Bulletin of Statistics</v>
          </cell>
        </row>
        <row r="262">
          <cell r="B262" t="str">
            <v>Visitor Arrivals in Package Tours</v>
          </cell>
          <cell r="C262" t="str">
            <v>e_eoh_fr_</v>
          </cell>
          <cell r="D262" t="str">
            <v>Package Tour and Hotel Occupancy Rate</v>
          </cell>
        </row>
        <row r="263">
          <cell r="B263" t="str">
            <v>Visitor Arrivals by Method</v>
          </cell>
          <cell r="C263" t="str">
            <v>e_mv_fr_</v>
          </cell>
          <cell r="D263" t="str">
            <v>Visitor Arrivals</v>
          </cell>
        </row>
        <row r="264">
          <cell r="B264" t="str">
            <v>Weather</v>
          </cell>
          <cell r="C264" t="str">
            <v>e_bme_pub_</v>
          </cell>
          <cell r="D264" t="str">
            <v>Monthly Bulletin of Statistics</v>
          </cell>
        </row>
        <row r="265">
          <cell r="B265" t="str">
            <v>Total Airport Passengers</v>
          </cell>
          <cell r="C265" t="str">
            <v>http://www.macau-airport.com/en/h02/04_traffic_stat.php</v>
          </cell>
        </row>
      </sheetData>
      <sheetData sheetId="3" refreshError="1"/>
      <sheetData sheetId="4" refreshError="1"/>
      <sheetData sheetId="5" refreshError="1">
        <row r="2">
          <cell r="B2" t="str">
            <v>Visitor Penetration</v>
          </cell>
        </row>
        <row r="3">
          <cell r="B3" t="str">
            <v>(mm)</v>
          </cell>
          <cell r="C3">
            <v>2000</v>
          </cell>
          <cell r="D3">
            <v>2001</v>
          </cell>
          <cell r="E3">
            <v>2002</v>
          </cell>
          <cell r="F3">
            <v>2003</v>
          </cell>
          <cell r="G3">
            <v>2004</v>
          </cell>
          <cell r="H3">
            <v>2005</v>
          </cell>
          <cell r="I3">
            <v>2006</v>
          </cell>
          <cell r="J3" t="str">
            <v>2007E</v>
          </cell>
          <cell r="K3" t="str">
            <v>2008E</v>
          </cell>
          <cell r="L3" t="str">
            <v>2009E</v>
          </cell>
          <cell r="M3" t="str">
            <v>2010E</v>
          </cell>
          <cell r="N3" t="str">
            <v>2011E</v>
          </cell>
          <cell r="O3" t="str">
            <v>2012E</v>
          </cell>
          <cell r="P3" t="str">
            <v>2013E</v>
          </cell>
          <cell r="Q3" t="str">
            <v>2014E</v>
          </cell>
          <cell r="R3" t="str">
            <v>2015E</v>
          </cell>
          <cell r="S3" t="str">
            <v>2016E</v>
          </cell>
          <cell r="T3" t="str">
            <v>2017E</v>
          </cell>
          <cell r="U3" t="str">
            <v>2018E</v>
          </cell>
          <cell r="V3" t="str">
            <v>2019E</v>
          </cell>
          <cell r="W3" t="str">
            <v>2020E</v>
          </cell>
        </row>
        <row r="5">
          <cell r="B5" t="str">
            <v>China Population</v>
          </cell>
          <cell r="C5">
            <v>1267.43</v>
          </cell>
          <cell r="D5">
            <v>1276.27</v>
          </cell>
          <cell r="E5">
            <v>1284.53</v>
          </cell>
          <cell r="F5">
            <v>1292.27</v>
          </cell>
          <cell r="G5">
            <v>1299.8800000000001</v>
          </cell>
          <cell r="H5">
            <v>1306.3794</v>
          </cell>
          <cell r="I5">
            <v>1312.9112969999999</v>
          </cell>
          <cell r="J5">
            <v>1319.4758534849998</v>
          </cell>
          <cell r="K5">
            <v>1326.0732327524247</v>
          </cell>
          <cell r="L5">
            <v>1332.7035989161866</v>
          </cell>
          <cell r="M5">
            <v>1339.3671169107674</v>
          </cell>
          <cell r="N5">
            <v>1346.063952495321</v>
          </cell>
          <cell r="O5">
            <v>1352.7942722577975</v>
          </cell>
          <cell r="P5">
            <v>1359.5582436190864</v>
          </cell>
          <cell r="Q5">
            <v>1366.3560348371816</v>
          </cell>
          <cell r="R5">
            <v>1373.1878150113673</v>
          </cell>
          <cell r="S5">
            <v>1380.0537540864241</v>
          </cell>
          <cell r="T5">
            <v>1386.954022856856</v>
          </cell>
          <cell r="U5">
            <v>1393.8887929711402</v>
          </cell>
          <cell r="V5">
            <v>1400.8582369359958</v>
          </cell>
          <cell r="W5">
            <v>1407.8625281206757</v>
          </cell>
        </row>
        <row r="6">
          <cell r="B6" t="str">
            <v xml:space="preserve">  Urban Population</v>
          </cell>
          <cell r="C6">
            <v>459.06</v>
          </cell>
          <cell r="D6">
            <v>480.64</v>
          </cell>
          <cell r="E6">
            <v>502.12</v>
          </cell>
          <cell r="F6">
            <v>523.76</v>
          </cell>
          <cell r="G6">
            <v>542.83000000000004</v>
          </cell>
          <cell r="H6">
            <v>564.54320000000007</v>
          </cell>
          <cell r="I6">
            <v>587.12492800000007</v>
          </cell>
          <cell r="J6">
            <v>610.60992512000007</v>
          </cell>
          <cell r="K6">
            <v>635.03432212480004</v>
          </cell>
          <cell r="L6">
            <v>660.43569500979208</v>
          </cell>
          <cell r="M6">
            <v>686.85312281018378</v>
          </cell>
          <cell r="N6">
            <v>707.45871649448929</v>
          </cell>
          <cell r="O6">
            <v>728.68247798932396</v>
          </cell>
          <cell r="P6">
            <v>750.5429523290037</v>
          </cell>
          <cell r="Q6">
            <v>773.05924089887378</v>
          </cell>
          <cell r="R6">
            <v>796.25101812584001</v>
          </cell>
          <cell r="S6">
            <v>820.13854866961526</v>
          </cell>
          <cell r="T6">
            <v>844.74270512970372</v>
          </cell>
          <cell r="U6">
            <v>870.08498628359484</v>
          </cell>
          <cell r="V6">
            <v>896.18753587210267</v>
          </cell>
          <cell r="W6">
            <v>923.07316194826581</v>
          </cell>
        </row>
        <row r="7">
          <cell r="B7" t="str">
            <v xml:space="preserve">  Covered Under IVS Program</v>
          </cell>
          <cell r="C7">
            <v>0</v>
          </cell>
          <cell r="D7">
            <v>0</v>
          </cell>
          <cell r="E7">
            <v>0</v>
          </cell>
          <cell r="F7">
            <v>53.99</v>
          </cell>
          <cell r="G7">
            <v>157.501823</v>
          </cell>
          <cell r="H7">
            <v>229.114823</v>
          </cell>
          <cell r="I7">
            <v>244.32482300000001</v>
          </cell>
          <cell r="J7">
            <v>344.32482300000004</v>
          </cell>
          <cell r="K7">
            <v>444.32482300000004</v>
          </cell>
          <cell r="L7">
            <v>544.32482300000004</v>
          </cell>
          <cell r="M7">
            <v>644.32482300000004</v>
          </cell>
          <cell r="N7">
            <v>707.45871649448929</v>
          </cell>
          <cell r="O7">
            <v>728.68247798932396</v>
          </cell>
          <cell r="P7">
            <v>750.5429523290037</v>
          </cell>
          <cell r="Q7">
            <v>773.05924089887378</v>
          </cell>
          <cell r="R7">
            <v>796.25101812584001</v>
          </cell>
          <cell r="S7">
            <v>820.13854866961526</v>
          </cell>
          <cell r="T7">
            <v>844.74270512970372</v>
          </cell>
          <cell r="U7">
            <v>870.08498628359484</v>
          </cell>
          <cell r="V7">
            <v>896.18753587210267</v>
          </cell>
          <cell r="W7">
            <v>923.07316194826581</v>
          </cell>
        </row>
        <row r="9">
          <cell r="B9" t="str">
            <v>Macau Visitors from China</v>
          </cell>
          <cell r="C9">
            <v>2.2747129999999998</v>
          </cell>
          <cell r="D9">
            <v>3.005722</v>
          </cell>
          <cell r="E9">
            <v>4.2404460000000004</v>
          </cell>
          <cell r="F9">
            <v>5.7420359999999997</v>
          </cell>
          <cell r="G9">
            <v>9.5297389999999993</v>
          </cell>
          <cell r="H9">
            <v>10.462966</v>
          </cell>
          <cell r="I9">
            <v>11.985617</v>
          </cell>
          <cell r="J9">
            <v>14.484650159144822</v>
          </cell>
          <cell r="K9">
            <v>17.638701722452655</v>
          </cell>
          <cell r="L9">
            <v>21.558132326615485</v>
          </cell>
          <cell r="M9">
            <v>26.21178215894642</v>
          </cell>
          <cell r="N9">
            <v>30.904491640661544</v>
          </cell>
          <cell r="O9">
            <v>35.722262498083758</v>
          </cell>
          <cell r="P9">
            <v>40.647239202574539</v>
          </cell>
          <cell r="Q9">
            <v>45.727146924343032</v>
          </cell>
          <cell r="R9">
            <v>51.078950400418123</v>
          </cell>
          <cell r="S9">
            <v>56.714428297171473</v>
          </cell>
          <cell r="T9">
            <v>62.645821663158742</v>
          </cell>
          <cell r="U9">
            <v>68.885851074934806</v>
          </cell>
          <cell r="V9">
            <v>75.447734395510523</v>
          </cell>
          <cell r="W9">
            <v>82.345205166779223</v>
          </cell>
        </row>
        <row r="10">
          <cell r="B10" t="str">
            <v xml:space="preserve">  Package Tour Visitors</v>
          </cell>
          <cell r="C10">
            <v>0.94642400000000004</v>
          </cell>
          <cell r="D10">
            <v>0.98857499999999998</v>
          </cell>
          <cell r="E10">
            <v>1.4252050000000001</v>
          </cell>
          <cell r="F10">
            <v>1.2582150000000001</v>
          </cell>
          <cell r="G10">
            <v>2.0682459999999998</v>
          </cell>
          <cell r="H10">
            <v>2.2787450000000002</v>
          </cell>
          <cell r="I10">
            <v>2.2941310000000001</v>
          </cell>
          <cell r="J10">
            <v>2.8676637500000002</v>
          </cell>
          <cell r="K10">
            <v>3.5845796875000002</v>
          </cell>
          <cell r="L10">
            <v>4.1222666406249999</v>
          </cell>
          <cell r="M10">
            <v>4.6169386375000006</v>
          </cell>
          <cell r="N10">
            <v>5.032463114875001</v>
          </cell>
          <cell r="O10">
            <v>5.3344109017675017</v>
          </cell>
          <cell r="P10">
            <v>5.4944432288205265</v>
          </cell>
          <cell r="Q10">
            <v>5.5493876611087316</v>
          </cell>
          <cell r="R10">
            <v>5.6048815377198187</v>
          </cell>
          <cell r="S10">
            <v>5.660930353097017</v>
          </cell>
          <cell r="T10">
            <v>5.717539656627987</v>
          </cell>
          <cell r="U10">
            <v>5.7747150531942673</v>
          </cell>
          <cell r="V10">
            <v>5.8324622037262097</v>
          </cell>
          <cell r="W10">
            <v>5.8907868257634721</v>
          </cell>
        </row>
        <row r="11">
          <cell r="B11" t="str">
            <v xml:space="preserve">  Total Individuals</v>
          </cell>
          <cell r="C11">
            <v>1.3282889999999998</v>
          </cell>
          <cell r="D11">
            <v>2.017147</v>
          </cell>
          <cell r="E11">
            <v>2.8152410000000003</v>
          </cell>
          <cell r="F11">
            <v>4.4838209999999998</v>
          </cell>
          <cell r="G11">
            <v>7.461492999999999</v>
          </cell>
          <cell r="H11">
            <v>8.1842209999999991</v>
          </cell>
          <cell r="I11">
            <v>9.6914859999999994</v>
          </cell>
          <cell r="J11">
            <v>11.616986409144822</v>
          </cell>
          <cell r="K11">
            <v>14.054122034952655</v>
          </cell>
          <cell r="L11">
            <v>17.435865685990485</v>
          </cell>
          <cell r="M11">
            <v>21.594843521446421</v>
          </cell>
          <cell r="N11">
            <v>25.872028525786543</v>
          </cell>
          <cell r="O11">
            <v>30.387851596316256</v>
          </cell>
          <cell r="P11">
            <v>35.15279597375401</v>
          </cell>
          <cell r="Q11">
            <v>40.1777592632343</v>
          </cell>
          <cell r="R11">
            <v>45.474068862698303</v>
          </cell>
          <cell r="S11">
            <v>51.053497944074458</v>
          </cell>
          <cell r="T11">
            <v>56.928282006530758</v>
          </cell>
          <cell r="U11">
            <v>63.111136021740535</v>
          </cell>
          <cell r="V11">
            <v>69.615272191784314</v>
          </cell>
          <cell r="W11">
            <v>76.454418341015753</v>
          </cell>
        </row>
        <row r="13">
          <cell r="B13" t="str">
            <v xml:space="preserve">  Non-IVS Individual Visitors</v>
          </cell>
          <cell r="C13">
            <v>1.3282889999999998</v>
          </cell>
          <cell r="D13">
            <v>2.017147</v>
          </cell>
          <cell r="E13">
            <v>2.8152410000000003</v>
          </cell>
          <cell r="F13">
            <v>3.875521</v>
          </cell>
          <cell r="G13">
            <v>3.9427409999999989</v>
          </cell>
          <cell r="H13">
            <v>2.8527119999999995</v>
          </cell>
          <cell r="I13">
            <v>3.9166359999999996</v>
          </cell>
          <cell r="J13">
            <v>3.7208041999999995</v>
          </cell>
          <cell r="K13">
            <v>3.5347639899999992</v>
          </cell>
          <cell r="L13">
            <v>3.5701116298999991</v>
          </cell>
          <cell r="M13">
            <v>3.6058127461989993</v>
          </cell>
          <cell r="N13">
            <v>3.6418708736609893</v>
          </cell>
          <cell r="O13">
            <v>3.6782895823975994</v>
          </cell>
          <cell r="P13">
            <v>3.7150724782215754</v>
          </cell>
          <cell r="Q13">
            <v>3.752223203003791</v>
          </cell>
          <cell r="R13">
            <v>3.7897454350338289</v>
          </cell>
          <cell r="S13">
            <v>3.8276428893841672</v>
          </cell>
          <cell r="T13">
            <v>3.8659193182780087</v>
          </cell>
          <cell r="U13">
            <v>3.9045785114607887</v>
          </cell>
          <cell r="V13">
            <v>3.9436242965753965</v>
          </cell>
          <cell r="W13">
            <v>3.9830605395411505</v>
          </cell>
        </row>
        <row r="14">
          <cell r="B14" t="str">
            <v xml:space="preserve">  IVS Individual Visitors</v>
          </cell>
          <cell r="C14">
            <v>0</v>
          </cell>
          <cell r="D14">
            <v>0</v>
          </cell>
          <cell r="E14">
            <v>0</v>
          </cell>
          <cell r="F14">
            <v>0.60830000000000006</v>
          </cell>
          <cell r="G14">
            <v>3.5187520000000001</v>
          </cell>
          <cell r="H14">
            <v>5.3315089999999996</v>
          </cell>
          <cell r="I14">
            <v>5.7748499999999998</v>
          </cell>
          <cell r="J14">
            <v>7.8961822091448219</v>
          </cell>
          <cell r="K14">
            <v>10.519358044952657</v>
          </cell>
          <cell r="L14">
            <v>13.865754056090488</v>
          </cell>
          <cell r="M14">
            <v>17.989030775247421</v>
          </cell>
          <cell r="N14">
            <v>22.230157652125556</v>
          </cell>
          <cell r="O14">
            <v>26.709562013918656</v>
          </cell>
          <cell r="P14">
            <v>31.437723495532431</v>
          </cell>
          <cell r="Q14">
            <v>36.425536060230506</v>
          </cell>
          <cell r="R14">
            <v>41.684323427664474</v>
          </cell>
          <cell r="S14">
            <v>47.225855054690292</v>
          </cell>
          <cell r="T14">
            <v>53.062362688252747</v>
          </cell>
          <cell r="U14">
            <v>59.206557510279744</v>
          </cell>
          <cell r="V14">
            <v>65.67164789520892</v>
          </cell>
          <cell r="W14">
            <v>72.471357801474596</v>
          </cell>
        </row>
        <row r="16">
          <cell r="B16" t="str">
            <v>Total Visitor Growth</v>
          </cell>
          <cell r="D16">
            <v>0.32136317856362551</v>
          </cell>
          <cell r="E16">
            <v>0.41079115101130448</v>
          </cell>
          <cell r="F16">
            <v>0.3541113364018782</v>
          </cell>
          <cell r="G16">
            <v>0.65964459296319289</v>
          </cell>
          <cell r="H16">
            <v>9.7927865600516473E-2</v>
          </cell>
          <cell r="I16">
            <v>0.14552766395303207</v>
          </cell>
          <cell r="J16">
            <v>0.20850267108859089</v>
          </cell>
          <cell r="K16">
            <v>0.21775131112272916</v>
          </cell>
          <cell r="L16">
            <v>0.22220629759693189</v>
          </cell>
          <cell r="M16">
            <v>0.21586516688115776</v>
          </cell>
          <cell r="N16">
            <v>0.17903053875768005</v>
          </cell>
          <cell r="O16">
            <v>0.15589225389759842</v>
          </cell>
          <cell r="P16">
            <v>0.13786855479142646</v>
          </cell>
          <cell r="Q16">
            <v>0.12497546749612298</v>
          </cell>
          <cell r="R16">
            <v>0.11703777375242352</v>
          </cell>
          <cell r="S16">
            <v>0.11032877247037587</v>
          </cell>
          <cell r="T16">
            <v>0.10458349919191701</v>
          </cell>
          <cell r="U16">
            <v>9.9608070356681955E-2</v>
          </cell>
          <cell r="V16">
            <v>9.5257345567780316E-2</v>
          </cell>
          <cell r="W16">
            <v>9.1420515493691568E-2</v>
          </cell>
        </row>
        <row r="17">
          <cell r="B17" t="str">
            <v xml:space="preserve">  Package Tour Growth</v>
          </cell>
          <cell r="D17">
            <v>4.4537120783073814E-2</v>
          </cell>
          <cell r="E17">
            <v>0.44167615001390903</v>
          </cell>
          <cell r="F17">
            <v>-0.11716910900537114</v>
          </cell>
          <cell r="G17">
            <v>0.6437937872303221</v>
          </cell>
          <cell r="H17">
            <v>0.10177657783455185</v>
          </cell>
          <cell r="I17">
            <v>6.7519621546070496E-3</v>
          </cell>
          <cell r="J17">
            <v>0.25</v>
          </cell>
          <cell r="K17">
            <v>0.25</v>
          </cell>
          <cell r="L17">
            <v>0.15</v>
          </cell>
          <cell r="M17">
            <v>0.12</v>
          </cell>
          <cell r="N17">
            <v>0.09</v>
          </cell>
          <cell r="O17">
            <v>0.06</v>
          </cell>
          <cell r="P17">
            <v>0.03</v>
          </cell>
          <cell r="Q17">
            <v>0.01</v>
          </cell>
          <cell r="R17">
            <v>0.01</v>
          </cell>
          <cell r="S17">
            <v>0.01</v>
          </cell>
          <cell r="T17">
            <v>0.01</v>
          </cell>
          <cell r="U17">
            <v>0.01</v>
          </cell>
          <cell r="V17">
            <v>0.01</v>
          </cell>
          <cell r="W17">
            <v>0.01</v>
          </cell>
        </row>
        <row r="18">
          <cell r="B18" t="str">
            <v xml:space="preserve">  Total Individual Growth</v>
          </cell>
          <cell r="D18">
            <v>0.51860551431202118</v>
          </cell>
          <cell r="E18">
            <v>0.39565485311680315</v>
          </cell>
          <cell r="F18">
            <v>0.5926952612582721</v>
          </cell>
          <cell r="G18">
            <v>0.66409252287279075</v>
          </cell>
          <cell r="H18">
            <v>9.6861043761617083E-2</v>
          </cell>
          <cell r="I18">
            <v>0.18416719196610165</v>
          </cell>
          <cell r="J18">
            <v>0.19867958423969467</v>
          </cell>
          <cell r="K18">
            <v>0.20979069269542538</v>
          </cell>
          <cell r="L18">
            <v>0.24062290356006732</v>
          </cell>
          <cell r="M18">
            <v>0.23853004550256585</v>
          </cell>
          <cell r="N18">
            <v>0.19806510753793316</v>
          </cell>
          <cell r="O18">
            <v>0.17454460774224989</v>
          </cell>
          <cell r="P18">
            <v>0.15680425325018299</v>
          </cell>
          <cell r="Q18">
            <v>0.14294633329400197</v>
          </cell>
          <cell r="R18">
            <v>0.1318219257764961</v>
          </cell>
          <cell r="S18">
            <v>0.12269474056131524</v>
          </cell>
          <cell r="T18">
            <v>0.11507113712152917</v>
          </cell>
          <cell r="U18">
            <v>0.10860777450653591</v>
          </cell>
          <cell r="V18">
            <v>0.10305845497382959</v>
          </cell>
          <cell r="W18">
            <v>9.8242037040236818E-2</v>
          </cell>
        </row>
        <row r="20">
          <cell r="B20" t="str">
            <v xml:space="preserve">  Non-IVS Individual Growth</v>
          </cell>
          <cell r="D20">
            <v>0.51860551431202118</v>
          </cell>
          <cell r="E20">
            <v>0.39565485311680315</v>
          </cell>
          <cell r="F20">
            <v>0.37662139759970792</v>
          </cell>
          <cell r="G20">
            <v>1.7344764742598162E-2</v>
          </cell>
          <cell r="H20">
            <v>-0.27646477412541171</v>
          </cell>
          <cell r="I20">
            <v>0.37295177361051524</v>
          </cell>
          <cell r="J20">
            <v>-0.05</v>
          </cell>
          <cell r="K20">
            <v>-0.05</v>
          </cell>
          <cell r="L20">
            <v>0.01</v>
          </cell>
          <cell r="M20">
            <v>0.01</v>
          </cell>
          <cell r="N20">
            <v>0.01</v>
          </cell>
          <cell r="O20">
            <v>0.01</v>
          </cell>
          <cell r="P20">
            <v>0.01</v>
          </cell>
          <cell r="Q20">
            <v>0.01</v>
          </cell>
          <cell r="R20">
            <v>0.01</v>
          </cell>
          <cell r="S20">
            <v>0.01</v>
          </cell>
          <cell r="T20">
            <v>0.01</v>
          </cell>
          <cell r="U20">
            <v>0.01</v>
          </cell>
          <cell r="V20">
            <v>0.01</v>
          </cell>
          <cell r="W20">
            <v>0.01</v>
          </cell>
        </row>
        <row r="21">
          <cell r="B21" t="str">
            <v xml:space="preserve">  IVS Individual Growth</v>
          </cell>
          <cell r="D21" t="str">
            <v>N.M.</v>
          </cell>
          <cell r="E21" t="str">
            <v>N.M.</v>
          </cell>
          <cell r="F21" t="str">
            <v>N.M.</v>
          </cell>
          <cell r="G21">
            <v>4.7845668255794838</v>
          </cell>
          <cell r="H21">
            <v>0.51517043542710583</v>
          </cell>
          <cell r="I21">
            <v>8.3154881666710256E-2</v>
          </cell>
          <cell r="J21">
            <v>0.36733979395911964</v>
          </cell>
          <cell r="K21">
            <v>0.33220811859810562</v>
          </cell>
          <cell r="L21">
            <v>0.31811789244529809</v>
          </cell>
          <cell r="M21">
            <v>0.29737125745035109</v>
          </cell>
          <cell r="N21">
            <v>0.23576183341205059</v>
          </cell>
          <cell r="O21">
            <v>0.20150124132677028</v>
          </cell>
          <cell r="P21">
            <v>0.17702130342496347</v>
          </cell>
          <cell r="Q21">
            <v>0.15865692582374447</v>
          </cell>
          <cell r="R21">
            <v>0.14437089844713435</v>
          </cell>
          <cell r="S21">
            <v>0.13294042391361183</v>
          </cell>
          <cell r="T21">
            <v>0.12358712461221599</v>
          </cell>
          <cell r="U21">
            <v>0.11579195706238754</v>
          </cell>
          <cell r="V21">
            <v>0.10919551240260295</v>
          </cell>
          <cell r="W21">
            <v>0.10354102758493067</v>
          </cell>
        </row>
        <row r="23">
          <cell r="B23" t="str">
            <v>Overall Penetration Rate</v>
          </cell>
          <cell r="C23">
            <v>1.7947444829300235E-3</v>
          </cell>
          <cell r="D23">
            <v>2.3550831720560695E-3</v>
          </cell>
          <cell r="E23">
            <v>3.3011654068024884E-3</v>
          </cell>
          <cell r="F23">
            <v>4.4433717411995945E-3</v>
          </cell>
          <cell r="G23">
            <v>7.3312451918638635E-3</v>
          </cell>
          <cell r="H23">
            <v>8.0091327220867068E-3</v>
          </cell>
          <cell r="I23">
            <v>9.1290379078823643E-3</v>
          </cell>
          <cell r="J23">
            <v>1.0977578802134168E-2</v>
          </cell>
          <cell r="K23">
            <v>1.330145371069847E-2</v>
          </cell>
          <cell r="L23">
            <v>1.6176239295930102E-2</v>
          </cell>
          <cell r="M23">
            <v>1.9570274518463278E-2</v>
          </cell>
          <cell r="N23">
            <v>2.2959155531482051E-2</v>
          </cell>
          <cell r="O23">
            <v>2.6406278641661993E-2</v>
          </cell>
          <cell r="P23">
            <v>2.9897387179510099E-2</v>
          </cell>
          <cell r="Q23">
            <v>3.3466494645952215E-2</v>
          </cell>
          <cell r="R23">
            <v>3.7197351915036682E-2</v>
          </cell>
          <cell r="S23">
            <v>4.109581103579231E-2</v>
          </cell>
          <cell r="T23">
            <v>4.5167915180144555E-2</v>
          </cell>
          <cell r="U23">
            <v>4.9419904530619937E-2</v>
          </cell>
          <cell r="V23">
            <v>5.3858222342706381E-2</v>
          </cell>
          <cell r="W23">
            <v>5.8489521186915881E-2</v>
          </cell>
        </row>
        <row r="24">
          <cell r="B24" t="str">
            <v xml:space="preserve">  IVS Penetration Rate</v>
          </cell>
          <cell r="C24" t="str">
            <v>N.M.</v>
          </cell>
          <cell r="D24" t="str">
            <v>N.M.</v>
          </cell>
          <cell r="E24" t="str">
            <v>N.M.</v>
          </cell>
          <cell r="F24">
            <v>1.1266901278014448E-2</v>
          </cell>
          <cell r="G24">
            <v>2.234102395119579E-2</v>
          </cell>
          <cell r="H24">
            <v>2.3270030852608779E-2</v>
          </cell>
          <cell r="I24">
            <v>2.3635952864273637E-2</v>
          </cell>
          <cell r="J24">
            <v>2.2932364098375856E-2</v>
          </cell>
          <cell r="K24">
            <v>2.3674927666493789E-2</v>
          </cell>
          <cell r="L24">
            <v>2.5473308344952122E-2</v>
          </cell>
          <cell r="M24">
            <v>2.7919195618585409E-2</v>
          </cell>
          <cell r="N24">
            <v>3.1422551074467842E-2</v>
          </cell>
          <cell r="O24">
            <v>3.6654596234589276E-2</v>
          </cell>
          <cell r="P24">
            <v>4.1886641394710704E-2</v>
          </cell>
          <cell r="Q24">
            <v>4.7118686554832145E-2</v>
          </cell>
          <cell r="R24">
            <v>5.2350731714953559E-2</v>
          </cell>
          <cell r="S24">
            <v>5.7582776875075001E-2</v>
          </cell>
          <cell r="T24">
            <v>6.2814822035196421E-2</v>
          </cell>
          <cell r="U24">
            <v>6.804686719531787E-2</v>
          </cell>
          <cell r="V24">
            <v>7.3278912355439291E-2</v>
          </cell>
          <cell r="W24">
            <v>7.8510957515560725E-2</v>
          </cell>
        </row>
        <row r="28">
          <cell r="B28" t="str">
            <v>China Total Population Growth</v>
          </cell>
          <cell r="D28">
            <v>6.974744167330682E-3</v>
          </cell>
          <cell r="E28">
            <v>6.4719847681133924E-3</v>
          </cell>
          <cell r="F28">
            <v>6.025550201240959E-3</v>
          </cell>
          <cell r="G28">
            <v>5.8888622346724429E-3</v>
          </cell>
          <cell r="H28">
            <v>4.9999999999998934E-3</v>
          </cell>
          <cell r="I28">
            <v>4.9999999999998934E-3</v>
          </cell>
          <cell r="J28">
            <v>4.9999999999998934E-3</v>
          </cell>
          <cell r="K28">
            <v>4.9999999999998934E-3</v>
          </cell>
          <cell r="L28">
            <v>4.9999999999998934E-3</v>
          </cell>
          <cell r="M28">
            <v>4.9999999999998934E-3</v>
          </cell>
          <cell r="N28">
            <v>4.9999999999998934E-3</v>
          </cell>
          <cell r="O28">
            <v>4.9999999999998934E-3</v>
          </cell>
          <cell r="P28">
            <v>4.9999999999998934E-3</v>
          </cell>
          <cell r="Q28">
            <v>4.9999999999998934E-3</v>
          </cell>
          <cell r="R28">
            <v>4.9999999999998934E-3</v>
          </cell>
          <cell r="S28">
            <v>4.9999999999998934E-3</v>
          </cell>
          <cell r="T28">
            <v>4.9999999999998934E-3</v>
          </cell>
          <cell r="U28">
            <v>4.9999999999998934E-3</v>
          </cell>
          <cell r="V28">
            <v>4.9999999999998934E-3</v>
          </cell>
          <cell r="W28">
            <v>4.9999999999998934E-3</v>
          </cell>
        </row>
        <row r="29">
          <cell r="B29" t="str">
            <v>Urban Population Growth</v>
          </cell>
          <cell r="D29">
            <v>4.7009105563542875E-2</v>
          </cell>
          <cell r="E29">
            <v>4.4690412782956157E-2</v>
          </cell>
          <cell r="F29">
            <v>4.3097267585437748E-2</v>
          </cell>
          <cell r="G29">
            <v>3.6409806018023572E-2</v>
          </cell>
          <cell r="H29">
            <v>4.0000000000000036E-2</v>
          </cell>
          <cell r="I29">
            <v>4.0000000000000036E-2</v>
          </cell>
          <cell r="J29">
            <v>4.0000000000000036E-2</v>
          </cell>
          <cell r="K29">
            <v>4.0000000000000036E-2</v>
          </cell>
          <cell r="L29">
            <v>4.0000000000000036E-2</v>
          </cell>
          <cell r="M29">
            <v>4.0000000000000036E-2</v>
          </cell>
          <cell r="N29">
            <v>3.0000000000000027E-2</v>
          </cell>
          <cell r="O29">
            <v>3.0000000000000027E-2</v>
          </cell>
          <cell r="P29">
            <v>3.0000000000000027E-2</v>
          </cell>
          <cell r="Q29">
            <v>3.0000000000000027E-2</v>
          </cell>
          <cell r="R29">
            <v>3.0000000000000027E-2</v>
          </cell>
          <cell r="S29">
            <v>3.0000000000000027E-2</v>
          </cell>
          <cell r="T29">
            <v>3.0000000000000027E-2</v>
          </cell>
          <cell r="U29">
            <v>3.0000000000000027E-2</v>
          </cell>
          <cell r="V29">
            <v>3.0000000000000027E-2</v>
          </cell>
          <cell r="W29">
            <v>3.0000000000000027E-2</v>
          </cell>
        </row>
        <row r="30">
          <cell r="B30" t="str">
            <v>IVS Population Growth</v>
          </cell>
          <cell r="D30" t="str">
            <v>N.M.</v>
          </cell>
          <cell r="E30" t="str">
            <v>N.M.</v>
          </cell>
          <cell r="F30" t="str">
            <v>N.M.</v>
          </cell>
          <cell r="G30">
            <v>1.9172406556769772</v>
          </cell>
          <cell r="H30">
            <v>0.45468045153991654</v>
          </cell>
          <cell r="I30">
            <v>6.6385927374066123E-2</v>
          </cell>
          <cell r="J30">
            <v>0.40929120001859176</v>
          </cell>
          <cell r="K30">
            <v>0.29042344123995956</v>
          </cell>
          <cell r="L30">
            <v>0.22506057465981377</v>
          </cell>
          <cell r="M30">
            <v>0.18371383367904937</v>
          </cell>
          <cell r="N30">
            <v>9.7984574302966587E-2</v>
          </cell>
          <cell r="O30">
            <v>3.0000000000000027E-2</v>
          </cell>
          <cell r="P30">
            <v>3.0000000000000027E-2</v>
          </cell>
          <cell r="Q30">
            <v>3.0000000000000027E-2</v>
          </cell>
          <cell r="R30">
            <v>3.0000000000000027E-2</v>
          </cell>
          <cell r="S30">
            <v>3.0000000000000027E-2</v>
          </cell>
          <cell r="T30">
            <v>3.0000000000000027E-2</v>
          </cell>
          <cell r="U30">
            <v>3.0000000000000027E-2</v>
          </cell>
          <cell r="V30">
            <v>3.0000000000000027E-2</v>
          </cell>
          <cell r="W30">
            <v>3.0000000000000027E-2</v>
          </cell>
        </row>
        <row r="32">
          <cell r="B32" t="str">
            <v>Urban Share</v>
          </cell>
          <cell r="C32">
            <v>0.36219751781163456</v>
          </cell>
          <cell r="D32">
            <v>0.3765974284438246</v>
          </cell>
          <cell r="E32">
            <v>0.39089783811977924</v>
          </cell>
          <cell r="F32">
            <v>0.40530229750748681</v>
          </cell>
          <cell r="G32">
            <v>0.41760008616179956</v>
          </cell>
          <cell r="H32">
            <v>0.43214337274454884</v>
          </cell>
          <cell r="I32">
            <v>0.4471931419446078</v>
          </cell>
          <cell r="J32">
            <v>0.46276703246009165</v>
          </cell>
          <cell r="K32">
            <v>0.47888329727213469</v>
          </cell>
          <cell r="L32">
            <v>0.49556082503783105</v>
          </cell>
          <cell r="M32">
            <v>0.51281916222820334</v>
          </cell>
          <cell r="N32">
            <v>0.52557585780601945</v>
          </cell>
          <cell r="O32">
            <v>0.53864988411960202</v>
          </cell>
          <cell r="P32">
            <v>0.5520491349683484</v>
          </cell>
          <cell r="Q32">
            <v>0.56578170051482479</v>
          </cell>
          <cell r="R32">
            <v>0.57985587216942247</v>
          </cell>
          <cell r="S32">
            <v>0.59428014759652259</v>
          </cell>
          <cell r="T32">
            <v>0.6090632358451924</v>
          </cell>
          <cell r="U32">
            <v>0.62421406260751067</v>
          </cell>
          <cell r="V32">
            <v>0.63974177560769752</v>
          </cell>
          <cell r="W32">
            <v>0.65565575012530208</v>
          </cell>
        </row>
        <row r="33">
          <cell r="B33" t="str">
            <v>IVS Share of Urban</v>
          </cell>
          <cell r="C33">
            <v>0</v>
          </cell>
          <cell r="D33">
            <v>0</v>
          </cell>
          <cell r="E33">
            <v>0</v>
          </cell>
          <cell r="F33">
            <v>0.10308156407514893</v>
          </cell>
          <cell r="G33">
            <v>0.29014944457749203</v>
          </cell>
          <cell r="H33">
            <v>0.40584108178080963</v>
          </cell>
          <cell r="I33">
            <v>0.41613770996281046</v>
          </cell>
          <cell r="J33">
            <v>0.56390308908315179</v>
          </cell>
          <cell r="K33">
            <v>0.69968631225050404</v>
          </cell>
          <cell r="L33">
            <v>0.82419049593000804</v>
          </cell>
          <cell r="M33">
            <v>0.93808239578764108</v>
          </cell>
          <cell r="N33">
            <v>1</v>
          </cell>
          <cell r="O33">
            <v>1</v>
          </cell>
          <cell r="P33">
            <v>1</v>
          </cell>
          <cell r="Q33">
            <v>1</v>
          </cell>
          <cell r="R33">
            <v>1</v>
          </cell>
          <cell r="S33">
            <v>1</v>
          </cell>
          <cell r="T33">
            <v>1</v>
          </cell>
          <cell r="U33">
            <v>1</v>
          </cell>
          <cell r="V33">
            <v>1</v>
          </cell>
          <cell r="W33">
            <v>1</v>
          </cell>
        </row>
        <row r="35">
          <cell r="B35" t="str">
            <v>Same-Day Visitors</v>
          </cell>
          <cell r="C35">
            <v>0.25054900000000002</v>
          </cell>
          <cell r="D35">
            <v>0.27160299999999998</v>
          </cell>
          <cell r="E35">
            <v>0.68967800000000001</v>
          </cell>
          <cell r="F35">
            <v>2.1733669999999998</v>
          </cell>
          <cell r="G35">
            <v>4.317132</v>
          </cell>
          <cell r="H35">
            <v>4.8472390000000001</v>
          </cell>
          <cell r="I35">
            <v>5.5526463682920317</v>
          </cell>
          <cell r="J35">
            <v>6.7103879676912834</v>
          </cell>
          <cell r="K35">
            <v>8.1715837457982463</v>
          </cell>
          <cell r="L35">
            <v>9.987361115455343</v>
          </cell>
          <cell r="M35">
            <v>12.143284489345497</v>
          </cell>
        </row>
        <row r="36">
          <cell r="B36" t="str">
            <v xml:space="preserve">  Growth</v>
          </cell>
          <cell r="D36">
            <v>8.4031466898690343E-2</v>
          </cell>
          <cell r="E36">
            <v>1.5392871212762747</v>
          </cell>
          <cell r="F36">
            <v>2.1512778427034061</v>
          </cell>
          <cell r="G36">
            <v>0.98637965884270828</v>
          </cell>
          <cell r="H36">
            <v>0.12279147359867615</v>
          </cell>
          <cell r="I36">
            <v>0.14552766395303207</v>
          </cell>
          <cell r="J36">
            <v>0.20850267108859089</v>
          </cell>
          <cell r="K36">
            <v>0.21775131112272916</v>
          </cell>
          <cell r="L36">
            <v>0.22220629759693189</v>
          </cell>
          <cell r="M36">
            <v>0.21586516688115776</v>
          </cell>
        </row>
        <row r="37">
          <cell r="B37" t="str">
            <v xml:space="preserve">  Share</v>
          </cell>
          <cell r="C37">
            <v>0.11014532382766531</v>
          </cell>
          <cell r="D37">
            <v>9.0361982911260588E-2</v>
          </cell>
          <cell r="E37">
            <v>0.16264279747932173</v>
          </cell>
          <cell r="F37">
            <v>0.37850111005921938</v>
          </cell>
          <cell r="G37">
            <v>0.45301681399668975</v>
          </cell>
          <cell r="H37">
            <v>0.46327580535003177</v>
          </cell>
          <cell r="I37">
            <v>0.46327580535003177</v>
          </cell>
          <cell r="J37">
            <v>0.46327580535003177</v>
          </cell>
          <cell r="K37">
            <v>0.46327580535003177</v>
          </cell>
          <cell r="L37">
            <v>0.46327580535003177</v>
          </cell>
          <cell r="M37">
            <v>0.46327580535003177</v>
          </cell>
        </row>
        <row r="38">
          <cell r="B38" t="str">
            <v xml:space="preserve">  Share Total Same-Day</v>
          </cell>
          <cell r="C38">
            <v>6.3182292042302926E-2</v>
          </cell>
          <cell r="D38">
            <v>6.1211303322096344E-2</v>
          </cell>
          <cell r="E38">
            <v>0.13888887770098851</v>
          </cell>
          <cell r="F38">
            <v>0.38953690216496117</v>
          </cell>
          <cell r="G38">
            <v>0.51707598101597463</v>
          </cell>
          <cell r="H38">
            <v>0.49986361934359297</v>
          </cell>
          <cell r="I38">
            <v>0.49071331249505934</v>
          </cell>
          <cell r="J38">
            <v>0.47674934307440547</v>
          </cell>
          <cell r="K38">
            <v>0.505901931804843</v>
          </cell>
          <cell r="L38">
            <v>0.54050102200051975</v>
          </cell>
          <cell r="M38">
            <v>0.56571415455082796</v>
          </cell>
        </row>
        <row r="40">
          <cell r="B40" t="str">
            <v>IVS Individual Visitors from IVS Regions Allowed in:</v>
          </cell>
        </row>
        <row r="41">
          <cell r="B41">
            <v>2003</v>
          </cell>
          <cell r="F41">
            <v>0.60830000000000006</v>
          </cell>
          <cell r="G41">
            <v>0.90668239059874756</v>
          </cell>
          <cell r="H41">
            <v>1.2302333640446006</v>
          </cell>
          <cell r="I41">
            <v>1.2794426986063845</v>
          </cell>
          <cell r="J41">
            <v>1.6413464324828102</v>
          </cell>
          <cell r="K41">
            <v>2.0301553567515795</v>
          </cell>
          <cell r="L41">
            <v>2.4474428406698783</v>
          </cell>
          <cell r="M41">
            <v>2.8948650747308391</v>
          </cell>
          <cell r="N41">
            <v>3.3417212830199543</v>
          </cell>
          <cell r="O41">
            <v>3.8127834852391591</v>
          </cell>
          <cell r="P41">
            <v>4.3091018704367983</v>
          </cell>
          <cell r="Q41">
            <v>4.8317678536095796</v>
          </cell>
          <cell r="R41">
            <v>5.3819156040893343</v>
          </cell>
          <cell r="S41">
            <v>5.9607236285296263</v>
          </cell>
          <cell r="T41">
            <v>6.5694164103926562</v>
          </cell>
          <cell r="U41">
            <v>7.2092661079017901</v>
          </cell>
          <cell r="V41">
            <v>7.8815943124921191</v>
          </cell>
          <cell r="W41">
            <v>8.5877738698607562</v>
          </cell>
        </row>
        <row r="42">
          <cell r="B42">
            <v>2004</v>
          </cell>
          <cell r="G42">
            <v>2.6120696094012525</v>
          </cell>
          <cell r="H42">
            <v>3.161568223406495</v>
          </cell>
          <cell r="I42">
            <v>3.2880309523427544</v>
          </cell>
          <cell r="J42">
            <v>3.9008813117633983</v>
          </cell>
          <cell r="K42">
            <v>4.5574988504139453</v>
          </cell>
          <cell r="L42">
            <v>5.2604043820577155</v>
          </cell>
          <cell r="M42">
            <v>6.0122503580723246</v>
          </cell>
          <cell r="N42">
            <v>6.7502905635687629</v>
          </cell>
          <cell r="O42">
            <v>7.5272021560727218</v>
          </cell>
          <cell r="P42">
            <v>8.3446531826197088</v>
          </cell>
          <cell r="Q42">
            <v>9.2043767888190491</v>
          </cell>
          <cell r="R42">
            <v>10.108173623525991</v>
          </cell>
          <cell r="S42">
            <v>11.057914329205412</v>
          </cell>
          <cell r="T42">
            <v>12.055542120964425</v>
          </cell>
          <cell r="U42">
            <v>13.103075457332695</v>
          </cell>
          <cell r="V42">
            <v>14.202610805974192</v>
          </cell>
          <cell r="W42">
            <v>15.35632550762258</v>
          </cell>
        </row>
        <row r="43">
          <cell r="B43">
            <v>2005</v>
          </cell>
          <cell r="H43">
            <v>0.93970741254890378</v>
          </cell>
          <cell r="I43">
            <v>1.302020866495917</v>
          </cell>
          <cell r="J43">
            <v>1.691815864898613</v>
          </cell>
          <cell r="K43">
            <v>2.1107112297871309</v>
          </cell>
          <cell r="L43">
            <v>2.5604113184828932</v>
          </cell>
          <cell r="M43">
            <v>3.0427102763066567</v>
          </cell>
          <cell r="N43">
            <v>3.5252705648328377</v>
          </cell>
          <cell r="O43">
            <v>4.0340460314219131</v>
          </cell>
          <cell r="P43">
            <v>4.570175282497984</v>
          </cell>
          <cell r="Q43">
            <v>5.1348416472103393</v>
          </cell>
          <cell r="R43">
            <v>5.7292748360511876</v>
          </cell>
          <cell r="S43">
            <v>6.3547526587399989</v>
          </cell>
          <cell r="T43">
            <v>7.0126028034376917</v>
          </cell>
          <cell r="U43">
            <v>7.7042046794243815</v>
          </cell>
          <cell r="V43">
            <v>8.4309913254471773</v>
          </cell>
          <cell r="W43">
            <v>9.1944513860198605</v>
          </cell>
        </row>
        <row r="44">
          <cell r="B44">
            <v>2006</v>
          </cell>
          <cell r="I44">
            <v>7.6050000000000048E-2</v>
          </cell>
          <cell r="J44">
            <v>0.16213860000000008</v>
          </cell>
          <cell r="K44">
            <v>0.25499260800000012</v>
          </cell>
          <cell r="L44">
            <v>0.35501551488000022</v>
          </cell>
          <cell r="M44">
            <v>0.46263226613760022</v>
          </cell>
          <cell r="N44">
            <v>0.57272984870400034</v>
          </cell>
          <cell r="O44">
            <v>0.68901691718486047</v>
          </cell>
          <cell r="P44">
            <v>0.8117657529107386</v>
          </cell>
          <cell r="Q44">
            <v>0.94125940355470306</v>
          </cell>
          <cell r="R44">
            <v>1.0777920840596857</v>
          </cell>
          <cell r="S44">
            <v>1.2216695919317682</v>
          </cell>
          <cell r="T44">
            <v>1.3732097374005221</v>
          </cell>
          <cell r="U44">
            <v>1.5327427889646628</v>
          </cell>
          <cell r="V44">
            <v>1.7006119348589912</v>
          </cell>
          <cell r="W44">
            <v>1.8771737609969112</v>
          </cell>
        </row>
        <row r="45">
          <cell r="B45">
            <v>2007</v>
          </cell>
          <cell r="J45">
            <v>0.50000000000000011</v>
          </cell>
          <cell r="K45">
            <v>1.0660000000000001</v>
          </cell>
          <cell r="L45">
            <v>1.6764800000000004</v>
          </cell>
          <cell r="M45">
            <v>2.3340928000000005</v>
          </cell>
          <cell r="N45">
            <v>3.0123857920000008</v>
          </cell>
          <cell r="O45">
            <v>3.7292756800000006</v>
          </cell>
          <cell r="P45">
            <v>4.4864678140672005</v>
          </cell>
          <cell r="Q45">
            <v>5.2857351280664329</v>
          </cell>
          <cell r="R45">
            <v>6.1289206598729589</v>
          </cell>
          <cell r="S45">
            <v>7.0179401619726169</v>
          </cell>
          <cell r="T45">
            <v>7.9547848056043673</v>
          </cell>
          <cell r="U45">
            <v>8.9415239817082508</v>
          </cell>
          <cell r="V45">
            <v>9.9803082020533207</v>
          </cell>
          <cell r="W45">
            <v>11.073372104035558</v>
          </cell>
        </row>
        <row r="46">
          <cell r="B46">
            <v>2008</v>
          </cell>
          <cell r="K46">
            <v>0.5</v>
          </cell>
          <cell r="L46">
            <v>1.0660000000000001</v>
          </cell>
          <cell r="M46">
            <v>1.6764800000000002</v>
          </cell>
          <cell r="N46">
            <v>2.3116496000000004</v>
          </cell>
          <cell r="O46">
            <v>2.9834205439999999</v>
          </cell>
          <cell r="P46">
            <v>3.6934172599999999</v>
          </cell>
          <cell r="Q46">
            <v>4.4433287004704001</v>
          </cell>
          <cell r="R46">
            <v>5.2349107518350229</v>
          </cell>
          <cell r="S46">
            <v>6.0699887304511027</v>
          </cell>
          <cell r="T46">
            <v>6.9504599681074941</v>
          </cell>
          <cell r="U46">
            <v>7.8782964901658632</v>
          </cell>
          <cell r="V46">
            <v>8.8555477895764376</v>
          </cell>
          <cell r="W46">
            <v>9.884343700110497</v>
          </cell>
        </row>
        <row r="47">
          <cell r="B47">
            <v>2009</v>
          </cell>
          <cell r="L47">
            <v>0.5</v>
          </cell>
          <cell r="M47">
            <v>1.0660000000000001</v>
          </cell>
          <cell r="N47">
            <v>1.6603599999999998</v>
          </cell>
          <cell r="O47">
            <v>2.2894221999999997</v>
          </cell>
          <cell r="P47">
            <v>2.9547338079999999</v>
          </cell>
          <cell r="Q47">
            <v>3.6579036324999996</v>
          </cell>
          <cell r="R47">
            <v>4.400604386042799</v>
          </cell>
          <cell r="S47">
            <v>5.1845750715289167</v>
          </cell>
          <cell r="T47">
            <v>6.0116234541967639</v>
          </cell>
          <cell r="U47">
            <v>6.8836286222603045</v>
          </cell>
          <cell r="V47">
            <v>7.8025436392988814</v>
          </cell>
          <cell r="W47">
            <v>8.77039829159974</v>
          </cell>
        </row>
        <row r="48">
          <cell r="B48">
            <v>2010</v>
          </cell>
          <cell r="M48">
            <v>0.5</v>
          </cell>
          <cell r="N48">
            <v>1.05575</v>
          </cell>
          <cell r="O48">
            <v>1.6443949999999998</v>
          </cell>
          <cell r="P48">
            <v>2.267408525</v>
          </cell>
          <cell r="Q48">
            <v>2.9263229059999998</v>
          </cell>
          <cell r="R48">
            <v>3.6227314821874996</v>
          </cell>
          <cell r="S48">
            <v>4.3582908823308495</v>
          </cell>
          <cell r="T48">
            <v>5.1347233881488314</v>
          </cell>
          <cell r="U48">
            <v>5.9538193825217949</v>
          </cell>
          <cell r="V48">
            <v>6.8174398855078016</v>
          </cell>
          <cell r="W48">
            <v>7.7275191812286996</v>
          </cell>
        </row>
        <row r="50">
          <cell r="B50" t="str">
            <v>IVS Population in IVS Regions Allowed in:</v>
          </cell>
        </row>
        <row r="51">
          <cell r="B51">
            <v>2003</v>
          </cell>
          <cell r="F51">
            <v>53.99</v>
          </cell>
          <cell r="G51">
            <v>55.955765426913096</v>
          </cell>
          <cell r="H51">
            <v>58.193996043989621</v>
          </cell>
          <cell r="I51">
            <v>60.521755885749201</v>
          </cell>
          <cell r="J51">
            <v>62.94262612117916</v>
          </cell>
          <cell r="K51">
            <v>65.460331166026322</v>
          </cell>
          <cell r="L51">
            <v>68.078744412667376</v>
          </cell>
          <cell r="M51">
            <v>70.801894189174078</v>
          </cell>
          <cell r="N51">
            <v>72.925951014849304</v>
          </cell>
          <cell r="O51">
            <v>75.113729545294788</v>
          </cell>
          <cell r="P51">
            <v>77.367141431653636</v>
          </cell>
          <cell r="Q51">
            <v>79.688155674603237</v>
          </cell>
          <cell r="R51">
            <v>82.078800344841326</v>
          </cell>
          <cell r="S51">
            <v>84.541164355186567</v>
          </cell>
          <cell r="T51">
            <v>87.077399285842162</v>
          </cell>
          <cell r="U51">
            <v>89.689721264417429</v>
          </cell>
          <cell r="V51">
            <v>92.380412902349946</v>
          </cell>
          <cell r="W51">
            <v>95.151825289420444</v>
          </cell>
        </row>
        <row r="52">
          <cell r="B52">
            <v>2004</v>
          </cell>
          <cell r="G52">
            <v>101.5460575730869</v>
          </cell>
          <cell r="H52">
            <v>105.60789987601038</v>
          </cell>
          <cell r="I52">
            <v>109.83221587105079</v>
          </cell>
          <cell r="J52">
            <v>114.22550450589281</v>
          </cell>
          <cell r="K52">
            <v>118.79452468612853</v>
          </cell>
          <cell r="L52">
            <v>123.54630567357368</v>
          </cell>
          <cell r="M52">
            <v>128.48815790051663</v>
          </cell>
          <cell r="N52">
            <v>132.34280263753212</v>
          </cell>
          <cell r="O52">
            <v>136.31308671665806</v>
          </cell>
          <cell r="P52">
            <v>140.40247931815782</v>
          </cell>
          <cell r="Q52">
            <v>144.61455369770255</v>
          </cell>
          <cell r="R52">
            <v>148.95299030863362</v>
          </cell>
          <cell r="S52">
            <v>153.42158001789264</v>
          </cell>
          <cell r="T52">
            <v>158.0242274184294</v>
          </cell>
          <cell r="U52">
            <v>162.76495424098229</v>
          </cell>
          <cell r="V52">
            <v>167.64790286821176</v>
          </cell>
          <cell r="W52">
            <v>172.67733995425812</v>
          </cell>
        </row>
        <row r="53">
          <cell r="B53">
            <v>2005</v>
          </cell>
          <cell r="H53">
            <v>65.312927080000009</v>
          </cell>
          <cell r="I53">
            <v>67.925444163200012</v>
          </cell>
          <cell r="J53">
            <v>70.642461929728015</v>
          </cell>
          <cell r="K53">
            <v>73.468160406917121</v>
          </cell>
          <cell r="L53">
            <v>76.406886823193815</v>
          </cell>
          <cell r="M53">
            <v>79.463162296121567</v>
          </cell>
          <cell r="N53">
            <v>81.847057165005225</v>
          </cell>
          <cell r="O53">
            <v>84.30246887995537</v>
          </cell>
          <cell r="P53">
            <v>86.831542946354034</v>
          </cell>
          <cell r="Q53">
            <v>89.436489234744656</v>
          </cell>
          <cell r="R53">
            <v>92.119583911787004</v>
          </cell>
          <cell r="S53">
            <v>94.883171429140617</v>
          </cell>
          <cell r="T53">
            <v>97.729666572014835</v>
          </cell>
          <cell r="U53">
            <v>100.66155656917529</v>
          </cell>
          <cell r="V53">
            <v>103.68140326625054</v>
          </cell>
          <cell r="W53">
            <v>106.79184536423807</v>
          </cell>
        </row>
        <row r="54">
          <cell r="B54">
            <v>2006</v>
          </cell>
          <cell r="I54">
            <v>15.210000000000008</v>
          </cell>
          <cell r="J54">
            <v>15.818400000000009</v>
          </cell>
          <cell r="K54">
            <v>16.451136000000009</v>
          </cell>
          <cell r="L54">
            <v>17.109181440000011</v>
          </cell>
          <cell r="M54">
            <v>17.793548697600013</v>
          </cell>
          <cell r="N54">
            <v>18.327355158528015</v>
          </cell>
          <cell r="O54">
            <v>18.877175813283852</v>
          </cell>
          <cell r="P54">
            <v>19.443491087682368</v>
          </cell>
          <cell r="Q54">
            <v>20.026795820312838</v>
          </cell>
          <cell r="R54">
            <v>20.627599694922221</v>
          </cell>
          <cell r="S54">
            <v>21.246427685769888</v>
          </cell>
          <cell r="T54">
            <v>21.883820516342986</v>
          </cell>
          <cell r="U54">
            <v>22.540335131833277</v>
          </cell>
          <cell r="V54">
            <v>23.216545185788277</v>
          </cell>
          <cell r="W54">
            <v>23.913041541361928</v>
          </cell>
        </row>
        <row r="55">
          <cell r="B55">
            <v>2007</v>
          </cell>
          <cell r="J55">
            <v>100.00000000000003</v>
          </cell>
          <cell r="K55">
            <v>104.00000000000003</v>
          </cell>
          <cell r="L55">
            <v>108.16000000000004</v>
          </cell>
          <cell r="M55">
            <v>112.48640000000005</v>
          </cell>
          <cell r="N55">
            <v>115.86099200000005</v>
          </cell>
          <cell r="O55">
            <v>119.33682176000005</v>
          </cell>
          <cell r="P55">
            <v>122.91692641280005</v>
          </cell>
          <cell r="Q55">
            <v>126.60443420518406</v>
          </cell>
          <cell r="R55">
            <v>130.40256723133959</v>
          </cell>
          <cell r="S55">
            <v>134.31464424827979</v>
          </cell>
          <cell r="T55">
            <v>138.34408357572818</v>
          </cell>
          <cell r="U55">
            <v>142.49440608300003</v>
          </cell>
          <cell r="V55">
            <v>146.76923826549003</v>
          </cell>
          <cell r="W55">
            <v>151.17231541345473</v>
          </cell>
        </row>
        <row r="56">
          <cell r="B56">
            <v>2008</v>
          </cell>
          <cell r="K56">
            <v>100</v>
          </cell>
          <cell r="L56">
            <v>104.00000000000001</v>
          </cell>
          <cell r="M56">
            <v>108.16000000000003</v>
          </cell>
          <cell r="N56">
            <v>111.40480000000002</v>
          </cell>
          <cell r="O56">
            <v>114.74694400000001</v>
          </cell>
          <cell r="P56">
            <v>118.18935232000003</v>
          </cell>
          <cell r="Q56">
            <v>121.73503288960002</v>
          </cell>
          <cell r="R56">
            <v>125.38708387628802</v>
          </cell>
          <cell r="S56">
            <v>129.14869639257668</v>
          </cell>
          <cell r="T56">
            <v>133.023157284354</v>
          </cell>
          <cell r="U56">
            <v>137.01385200288462</v>
          </cell>
          <cell r="V56">
            <v>141.12426756297114</v>
          </cell>
          <cell r="W56">
            <v>145.35799558986028</v>
          </cell>
        </row>
        <row r="57">
          <cell r="B57">
            <v>2009</v>
          </cell>
          <cell r="L57">
            <v>100</v>
          </cell>
          <cell r="M57">
            <v>104.00000000000001</v>
          </cell>
          <cell r="N57">
            <v>107.12</v>
          </cell>
          <cell r="O57">
            <v>110.3336</v>
          </cell>
          <cell r="P57">
            <v>113.64360800000001</v>
          </cell>
          <cell r="Q57">
            <v>117.05291624000002</v>
          </cell>
          <cell r="R57">
            <v>120.56450372720001</v>
          </cell>
          <cell r="S57">
            <v>124.18143883901601</v>
          </cell>
          <cell r="T57">
            <v>127.9068820041865</v>
          </cell>
          <cell r="U57">
            <v>131.74408846431209</v>
          </cell>
          <cell r="V57">
            <v>135.69641111824146</v>
          </cell>
          <cell r="W57">
            <v>139.76730345178871</v>
          </cell>
        </row>
        <row r="58">
          <cell r="B58">
            <v>2010</v>
          </cell>
          <cell r="M58">
            <v>100</v>
          </cell>
          <cell r="N58">
            <v>103.00000000000001</v>
          </cell>
          <cell r="O58">
            <v>106.09</v>
          </cell>
          <cell r="P58">
            <v>109.27270000000001</v>
          </cell>
          <cell r="Q58">
            <v>112.55088100000002</v>
          </cell>
          <cell r="R58">
            <v>115.92740743000002</v>
          </cell>
          <cell r="S58">
            <v>119.40522965290002</v>
          </cell>
          <cell r="T58">
            <v>122.98738654248702</v>
          </cell>
          <cell r="U58">
            <v>126.67700813876162</v>
          </cell>
          <cell r="V58">
            <v>130.47731838292447</v>
          </cell>
          <cell r="W58">
            <v>134.39163793441222</v>
          </cell>
        </row>
        <row r="60">
          <cell r="B60" t="str">
            <v>IVS Penetration in IVS Regions Allowed in:</v>
          </cell>
        </row>
        <row r="61">
          <cell r="B61">
            <v>2003</v>
          </cell>
          <cell r="F61">
            <v>1.1266901278014448E-2</v>
          </cell>
          <cell r="G61">
            <v>1.6203556214113724E-2</v>
          </cell>
          <cell r="H61">
            <v>2.1140211150213001E-2</v>
          </cell>
          <cell r="I61">
            <v>2.1140211150213001E-2</v>
          </cell>
          <cell r="J61">
            <v>2.6076866086312277E-2</v>
          </cell>
          <cell r="K61">
            <v>3.1013521022411554E-2</v>
          </cell>
          <cell r="L61">
            <v>3.5950175958510834E-2</v>
          </cell>
          <cell r="M61">
            <v>4.0886830894610114E-2</v>
          </cell>
          <cell r="N61">
            <v>4.5823485830709394E-2</v>
          </cell>
          <cell r="O61">
            <v>5.0760140766808674E-2</v>
          </cell>
          <cell r="P61">
            <v>5.5696795702907954E-2</v>
          </cell>
          <cell r="Q61">
            <v>6.0633450639007234E-2</v>
          </cell>
          <cell r="R61">
            <v>6.5570105575106508E-2</v>
          </cell>
          <cell r="S61">
            <v>7.0506760511205788E-2</v>
          </cell>
          <cell r="T61">
            <v>7.5443415447305068E-2</v>
          </cell>
          <cell r="U61">
            <v>8.0380070383404348E-2</v>
          </cell>
          <cell r="V61">
            <v>8.5316725319503628E-2</v>
          </cell>
          <cell r="W61">
            <v>9.0253380255602908E-2</v>
          </cell>
        </row>
        <row r="62">
          <cell r="B62">
            <v>2004</v>
          </cell>
          <cell r="G62">
            <v>2.5723003648085874E-2</v>
          </cell>
          <cell r="H62">
            <v>2.9936853465681583E-2</v>
          </cell>
          <cell r="I62">
            <v>2.9936853465681583E-2</v>
          </cell>
          <cell r="J62">
            <v>3.4150703283277288E-2</v>
          </cell>
          <cell r="K62">
            <v>3.8364553100872993E-2</v>
          </cell>
          <cell r="L62">
            <v>4.2578402918468698E-2</v>
          </cell>
          <cell r="M62">
            <v>4.6792252736064403E-2</v>
          </cell>
          <cell r="N62">
            <v>5.1006102553660108E-2</v>
          </cell>
          <cell r="O62">
            <v>5.5219952371255814E-2</v>
          </cell>
          <cell r="P62">
            <v>5.9433802188851519E-2</v>
          </cell>
          <cell r="Q62">
            <v>6.3647652006447231E-2</v>
          </cell>
          <cell r="R62">
            <v>6.7861501824042936E-2</v>
          </cell>
          <cell r="S62">
            <v>7.2075351641638641E-2</v>
          </cell>
          <cell r="T62">
            <v>7.6289201459234346E-2</v>
          </cell>
          <cell r="U62">
            <v>8.0503051276830051E-2</v>
          </cell>
          <cell r="V62">
            <v>8.4716901094425756E-2</v>
          </cell>
          <cell r="W62">
            <v>8.8930750912021461E-2</v>
          </cell>
        </row>
        <row r="63">
          <cell r="B63">
            <v>2005</v>
          </cell>
          <cell r="H63">
            <v>1.438777060776777E-2</v>
          </cell>
          <cell r="I63">
            <v>1.9168382077379382E-2</v>
          </cell>
          <cell r="J63">
            <v>2.3948993546990992E-2</v>
          </cell>
          <cell r="K63">
            <v>2.8729605016602603E-2</v>
          </cell>
          <cell r="L63">
            <v>3.3510216486214217E-2</v>
          </cell>
          <cell r="M63">
            <v>3.8290827955825828E-2</v>
          </cell>
          <cell r="N63">
            <v>4.3071439425437438E-2</v>
          </cell>
          <cell r="O63">
            <v>4.7852050895049049E-2</v>
          </cell>
          <cell r="P63">
            <v>5.263266236466066E-2</v>
          </cell>
          <cell r="Q63">
            <v>5.741327383427227E-2</v>
          </cell>
          <cell r="R63">
            <v>6.2193885303883881E-2</v>
          </cell>
          <cell r="S63">
            <v>6.6974496773495498E-2</v>
          </cell>
          <cell r="T63">
            <v>7.1755108243107116E-2</v>
          </cell>
          <cell r="U63">
            <v>7.6535719712718733E-2</v>
          </cell>
          <cell r="V63">
            <v>8.1316331182330351E-2</v>
          </cell>
          <cell r="W63">
            <v>8.6096942651941968E-2</v>
          </cell>
        </row>
        <row r="64">
          <cell r="B64">
            <v>2006</v>
          </cell>
          <cell r="I64">
            <v>5.0000000000000001E-3</v>
          </cell>
          <cell r="J64">
            <v>1.0249999999999999E-2</v>
          </cell>
          <cell r="K64">
            <v>1.5499999999999998E-2</v>
          </cell>
          <cell r="L64">
            <v>2.0749999999999998E-2</v>
          </cell>
          <cell r="M64">
            <v>2.5999999999999995E-2</v>
          </cell>
          <cell r="N64">
            <v>3.1249999999999993E-2</v>
          </cell>
          <cell r="O64">
            <v>3.6499999999999991E-2</v>
          </cell>
          <cell r="P64">
            <v>4.1749999999999989E-2</v>
          </cell>
          <cell r="Q64">
            <v>4.6999999999999986E-2</v>
          </cell>
          <cell r="R64">
            <v>5.2249999999999984E-2</v>
          </cell>
          <cell r="S64">
            <v>5.7499999999999982E-2</v>
          </cell>
          <cell r="T64">
            <v>6.2749999999999986E-2</v>
          </cell>
          <cell r="U64">
            <v>6.7999999999999991E-2</v>
          </cell>
          <cell r="V64">
            <v>7.3249999999999996E-2</v>
          </cell>
          <cell r="W64">
            <v>7.85E-2</v>
          </cell>
        </row>
        <row r="65">
          <cell r="B65">
            <v>2007</v>
          </cell>
          <cell r="J65">
            <v>5.0000000000000001E-3</v>
          </cell>
          <cell r="K65">
            <v>1.0249999999999999E-2</v>
          </cell>
          <cell r="L65">
            <v>1.5499999999999998E-2</v>
          </cell>
          <cell r="M65">
            <v>2.0749999999999998E-2</v>
          </cell>
          <cell r="N65">
            <v>2.5999999999999995E-2</v>
          </cell>
          <cell r="O65">
            <v>3.1249999999999993E-2</v>
          </cell>
          <cell r="P65">
            <v>3.6499999999999991E-2</v>
          </cell>
          <cell r="Q65">
            <v>4.1749999999999989E-2</v>
          </cell>
          <cell r="R65">
            <v>4.6999999999999986E-2</v>
          </cell>
          <cell r="S65">
            <v>5.2249999999999984E-2</v>
          </cell>
          <cell r="T65">
            <v>5.7499999999999982E-2</v>
          </cell>
          <cell r="U65">
            <v>6.2749999999999986E-2</v>
          </cell>
          <cell r="V65">
            <v>6.7999999999999991E-2</v>
          </cell>
          <cell r="W65">
            <v>7.3249999999999996E-2</v>
          </cell>
        </row>
        <row r="66">
          <cell r="B66">
            <v>2008</v>
          </cell>
          <cell r="K66">
            <v>5.0000000000000001E-3</v>
          </cell>
          <cell r="L66">
            <v>1.0249999999999999E-2</v>
          </cell>
          <cell r="M66">
            <v>1.5499999999999998E-2</v>
          </cell>
          <cell r="N66">
            <v>2.0749999999999998E-2</v>
          </cell>
          <cell r="O66">
            <v>2.5999999999999995E-2</v>
          </cell>
          <cell r="P66">
            <v>3.1249999999999993E-2</v>
          </cell>
          <cell r="Q66">
            <v>3.6499999999999991E-2</v>
          </cell>
          <cell r="R66">
            <v>4.1749999999999989E-2</v>
          </cell>
          <cell r="S66">
            <v>4.6999999999999986E-2</v>
          </cell>
          <cell r="T66">
            <v>5.2249999999999984E-2</v>
          </cell>
          <cell r="U66">
            <v>5.7499999999999982E-2</v>
          </cell>
          <cell r="V66">
            <v>6.2749999999999986E-2</v>
          </cell>
          <cell r="W66">
            <v>6.7999999999999991E-2</v>
          </cell>
        </row>
        <row r="67">
          <cell r="B67">
            <v>2009</v>
          </cell>
          <cell r="L67">
            <v>5.0000000000000001E-3</v>
          </cell>
          <cell r="M67">
            <v>1.0249999999999999E-2</v>
          </cell>
          <cell r="N67">
            <v>1.5499999999999998E-2</v>
          </cell>
          <cell r="O67">
            <v>2.0749999999999998E-2</v>
          </cell>
          <cell r="P67">
            <v>2.5999999999999995E-2</v>
          </cell>
          <cell r="Q67">
            <v>3.1249999999999993E-2</v>
          </cell>
          <cell r="R67">
            <v>3.6499999999999991E-2</v>
          </cell>
          <cell r="S67">
            <v>4.1749999999999989E-2</v>
          </cell>
          <cell r="T67">
            <v>4.6999999999999986E-2</v>
          </cell>
          <cell r="U67">
            <v>5.2249999999999984E-2</v>
          </cell>
          <cell r="V67">
            <v>5.7499999999999982E-2</v>
          </cell>
          <cell r="W67">
            <v>6.2749999999999986E-2</v>
          </cell>
        </row>
        <row r="68">
          <cell r="B68">
            <v>2010</v>
          </cell>
          <cell r="M68">
            <v>5.0000000000000001E-3</v>
          </cell>
          <cell r="N68">
            <v>1.0249999999999999E-2</v>
          </cell>
          <cell r="O68">
            <v>1.5499999999999998E-2</v>
          </cell>
          <cell r="P68">
            <v>2.0749999999999998E-2</v>
          </cell>
          <cell r="Q68">
            <v>2.5999999999999995E-2</v>
          </cell>
          <cell r="R68">
            <v>3.1249999999999993E-2</v>
          </cell>
          <cell r="S68">
            <v>3.6499999999999991E-2</v>
          </cell>
          <cell r="T68">
            <v>4.1749999999999989E-2</v>
          </cell>
          <cell r="U68">
            <v>4.6999999999999986E-2</v>
          </cell>
          <cell r="V68">
            <v>5.2249999999999984E-2</v>
          </cell>
          <cell r="W68">
            <v>5.7499999999999982E-2</v>
          </cell>
        </row>
        <row r="70">
          <cell r="B70" t="str">
            <v>Target Penetration Rate</v>
          </cell>
          <cell r="F70">
            <v>0.11</v>
          </cell>
          <cell r="G70">
            <v>0.11</v>
          </cell>
          <cell r="H70">
            <v>0.11</v>
          </cell>
          <cell r="I70">
            <v>0.11</v>
          </cell>
          <cell r="J70">
            <v>0.11</v>
          </cell>
          <cell r="K70">
            <v>0.11</v>
          </cell>
          <cell r="L70">
            <v>0.11</v>
          </cell>
          <cell r="M70">
            <v>0.11</v>
          </cell>
          <cell r="N70">
            <v>0.11</v>
          </cell>
          <cell r="O70">
            <v>0.11</v>
          </cell>
          <cell r="P70">
            <v>0.11</v>
          </cell>
          <cell r="Q70">
            <v>0.11</v>
          </cell>
          <cell r="R70">
            <v>0.11</v>
          </cell>
          <cell r="S70">
            <v>0.11</v>
          </cell>
          <cell r="T70">
            <v>0.11</v>
          </cell>
          <cell r="U70">
            <v>0.11</v>
          </cell>
          <cell r="V70">
            <v>0.11</v>
          </cell>
          <cell r="W70">
            <v>0.11</v>
          </cell>
        </row>
        <row r="71">
          <cell r="B71" t="str">
            <v xml:space="preserve">  Years to Achieve</v>
          </cell>
          <cell r="F71">
            <v>20</v>
          </cell>
          <cell r="G71">
            <v>20</v>
          </cell>
          <cell r="H71">
            <v>20</v>
          </cell>
          <cell r="I71">
            <v>20</v>
          </cell>
          <cell r="J71">
            <v>20</v>
          </cell>
          <cell r="K71">
            <v>20</v>
          </cell>
          <cell r="L71">
            <v>20</v>
          </cell>
          <cell r="M71">
            <v>20</v>
          </cell>
          <cell r="N71">
            <v>20</v>
          </cell>
          <cell r="O71">
            <v>20</v>
          </cell>
          <cell r="P71">
            <v>20</v>
          </cell>
          <cell r="Q71">
            <v>20</v>
          </cell>
          <cell r="R71">
            <v>20</v>
          </cell>
          <cell r="S71">
            <v>20</v>
          </cell>
          <cell r="T71">
            <v>20</v>
          </cell>
          <cell r="U71">
            <v>20</v>
          </cell>
          <cell r="V71">
            <v>20</v>
          </cell>
          <cell r="W71">
            <v>20</v>
          </cell>
        </row>
        <row r="75">
          <cell r="C75" t="str">
            <v>Model</v>
          </cell>
          <cell r="D75" t="str">
            <v>YTD</v>
          </cell>
          <cell r="F75" t="str">
            <v>2005 YTD</v>
          </cell>
          <cell r="G75" t="str">
            <v>2006 YTD</v>
          </cell>
        </row>
        <row r="76">
          <cell r="B76" t="str">
            <v>Total China</v>
          </cell>
          <cell r="C76">
            <v>0.14552766395303207</v>
          </cell>
          <cell r="D76">
            <v>0.14768765884721291</v>
          </cell>
          <cell r="F76">
            <v>5903865</v>
          </cell>
          <cell r="G76">
            <v>6775793</v>
          </cell>
        </row>
        <row r="77">
          <cell r="B77" t="str">
            <v xml:space="preserve">  Package Tour Visitors</v>
          </cell>
          <cell r="C77">
            <v>6.7519621546070496E-3</v>
          </cell>
          <cell r="D77">
            <v>0.20433105924031247</v>
          </cell>
          <cell r="F77">
            <v>1144339</v>
          </cell>
          <cell r="G77">
            <v>1378163</v>
          </cell>
        </row>
        <row r="78">
          <cell r="B78" t="str">
            <v xml:space="preserve">  Total Individual Visitors</v>
          </cell>
          <cell r="C78">
            <v>0.18416719196610165</v>
          </cell>
          <cell r="D78">
            <v>0.1340688127347136</v>
          </cell>
          <cell r="F78">
            <v>4759526</v>
          </cell>
          <cell r="G78">
            <v>5397630</v>
          </cell>
        </row>
        <row r="79">
          <cell r="B79" t="str">
            <v xml:space="preserve">  Non-IVS Individual Visitors</v>
          </cell>
          <cell r="C79">
            <v>0.37295177361051524</v>
          </cell>
          <cell r="D79">
            <v>0.2377581574072376</v>
          </cell>
          <cell r="F79">
            <v>1744672</v>
          </cell>
          <cell r="G79">
            <v>2159482</v>
          </cell>
        </row>
        <row r="80">
          <cell r="B80" t="str">
            <v xml:space="preserve">  IVS Individual Visitors</v>
          </cell>
          <cell r="C80">
            <v>8.3154881666710256E-2</v>
          </cell>
          <cell r="D80">
            <v>7.4064614737562762E-2</v>
          </cell>
          <cell r="F80">
            <v>3014854</v>
          </cell>
          <cell r="G80">
            <v>3238148</v>
          </cell>
        </row>
      </sheetData>
      <sheetData sheetId="6" refreshError="1">
        <row r="2">
          <cell r="C2">
            <v>2005</v>
          </cell>
          <cell r="D2" t="str">
            <v>2006E</v>
          </cell>
          <cell r="E2" t="str">
            <v>2007E</v>
          </cell>
          <cell r="F2" t="str">
            <v>2008E</v>
          </cell>
          <cell r="G2" t="str">
            <v>2009E</v>
          </cell>
          <cell r="H2" t="str">
            <v>2010E</v>
          </cell>
          <cell r="I2" t="str">
            <v>2011E</v>
          </cell>
          <cell r="J2" t="str">
            <v>2012E</v>
          </cell>
        </row>
        <row r="4">
          <cell r="B4" t="str">
            <v>Total Visitors</v>
          </cell>
          <cell r="C4">
            <v>18.711186999999999</v>
          </cell>
          <cell r="D4">
            <v>21.998122000000002</v>
          </cell>
          <cell r="E4">
            <v>26.853211459144823</v>
          </cell>
          <cell r="F4">
            <v>31.112956369452657</v>
          </cell>
          <cell r="G4">
            <v>35.938386716715485</v>
          </cell>
          <cell r="H4">
            <v>41.464358695646425</v>
          </cell>
          <cell r="I4">
            <v>46.725028260970944</v>
          </cell>
          <cell r="J4">
            <v>51.917160814241257</v>
          </cell>
        </row>
        <row r="6">
          <cell r="B6" t="str">
            <v>Day Trippers</v>
          </cell>
          <cell r="C6">
            <v>9.6971229999999995</v>
          </cell>
          <cell r="D6">
            <v>11.315459000000001</v>
          </cell>
          <cell r="E6">
            <v>14.075295677217126</v>
          </cell>
          <cell r="F6">
            <v>16.152505519489736</v>
          </cell>
          <cell r="G6">
            <v>18.477968974951796</v>
          </cell>
          <cell r="H6">
            <v>21.465406851958932</v>
          </cell>
          <cell r="I6">
            <v>24.23993044650415</v>
          </cell>
          <cell r="J6">
            <v>26.933496114508888</v>
          </cell>
        </row>
        <row r="7">
          <cell r="B7" t="str">
            <v>Other Overnight</v>
          </cell>
          <cell r="C7">
            <v>4.8929760000000009</v>
          </cell>
          <cell r="D7">
            <v>6.0018090000000006</v>
          </cell>
          <cell r="E7">
            <v>7.059522834707419</v>
          </cell>
          <cell r="F7">
            <v>7.7126858481298948</v>
          </cell>
          <cell r="G7">
            <v>8.3698007246177593</v>
          </cell>
          <cell r="H7">
            <v>8.8719887680948251</v>
          </cell>
          <cell r="I7">
            <v>9.2268683188186191</v>
          </cell>
          <cell r="J7">
            <v>9.5036743683831784</v>
          </cell>
        </row>
        <row r="8">
          <cell r="B8" t="str">
            <v>Hotel Visitors</v>
          </cell>
          <cell r="C8">
            <v>4.1210880000000003</v>
          </cell>
          <cell r="D8">
            <v>4.6808540000000001</v>
          </cell>
          <cell r="E8">
            <v>5.718392947220277</v>
          </cell>
          <cell r="F8">
            <v>7.2477650018330273</v>
          </cell>
          <cell r="G8">
            <v>9.0906170171459291</v>
          </cell>
          <cell r="H8">
            <v>11.12696307559267</v>
          </cell>
          <cell r="I8">
            <v>13.258229495648175</v>
          </cell>
          <cell r="J8">
            <v>15.479990331349189</v>
          </cell>
        </row>
        <row r="9">
          <cell r="B9" t="str">
            <v xml:space="preserve">  Share</v>
          </cell>
          <cell r="C9">
            <v>0.22024727773817879</v>
          </cell>
          <cell r="D9">
            <v>0.21278425494685407</v>
          </cell>
          <cell r="E9">
            <v>0.2129500583541149</v>
          </cell>
          <cell r="F9">
            <v>0.23295005835411489</v>
          </cell>
          <cell r="G9">
            <v>0.25295005835411488</v>
          </cell>
          <cell r="H9">
            <v>0.26835005835411491</v>
          </cell>
          <cell r="I9">
            <v>0.28375005835411493</v>
          </cell>
          <cell r="J9">
            <v>0.29816712024635433</v>
          </cell>
        </row>
        <row r="10">
          <cell r="B10" t="str">
            <v>Hotel Visitors @ Constant Share</v>
          </cell>
          <cell r="C10">
            <v>4.1210880000000003</v>
          </cell>
          <cell r="D10">
            <v>4.8450264858523413</v>
          </cell>
          <cell r="E10">
            <v>5.9143467224043151</v>
          </cell>
          <cell r="F10">
            <v>6.8525439427586781</v>
          </cell>
          <cell r="G10">
            <v>7.9153318406585109</v>
          </cell>
          <cell r="H10">
            <v>9.132412125875506</v>
          </cell>
          <cell r="I10">
            <v>10.291060276718321</v>
          </cell>
          <cell r="J10">
            <v>11.434613337231886</v>
          </cell>
        </row>
        <row r="12">
          <cell r="B12" t="str">
            <v>Hotel Length of Stay</v>
          </cell>
          <cell r="C12">
            <v>2.1758333333333333</v>
          </cell>
          <cell r="D12">
            <v>2.17</v>
          </cell>
          <cell r="E12">
            <v>2.2749478692713261</v>
          </cell>
          <cell r="F12">
            <v>2.439017908256258</v>
          </cell>
          <cell r="G12">
            <v>2.8461329551184145</v>
          </cell>
          <cell r="H12">
            <v>3.1697667219533114</v>
          </cell>
          <cell r="I12">
            <v>3.1697667219533114</v>
          </cell>
          <cell r="J12">
            <v>3.1697667219533114</v>
          </cell>
        </row>
        <row r="13">
          <cell r="B13" t="str">
            <v xml:space="preserve">  Share of Final</v>
          </cell>
          <cell r="C13">
            <v>0.6864332691310846</v>
          </cell>
          <cell r="D13">
            <v>0.68459296546049186</v>
          </cell>
          <cell r="E13">
            <v>0.71770198529607587</v>
          </cell>
          <cell r="F13">
            <v>0.76946290443520626</v>
          </cell>
          <cell r="G13">
            <v>0.89789981559416976</v>
          </cell>
          <cell r="H13">
            <v>1</v>
          </cell>
          <cell r="I13">
            <v>1</v>
          </cell>
          <cell r="J13">
            <v>1</v>
          </cell>
        </row>
        <row r="14">
          <cell r="B14" t="str">
            <v>Overall Length of Stay</v>
          </cell>
          <cell r="C14">
            <v>1.3898108575367241</v>
          </cell>
          <cell r="D14">
            <v>1.3857101947157124</v>
          </cell>
          <cell r="E14">
            <v>1.409808216231297</v>
          </cell>
          <cell r="F14">
            <v>1.4591658339019791</v>
          </cell>
          <cell r="G14">
            <v>1.5834259669277251</v>
          </cell>
          <cell r="H14">
            <v>1.6892403375063489</v>
          </cell>
          <cell r="I14">
            <v>1.7144072578115312</v>
          </cell>
          <cell r="J14">
            <v>1.7384803879875337</v>
          </cell>
        </row>
        <row r="15">
          <cell r="B15" t="str">
            <v>Hotel Length of Stay Reaches 2 Nights</v>
          </cell>
          <cell r="C15">
            <v>2.1758333333333333</v>
          </cell>
          <cell r="D15">
            <v>2.25</v>
          </cell>
          <cell r="E15">
            <v>2.4000000000000004</v>
          </cell>
          <cell r="F15">
            <v>2.5499999999999998</v>
          </cell>
          <cell r="G15">
            <v>2.7</v>
          </cell>
          <cell r="H15">
            <v>2.8499999999999996</v>
          </cell>
          <cell r="I15">
            <v>2.94</v>
          </cell>
          <cell r="J15">
            <v>3</v>
          </cell>
        </row>
        <row r="16">
          <cell r="B16" t="str">
            <v xml:space="preserve">  Share of Final</v>
          </cell>
          <cell r="C16">
            <v>0.7252777777777778</v>
          </cell>
          <cell r="D16">
            <v>0.75</v>
          </cell>
          <cell r="E16">
            <v>0.8</v>
          </cell>
          <cell r="F16">
            <v>0.85</v>
          </cell>
          <cell r="G16">
            <v>0.9</v>
          </cell>
          <cell r="H16">
            <v>0.95</v>
          </cell>
          <cell r="I16">
            <v>0.98</v>
          </cell>
          <cell r="J16">
            <v>1</v>
          </cell>
        </row>
        <row r="18">
          <cell r="B18" t="str">
            <v>Mass Revenue / Visitor / Day</v>
          </cell>
          <cell r="C18">
            <v>80.18516483394032</v>
          </cell>
          <cell r="D18">
            <v>79.064573135614836</v>
          </cell>
          <cell r="E18">
            <v>83.640320959777029</v>
          </cell>
          <cell r="F18">
            <v>87.822337007765881</v>
          </cell>
          <cell r="G18">
            <v>90.457007117998856</v>
          </cell>
          <cell r="H18">
            <v>90.457007117998856</v>
          </cell>
          <cell r="I18">
            <v>90.457007117998856</v>
          </cell>
          <cell r="J18">
            <v>90.457007117998856</v>
          </cell>
        </row>
        <row r="20">
          <cell r="B20" t="str">
            <v>Room Nights Available</v>
          </cell>
          <cell r="C20">
            <v>3.8456959999999998</v>
          </cell>
          <cell r="D20">
            <v>4.3155250000000001</v>
          </cell>
          <cell r="E20">
            <v>5.561999876811595</v>
          </cell>
          <cell r="F20">
            <v>7.7883038768115949</v>
          </cell>
          <cell r="G20">
            <v>12.381828876811596</v>
          </cell>
          <cell r="H20">
            <v>17.701703876811592</v>
          </cell>
          <cell r="I20">
            <v>18.431703876811593</v>
          </cell>
          <cell r="J20">
            <v>18.482201695652176</v>
          </cell>
        </row>
        <row r="21">
          <cell r="B21" t="str">
            <v>Visitors Per Room</v>
          </cell>
          <cell r="C21">
            <v>1.7771274235908885</v>
          </cell>
          <cell r="D21">
            <v>1.7548958768043246</v>
          </cell>
          <cell r="E21">
            <v>1.7150671401583086</v>
          </cell>
          <cell r="F21">
            <v>1.7150671401583086</v>
          </cell>
          <cell r="G21">
            <v>1.7150671401583086</v>
          </cell>
          <cell r="H21">
            <v>1.7150671401583086</v>
          </cell>
          <cell r="I21">
            <v>1.7150671401583086</v>
          </cell>
          <cell r="J21">
            <v>1.7150671401583086</v>
          </cell>
        </row>
        <row r="23">
          <cell r="B23" t="str">
            <v>Visitor-Days</v>
          </cell>
        </row>
        <row r="24">
          <cell r="B24" t="str">
            <v>Hotel Visitors @ Constant Share &amp; Length of Stay</v>
          </cell>
          <cell r="C24">
            <v>26.00338764</v>
          </cell>
          <cell r="D24">
            <v>30.860142628800389</v>
          </cell>
          <cell r="E24">
            <v>37.533212672776308</v>
          </cell>
          <cell r="F24">
            <v>42.631527820470332</v>
          </cell>
          <cell r="G24">
            <v>48.255112925177912</v>
          </cell>
          <cell r="H24">
            <v>54.643996721318629</v>
          </cell>
          <cell r="I24">
            <v>60.471864910158359</v>
          </cell>
          <cell r="J24">
            <v>66.068820520010703</v>
          </cell>
        </row>
        <row r="25">
          <cell r="B25" t="str">
            <v>Hotel Visitors @ Constant Share</v>
          </cell>
          <cell r="C25">
            <v>26.00338764</v>
          </cell>
          <cell r="D25">
            <v>30.831879974299582</v>
          </cell>
          <cell r="E25">
            <v>38.119410403543803</v>
          </cell>
          <cell r="F25">
            <v>44.435011685185941</v>
          </cell>
          <cell r="G25">
            <v>53.560756864274722</v>
          </cell>
          <cell r="H25">
            <v>63.721006051864251</v>
          </cell>
          <cell r="I25">
            <v>70.700493323489454</v>
          </cell>
          <cell r="J25">
            <v>77.434064501844787</v>
          </cell>
        </row>
        <row r="26">
          <cell r="B26" t="str">
            <v>Forecast</v>
          </cell>
          <cell r="C26">
            <v>26.005010850000001</v>
          </cell>
          <cell r="D26">
            <v>30.483021920000002</v>
          </cell>
          <cell r="E26">
            <v>37.857878147298791</v>
          </cell>
          <cell r="F26">
            <v>45.398962925988279</v>
          </cell>
          <cell r="G26">
            <v>56.905774736737726</v>
          </cell>
          <cell r="H26">
            <v>70.043267277518083</v>
          </cell>
          <cell r="I26">
            <v>80.105727572057503</v>
          </cell>
          <cell r="J26">
            <v>90.25696587555332</v>
          </cell>
        </row>
        <row r="27">
          <cell r="B27" t="str">
            <v>Hotel Length of Stay Reaches 2 Nights</v>
          </cell>
          <cell r="C27">
            <v>26.00338764</v>
          </cell>
          <cell r="D27">
            <v>30.850094000000002</v>
          </cell>
          <cell r="E27">
            <v>38.388723002606923</v>
          </cell>
          <cell r="F27">
            <v>46.203335046358795</v>
          </cell>
          <cell r="G27">
            <v>55.577336008172445</v>
          </cell>
          <cell r="H27">
            <v>66.485234769540284</v>
          </cell>
          <cell r="I27">
            <v>77.059427641937717</v>
          </cell>
          <cell r="J27">
            <v>87.628978661131228</v>
          </cell>
        </row>
        <row r="29">
          <cell r="B29" t="str">
            <v>Occupancy</v>
          </cell>
        </row>
        <row r="30">
          <cell r="B30" t="str">
            <v>Hotel Visitors @ Constant Share &amp; Length of Stay</v>
          </cell>
          <cell r="C30">
            <v>0.70902922563301929</v>
          </cell>
          <cell r="D30">
            <v>0.75224088284457091</v>
          </cell>
          <cell r="E30">
            <v>0.72902168651236288</v>
          </cell>
          <cell r="F30">
            <v>0.60321701423507024</v>
          </cell>
          <cell r="G30">
            <v>0.43827729327976817</v>
          </cell>
          <cell r="H30">
            <v>0.35370001009838453</v>
          </cell>
          <cell r="I30">
            <v>0.38278885005516533</v>
          </cell>
          <cell r="J30">
            <v>0.42416264605628878</v>
          </cell>
        </row>
        <row r="31">
          <cell r="B31" t="str">
            <v>Hotel Visitors @ Constant Share</v>
          </cell>
          <cell r="C31">
            <v>0.70902922563301929</v>
          </cell>
          <cell r="D31">
            <v>0.74850900036412304</v>
          </cell>
          <cell r="E31">
            <v>0.79047312193184327</v>
          </cell>
          <cell r="F31">
            <v>0.738233949864609</v>
          </cell>
          <cell r="G31">
            <v>0.68812316479422686</v>
          </cell>
          <cell r="H31">
            <v>0.65268307140980153</v>
          </cell>
          <cell r="I31">
            <v>0.70636074419657591</v>
          </cell>
          <cell r="J31">
            <v>0.78270786175075524</v>
          </cell>
        </row>
        <row r="32">
          <cell r="B32" t="str">
            <v>Forecast</v>
          </cell>
          <cell r="C32">
            <v>0.70902922563301929</v>
          </cell>
          <cell r="D32">
            <v>0.72314596393254593</v>
          </cell>
          <cell r="E32">
            <v>0.76428321462774651</v>
          </cell>
          <cell r="F32">
            <v>0.78081165618029769</v>
          </cell>
          <cell r="G32">
            <v>0.79029714454148425</v>
          </cell>
          <cell r="H32">
            <v>0.79523135131673062</v>
          </cell>
          <cell r="I32">
            <v>0.91002215529354946</v>
          </cell>
          <cell r="J32">
            <v>1.0596169520416707</v>
          </cell>
        </row>
        <row r="33">
          <cell r="B33" t="str">
            <v>Hotel Length of Stay Reaches 2 Nights</v>
          </cell>
          <cell r="C33">
            <v>0.70902922563301929</v>
          </cell>
          <cell r="D33">
            <v>0.77259184180827556</v>
          </cell>
          <cell r="E33">
            <v>0.83924725572535219</v>
          </cell>
          <cell r="F33">
            <v>0.84103058074239101</v>
          </cell>
          <cell r="G33">
            <v>0.7277401890235734</v>
          </cell>
          <cell r="H33">
            <v>0.67803510167744563</v>
          </cell>
          <cell r="I33">
            <v>0.81365566325957983</v>
          </cell>
          <cell r="J33">
            <v>0.97671048350097389</v>
          </cell>
        </row>
        <row r="35">
          <cell r="B35" t="str">
            <v>Revenue per Visitor Day</v>
          </cell>
        </row>
        <row r="36">
          <cell r="B36" t="str">
            <v>Day Trippers</v>
          </cell>
          <cell r="C36">
            <v>93.352570415141727</v>
          </cell>
          <cell r="D36">
            <v>91.183331550650422</v>
          </cell>
          <cell r="E36">
            <v>101.92475224507626</v>
          </cell>
          <cell r="F36">
            <v>104.93071762669251</v>
          </cell>
          <cell r="G36">
            <v>104.92823150594876</v>
          </cell>
          <cell r="H36">
            <v>100.04275818815849</v>
          </cell>
          <cell r="I36">
            <v>96.999240888847297</v>
          </cell>
          <cell r="J36">
            <v>94.30705012465927</v>
          </cell>
        </row>
        <row r="37">
          <cell r="B37" t="str">
            <v>Other Overnight</v>
          </cell>
          <cell r="C37">
            <v>48.11109890036419</v>
          </cell>
          <cell r="D37">
            <v>50.5166538453824</v>
          </cell>
          <cell r="E37">
            <v>50.5166538453824</v>
          </cell>
          <cell r="F37">
            <v>50.5166538453824</v>
          </cell>
          <cell r="G37">
            <v>50.5166538453824</v>
          </cell>
          <cell r="H37">
            <v>51.021820383836221</v>
          </cell>
          <cell r="I37">
            <v>51.532038587674585</v>
          </cell>
          <cell r="J37">
            <v>52.047358973551333</v>
          </cell>
        </row>
        <row r="39">
          <cell r="B39" t="str">
            <v>Hotel Visitors @ Constant Share &amp; Length of Stay</v>
          </cell>
          <cell r="C39">
            <v>92.212939559031355</v>
          </cell>
          <cell r="D39">
            <v>90.655985385959866</v>
          </cell>
          <cell r="E39">
            <v>97.570351185956739</v>
          </cell>
          <cell r="F39">
            <v>106.0356205006384</v>
          </cell>
          <cell r="G39">
            <v>118.51740052407369</v>
          </cell>
          <cell r="H39">
            <v>126.43747029746648</v>
          </cell>
          <cell r="I39">
            <v>128.32118196827733</v>
          </cell>
          <cell r="J39">
            <v>130.12302485233283</v>
          </cell>
        </row>
        <row r="40">
          <cell r="B40" t="str">
            <v xml:space="preserve">  Growth</v>
          </cell>
          <cell r="D40">
            <v>-1.6884335110852633E-2</v>
          </cell>
          <cell r="E40">
            <v>7.6270372778582285E-2</v>
          </cell>
          <cell r="F40">
            <v>8.6760672804671257E-2</v>
          </cell>
          <cell r="G40">
            <v>0.11771308513595335</v>
          </cell>
          <cell r="H40">
            <v>6.6826219089947347E-2</v>
          </cell>
          <cell r="I40">
            <v>1.4898365701078164E-2</v>
          </cell>
          <cell r="J40">
            <v>1.4041663709900565E-2</v>
          </cell>
        </row>
        <row r="41">
          <cell r="B41" t="str">
            <v>Hotel Visitors @ Constant Share</v>
          </cell>
          <cell r="C41">
            <v>92.212939559031355</v>
          </cell>
          <cell r="D41">
            <v>90.924259105957049</v>
          </cell>
          <cell r="E41">
            <v>92.004353055754734</v>
          </cell>
          <cell r="F41">
            <v>96.604570708542482</v>
          </cell>
          <cell r="G41">
            <v>99.502707829798752</v>
          </cell>
          <cell r="H41">
            <v>99.502707829798752</v>
          </cell>
          <cell r="I41">
            <v>99.502707829798752</v>
          </cell>
          <cell r="J41">
            <v>99.502707829798752</v>
          </cell>
        </row>
        <row r="42">
          <cell r="B42" t="str">
            <v>Hotel Visitors, Forecast</v>
          </cell>
          <cell r="C42">
            <v>92.212939559031355</v>
          </cell>
          <cell r="D42">
            <v>90.924259105957049</v>
          </cell>
          <cell r="E42">
            <v>92.004353055754734</v>
          </cell>
          <cell r="F42">
            <v>96.604570708542482</v>
          </cell>
          <cell r="G42">
            <v>99.502707829798752</v>
          </cell>
          <cell r="H42">
            <v>99.502707829798752</v>
          </cell>
          <cell r="I42">
            <v>99.502707829798752</v>
          </cell>
          <cell r="J42">
            <v>99.502707829798752</v>
          </cell>
        </row>
        <row r="43">
          <cell r="B43" t="str">
            <v>Hotel Length of Stay Reaches 2 Nights</v>
          </cell>
          <cell r="C43">
            <v>92.212939559031355</v>
          </cell>
          <cell r="D43">
            <v>90.924259105957049</v>
          </cell>
          <cell r="E43">
            <v>92.004353055754734</v>
          </cell>
          <cell r="F43">
            <v>96.604570708542482</v>
          </cell>
          <cell r="G43">
            <v>99.502707829798752</v>
          </cell>
          <cell r="H43">
            <v>99.502707829798752</v>
          </cell>
          <cell r="I43">
            <v>99.502707829798752</v>
          </cell>
          <cell r="J43">
            <v>99.502707829798752</v>
          </cell>
        </row>
        <row r="45">
          <cell r="B45" t="str">
            <v>Revenue</v>
          </cell>
          <cell r="F45">
            <v>-5.5877401367766089E-2</v>
          </cell>
          <cell r="G45">
            <v>-0.24183905563263763</v>
          </cell>
          <cell r="H45">
            <v>1178.2352498552946</v>
          </cell>
          <cell r="I45">
            <v>0.18596165426487155</v>
          </cell>
        </row>
        <row r="46">
          <cell r="B46" t="str">
            <v>Hotel Visitors @ Constant Share &amp; Length of Stay</v>
          </cell>
          <cell r="C46">
            <v>2085.2160815156567</v>
          </cell>
          <cell r="D46">
            <v>2445.0890346717483</v>
          </cell>
          <cell r="E46">
            <v>3153.5264619859204</v>
          </cell>
          <cell r="F46">
            <v>3719.6961415569003</v>
          </cell>
          <cell r="G46">
            <v>4286.76179564629</v>
          </cell>
          <cell r="H46">
            <v>4803.6352077448128</v>
          </cell>
          <cell r="I46">
            <v>5292.5018691607365</v>
          </cell>
          <cell r="J46">
            <v>5757.5890443966437</v>
          </cell>
        </row>
        <row r="47">
          <cell r="B47" t="str">
            <v>Hotel Visitors @ Constant Share</v>
          </cell>
          <cell r="C47">
            <v>2085.2160815156567</v>
          </cell>
          <cell r="D47">
            <v>2442.5192737508951</v>
          </cell>
          <cell r="E47">
            <v>3207.459204967935</v>
          </cell>
          <cell r="F47">
            <v>3893.9209260875341</v>
          </cell>
          <cell r="G47">
            <v>4814.6877343671822</v>
          </cell>
          <cell r="H47">
            <v>5706.8222151304508</v>
          </cell>
          <cell r="I47">
            <v>6310.2780936719992</v>
          </cell>
          <cell r="J47">
            <v>6888.461595735459</v>
          </cell>
        </row>
        <row r="48">
          <cell r="B48" t="str">
            <v>Forecast</v>
          </cell>
          <cell r="C48">
            <v>2085.2160815156567</v>
          </cell>
          <cell r="D48">
            <v>2410.12711598839</v>
          </cell>
          <cell r="E48">
            <v>3166.4450790962001</v>
          </cell>
          <cell r="F48">
            <v>3987.0430218892116</v>
          </cell>
          <cell r="G48">
            <v>5147.5260704163238</v>
          </cell>
          <cell r="H48">
            <v>6335.90432669035</v>
          </cell>
          <cell r="I48">
            <v>7246.1243691780819</v>
          </cell>
          <cell r="J48">
            <v>8164.3750046539053</v>
          </cell>
        </row>
        <row r="49">
          <cell r="B49" t="str">
            <v>Hotel Length of Stay Reaches 2 Nights</v>
          </cell>
          <cell r="C49">
            <v>2085.2160815156567</v>
          </cell>
          <cell r="D49">
            <v>2444.1753705430424</v>
          </cell>
          <cell r="E49">
            <v>3232.237136414501</v>
          </cell>
          <cell r="F49">
            <v>4064.7490452675252</v>
          </cell>
          <cell r="G49">
            <v>5015.3428197381036</v>
          </cell>
          <cell r="H49">
            <v>5981.8704576001073</v>
          </cell>
          <cell r="I49">
            <v>6943.009277269437</v>
          </cell>
          <cell r="J49">
            <v>7902.8831606768154</v>
          </cell>
        </row>
        <row r="50">
          <cell r="B50" t="str">
            <v xml:space="preserve">  Check</v>
          </cell>
          <cell r="C50">
            <v>2085.2160815156567</v>
          </cell>
          <cell r="D50">
            <v>2410.12711598839</v>
          </cell>
          <cell r="E50">
            <v>3166.4450790961996</v>
          </cell>
          <cell r="F50">
            <v>3987.0430218892116</v>
          </cell>
          <cell r="G50">
            <v>5147.5260704163238</v>
          </cell>
          <cell r="H50">
            <v>6335.90432669035</v>
          </cell>
          <cell r="I50">
            <v>7246.1243691780828</v>
          </cell>
          <cell r="J50">
            <v>8164.3750046539062</v>
          </cell>
        </row>
        <row r="52">
          <cell r="B52" t="str">
            <v>VIP Revenues</v>
          </cell>
          <cell r="C52">
            <v>3497.8356344037484</v>
          </cell>
          <cell r="D52">
            <v>4462.2919091703079</v>
          </cell>
          <cell r="E52">
            <v>5544.8648697270928</v>
          </cell>
          <cell r="F52">
            <v>5988.4540593052607</v>
          </cell>
          <cell r="G52">
            <v>6347.7613028635769</v>
          </cell>
          <cell r="H52">
            <v>6601.6717549781206</v>
          </cell>
          <cell r="I52">
            <v>6799.7219076274641</v>
          </cell>
          <cell r="J52">
            <v>7003.713564856288</v>
          </cell>
        </row>
        <row r="118">
          <cell r="K118" t="str">
            <v>New vs Old</v>
          </cell>
        </row>
        <row r="119">
          <cell r="L119">
            <v>2005</v>
          </cell>
          <cell r="M119" t="str">
            <v>2006E</v>
          </cell>
          <cell r="N119" t="str">
            <v>2007E</v>
          </cell>
          <cell r="O119" t="str">
            <v>2008E</v>
          </cell>
          <cell r="P119" t="str">
            <v>2009E</v>
          </cell>
          <cell r="Q119" t="str">
            <v>2010E</v>
          </cell>
          <cell r="R119" t="str">
            <v>2011E</v>
          </cell>
          <cell r="S119" t="str">
            <v>2012E</v>
          </cell>
        </row>
        <row r="121">
          <cell r="K121" t="str">
            <v>Visitors</v>
          </cell>
          <cell r="L121">
            <v>18.711186999999999</v>
          </cell>
          <cell r="M121">
            <v>21.998122000000002</v>
          </cell>
          <cell r="N121">
            <v>26.853211459144823</v>
          </cell>
          <cell r="O121">
            <v>31.112956369452657</v>
          </cell>
          <cell r="P121">
            <v>35.938386716715485</v>
          </cell>
          <cell r="Q121">
            <v>41.464358695646425</v>
          </cell>
          <cell r="R121">
            <v>46.725028260970944</v>
          </cell>
          <cell r="S121">
            <v>51.917160814241257</v>
          </cell>
        </row>
        <row r="122">
          <cell r="K122" t="str">
            <v xml:space="preserve">  Growth</v>
          </cell>
          <cell r="M122">
            <v>0.17566683503296732</v>
          </cell>
          <cell r="N122">
            <v>0.22070472466444269</v>
          </cell>
          <cell r="O122">
            <v>0.15863074391637366</v>
          </cell>
          <cell r="P122">
            <v>0.15509391939367534</v>
          </cell>
          <cell r="Q122">
            <v>0.15376238289407484</v>
          </cell>
          <cell r="R122">
            <v>0.1268720831772292</v>
          </cell>
          <cell r="S122">
            <v>0.11112101472193769</v>
          </cell>
        </row>
        <row r="124">
          <cell r="K124" t="str">
            <v>New</v>
          </cell>
        </row>
        <row r="125">
          <cell r="K125" t="str">
            <v>Visitor Days</v>
          </cell>
          <cell r="L125">
            <v>26.005010850000001</v>
          </cell>
          <cell r="M125">
            <v>30.483021920000002</v>
          </cell>
          <cell r="N125">
            <v>37.857878147298791</v>
          </cell>
          <cell r="O125">
            <v>45.398962925988279</v>
          </cell>
          <cell r="P125">
            <v>56.905774736737726</v>
          </cell>
          <cell r="Q125">
            <v>70.043267277518083</v>
          </cell>
          <cell r="R125">
            <v>80.105727572057503</v>
          </cell>
          <cell r="S125">
            <v>90.25696587555332</v>
          </cell>
        </row>
        <row r="126">
          <cell r="K126" t="str">
            <v xml:space="preserve">  Growth</v>
          </cell>
          <cell r="M126">
            <v>0.17219800813888142</v>
          </cell>
          <cell r="N126">
            <v>0.24193323898967267</v>
          </cell>
          <cell r="O126">
            <v>0.19919459694355734</v>
          </cell>
          <cell r="P126">
            <v>0.25345979443425715</v>
          </cell>
          <cell r="Q126">
            <v>0.23086396067109405</v>
          </cell>
          <cell r="R126">
            <v>0.14366063557073949</v>
          </cell>
          <cell r="S126">
            <v>0.12672300235166678</v>
          </cell>
        </row>
        <row r="127">
          <cell r="K127" t="str">
            <v>Length of Stay</v>
          </cell>
          <cell r="L127">
            <v>1.3898108575367241</v>
          </cell>
          <cell r="M127">
            <v>1.3857101947157124</v>
          </cell>
          <cell r="N127">
            <v>1.409808216231297</v>
          </cell>
          <cell r="O127">
            <v>1.4591658339019791</v>
          </cell>
          <cell r="P127">
            <v>1.5834259669277251</v>
          </cell>
          <cell r="Q127">
            <v>1.6892403375063489</v>
          </cell>
          <cell r="R127">
            <v>1.7144072578115315</v>
          </cell>
          <cell r="S127">
            <v>1.7384803879875337</v>
          </cell>
        </row>
        <row r="128">
          <cell r="K128" t="str">
            <v xml:space="preserve">  Growth</v>
          </cell>
          <cell r="M128">
            <v>-2.9505186254477067E-3</v>
          </cell>
          <cell r="N128">
            <v>1.7390376146094955E-2</v>
          </cell>
          <cell r="O128">
            <v>3.5010164575877578E-2</v>
          </cell>
          <cell r="P128">
            <v>8.5158335083449721E-2</v>
          </cell>
          <cell r="Q128">
            <v>6.6826219089947347E-2</v>
          </cell>
          <cell r="R128">
            <v>1.4898365701078387E-2</v>
          </cell>
          <cell r="S128">
            <v>1.4041663709900565E-2</v>
          </cell>
        </row>
        <row r="130">
          <cell r="K130" t="str">
            <v>Mass Market Revenue / Visitor / Day (US$)</v>
          </cell>
          <cell r="L130">
            <v>80.18516483394032</v>
          </cell>
          <cell r="M130">
            <v>79.064573135614836</v>
          </cell>
          <cell r="N130">
            <v>83.640320959777029</v>
          </cell>
          <cell r="O130">
            <v>87.822337007765881</v>
          </cell>
          <cell r="P130">
            <v>90.457007117998856</v>
          </cell>
          <cell r="Q130">
            <v>90.457007117998856</v>
          </cell>
          <cell r="R130">
            <v>90.457007117998856</v>
          </cell>
          <cell r="S130">
            <v>90.457007117998856</v>
          </cell>
        </row>
        <row r="131">
          <cell r="K131" t="str">
            <v xml:space="preserve">  Growth</v>
          </cell>
          <cell r="M131">
            <v>-1.3975050131108113E-2</v>
          </cell>
          <cell r="N131">
            <v>5.7873553763626573E-2</v>
          </cell>
          <cell r="O131">
            <v>5.0000000000000044E-2</v>
          </cell>
          <cell r="P131">
            <v>3.0000000000000027E-2</v>
          </cell>
          <cell r="Q131">
            <v>0</v>
          </cell>
          <cell r="R131">
            <v>0</v>
          </cell>
          <cell r="S131">
            <v>0</v>
          </cell>
        </row>
        <row r="132">
          <cell r="K132" t="str">
            <v>Mass Market Revenue / Visitor / (US$)</v>
          </cell>
          <cell r="L132">
            <v>111.44221269958217</v>
          </cell>
          <cell r="M132">
            <v>109.56058503486751</v>
          </cell>
          <cell r="N132">
            <v>117.91681169731642</v>
          </cell>
          <cell r="O132">
            <v>128.14735361515733</v>
          </cell>
          <cell r="P132">
            <v>143.23197396120545</v>
          </cell>
          <cell r="Q132">
            <v>152.8036252338226</v>
          </cell>
          <cell r="R132">
            <v>155.08014952300658</v>
          </cell>
          <cell r="S132">
            <v>157.25773283068975</v>
          </cell>
        </row>
        <row r="133">
          <cell r="K133" t="str">
            <v xml:space="preserve">  Growth</v>
          </cell>
          <cell r="M133">
            <v>-1.6884335110852633E-2</v>
          </cell>
          <cell r="N133">
            <v>7.6270372778582285E-2</v>
          </cell>
          <cell r="O133">
            <v>8.6760672804671257E-2</v>
          </cell>
          <cell r="P133">
            <v>0.11771308513595335</v>
          </cell>
          <cell r="Q133">
            <v>6.6826219089947347E-2</v>
          </cell>
          <cell r="R133">
            <v>1.4898365701078164E-2</v>
          </cell>
          <cell r="S133">
            <v>1.4041663709900565E-2</v>
          </cell>
        </row>
        <row r="134">
          <cell r="K134" t="str">
            <v>Mass Market Revenue</v>
          </cell>
          <cell r="L134">
            <v>2085.2160815156567</v>
          </cell>
          <cell r="M134">
            <v>2410.1271159883904</v>
          </cell>
          <cell r="N134">
            <v>3166.4450790962001</v>
          </cell>
          <cell r="O134">
            <v>3987.0430218892116</v>
          </cell>
          <cell r="P134">
            <v>5147.5260704163238</v>
          </cell>
          <cell r="Q134">
            <v>6335.90432669035</v>
          </cell>
          <cell r="R134">
            <v>7246.1243691780828</v>
          </cell>
          <cell r="S134">
            <v>8164.3750046539062</v>
          </cell>
        </row>
        <row r="136">
          <cell r="K136" t="str">
            <v>Old - just before 7/2006</v>
          </cell>
        </row>
        <row r="137">
          <cell r="K137" t="str">
            <v>Mass Market Revenue / Visitor / (US$)</v>
          </cell>
          <cell r="L137">
            <v>111.42495853909043</v>
          </cell>
          <cell r="M137">
            <v>132.92823720522313</v>
          </cell>
          <cell r="N137">
            <v>154.19675515805881</v>
          </cell>
          <cell r="O137">
            <v>178.8682359833482</v>
          </cell>
          <cell r="P137">
            <v>194.96637722184954</v>
          </cell>
          <cell r="Q137">
            <v>212.51335117181603</v>
          </cell>
          <cell r="R137">
            <v>218.88875170697051</v>
          </cell>
          <cell r="S137">
            <v>225.45541425817964</v>
          </cell>
        </row>
        <row r="138">
          <cell r="K138" t="str">
            <v xml:space="preserve">  Growth</v>
          </cell>
          <cell r="M138">
            <v>0.19298439907957299</v>
          </cell>
          <cell r="N138">
            <v>0.15999999999999992</v>
          </cell>
          <cell r="O138">
            <v>0.15999999999999992</v>
          </cell>
          <cell r="P138">
            <v>9.000000000000008E-2</v>
          </cell>
          <cell r="Q138">
            <v>9.000000000000008E-2</v>
          </cell>
          <cell r="R138">
            <v>3.0000000000000027E-2</v>
          </cell>
          <cell r="S138">
            <v>3.0000000000000027E-2</v>
          </cell>
        </row>
        <row r="139">
          <cell r="K139" t="str">
            <v>Mass Market Revenue</v>
          </cell>
          <cell r="L139">
            <v>2084.8932356921678</v>
          </cell>
          <cell r="M139">
            <v>2875.5326019075469</v>
          </cell>
          <cell r="N139">
            <v>3799.4469985761707</v>
          </cell>
          <cell r="O139">
            <v>5065.4832256596364</v>
          </cell>
          <cell r="P139">
            <v>6278.9503796083345</v>
          </cell>
          <cell r="Q139">
            <v>7721.0443786274736</v>
          </cell>
          <cell r="R139">
            <v>8842.6643546752584</v>
          </cell>
          <cell r="S139">
            <v>10003.30173162961</v>
          </cell>
        </row>
        <row r="140">
          <cell r="K140" t="str">
            <v xml:space="preserve">  Growth</v>
          </cell>
          <cell r="M140">
            <v>0.37922295141069573</v>
          </cell>
          <cell r="N140">
            <v>0.32130200716755053</v>
          </cell>
          <cell r="O140">
            <v>0.33321591998991118</v>
          </cell>
          <cell r="P140">
            <v>0.23955605021092108</v>
          </cell>
          <cell r="Q140">
            <v>0.22967118894624772</v>
          </cell>
          <cell r="R140">
            <v>0.14526790950101609</v>
          </cell>
          <cell r="S140">
            <v>0.1312542612047356</v>
          </cell>
        </row>
        <row r="142">
          <cell r="K142" t="str">
            <v>Difference</v>
          </cell>
        </row>
        <row r="143">
          <cell r="K143" t="str">
            <v>Revenue Difference</v>
          </cell>
          <cell r="L143">
            <v>0.32284582348893309</v>
          </cell>
          <cell r="M143">
            <v>-465.40548591915649</v>
          </cell>
          <cell r="N143">
            <v>-633.00191947997064</v>
          </cell>
          <cell r="O143">
            <v>-1078.4402037704249</v>
          </cell>
          <cell r="P143">
            <v>-1131.4243091920107</v>
          </cell>
          <cell r="Q143">
            <v>-1385.1400519371236</v>
          </cell>
          <cell r="R143">
            <v>-1596.5399854971756</v>
          </cell>
          <cell r="S143">
            <v>-1838.9267269757038</v>
          </cell>
        </row>
        <row r="145">
          <cell r="K145" t="str">
            <v>Old Implied Win/Visitor/Day</v>
          </cell>
          <cell r="L145">
            <v>80.172750079516604</v>
          </cell>
          <cell r="M145">
            <v>94.332268285412383</v>
          </cell>
          <cell r="N145">
            <v>100.36080162213915</v>
          </cell>
          <cell r="O145">
            <v>111.5770691484219</v>
          </cell>
          <cell r="P145">
            <v>110.33942352347441</v>
          </cell>
          <cell r="Q145">
            <v>110.23249883584045</v>
          </cell>
          <cell r="R145">
            <v>110.38741701360888</v>
          </cell>
          <cell r="S145">
            <v>110.8313539524717</v>
          </cell>
        </row>
        <row r="146">
          <cell r="K146" t="str">
            <v xml:space="preserve">  Growth</v>
          </cell>
          <cell r="M146">
            <v>0.17661260455519034</v>
          </cell>
          <cell r="N146">
            <v>6.3907435348493857E-2</v>
          </cell>
          <cell r="O146">
            <v>0.1117594453710351</v>
          </cell>
          <cell r="P146">
            <v>-1.1092293733770298E-2</v>
          </cell>
          <cell r="Q146">
            <v>-9.6905244036571414E-4</v>
          </cell>
          <cell r="R146">
            <v>1.4053766303452342E-3</v>
          </cell>
          <cell r="S146">
            <v>4.0216262946717318E-3</v>
          </cell>
        </row>
        <row r="147">
          <cell r="K147" t="str">
            <v>Win/Visitor/Day Difference</v>
          </cell>
          <cell r="L147">
            <v>1.241475442371609E-2</v>
          </cell>
          <cell r="M147">
            <v>-15.267695149797547</v>
          </cell>
          <cell r="N147">
            <v>-16.720480662362121</v>
          </cell>
          <cell r="O147">
            <v>-23.754732140656017</v>
          </cell>
          <cell r="P147">
            <v>-19.882416405475553</v>
          </cell>
          <cell r="Q147">
            <v>-19.775491717841589</v>
          </cell>
          <cell r="R147">
            <v>-19.930409895610026</v>
          </cell>
          <cell r="S147">
            <v>-20.374346834472846</v>
          </cell>
        </row>
        <row r="148">
          <cell r="K148" t="str">
            <v>Growth Difference (abs)</v>
          </cell>
          <cell r="M148">
            <v>-0.19058765468629846</v>
          </cell>
          <cell r="N148">
            <v>-6.0338815848672844E-3</v>
          </cell>
          <cell r="O148">
            <v>-6.175944537103506E-2</v>
          </cell>
          <cell r="P148">
            <v>4.1092293733770324E-2</v>
          </cell>
          <cell r="Q148">
            <v>9.6905244036571414E-4</v>
          </cell>
          <cell r="R148">
            <v>-1.4053766303452342E-3</v>
          </cell>
          <cell r="S148">
            <v>-4.0216262946717318E-3</v>
          </cell>
        </row>
        <row r="150">
          <cell r="K150" t="str">
            <v>Old Implied Visitor Days</v>
          </cell>
          <cell r="L150">
            <v>26.000984596214064</v>
          </cell>
          <cell r="M150">
            <v>36.369419170521724</v>
          </cell>
          <cell r="N150">
            <v>45.426021265548947</v>
          </cell>
          <cell r="O150">
            <v>57.678756888600105</v>
          </cell>
          <cell r="P150">
            <v>69.413642786319514</v>
          </cell>
          <cell r="Q150">
            <v>85.35595665414364</v>
          </cell>
          <cell r="R150">
            <v>97.755438040750434</v>
          </cell>
          <cell r="S150">
            <v>110.58625583953445</v>
          </cell>
        </row>
        <row r="151">
          <cell r="K151" t="str">
            <v xml:space="preserve">  Growth</v>
          </cell>
          <cell r="M151">
            <v>0.39877084407862706</v>
          </cell>
          <cell r="N151">
            <v>0.24901695714645378</v>
          </cell>
          <cell r="O151">
            <v>0.26972944760943918</v>
          </cell>
          <cell r="P151">
            <v>0.20345247593293303</v>
          </cell>
          <cell r="Q151">
            <v>0.2296711889462475</v>
          </cell>
          <cell r="R151">
            <v>0.14526790950101609</v>
          </cell>
          <cell r="S151">
            <v>0.1312542612047356</v>
          </cell>
        </row>
        <row r="152">
          <cell r="K152" t="str">
            <v>Old Implied Length of Stay</v>
          </cell>
          <cell r="L152">
            <v>1.3895956785752857</v>
          </cell>
          <cell r="M152">
            <v>1.6532965482472421</v>
          </cell>
          <cell r="N152">
            <v>1.6916420344978582</v>
          </cell>
          <cell r="O152">
            <v>1.8538500875227113</v>
          </cell>
          <cell r="P152">
            <v>1.9314624035150187</v>
          </cell>
          <cell r="Q152">
            <v>2.0585379670445896</v>
          </cell>
          <cell r="R152">
            <v>2.0921429409258336</v>
          </cell>
          <cell r="S152">
            <v>2.1300520695885168</v>
          </cell>
        </row>
        <row r="153">
          <cell r="K153" t="str">
            <v xml:space="preserve">  Growth</v>
          </cell>
          <cell r="M153">
            <v>0.18976805536868224</v>
          </cell>
          <cell r="N153">
            <v>2.3193350455650741E-2</v>
          </cell>
          <cell r="O153">
            <v>9.5887930021201218E-2</v>
          </cell>
          <cell r="P153">
            <v>4.1865475808791075E-2</v>
          </cell>
          <cell r="Q153">
            <v>6.5792408538892122E-2</v>
          </cell>
          <cell r="R153">
            <v>1.6324680146410087E-2</v>
          </cell>
          <cell r="S153">
            <v>1.8119760328568768E-2</v>
          </cell>
        </row>
        <row r="154">
          <cell r="K154" t="str">
            <v>Length of Stay Difference</v>
          </cell>
          <cell r="L154">
            <v>2.1517896143841142E-4</v>
          </cell>
          <cell r="M154">
            <v>-0.26758635353152971</v>
          </cell>
          <cell r="N154">
            <v>-0.28183381826656118</v>
          </cell>
          <cell r="O154">
            <v>-0.39468425362073223</v>
          </cell>
          <cell r="P154">
            <v>-0.34803643658729366</v>
          </cell>
          <cell r="Q154">
            <v>-0.36929762953824063</v>
          </cell>
          <cell r="R154">
            <v>-0.37773568311430217</v>
          </cell>
          <cell r="S154">
            <v>-0.3915716816009831</v>
          </cell>
        </row>
        <row r="155">
          <cell r="K155" t="str">
            <v>Growth Difference (abs)</v>
          </cell>
          <cell r="M155">
            <v>-0.19271857399412995</v>
          </cell>
          <cell r="N155">
            <v>-5.8029743095557862E-3</v>
          </cell>
          <cell r="O155">
            <v>-6.0877765445323639E-2</v>
          </cell>
          <cell r="P155">
            <v>4.3292859274658646E-2</v>
          </cell>
          <cell r="Q155">
            <v>1.0338105510552253E-3</v>
          </cell>
          <cell r="R155">
            <v>-1.4263144453317E-3</v>
          </cell>
          <cell r="S155">
            <v>-4.0780966186682033E-3</v>
          </cell>
        </row>
        <row r="156">
          <cell r="T156" t="str">
            <v>Length of Stay Analysis</v>
          </cell>
        </row>
        <row r="157">
          <cell r="T157" t="str">
            <v>2010E</v>
          </cell>
          <cell r="U157" t="str">
            <v>Best Case -------------&gt; Worst Case</v>
          </cell>
          <cell r="AA157" t="str">
            <v>Forecast</v>
          </cell>
          <cell r="AB157" t="str">
            <v>If Stays Same</v>
          </cell>
        </row>
        <row r="159">
          <cell r="T159" t="str">
            <v>Room/Visitor Forecast</v>
          </cell>
        </row>
        <row r="160">
          <cell r="T160" t="str">
            <v>Total Visitors (mm)</v>
          </cell>
          <cell r="U160">
            <v>41.464358695646425</v>
          </cell>
          <cell r="V160">
            <v>41.464358695646425</v>
          </cell>
          <cell r="W160">
            <v>41.464358695646425</v>
          </cell>
          <cell r="X160">
            <v>41.464358695646425</v>
          </cell>
          <cell r="Y160">
            <v>41.464358695646425</v>
          </cell>
          <cell r="Z160">
            <v>41.464358695646425</v>
          </cell>
          <cell r="AA160">
            <v>41.464358695646425</v>
          </cell>
          <cell r="AB160">
            <v>41.464358695646425</v>
          </cell>
        </row>
        <row r="161">
          <cell r="T161" t="str">
            <v>Total Rooms</v>
          </cell>
          <cell r="U161">
            <v>48497.818840579712</v>
          </cell>
          <cell r="V161">
            <v>48497.818840579712</v>
          </cell>
          <cell r="W161">
            <v>48497.818840579712</v>
          </cell>
          <cell r="X161">
            <v>48497.818840579712</v>
          </cell>
          <cell r="Y161">
            <v>48497.818840579712</v>
          </cell>
          <cell r="Z161">
            <v>48497.818840579712</v>
          </cell>
          <cell r="AA161">
            <v>48497.818840579712</v>
          </cell>
          <cell r="AB161">
            <v>48497.818840579712</v>
          </cell>
        </row>
        <row r="162">
          <cell r="T162" t="str">
            <v>Room Nights Available (mm)</v>
          </cell>
          <cell r="U162">
            <v>17.701703876811592</v>
          </cell>
          <cell r="V162">
            <v>17.701703876811592</v>
          </cell>
          <cell r="W162">
            <v>17.701703876811592</v>
          </cell>
          <cell r="X162">
            <v>17.701703876811592</v>
          </cell>
          <cell r="Y162">
            <v>17.701703876811592</v>
          </cell>
          <cell r="Z162">
            <v>17.701703876811592</v>
          </cell>
          <cell r="AA162">
            <v>17.701703876811592</v>
          </cell>
          <cell r="AB162">
            <v>17.701703876811592</v>
          </cell>
        </row>
        <row r="164">
          <cell r="T164" t="str">
            <v>Key Assumptions</v>
          </cell>
        </row>
        <row r="165">
          <cell r="T165" t="str">
            <v>Overnight % of Total Vistors</v>
          </cell>
          <cell r="U165">
            <v>0.3</v>
          </cell>
          <cell r="V165">
            <v>0.3</v>
          </cell>
          <cell r="W165">
            <v>0.25</v>
          </cell>
          <cell r="X165">
            <v>0.2</v>
          </cell>
          <cell r="Y165">
            <v>0.25</v>
          </cell>
          <cell r="Z165">
            <v>0.2</v>
          </cell>
          <cell r="AA165">
            <v>0.26835005835411491</v>
          </cell>
          <cell r="AB165">
            <v>0.22024727773817879</v>
          </cell>
        </row>
        <row r="166">
          <cell r="T166" t="str">
            <v>Length of Stay</v>
          </cell>
          <cell r="U166">
            <v>1.8</v>
          </cell>
          <cell r="V166">
            <v>1.5</v>
          </cell>
          <cell r="W166">
            <v>1.5</v>
          </cell>
          <cell r="X166">
            <v>1.8</v>
          </cell>
          <cell r="Y166">
            <v>1.2</v>
          </cell>
          <cell r="Z166">
            <v>1.2</v>
          </cell>
          <cell r="AA166">
            <v>2.1697667219533114</v>
          </cell>
          <cell r="AB166">
            <v>1.1758333333333333</v>
          </cell>
        </row>
        <row r="167">
          <cell r="T167" t="str">
            <v>Visitors Per Room</v>
          </cell>
          <cell r="U167">
            <v>1.7226267109273483</v>
          </cell>
          <cell r="V167">
            <v>1.7226267109273483</v>
          </cell>
          <cell r="W167">
            <v>1.7226267109273483</v>
          </cell>
          <cell r="X167">
            <v>1.7226267109273483</v>
          </cell>
          <cell r="Y167">
            <v>1.7226267109273483</v>
          </cell>
          <cell r="Z167">
            <v>1.7226267109273483</v>
          </cell>
          <cell r="AA167">
            <v>1.7150671401583086</v>
          </cell>
          <cell r="AB167">
            <v>1.7226267109273483</v>
          </cell>
        </row>
        <row r="169">
          <cell r="T169" t="str">
            <v>Total Overnight Guests (mm)</v>
          </cell>
          <cell r="U169">
            <v>12.439307608693927</v>
          </cell>
          <cell r="V169">
            <v>12.439307608693927</v>
          </cell>
          <cell r="W169">
            <v>10.366089673911606</v>
          </cell>
          <cell r="X169">
            <v>8.2928717391292857</v>
          </cell>
          <cell r="Y169">
            <v>10.366089673911606</v>
          </cell>
          <cell r="Z169">
            <v>8.2928717391292857</v>
          </cell>
          <cell r="AA169">
            <v>11.12696307559267</v>
          </cell>
          <cell r="AB169">
            <v>9.132412125875506</v>
          </cell>
        </row>
        <row r="170">
          <cell r="T170" t="str">
            <v>Room Nights Sold (mm)</v>
          </cell>
          <cell r="U170">
            <v>12.998030016378516</v>
          </cell>
          <cell r="V170">
            <v>10.83169168031543</v>
          </cell>
          <cell r="W170">
            <v>9.026409733596191</v>
          </cell>
          <cell r="X170">
            <v>8.6653533442523436</v>
          </cell>
          <cell r="Y170">
            <v>7.221127786876953</v>
          </cell>
          <cell r="Z170">
            <v>5.7769022295015624</v>
          </cell>
          <cell r="AA170">
            <v>14.076949894565493</v>
          </cell>
          <cell r="AB170">
            <v>6.233616675757462</v>
          </cell>
        </row>
        <row r="171">
          <cell r="T171" t="str">
            <v>Occupancy</v>
          </cell>
          <cell r="U171">
            <v>0.73428129330563086</v>
          </cell>
          <cell r="V171">
            <v>0.61190107775469238</v>
          </cell>
          <cell r="W171">
            <v>0.50991756479557693</v>
          </cell>
          <cell r="X171">
            <v>0.4895208622037539</v>
          </cell>
          <cell r="Y171">
            <v>0.40793405183646159</v>
          </cell>
          <cell r="Z171">
            <v>0.32634724146916927</v>
          </cell>
          <cell r="AA171">
            <v>0.79523135131673062</v>
          </cell>
          <cell r="AB171">
            <v>0.35214783385475168</v>
          </cell>
        </row>
      </sheetData>
      <sheetData sheetId="7" refreshError="1">
        <row r="2">
          <cell r="B2">
            <v>2000</v>
          </cell>
          <cell r="C2">
            <v>2001</v>
          </cell>
          <cell r="D2">
            <v>2002</v>
          </cell>
          <cell r="E2">
            <v>2003</v>
          </cell>
          <cell r="F2">
            <v>2004</v>
          </cell>
          <cell r="G2">
            <v>2005</v>
          </cell>
          <cell r="H2" t="str">
            <v>2006E</v>
          </cell>
          <cell r="I2" t="str">
            <v>2007E</v>
          </cell>
          <cell r="J2" t="str">
            <v>2008E</v>
          </cell>
          <cell r="K2" t="str">
            <v>2009E</v>
          </cell>
          <cell r="L2" t="str">
            <v>2010E</v>
          </cell>
          <cell r="M2" t="str">
            <v>2011E</v>
          </cell>
          <cell r="N2" t="str">
            <v>2012E</v>
          </cell>
          <cell r="O2" t="str">
            <v>2013E</v>
          </cell>
          <cell r="P2" t="str">
            <v>2014E</v>
          </cell>
          <cell r="Q2" t="str">
            <v>2015E</v>
          </cell>
          <cell r="R2" t="str">
            <v>2016E</v>
          </cell>
          <cell r="S2" t="str">
            <v>2017E</v>
          </cell>
          <cell r="T2" t="str">
            <v>2018E</v>
          </cell>
          <cell r="U2" t="str">
            <v>2019E</v>
          </cell>
          <cell r="V2" t="str">
            <v>2020E</v>
          </cell>
        </row>
        <row r="4">
          <cell r="A4" t="str">
            <v>Total Visitors (mm)</v>
          </cell>
          <cell r="B4">
            <v>9.1622120000000002</v>
          </cell>
          <cell r="C4">
            <v>10.278973000000001</v>
          </cell>
          <cell r="D4">
            <v>11.530841000000001</v>
          </cell>
          <cell r="E4">
            <v>11.887875999999999</v>
          </cell>
          <cell r="F4">
            <v>16.672556</v>
          </cell>
          <cell r="G4">
            <v>18.711186999999999</v>
          </cell>
          <cell r="H4">
            <v>21.998122000000002</v>
          </cell>
          <cell r="I4">
            <v>26.853211459144823</v>
          </cell>
          <cell r="J4">
            <v>31.112956369452657</v>
          </cell>
          <cell r="K4">
            <v>35.938386716715485</v>
          </cell>
          <cell r="L4">
            <v>41.464358695646425</v>
          </cell>
          <cell r="M4">
            <v>46.725028260970944</v>
          </cell>
          <cell r="N4">
            <v>51.917160814241257</v>
          </cell>
          <cell r="O4">
            <v>57.225724977400361</v>
          </cell>
          <cell r="P4">
            <v>62.698682591780887</v>
          </cell>
          <cell r="Q4">
            <v>68.453241363633722</v>
          </cell>
          <cell r="R4">
            <v>74.501429399553246</v>
          </cell>
          <cell r="S4">
            <v>80.855743837087061</v>
          </cell>
          <cell r="T4">
            <v>87.529168173325587</v>
          </cell>
          <cell r="U4">
            <v>94.535190211282512</v>
          </cell>
          <cell r="V4">
            <v>101.88782064554243</v>
          </cell>
        </row>
        <row r="6">
          <cell r="A6" t="str">
            <v>Hotel Guests (mm)</v>
          </cell>
          <cell r="B6">
            <v>2.6898429999999998</v>
          </cell>
          <cell r="C6">
            <v>2.7668530000000002</v>
          </cell>
          <cell r="D6">
            <v>3.154801</v>
          </cell>
          <cell r="E6">
            <v>3.043272</v>
          </cell>
          <cell r="F6">
            <v>3.9561540000000006</v>
          </cell>
          <cell r="G6">
            <v>4.1210880000000003</v>
          </cell>
          <cell r="H6">
            <v>4.6808540000000001</v>
          </cell>
          <cell r="I6">
            <v>5.718392947220277</v>
          </cell>
          <cell r="J6">
            <v>7.2477650018330273</v>
          </cell>
          <cell r="K6">
            <v>9.0906170171459291</v>
          </cell>
          <cell r="L6">
            <v>11.12696307559267</v>
          </cell>
          <cell r="M6">
            <v>13.258229495648175</v>
          </cell>
          <cell r="N6">
            <v>15.479990331349189</v>
          </cell>
          <cell r="O6">
            <v>17.749476403510823</v>
          </cell>
          <cell r="P6">
            <v>20.089518865799334</v>
          </cell>
          <cell r="Q6">
            <v>22.556264011369748</v>
          </cell>
          <cell r="R6">
            <v>25.155235729013647</v>
          </cell>
          <cell r="S6">
            <v>27.892175686482574</v>
          </cell>
          <cell r="T6">
            <v>30.773051431514041</v>
          </cell>
          <cell r="U6">
            <v>33.804064783015832</v>
          </cell>
          <cell r="V6">
            <v>36.991660522529486</v>
          </cell>
        </row>
        <row r="7">
          <cell r="A7" t="str">
            <v>Other Overnight Visitors (mm)</v>
          </cell>
          <cell r="B7">
            <v>2.506875</v>
          </cell>
          <cell r="C7">
            <v>3.0749820000000003</v>
          </cell>
          <cell r="D7">
            <v>3.410358</v>
          </cell>
          <cell r="E7">
            <v>3.2652429999999999</v>
          </cell>
          <cell r="F7">
            <v>4.3672770000000005</v>
          </cell>
          <cell r="G7">
            <v>4.8929760000000009</v>
          </cell>
          <cell r="H7">
            <v>6.0018090000000006</v>
          </cell>
          <cell r="I7">
            <v>7.059522834707419</v>
          </cell>
          <cell r="J7">
            <v>7.7126858481298948</v>
          </cell>
          <cell r="K7">
            <v>8.3698007246177593</v>
          </cell>
          <cell r="L7">
            <v>8.8719887680948251</v>
          </cell>
          <cell r="M7">
            <v>9.2268683188186191</v>
          </cell>
          <cell r="N7">
            <v>9.5036743683831784</v>
          </cell>
          <cell r="O7">
            <v>9.788784599434674</v>
          </cell>
          <cell r="P7">
            <v>10.082448137417714</v>
          </cell>
          <cell r="Q7">
            <v>10.384921581540246</v>
          </cell>
          <cell r="R7">
            <v>10.696469228986453</v>
          </cell>
          <cell r="S7">
            <v>11.017363305856048</v>
          </cell>
          <cell r="T7">
            <v>11.347884205031729</v>
          </cell>
          <cell r="U7">
            <v>11.688320731182682</v>
          </cell>
          <cell r="V7">
            <v>12.038970353118163</v>
          </cell>
        </row>
        <row r="8">
          <cell r="A8" t="str">
            <v>Day Trippers (mm)</v>
          </cell>
          <cell r="B8">
            <v>3.9654940000000001</v>
          </cell>
          <cell r="C8">
            <v>4.4371380000000009</v>
          </cell>
          <cell r="D8">
            <v>4.9656820000000002</v>
          </cell>
          <cell r="E8">
            <v>5.5793609999999996</v>
          </cell>
          <cell r="F8">
            <v>8.3491250000000008</v>
          </cell>
          <cell r="G8">
            <v>9.6971229999999995</v>
          </cell>
          <cell r="H8">
            <v>11.315459000000001</v>
          </cell>
          <cell r="I8">
            <v>14.075295677217126</v>
          </cell>
          <cell r="J8">
            <v>16.152505519489736</v>
          </cell>
          <cell r="K8">
            <v>18.477968974951796</v>
          </cell>
          <cell r="L8">
            <v>21.465406851958932</v>
          </cell>
          <cell r="M8">
            <v>24.23993044650415</v>
          </cell>
          <cell r="N8">
            <v>26.933496114508888</v>
          </cell>
          <cell r="O8">
            <v>29.687463974454861</v>
          </cell>
          <cell r="P8">
            <v>32.526715588563839</v>
          </cell>
          <cell r="Q8">
            <v>35.512055770723727</v>
          </cell>
          <cell r="R8">
            <v>38.649724441553147</v>
          </cell>
          <cell r="S8">
            <v>41.946204844748436</v>
          </cell>
          <cell r="T8">
            <v>45.408232536779813</v>
          </cell>
          <cell r="U8">
            <v>49.042804697083994</v>
          </cell>
          <cell r="V8">
            <v>52.857189769894788</v>
          </cell>
        </row>
        <row r="10">
          <cell r="A10" t="str">
            <v>Avg Days Stayed for Hotel Guests</v>
          </cell>
          <cell r="B10">
            <v>2.2824999999999998</v>
          </cell>
          <cell r="C10">
            <v>2.2925</v>
          </cell>
          <cell r="D10">
            <v>2.229166666666667</v>
          </cell>
          <cell r="E10">
            <v>2.2216666666666667</v>
          </cell>
          <cell r="F10">
            <v>2.1758333333333333</v>
          </cell>
          <cell r="G10">
            <v>2.1758333333333333</v>
          </cell>
          <cell r="H10">
            <v>2.17</v>
          </cell>
          <cell r="I10">
            <v>2.2749478692713261</v>
          </cell>
          <cell r="J10">
            <v>2.439017908256258</v>
          </cell>
          <cell r="K10">
            <v>2.8461329551184145</v>
          </cell>
          <cell r="L10">
            <v>3.1697667219533114</v>
          </cell>
          <cell r="M10">
            <v>3.1697667219533114</v>
          </cell>
          <cell r="N10">
            <v>3.1697667219533114</v>
          </cell>
          <cell r="O10">
            <v>3.1697667219533114</v>
          </cell>
          <cell r="P10">
            <v>3.1697667219533114</v>
          </cell>
          <cell r="Q10">
            <v>3.1697667219533114</v>
          </cell>
          <cell r="R10">
            <v>3.1697667219533114</v>
          </cell>
          <cell r="S10">
            <v>3.1697667219533114</v>
          </cell>
          <cell r="T10">
            <v>3.1697667219533114</v>
          </cell>
          <cell r="U10">
            <v>3.1697667219533114</v>
          </cell>
          <cell r="V10">
            <v>3.1697667219533114</v>
          </cell>
        </row>
        <row r="11">
          <cell r="A11" t="str">
            <v>Avg Days Stayed for Other Overnight Visitors</v>
          </cell>
          <cell r="B11">
            <v>1.5</v>
          </cell>
          <cell r="C11">
            <v>1.5</v>
          </cell>
          <cell r="D11">
            <v>1.5</v>
          </cell>
          <cell r="E11">
            <v>1.5</v>
          </cell>
          <cell r="F11">
            <v>1.5</v>
          </cell>
          <cell r="G11">
            <v>1.5</v>
          </cell>
          <cell r="H11">
            <v>1.5</v>
          </cell>
          <cell r="I11">
            <v>1.5</v>
          </cell>
          <cell r="J11">
            <v>1.5</v>
          </cell>
          <cell r="K11">
            <v>1.5</v>
          </cell>
          <cell r="L11">
            <v>1.5</v>
          </cell>
          <cell r="M11">
            <v>1.5</v>
          </cell>
          <cell r="N11">
            <v>1.5</v>
          </cell>
          <cell r="O11">
            <v>1.5</v>
          </cell>
          <cell r="P11">
            <v>1.5</v>
          </cell>
          <cell r="Q11">
            <v>1.5</v>
          </cell>
          <cell r="R11">
            <v>1.5</v>
          </cell>
          <cell r="S11">
            <v>1.5</v>
          </cell>
          <cell r="T11">
            <v>1.5</v>
          </cell>
          <cell r="U11">
            <v>1.5</v>
          </cell>
          <cell r="V11">
            <v>1.5</v>
          </cell>
        </row>
        <row r="13">
          <cell r="A13" t="str">
            <v>Avg Days Stayed, Total</v>
          </cell>
          <cell r="B13">
            <v>1.5133215808038494</v>
          </cell>
          <cell r="C13">
            <v>1.4974863249956978</v>
          </cell>
          <cell r="D13">
            <v>1.4841758922152049</v>
          </cell>
          <cell r="E13">
            <v>1.4500791781475515</v>
          </cell>
          <cell r="F13">
            <v>1.4099801041304048</v>
          </cell>
          <cell r="G13">
            <v>1.3897241067603034</v>
          </cell>
          <cell r="H13">
            <v>1.385373973287356</v>
          </cell>
          <cell r="I13">
            <v>1.4029467513608507</v>
          </cell>
          <cell r="J13">
            <v>1.4591658339019793</v>
          </cell>
          <cell r="K13">
            <v>1.5834259669277251</v>
          </cell>
          <cell r="L13">
            <v>1.6892403375063489</v>
          </cell>
          <cell r="M13">
            <v>1.7144072578115315</v>
          </cell>
          <cell r="N13">
            <v>1.7384803879875339</v>
          </cell>
          <cell r="O13">
            <v>1.7585157820070056</v>
          </cell>
          <cell r="P13">
            <v>1.7756270395727334</v>
          </cell>
          <cell r="Q13">
            <v>1.7908214532408184</v>
          </cell>
          <cell r="R13">
            <v>1.8044037337967822</v>
          </cell>
          <cell r="S13">
            <v>1.8166172633742717</v>
          </cell>
          <cell r="T13">
            <v>1.8276587855618405</v>
          </cell>
          <cell r="U13">
            <v>1.8376890660667624</v>
          </cell>
          <cell r="V13">
            <v>1.8468407570351977</v>
          </cell>
        </row>
        <row r="15">
          <cell r="A15" t="str">
            <v>Mass Market Win / Visitor / Day</v>
          </cell>
          <cell r="B15">
            <v>45.918782073460292</v>
          </cell>
          <cell r="C15">
            <v>43.326028388302625</v>
          </cell>
          <cell r="D15">
            <v>41.536352189614121</v>
          </cell>
          <cell r="E15">
            <v>45.835413736513246</v>
          </cell>
          <cell r="F15">
            <v>59.798060816914834</v>
          </cell>
          <cell r="G15">
            <v>80.18516483394032</v>
          </cell>
          <cell r="H15">
            <v>79.064573135614836</v>
          </cell>
          <cell r="I15">
            <v>83.640320959777029</v>
          </cell>
          <cell r="J15">
            <v>87.822337007765881</v>
          </cell>
          <cell r="K15">
            <v>90.457007117998856</v>
          </cell>
          <cell r="L15">
            <v>90.457007117998856</v>
          </cell>
          <cell r="M15">
            <v>90.457007117998856</v>
          </cell>
          <cell r="N15">
            <v>90.457007117998856</v>
          </cell>
          <cell r="O15">
            <v>90.457007117998856</v>
          </cell>
          <cell r="P15">
            <v>90.457007117998856</v>
          </cell>
          <cell r="Q15">
            <v>90.457007117998856</v>
          </cell>
          <cell r="R15">
            <v>90.457007117998856</v>
          </cell>
          <cell r="S15">
            <v>90.457007117998856</v>
          </cell>
          <cell r="T15">
            <v>90.457007117998856</v>
          </cell>
          <cell r="U15">
            <v>90.457007117998856</v>
          </cell>
          <cell r="V15">
            <v>90.457007117998856</v>
          </cell>
        </row>
        <row r="16">
          <cell r="A16" t="str">
            <v xml:space="preserve">  Growth</v>
          </cell>
          <cell r="C16">
            <v>-5.6463903615949884E-2</v>
          </cell>
          <cell r="D16">
            <v>-4.1307183355206667E-2</v>
          </cell>
          <cell r="E16">
            <v>0.10350118198328628</v>
          </cell>
          <cell r="F16">
            <v>0.30462574551342403</v>
          </cell>
          <cell r="G16">
            <v>0.34093252755210868</v>
          </cell>
          <cell r="H16">
            <v>-1.3975050131108113E-2</v>
          </cell>
          <cell r="I16">
            <v>5.7873553763626573E-2</v>
          </cell>
          <cell r="J16">
            <v>5.0000000000000044E-2</v>
          </cell>
          <cell r="K16">
            <v>3.0000000000000027E-2</v>
          </cell>
          <cell r="L16">
            <v>0</v>
          </cell>
          <cell r="M16">
            <v>0</v>
          </cell>
          <cell r="N16">
            <v>0</v>
          </cell>
          <cell r="O16">
            <v>0</v>
          </cell>
          <cell r="P16">
            <v>0</v>
          </cell>
          <cell r="Q16">
            <v>0</v>
          </cell>
          <cell r="R16">
            <v>0</v>
          </cell>
          <cell r="S16">
            <v>0</v>
          </cell>
          <cell r="T16">
            <v>0</v>
          </cell>
          <cell r="U16">
            <v>0</v>
          </cell>
          <cell r="V16">
            <v>0</v>
          </cell>
        </row>
        <row r="17">
          <cell r="A17" t="str">
            <v>Mass Market Win / Visitor</v>
          </cell>
          <cell r="B17">
            <v>69.485441851167352</v>
          </cell>
          <cell r="C17">
            <v>64.879130958528137</v>
          </cell>
          <cell r="D17">
            <v>61.631618489333086</v>
          </cell>
          <cell r="E17">
            <v>66.388826584460716</v>
          </cell>
          <cell r="F17">
            <v>84.303626644021449</v>
          </cell>
          <cell r="G17">
            <v>111.44221269958217</v>
          </cell>
          <cell r="H17">
            <v>109.56058503486751</v>
          </cell>
          <cell r="I17">
            <v>117.91681169731642</v>
          </cell>
          <cell r="J17">
            <v>128.14735361515733</v>
          </cell>
          <cell r="K17">
            <v>143.23197396120545</v>
          </cell>
          <cell r="L17">
            <v>152.8036252338226</v>
          </cell>
          <cell r="M17">
            <v>155.08014952300658</v>
          </cell>
          <cell r="N17">
            <v>157.25773283068975</v>
          </cell>
          <cell r="O17">
            <v>159.070074610121</v>
          </cell>
          <cell r="P17">
            <v>160.61790775754196</v>
          </cell>
          <cell r="Q17">
            <v>161.99234894286977</v>
          </cell>
          <cell r="R17">
            <v>163.22096139179925</v>
          </cell>
          <cell r="S17">
            <v>164.32576072372612</v>
          </cell>
          <cell r="T17">
            <v>165.32454377484052</v>
          </cell>
          <cell r="U17">
            <v>166.23185292986977</v>
          </cell>
          <cell r="V17">
            <v>167.05968750494333</v>
          </cell>
        </row>
        <row r="18">
          <cell r="A18" t="str">
            <v xml:space="preserve">  Growth</v>
          </cell>
          <cell r="C18">
            <v>-6.6291740685848866E-2</v>
          </cell>
          <cell r="D18">
            <v>-5.0054808398573014E-2</v>
          </cell>
          <cell r="E18">
            <v>7.7187784642569257E-2</v>
          </cell>
          <cell r="F18">
            <v>0.26984661397455634</v>
          </cell>
          <cell r="G18">
            <v>0.32191481121156862</v>
          </cell>
          <cell r="H18">
            <v>-1.6884335110852633E-2</v>
          </cell>
          <cell r="I18">
            <v>7.6270372778582285E-2</v>
          </cell>
          <cell r="J18">
            <v>8.6760672804671257E-2</v>
          </cell>
          <cell r="K18">
            <v>0.11771308513595335</v>
          </cell>
          <cell r="L18">
            <v>6.6826219089947347E-2</v>
          </cell>
          <cell r="M18">
            <v>1.4898365701078164E-2</v>
          </cell>
          <cell r="N18">
            <v>1.4041663709900565E-2</v>
          </cell>
          <cell r="O18">
            <v>1.1524659212672761E-2</v>
          </cell>
          <cell r="P18">
            <v>9.730511230441552E-3</v>
          </cell>
          <cell r="Q18">
            <v>8.5572101175828141E-3</v>
          </cell>
          <cell r="R18">
            <v>7.5843856635646745E-3</v>
          </cell>
          <cell r="S18">
            <v>6.7687343739808448E-3</v>
          </cell>
          <cell r="T18">
            <v>6.0780674114364608E-3</v>
          </cell>
          <cell r="U18">
            <v>5.4880487452906301E-3</v>
          </cell>
          <cell r="V18">
            <v>4.9799996840724781E-3</v>
          </cell>
        </row>
        <row r="20">
          <cell r="A20" t="str">
            <v>Mass Market Revenue</v>
          </cell>
          <cell r="B20">
            <v>636.64034915406774</v>
          </cell>
          <cell r="C20">
            <v>666.8908353861749</v>
          </cell>
          <cell r="D20">
            <v>710.66439337316001</v>
          </cell>
          <cell r="E20">
            <v>789.22213822157244</v>
          </cell>
          <cell r="F20">
            <v>1405.5569362255396</v>
          </cell>
          <cell r="G20">
            <v>2085.2160815156567</v>
          </cell>
          <cell r="H20">
            <v>2410.12711598839</v>
          </cell>
          <cell r="I20">
            <v>3166.4450790961996</v>
          </cell>
          <cell r="J20">
            <v>3987.0430218892116</v>
          </cell>
          <cell r="K20">
            <v>5147.5260704163238</v>
          </cell>
          <cell r="L20">
            <v>6335.90432669035</v>
          </cell>
          <cell r="M20">
            <v>7246.1243691780828</v>
          </cell>
          <cell r="N20">
            <v>8164.3750046539062</v>
          </cell>
          <cell r="O20">
            <v>9102.9003417733402</v>
          </cell>
          <cell r="P20">
            <v>10070.531217046064</v>
          </cell>
          <cell r="Q20">
            <v>11088.901361248239</v>
          </cell>
          <cell r="R20">
            <v>12160.194931658338</v>
          </cell>
          <cell r="S20">
            <v>13286.68161491206</v>
          </cell>
          <cell r="T20">
            <v>14470.719795246345</v>
          </cell>
          <cell r="U20">
            <v>15714.75983589918</v>
          </cell>
          <cell r="V20">
            <v>17021.347477604031</v>
          </cell>
        </row>
        <row r="21">
          <cell r="A21" t="str">
            <v xml:space="preserve">  Growth</v>
          </cell>
          <cell r="C21">
            <v>4.7515816853742177E-2</v>
          </cell>
          <cell r="D21">
            <v>6.5638265911447391E-2</v>
          </cell>
          <cell r="E21">
            <v>0.11054127036749239</v>
          </cell>
          <cell r="F21">
            <v>0.78093957094616173</v>
          </cell>
          <cell r="G21">
            <v>0.48355148608583787</v>
          </cell>
          <cell r="H21">
            <v>0.15581648221155531</v>
          </cell>
          <cell r="I21">
            <v>0.31380832906717648</v>
          </cell>
          <cell r="J21">
            <v>0.25915432679073525</v>
          </cell>
          <cell r="K21">
            <v>0.29106358826728473</v>
          </cell>
          <cell r="L21">
            <v>0.23086396067109427</v>
          </cell>
          <cell r="M21">
            <v>0.14366063557073927</v>
          </cell>
          <cell r="N21">
            <v>0.12672300235166678</v>
          </cell>
          <cell r="O21">
            <v>0.11495372720930264</v>
          </cell>
          <cell r="P21">
            <v>0.10629918366042657</v>
          </cell>
          <cell r="Q21">
            <v>0.10112377612001366</v>
          </cell>
          <cell r="R21">
            <v>9.6609531955427874E-2</v>
          </cell>
          <cell r="S21">
            <v>9.2637222477493619E-2</v>
          </cell>
          <cell r="T21">
            <v>8.9114664944285327E-2</v>
          </cell>
          <cell r="U21">
            <v>8.5969465116828792E-2</v>
          </cell>
          <cell r="V21">
            <v>8.3143977722144324E-2</v>
          </cell>
        </row>
        <row r="23">
          <cell r="A23" t="str">
            <v>Hotel Guest Revenue</v>
          </cell>
          <cell r="B23">
            <v>394.68999207685266</v>
          </cell>
          <cell r="C23">
            <v>384.7444343380634</v>
          </cell>
          <cell r="D23">
            <v>408.9506464278582</v>
          </cell>
          <cell r="E23">
            <v>433.85924967758473</v>
          </cell>
          <cell r="F23">
            <v>669.15891379397056</v>
          </cell>
          <cell r="G23">
            <v>826.85504545420372</v>
          </cell>
          <cell r="H23">
            <v>923.55890479494735</v>
          </cell>
          <cell r="I23">
            <v>1196.8888473879201</v>
          </cell>
          <cell r="J23">
            <v>1707.7204044478058</v>
          </cell>
          <cell r="K23">
            <v>2574.4439751123241</v>
          </cell>
          <cell r="L23">
            <v>3509.4482935296624</v>
          </cell>
          <cell r="M23">
            <v>4181.6505152955933</v>
          </cell>
          <cell r="N23">
            <v>4882.3947094221339</v>
          </cell>
          <cell r="O23">
            <v>5598.1914608832458</v>
          </cell>
          <cell r="P23">
            <v>6336.241724038985</v>
          </cell>
          <cell r="Q23">
            <v>7114.2540606381672</v>
          </cell>
          <cell r="R23">
            <v>7933.9707072606698</v>
          </cell>
          <cell r="S23">
            <v>8797.2025880513629</v>
          </cell>
          <cell r="T23">
            <v>9705.8318697867271</v>
          </cell>
          <cell r="U23">
            <v>10661.814608457495</v>
          </cell>
          <cell r="V23">
            <v>11667.183490559475</v>
          </cell>
        </row>
        <row r="24">
          <cell r="A24" t="str">
            <v xml:space="preserve">  Growth</v>
          </cell>
          <cell r="C24">
            <v>-2.5198403654614787E-2</v>
          </cell>
          <cell r="D24">
            <v>6.2915041594924004E-2</v>
          </cell>
          <cell r="E24">
            <v>6.0908580209618535E-2</v>
          </cell>
          <cell r="F24">
            <v>0.54234101103352028</v>
          </cell>
          <cell r="G24">
            <v>0.23566320108647121</v>
          </cell>
          <cell r="H24">
            <v>0.11695382385629971</v>
          </cell>
          <cell r="I24">
            <v>0.29595290692764054</v>
          </cell>
          <cell r="J24">
            <v>0.42679949618940816</v>
          </cell>
          <cell r="K24">
            <v>0.507532479208606</v>
          </cell>
          <cell r="L24">
            <v>0.36318689684305272</v>
          </cell>
          <cell r="M24">
            <v>0.1915407111155516</v>
          </cell>
          <cell r="N24">
            <v>0.16757598263254336</v>
          </cell>
          <cell r="O24">
            <v>0.14660771897031477</v>
          </cell>
          <cell r="P24">
            <v>0.13183726714471722</v>
          </cell>
          <cell r="Q24">
            <v>0.12278766664590646</v>
          </cell>
          <cell r="R24">
            <v>0.11522172804564867</v>
          </cell>
          <cell r="S24">
            <v>0.10880199998730999</v>
          </cell>
          <cell r="T24">
            <v>0.10328616087226328</v>
          </cell>
          <cell r="U24">
            <v>9.849570356216919E-2</v>
          </cell>
          <cell r="V24">
            <v>9.4296226207541745E-2</v>
          </cell>
        </row>
        <row r="25">
          <cell r="A25" t="str">
            <v>Other Overnight Revenue</v>
          </cell>
          <cell r="B25">
            <v>120.86827915092604</v>
          </cell>
          <cell r="C25">
            <v>139.88809529679557</v>
          </cell>
          <cell r="D25">
            <v>148.7365225297014</v>
          </cell>
          <cell r="E25">
            <v>157.1469520480164</v>
          </cell>
          <cell r="F25">
            <v>254.62582825905557</v>
          </cell>
          <cell r="G25">
            <v>353.10967837966263</v>
          </cell>
          <cell r="H25">
            <v>454.78696154865105</v>
          </cell>
          <cell r="I25">
            <v>534.93520703173112</v>
          </cell>
          <cell r="J25">
            <v>584.4286218122362</v>
          </cell>
          <cell r="K25">
            <v>634.22148894051918</v>
          </cell>
          <cell r="L25">
            <v>678.99752605971992</v>
          </cell>
          <cell r="M25">
            <v>713.2190013731298</v>
          </cell>
          <cell r="N25">
            <v>741.96172712846692</v>
          </cell>
          <cell r="O25">
            <v>771.86278473174434</v>
          </cell>
          <cell r="P25">
            <v>802.96885495643357</v>
          </cell>
          <cell r="Q25">
            <v>835.32849981117783</v>
          </cell>
          <cell r="R25">
            <v>868.9922383535685</v>
          </cell>
          <cell r="S25">
            <v>904.0126255592171</v>
          </cell>
          <cell r="T25">
            <v>940.44433436925351</v>
          </cell>
          <cell r="U25">
            <v>978.34424104433458</v>
          </cell>
          <cell r="V25">
            <v>1017.7715139584216</v>
          </cell>
        </row>
        <row r="26">
          <cell r="A26" t="str">
            <v xml:space="preserve">  Growth</v>
          </cell>
          <cell r="C26">
            <v>0.15735986546246616</v>
          </cell>
          <cell r="D26">
            <v>6.325361149662112E-2</v>
          </cell>
          <cell r="E26">
            <v>5.6545825969781527E-2</v>
          </cell>
          <cell r="F26">
            <v>0.62030395716013897</v>
          </cell>
          <cell r="G26">
            <v>0.38677871288222132</v>
          </cell>
          <cell r="H26">
            <v>0.2879481628358691</v>
          </cell>
          <cell r="I26">
            <v>0.17623250501764032</v>
          </cell>
          <cell r="J26">
            <v>9.2522260883025398E-2</v>
          </cell>
          <cell r="K26">
            <v>8.5199227535916799E-2</v>
          </cell>
          <cell r="L26">
            <v>7.0600000000000218E-2</v>
          </cell>
          <cell r="M26">
            <v>5.04E-2</v>
          </cell>
          <cell r="N26">
            <v>4.0300000000000002E-2</v>
          </cell>
          <cell r="O26">
            <v>4.0300000000000225E-2</v>
          </cell>
          <cell r="P26">
            <v>4.0300000000000002E-2</v>
          </cell>
          <cell r="Q26">
            <v>4.0300000000000002E-2</v>
          </cell>
          <cell r="R26">
            <v>4.0300000000000225E-2</v>
          </cell>
          <cell r="S26">
            <v>4.029999999999978E-2</v>
          </cell>
          <cell r="T26">
            <v>4.0300000000000002E-2</v>
          </cell>
          <cell r="U26">
            <v>4.0300000000000225E-2</v>
          </cell>
          <cell r="V26">
            <v>4.0300000000000225E-2</v>
          </cell>
        </row>
        <row r="27">
          <cell r="A27" t="str">
            <v>Day Tripper Revenue</v>
          </cell>
          <cell r="B27">
            <v>121.08207792628903</v>
          </cell>
          <cell r="C27">
            <v>142.25830575131593</v>
          </cell>
          <cell r="D27">
            <v>152.9772244156004</v>
          </cell>
          <cell r="E27">
            <v>198.21593649597131</v>
          </cell>
          <cell r="F27">
            <v>481.77219417251354</v>
          </cell>
          <cell r="G27">
            <v>905.2513576817903</v>
          </cell>
          <cell r="H27">
            <v>1031.7812496447914</v>
          </cell>
          <cell r="I27">
            <v>1434.6210246765484</v>
          </cell>
          <cell r="J27">
            <v>1694.8939956291697</v>
          </cell>
          <cell r="K27">
            <v>1938.8606063634807</v>
          </cell>
          <cell r="L27">
            <v>2147.4585071009678</v>
          </cell>
          <cell r="M27">
            <v>2351.2548525093598</v>
          </cell>
          <cell r="N27">
            <v>2540.0185681033054</v>
          </cell>
          <cell r="O27">
            <v>2732.8460961583501</v>
          </cell>
          <cell r="P27">
            <v>2931.3206380506454</v>
          </cell>
          <cell r="Q27">
            <v>3139.3188007988947</v>
          </cell>
          <cell r="R27">
            <v>3357.2319860440994</v>
          </cell>
          <cell r="S27">
            <v>3585.4664013014803</v>
          </cell>
          <cell r="T27">
            <v>3824.443591090364</v>
          </cell>
          <cell r="U27">
            <v>4074.6009863973509</v>
          </cell>
          <cell r="V27">
            <v>4336.3924730861345</v>
          </cell>
        </row>
        <row r="28">
          <cell r="A28" t="str">
            <v xml:space="preserve">  Growth</v>
          </cell>
          <cell r="C28">
            <v>0.17489151315951412</v>
          </cell>
          <cell r="D28">
            <v>7.5348280071761753E-2</v>
          </cell>
          <cell r="E28">
            <v>0.29572187790169835</v>
          </cell>
          <cell r="F28">
            <v>1.430542178843957</v>
          </cell>
          <cell r="G28">
            <v>0.8790029159666215</v>
          </cell>
          <cell r="H28">
            <v>0.13977321424518463</v>
          </cell>
          <cell r="I28">
            <v>0.39043137794027705</v>
          </cell>
          <cell r="J28">
            <v>0.18142280537907407</v>
          </cell>
          <cell r="K28">
            <v>0.14394210573844579</v>
          </cell>
          <cell r="L28">
            <v>0.10758787921774982</v>
          </cell>
          <cell r="M28">
            <v>9.490117957320332E-2</v>
          </cell>
          <cell r="N28">
            <v>8.0282116331408693E-2</v>
          </cell>
          <cell r="O28">
            <v>7.5915794662490876E-2</v>
          </cell>
          <cell r="P28">
            <v>7.2625583332810884E-2</v>
          </cell>
          <cell r="Q28">
            <v>7.0957151547423436E-2</v>
          </cell>
          <cell r="R28">
            <v>6.9414162457712258E-2</v>
          </cell>
          <cell r="S28">
            <v>6.7982914557630725E-2</v>
          </cell>
          <cell r="T28">
            <v>6.6651632742155353E-2</v>
          </cell>
          <cell r="U28">
            <v>6.5410141200609617E-2</v>
          </cell>
          <cell r="V28">
            <v>6.4249600773854443E-2</v>
          </cell>
        </row>
        <row r="31">
          <cell r="A31" t="str">
            <v>Hotel Guest Win / Visitor / Day</v>
          </cell>
          <cell r="B31">
            <v>64.286294902844404</v>
          </cell>
          <cell r="C31">
            <v>60.656439743623672</v>
          </cell>
          <cell r="D31">
            <v>58.150893065459762</v>
          </cell>
          <cell r="E31">
            <v>64.169579231118547</v>
          </cell>
          <cell r="F31">
            <v>77.737479061989291</v>
          </cell>
          <cell r="G31">
            <v>92.212939559031355</v>
          </cell>
          <cell r="H31">
            <v>90.924259105957049</v>
          </cell>
          <cell r="I31">
            <v>92.004353055754734</v>
          </cell>
          <cell r="J31">
            <v>96.604570708542482</v>
          </cell>
          <cell r="K31">
            <v>99.502707829798752</v>
          </cell>
          <cell r="L31">
            <v>99.502707829798752</v>
          </cell>
          <cell r="M31">
            <v>99.502707829798752</v>
          </cell>
          <cell r="N31">
            <v>99.502707829798752</v>
          </cell>
          <cell r="O31">
            <v>99.502707829798752</v>
          </cell>
          <cell r="P31">
            <v>99.502707829798752</v>
          </cell>
          <cell r="Q31">
            <v>99.502707829798752</v>
          </cell>
          <cell r="R31">
            <v>99.502707829798752</v>
          </cell>
          <cell r="S31">
            <v>99.502707829798752</v>
          </cell>
          <cell r="T31">
            <v>99.502707829798752</v>
          </cell>
          <cell r="U31">
            <v>99.502707829798752</v>
          </cell>
          <cell r="V31">
            <v>99.502707829798752</v>
          </cell>
        </row>
        <row r="32">
          <cell r="A32" t="str">
            <v xml:space="preserve">  Growth</v>
          </cell>
          <cell r="C32">
            <v>-5.6463903615949773E-2</v>
          </cell>
          <cell r="D32">
            <v>-4.1307183355206667E-2</v>
          </cell>
          <cell r="E32">
            <v>0.10350118198328651</v>
          </cell>
          <cell r="F32">
            <v>0.2114381922624653</v>
          </cell>
          <cell r="G32">
            <v>0.18620954360378827</v>
          </cell>
          <cell r="H32">
            <v>-1.3975050131108113E-2</v>
          </cell>
          <cell r="I32">
            <v>1.1879051426077814E-2</v>
          </cell>
          <cell r="J32">
            <v>5.0000000000000044E-2</v>
          </cell>
          <cell r="K32">
            <v>3.0000000000000027E-2</v>
          </cell>
          <cell r="L32">
            <v>0</v>
          </cell>
          <cell r="M32">
            <v>0</v>
          </cell>
          <cell r="N32">
            <v>0</v>
          </cell>
          <cell r="O32">
            <v>0</v>
          </cell>
          <cell r="P32">
            <v>0</v>
          </cell>
          <cell r="Q32">
            <v>0</v>
          </cell>
          <cell r="R32">
            <v>0</v>
          </cell>
          <cell r="S32">
            <v>0</v>
          </cell>
          <cell r="T32">
            <v>0</v>
          </cell>
          <cell r="U32">
            <v>0</v>
          </cell>
          <cell r="V32">
            <v>0</v>
          </cell>
        </row>
        <row r="33">
          <cell r="A33" t="str">
            <v xml:space="preserve">  Premium/Discount to Total</v>
          </cell>
          <cell r="B33">
            <v>1.4</v>
          </cell>
          <cell r="C33">
            <v>1.4</v>
          </cell>
          <cell r="D33">
            <v>1.4</v>
          </cell>
          <cell r="E33">
            <v>1.4</v>
          </cell>
          <cell r="F33">
            <v>1.3</v>
          </cell>
          <cell r="G33">
            <v>1.1499999999999999</v>
          </cell>
          <cell r="H33">
            <v>1.1499999999999999</v>
          </cell>
          <cell r="I33">
            <v>1.1000000000000001</v>
          </cell>
          <cell r="J33">
            <v>1.1000000000000001</v>
          </cell>
          <cell r="K33">
            <v>1.1000000000000001</v>
          </cell>
          <cell r="L33">
            <v>1.1000000000000001</v>
          </cell>
          <cell r="M33">
            <v>1.1000000000000001</v>
          </cell>
          <cell r="N33">
            <v>1.1000000000000001</v>
          </cell>
          <cell r="O33">
            <v>1.1000000000000001</v>
          </cell>
          <cell r="P33">
            <v>1.1000000000000001</v>
          </cell>
          <cell r="Q33">
            <v>1.1000000000000001</v>
          </cell>
          <cell r="R33">
            <v>1.1000000000000001</v>
          </cell>
          <cell r="S33">
            <v>1.1000000000000001</v>
          </cell>
          <cell r="T33">
            <v>1.1000000000000001</v>
          </cell>
          <cell r="U33">
            <v>1.1000000000000001</v>
          </cell>
          <cell r="V33">
            <v>1.1000000000000001</v>
          </cell>
        </row>
        <row r="34">
          <cell r="A34" t="str">
            <v xml:space="preserve">  Premium/Discount to Day Tripper</v>
          </cell>
          <cell r="B34">
            <v>2.1054058625806835</v>
          </cell>
          <cell r="C34">
            <v>1.8919176093776393</v>
          </cell>
          <cell r="D34">
            <v>1.8875936864601077</v>
          </cell>
          <cell r="E34">
            <v>1.8062384593167644</v>
          </cell>
          <cell r="F34">
            <v>1.3471925896184505</v>
          </cell>
          <cell r="G34">
            <v>0.98779218557086967</v>
          </cell>
          <cell r="H34">
            <v>0.99715877408417064</v>
          </cell>
          <cell r="I34">
            <v>0.90266938137393649</v>
          </cell>
          <cell r="J34">
            <v>0.92065100566860125</v>
          </cell>
          <cell r="K34">
            <v>0.94829300371995295</v>
          </cell>
          <cell r="L34">
            <v>0.99460180458695446</v>
          </cell>
          <cell r="M34">
            <v>1.0258091395150217</v>
          </cell>
          <cell r="N34">
            <v>1.0550929935595657</v>
          </cell>
          <cell r="O34">
            <v>1.0809181893595718</v>
          </cell>
          <cell r="P34">
            <v>1.1041085836396689</v>
          </cell>
          <cell r="Q34">
            <v>1.1255772140410283</v>
          </cell>
          <cell r="R34">
            <v>1.1455128078121373</v>
          </cell>
          <cell r="S34">
            <v>1.1640775559131913</v>
          </cell>
          <cell r="T34">
            <v>1.1814116191178008</v>
          </cell>
          <cell r="U34">
            <v>1.1976367460811164</v>
          </cell>
          <cell r="V34">
            <v>1.2128592010572838</v>
          </cell>
        </row>
        <row r="35">
          <cell r="A35" t="str">
            <v>Hotel Guest Win / Visitor / Trip</v>
          </cell>
          <cell r="B35">
            <v>146.73346811574234</v>
          </cell>
          <cell r="C35">
            <v>139.05488811225726</v>
          </cell>
          <cell r="D35">
            <v>129.62803245842073</v>
          </cell>
          <cell r="E35">
            <v>142.56341519180171</v>
          </cell>
          <cell r="F35">
            <v>169.14379819237837</v>
          </cell>
          <cell r="G35">
            <v>200.63998765719239</v>
          </cell>
          <cell r="H35">
            <v>197.3056422599268</v>
          </cell>
          <cell r="I35">
            <v>209.30510694787603</v>
          </cell>
          <cell r="J35">
            <v>235.62027797754305</v>
          </cell>
          <cell r="K35">
            <v>283.19793587790934</v>
          </cell>
          <cell r="L35">
            <v>315.40037202313931</v>
          </cell>
          <cell r="M35">
            <v>315.40037202313931</v>
          </cell>
          <cell r="N35">
            <v>315.40037202313931</v>
          </cell>
          <cell r="O35">
            <v>315.40037202313931</v>
          </cell>
          <cell r="P35">
            <v>315.40037202313925</v>
          </cell>
          <cell r="Q35">
            <v>315.40037202313931</v>
          </cell>
          <cell r="R35">
            <v>315.40037202313931</v>
          </cell>
          <cell r="S35">
            <v>315.40037202313925</v>
          </cell>
          <cell r="T35">
            <v>315.40037202313925</v>
          </cell>
          <cell r="U35">
            <v>315.40037202313931</v>
          </cell>
          <cell r="V35">
            <v>315.40037202313931</v>
          </cell>
        </row>
        <row r="36">
          <cell r="A36" t="str">
            <v xml:space="preserve">  Growth</v>
          </cell>
          <cell r="C36">
            <v>-5.233012006114568E-2</v>
          </cell>
          <cell r="D36">
            <v>-6.7792335687087424E-2</v>
          </cell>
          <cell r="E36">
            <v>9.9788467726146468E-2</v>
          </cell>
          <cell r="F36">
            <v>0.18644603150686301</v>
          </cell>
          <cell r="G36">
            <v>0.18620954360378805</v>
          </cell>
          <cell r="H36">
            <v>-1.6618548656225807E-2</v>
          </cell>
          <cell r="I36">
            <v>6.0816632259007353E-2</v>
          </cell>
          <cell r="J36">
            <v>0.1257263686175627</v>
          </cell>
          <cell r="K36">
            <v>0.20192514120071148</v>
          </cell>
          <cell r="L36">
            <v>0.11370999596237485</v>
          </cell>
          <cell r="M36">
            <v>0</v>
          </cell>
          <cell r="N36">
            <v>0</v>
          </cell>
          <cell r="O36">
            <v>0</v>
          </cell>
          <cell r="P36">
            <v>0</v>
          </cell>
          <cell r="Q36">
            <v>0</v>
          </cell>
          <cell r="R36">
            <v>0</v>
          </cell>
          <cell r="S36">
            <v>0</v>
          </cell>
          <cell r="T36">
            <v>0</v>
          </cell>
          <cell r="U36">
            <v>0</v>
          </cell>
          <cell r="V36">
            <v>0</v>
          </cell>
        </row>
        <row r="37">
          <cell r="A37" t="str">
            <v xml:space="preserve">  Premium/Discount to Total</v>
          </cell>
          <cell r="B37">
            <v>2.1117152630335791</v>
          </cell>
          <cell r="C37">
            <v>2.1432914722785599</v>
          </cell>
          <cell r="D37">
            <v>2.1032715939604305</v>
          </cell>
          <cell r="E37">
            <v>2.1474007378399844</v>
          </cell>
          <cell r="F37">
            <v>2.0063644344341327</v>
          </cell>
          <cell r="G37">
            <v>1.8003948665131329</v>
          </cell>
          <cell r="H37">
            <v>1.8008816053431491</v>
          </cell>
          <cell r="I37">
            <v>1.77502345878505</v>
          </cell>
          <cell r="J37">
            <v>1.8386667483211592</v>
          </cell>
          <cell r="K37">
            <v>1.9771977446503239</v>
          </cell>
          <cell r="L37">
            <v>2.0640895891082982</v>
          </cell>
          <cell r="M37">
            <v>2.0337894501213953</v>
          </cell>
          <cell r="N37">
            <v>2.0056271087331048</v>
          </cell>
          <cell r="O37">
            <v>1.9827762877221384</v>
          </cell>
          <cell r="P37">
            <v>1.9636687865418254</v>
          </cell>
          <cell r="Q37">
            <v>1.9470078314277195</v>
          </cell>
          <cell r="R37">
            <v>1.9323521276537834</v>
          </cell>
          <cell r="S37">
            <v>1.9193604863537399</v>
          </cell>
          <cell r="T37">
            <v>1.9077649623076571</v>
          </cell>
          <cell r="U37">
            <v>1.8973522009419039</v>
          </cell>
          <cell r="V37">
            <v>1.8879502094950738</v>
          </cell>
        </row>
        <row r="38">
          <cell r="A38" t="str">
            <v xml:space="preserve">  Premium/Discount to Day Tripper</v>
          </cell>
          <cell r="B38">
            <v>4.8055888813404097</v>
          </cell>
          <cell r="C38">
            <v>4.3372211194982375</v>
          </cell>
          <cell r="D38">
            <v>4.2077609260673237</v>
          </cell>
          <cell r="E38">
            <v>4.0128597771154118</v>
          </cell>
          <cell r="F38">
            <v>2.9312665429114784</v>
          </cell>
          <cell r="G38">
            <v>2.1492711637712838</v>
          </cell>
          <cell r="H38">
            <v>2.1638345397626502</v>
          </cell>
          <cell r="I38">
            <v>2.0535257858131026</v>
          </cell>
          <cell r="J38">
            <v>2.245484290079852</v>
          </cell>
          <cell r="K38">
            <v>2.6989679689955874</v>
          </cell>
          <cell r="L38">
            <v>3.1526557017744392</v>
          </cell>
          <cell r="M38">
            <v>3.2515756735102777</v>
          </cell>
          <cell r="N38">
            <v>3.344398659551211</v>
          </cell>
          <cell r="O38">
            <v>3.4262585057859991</v>
          </cell>
          <cell r="P38">
            <v>3.4997666458440264</v>
          </cell>
          <cell r="Q38">
            <v>3.5678171960561711</v>
          </cell>
          <cell r="R38">
            <v>3.6310083777742124</v>
          </cell>
          <cell r="S38">
            <v>3.6898542985063782</v>
          </cell>
          <cell r="T38">
            <v>3.7447992352085855</v>
          </cell>
          <cell r="U38">
            <v>3.7962291027163708</v>
          </cell>
          <cell r="V38">
            <v>3.8444807339262592</v>
          </cell>
        </row>
        <row r="40">
          <cell r="A40" t="str">
            <v>Other Overnight Visitor Win / Visitor / Day</v>
          </cell>
          <cell r="B40">
            <v>32.143147451422202</v>
          </cell>
          <cell r="C40">
            <v>30.328219871811836</v>
          </cell>
          <cell r="D40">
            <v>29.075446532729881</v>
          </cell>
          <cell r="E40">
            <v>32.084789615559274</v>
          </cell>
          <cell r="F40">
            <v>38.868739530994645</v>
          </cell>
          <cell r="G40">
            <v>48.11109890036419</v>
          </cell>
          <cell r="H40">
            <v>50.5166538453824</v>
          </cell>
          <cell r="I40">
            <v>50.5166538453824</v>
          </cell>
          <cell r="J40">
            <v>50.5166538453824</v>
          </cell>
          <cell r="K40">
            <v>50.5166538453824</v>
          </cell>
          <cell r="L40">
            <v>51.021820383836221</v>
          </cell>
          <cell r="M40">
            <v>51.532038587674585</v>
          </cell>
          <cell r="N40">
            <v>52.047358973551333</v>
          </cell>
          <cell r="O40">
            <v>52.567832563286849</v>
          </cell>
          <cell r="P40">
            <v>53.093510888919717</v>
          </cell>
          <cell r="Q40">
            <v>53.624445997808913</v>
          </cell>
          <cell r="R40">
            <v>54.160690457787005</v>
          </cell>
          <cell r="S40">
            <v>54.702297362364874</v>
          </cell>
          <cell r="T40">
            <v>55.249320335988521</v>
          </cell>
          <cell r="U40">
            <v>55.801813539348409</v>
          </cell>
          <cell r="V40">
            <v>56.359831674741891</v>
          </cell>
        </row>
        <row r="41">
          <cell r="A41" t="str">
            <v xml:space="preserve">  Growth</v>
          </cell>
          <cell r="C41">
            <v>-5.6463903615949773E-2</v>
          </cell>
          <cell r="D41">
            <v>-4.1307183355206667E-2</v>
          </cell>
          <cell r="E41">
            <v>0.10350118198328651</v>
          </cell>
          <cell r="F41">
            <v>0.2114381922624653</v>
          </cell>
          <cell r="G41">
            <v>0.23778387158656167</v>
          </cell>
          <cell r="H41">
            <v>0.05</v>
          </cell>
          <cell r="I41">
            <v>0</v>
          </cell>
          <cell r="J41">
            <v>0</v>
          </cell>
          <cell r="K41">
            <v>0</v>
          </cell>
          <cell r="L41">
            <v>0.01</v>
          </cell>
          <cell r="M41">
            <v>0.01</v>
          </cell>
          <cell r="N41">
            <v>0.01</v>
          </cell>
          <cell r="O41">
            <v>0.01</v>
          </cell>
          <cell r="P41">
            <v>0.01</v>
          </cell>
          <cell r="Q41">
            <v>0.01</v>
          </cell>
          <cell r="R41">
            <v>0.01</v>
          </cell>
          <cell r="S41">
            <v>0.01</v>
          </cell>
          <cell r="T41">
            <v>0.01</v>
          </cell>
          <cell r="U41">
            <v>0.01</v>
          </cell>
          <cell r="V41">
            <v>0.01</v>
          </cell>
        </row>
        <row r="42">
          <cell r="A42" t="str">
            <v xml:space="preserve">  Premium/Discount to Total</v>
          </cell>
          <cell r="B42">
            <v>0.7</v>
          </cell>
          <cell r="C42">
            <v>0.7</v>
          </cell>
          <cell r="D42">
            <v>0.7</v>
          </cell>
          <cell r="E42">
            <v>0.7</v>
          </cell>
          <cell r="F42">
            <v>0.65</v>
          </cell>
          <cell r="G42">
            <v>0.6</v>
          </cell>
          <cell r="H42">
            <v>0.63892906572371089</v>
          </cell>
          <cell r="I42">
            <v>0.60397489232108592</v>
          </cell>
          <cell r="J42">
            <v>0.57521418316293904</v>
          </cell>
          <cell r="K42">
            <v>0.55846037200285337</v>
          </cell>
          <cell r="L42">
            <v>0.56404497572288192</v>
          </cell>
          <cell r="M42">
            <v>0.5696854254801107</v>
          </cell>
          <cell r="N42">
            <v>0.57538227973491185</v>
          </cell>
          <cell r="O42">
            <v>0.581136102532261</v>
          </cell>
          <cell r="P42">
            <v>0.58694746355758365</v>
          </cell>
          <cell r="Q42">
            <v>0.5928169381931595</v>
          </cell>
          <cell r="R42">
            <v>0.59874510757509114</v>
          </cell>
          <cell r="S42">
            <v>0.60473255865084197</v>
          </cell>
          <cell r="T42">
            <v>0.61077988423735041</v>
          </cell>
          <cell r="U42">
            <v>0.61688768307972397</v>
          </cell>
          <cell r="V42">
            <v>0.62305655991052111</v>
          </cell>
        </row>
        <row r="43">
          <cell r="A43" t="str">
            <v xml:space="preserve">  Premium/Discount to Day Tripper</v>
          </cell>
          <cell r="B43">
            <v>1.0527029312903418</v>
          </cell>
          <cell r="C43">
            <v>0.94595880468881965</v>
          </cell>
          <cell r="D43">
            <v>0.94379684323005386</v>
          </cell>
          <cell r="E43">
            <v>0.90311922965838221</v>
          </cell>
          <cell r="F43">
            <v>0.67359629480922523</v>
          </cell>
          <cell r="G43">
            <v>0.51536983595001906</v>
          </cell>
          <cell r="H43">
            <v>0.5540119338293914</v>
          </cell>
          <cell r="I43">
            <v>0.49562694765169507</v>
          </cell>
          <cell r="J43">
            <v>0.48142865109436611</v>
          </cell>
          <cell r="K43">
            <v>0.48144005784104377</v>
          </cell>
          <cell r="L43">
            <v>0.51000013702016656</v>
          </cell>
          <cell r="M43">
            <v>0.53126228736909209</v>
          </cell>
          <cell r="N43">
            <v>0.55189255633330503</v>
          </cell>
          <cell r="O43">
            <v>0.57105507610968187</v>
          </cell>
          <cell r="P43">
            <v>0.58913975696314524</v>
          </cell>
          <cell r="Q43">
            <v>0.60660112520708076</v>
          </cell>
          <cell r="R43">
            <v>0.62351835394738431</v>
          </cell>
          <cell r="S43">
            <v>0.6399596353230933</v>
          </cell>
          <cell r="T43">
            <v>0.65598404723766457</v>
          </cell>
          <cell r="U43">
            <v>0.6716430522373813</v>
          </cell>
          <cell r="V43">
            <v>0.68698171042415845</v>
          </cell>
        </row>
        <row r="44">
          <cell r="A44" t="str">
            <v>Other Overnight Visitor Win / Visitor / Trip</v>
          </cell>
          <cell r="B44">
            <v>48.214721177133299</v>
          </cell>
          <cell r="C44">
            <v>45.492329807717752</v>
          </cell>
          <cell r="D44">
            <v>43.61316979909482</v>
          </cell>
          <cell r="E44">
            <v>48.12718442333891</v>
          </cell>
          <cell r="F44">
            <v>58.303109296491961</v>
          </cell>
          <cell r="G44">
            <v>72.166648350546282</v>
          </cell>
          <cell r="H44">
            <v>75.77498076807359</v>
          </cell>
          <cell r="I44">
            <v>75.774980768073604</v>
          </cell>
          <cell r="J44">
            <v>75.774980768073604</v>
          </cell>
          <cell r="K44">
            <v>75.774980768073604</v>
          </cell>
          <cell r="L44">
            <v>76.532730575754343</v>
          </cell>
          <cell r="M44">
            <v>77.29805788151188</v>
          </cell>
          <cell r="N44">
            <v>78.071038460326989</v>
          </cell>
          <cell r="O44">
            <v>78.85174884493027</v>
          </cell>
          <cell r="P44">
            <v>79.640266333379572</v>
          </cell>
          <cell r="Q44">
            <v>80.436668996713365</v>
          </cell>
          <cell r="R44">
            <v>81.241035686680519</v>
          </cell>
          <cell r="S44">
            <v>82.053446043547297</v>
          </cell>
          <cell r="T44">
            <v>82.873980503982764</v>
          </cell>
          <cell r="U44">
            <v>83.70272030902261</v>
          </cell>
          <cell r="V44">
            <v>84.539747512112854</v>
          </cell>
        </row>
        <row r="45">
          <cell r="A45" t="str">
            <v xml:space="preserve">  Growth</v>
          </cell>
          <cell r="C45">
            <v>-5.6463903615949773E-2</v>
          </cell>
          <cell r="D45">
            <v>-4.1307183355206667E-2</v>
          </cell>
          <cell r="E45">
            <v>0.10350118198328651</v>
          </cell>
          <cell r="F45">
            <v>0.21143819226246507</v>
          </cell>
          <cell r="G45">
            <v>0.23778387158656189</v>
          </cell>
          <cell r="H45">
            <v>4.9999999999999822E-2</v>
          </cell>
          <cell r="I45">
            <v>0</v>
          </cell>
          <cell r="J45">
            <v>0</v>
          </cell>
          <cell r="K45">
            <v>0</v>
          </cell>
          <cell r="L45">
            <v>1.0000000000000009E-2</v>
          </cell>
          <cell r="M45">
            <v>1.0000000000000009E-2</v>
          </cell>
          <cell r="N45">
            <v>9.9999999999997868E-3</v>
          </cell>
          <cell r="O45">
            <v>1.0000000000000231E-2</v>
          </cell>
          <cell r="P45">
            <v>1.0000000000000009E-2</v>
          </cell>
          <cell r="Q45">
            <v>1.0000000000000009E-2</v>
          </cell>
          <cell r="R45">
            <v>1.0000000000000231E-2</v>
          </cell>
          <cell r="S45">
            <v>9.9999999999995648E-3</v>
          </cell>
          <cell r="T45">
            <v>1.0000000000000009E-2</v>
          </cell>
          <cell r="U45">
            <v>1.0000000000000231E-2</v>
          </cell>
          <cell r="V45">
            <v>1.0000000000000231E-2</v>
          </cell>
        </row>
        <row r="46">
          <cell r="A46" t="str">
            <v xml:space="preserve">  Premium/Discount to Total</v>
          </cell>
          <cell r="B46">
            <v>0.6938823427273535</v>
          </cell>
          <cell r="C46">
            <v>0.70118586879342193</v>
          </cell>
          <cell r="D46">
            <v>0.7076427792764064</v>
          </cell>
          <cell r="E46">
            <v>0.72492898126631122</v>
          </cell>
          <cell r="F46">
            <v>0.69158482994665615</v>
          </cell>
          <cell r="G46">
            <v>0.64757013166175992</v>
          </cell>
          <cell r="H46">
            <v>0.69162628826743033</v>
          </cell>
          <cell r="I46">
            <v>0.64261388751404058</v>
          </cell>
          <cell r="J46">
            <v>0.59131131958944261</v>
          </cell>
          <cell r="K46">
            <v>0.52903676932217203</v>
          </cell>
          <cell r="L46">
            <v>0.50085677259713379</v>
          </cell>
          <cell r="M46">
            <v>0.49843940774666645</v>
          </cell>
          <cell r="N46">
            <v>0.49645277885559708</v>
          </cell>
          <cell r="O46">
            <v>0.4957044814255292</v>
          </cell>
          <cell r="P46">
            <v>0.4958367808750142</v>
          </cell>
          <cell r="Q46">
            <v>0.4965460993783179</v>
          </cell>
          <cell r="R46">
            <v>0.497736534535339</v>
          </cell>
          <cell r="S46">
            <v>0.4993340403973559</v>
          </cell>
          <cell r="T46">
            <v>0.50128056374285745</v>
          </cell>
          <cell r="U46">
            <v>0.5035299723473291</v>
          </cell>
          <cell r="V46">
            <v>0.50604516729753435</v>
          </cell>
        </row>
        <row r="47">
          <cell r="A47" t="str">
            <v xml:space="preserve">  Premium/Discount to Day Tripper</v>
          </cell>
          <cell r="B47">
            <v>1.5790543969355124</v>
          </cell>
          <cell r="C47">
            <v>1.4189382070332295</v>
          </cell>
          <cell r="D47">
            <v>1.4156952648450807</v>
          </cell>
          <cell r="E47">
            <v>1.3546788444875733</v>
          </cell>
          <cell r="F47">
            <v>1.0103944422138376</v>
          </cell>
          <cell r="G47">
            <v>0.77305475392502854</v>
          </cell>
          <cell r="H47">
            <v>0.83101790074408699</v>
          </cell>
          <cell r="I47">
            <v>0.74344042147754263</v>
          </cell>
          <cell r="J47">
            <v>0.72214297664154914</v>
          </cell>
          <cell r="K47">
            <v>0.72216008676156562</v>
          </cell>
          <cell r="L47">
            <v>0.76500020553024994</v>
          </cell>
          <cell r="M47">
            <v>0.79689343105363819</v>
          </cell>
          <cell r="N47">
            <v>0.82783883449995732</v>
          </cell>
          <cell r="O47">
            <v>0.85658261416452275</v>
          </cell>
          <cell r="P47">
            <v>0.88370963544471781</v>
          </cell>
          <cell r="Q47">
            <v>0.90990168781062108</v>
          </cell>
          <cell r="R47">
            <v>0.93527753092107657</v>
          </cell>
          <cell r="S47">
            <v>0.95993945298463978</v>
          </cell>
          <cell r="T47">
            <v>0.98397607085649663</v>
          </cell>
          <cell r="U47">
            <v>1.0074645783560718</v>
          </cell>
          <cell r="V47">
            <v>1.0304725656362379</v>
          </cell>
        </row>
        <row r="49">
          <cell r="A49" t="str">
            <v>Day Tripper Win / Visitor / Day</v>
          </cell>
          <cell r="B49">
            <v>30.533920345432126</v>
          </cell>
          <cell r="C49">
            <v>32.060825187613254</v>
          </cell>
          <cell r="D49">
            <v>30.80689106060364</v>
          </cell>
          <cell r="E49">
            <v>35.526637637530769</v>
          </cell>
          <cell r="F49">
            <v>57.703315517795396</v>
          </cell>
          <cell r="G49">
            <v>93.352570415141727</v>
          </cell>
          <cell r="H49">
            <v>91.183331550650422</v>
          </cell>
          <cell r="I49">
            <v>101.92475224507626</v>
          </cell>
          <cell r="J49">
            <v>104.93071762669251</v>
          </cell>
          <cell r="K49">
            <v>104.92823150594876</v>
          </cell>
          <cell r="L49">
            <v>100.04275818815849</v>
          </cell>
          <cell r="M49">
            <v>96.999240888847297</v>
          </cell>
          <cell r="N49">
            <v>94.30705012465927</v>
          </cell>
          <cell r="O49">
            <v>92.053874945663225</v>
          </cell>
          <cell r="P49">
            <v>90.120400569471471</v>
          </cell>
          <cell r="Q49">
            <v>88.401494440852986</v>
          </cell>
          <cell r="R49">
            <v>86.863025145780014</v>
          </cell>
          <cell r="S49">
            <v>85.477730692729693</v>
          </cell>
          <cell r="T49">
            <v>84.223573071086534</v>
          </cell>
          <cell r="U49">
            <v>83.082544148206523</v>
          </cell>
          <cell r="V49">
            <v>82.03978478545524</v>
          </cell>
        </row>
        <row r="50">
          <cell r="A50" t="str">
            <v xml:space="preserve">  Growth</v>
          </cell>
          <cell r="C50">
            <v>5.0006839112277657E-2</v>
          </cell>
          <cell r="D50">
            <v>-3.911109959496839E-2</v>
          </cell>
          <cell r="E50">
            <v>0.15320424796005527</v>
          </cell>
          <cell r="F50">
            <v>0.6242267592708215</v>
          </cell>
          <cell r="G50">
            <v>0.61780254006985591</v>
          </cell>
          <cell r="H50">
            <v>-2.3237055550207497E-2</v>
          </cell>
          <cell r="I50">
            <v>0.11780026581348602</v>
          </cell>
          <cell r="J50">
            <v>2.9492005772929986E-2</v>
          </cell>
          <cell r="K50">
            <v>-2.3692973802003081E-5</v>
          </cell>
          <cell r="L50">
            <v>-4.6560141609870764E-2</v>
          </cell>
          <cell r="M50">
            <v>-3.0422165026547932E-2</v>
          </cell>
          <cell r="N50">
            <v>-2.7754761166358444E-2</v>
          </cell>
          <cell r="O50">
            <v>-2.3891906024180565E-2</v>
          </cell>
          <cell r="P50">
            <v>-2.1003726104230069E-2</v>
          </cell>
          <cell r="Q50">
            <v>-1.9073440838663691E-2</v>
          </cell>
          <cell r="R50">
            <v>-1.7403204604219846E-2</v>
          </cell>
          <cell r="S50">
            <v>-1.5948033708536147E-2</v>
          </cell>
          <cell r="T50">
            <v>-1.4672331746282907E-2</v>
          </cell>
          <cell r="U50">
            <v>-1.3547619523538335E-2</v>
          </cell>
          <cell r="V50">
            <v>-1.2550883864258622E-2</v>
          </cell>
        </row>
        <row r="51">
          <cell r="A51" t="str">
            <v xml:space="preserve">  Premium/Discount</v>
          </cell>
          <cell r="B51">
            <v>0.66495492621264085</v>
          </cell>
          <cell r="C51">
            <v>0.73998994092588455</v>
          </cell>
          <cell r="D51">
            <v>0.74168504061140672</v>
          </cell>
          <cell r="E51">
            <v>0.77509145748649944</v>
          </cell>
          <cell r="F51">
            <v>0.96496967843935655</v>
          </cell>
          <cell r="G51">
            <v>1.1642124900344157</v>
          </cell>
          <cell r="H51">
            <v>1.153276719704146</v>
          </cell>
          <cell r="I51">
            <v>1.2186078565395784</v>
          </cell>
          <cell r="J51">
            <v>1.1948067109329348</v>
          </cell>
          <cell r="K51">
            <v>1.1599790314648877</v>
          </cell>
          <cell r="L51">
            <v>1.1059702434954017</v>
          </cell>
          <cell r="M51">
            <v>1.0723242342333332</v>
          </cell>
          <cell r="N51">
            <v>1.0425621312192888</v>
          </cell>
          <cell r="O51">
            <v>1.0176533347558283</v>
          </cell>
          <cell r="P51">
            <v>0.99627882284356051</v>
          </cell>
          <cell r="Q51">
            <v>0.9772763576572403</v>
          </cell>
          <cell r="R51">
            <v>0.96026861725006463</v>
          </cell>
          <cell r="S51">
            <v>0.94495422097291126</v>
          </cell>
          <cell r="T51">
            <v>0.93108953915774628</v>
          </cell>
          <cell r="U51">
            <v>0.91847549233889048</v>
          </cell>
          <cell r="V51">
            <v>0.90694781310237726</v>
          </cell>
        </row>
        <row r="52">
          <cell r="A52" t="str">
            <v xml:space="preserve">  Premium/Discount to non-per Day Figure</v>
          </cell>
          <cell r="B52">
            <v>0.43942903048430654</v>
          </cell>
          <cell r="C52">
            <v>0.49416237107286609</v>
          </cell>
          <cell r="D52">
            <v>0.49985529855808597</v>
          </cell>
          <cell r="E52">
            <v>0.53512977206086521</v>
          </cell>
          <cell r="F52">
            <v>0.68447014458170452</v>
          </cell>
          <cell r="G52">
            <v>0.83767692828205786</v>
          </cell>
          <cell r="H52">
            <v>0.83226400736753503</v>
          </cell>
          <cell r="I52">
            <v>0.86437846120457729</v>
          </cell>
          <cell r="J52">
            <v>0.81882859588199297</v>
          </cell>
          <cell r="K52">
            <v>0.73257547602024031</v>
          </cell>
          <cell r="L52">
            <v>0.65471455952089763</v>
          </cell>
          <cell r="M52">
            <v>0.62547812332652664</v>
          </cell>
          <cell r="N52">
            <v>0.59969737848245708</v>
          </cell>
          <cell r="O52">
            <v>0.57870014313682983</v>
          </cell>
          <cell r="P52">
            <v>0.56108563377323528</v>
          </cell>
          <cell r="Q52">
            <v>0.54571401067855219</v>
          </cell>
          <cell r="R52">
            <v>0.53218057536906715</v>
          </cell>
          <cell r="S52">
            <v>0.52017243258918944</v>
          </cell>
          <cell r="T52">
            <v>0.50944385599389674</v>
          </cell>
          <cell r="U52">
            <v>0.49979918218957442</v>
          </cell>
          <cell r="V52">
            <v>0.49108067907182973</v>
          </cell>
        </row>
        <row r="56">
          <cell r="A56" t="str">
            <v>Hotel Guests</v>
          </cell>
        </row>
        <row r="57">
          <cell r="A57" t="str">
            <v xml:space="preserve">  Existing Visitors</v>
          </cell>
          <cell r="B57">
            <v>2.6898429999999998</v>
          </cell>
          <cell r="C57">
            <v>2.7668530000000002</v>
          </cell>
          <cell r="D57">
            <v>3.154801</v>
          </cell>
          <cell r="E57">
            <v>3.043272</v>
          </cell>
          <cell r="F57">
            <v>3.9561540000000006</v>
          </cell>
          <cell r="G57">
            <v>4.1210880000000003</v>
          </cell>
          <cell r="H57">
            <v>4.3271424000000005</v>
          </cell>
          <cell r="I57">
            <v>4.543499520000001</v>
          </cell>
          <cell r="J57">
            <v>4.7706744960000016</v>
          </cell>
          <cell r="K57">
            <v>5.0092082208000015</v>
          </cell>
          <cell r="L57">
            <v>5.2596686318400021</v>
          </cell>
        </row>
        <row r="58">
          <cell r="A58" t="str">
            <v xml:space="preserve">    Growth</v>
          </cell>
          <cell r="C58">
            <v>2.8629923753914488E-2</v>
          </cell>
          <cell r="D58">
            <v>0.14021272543210639</v>
          </cell>
          <cell r="E58">
            <v>-3.5352150579386787E-2</v>
          </cell>
          <cell r="F58">
            <v>0.2999672720676958</v>
          </cell>
          <cell r="G58">
            <v>4.1690490309527872E-2</v>
          </cell>
          <cell r="H58">
            <v>0.05</v>
          </cell>
          <cell r="I58">
            <v>0.05</v>
          </cell>
          <cell r="J58">
            <v>0.05</v>
          </cell>
          <cell r="K58">
            <v>0.05</v>
          </cell>
          <cell r="L58">
            <v>0.05</v>
          </cell>
        </row>
        <row r="59">
          <cell r="A59" t="str">
            <v xml:space="preserve">  New Visitors</v>
          </cell>
          <cell r="H59">
            <v>0.35371159999999957</v>
          </cell>
          <cell r="I59">
            <v>1.174893427220276</v>
          </cell>
          <cell r="J59">
            <v>2.4770905058330257</v>
          </cell>
          <cell r="K59">
            <v>4.0814087963459276</v>
          </cell>
          <cell r="L59">
            <v>5.8672944437526677</v>
          </cell>
        </row>
        <row r="60">
          <cell r="A60" t="str">
            <v xml:space="preserve">    Growth</v>
          </cell>
          <cell r="I60">
            <v>2.3216140698249008</v>
          </cell>
          <cell r="J60">
            <v>1.1083533607755949</v>
          </cell>
          <cell r="K60">
            <v>0.64766236305660629</v>
          </cell>
          <cell r="L60">
            <v>0.43756598187509121</v>
          </cell>
        </row>
        <row r="62">
          <cell r="A62" t="str">
            <v>Hotel Guest Length of Stay</v>
          </cell>
        </row>
        <row r="63">
          <cell r="A63" t="str">
            <v xml:space="preserve">  Existing Visitors</v>
          </cell>
          <cell r="B63">
            <v>2.2824999999999998</v>
          </cell>
          <cell r="C63">
            <v>2.2925</v>
          </cell>
          <cell r="D63">
            <v>2.229166666666667</v>
          </cell>
          <cell r="E63">
            <v>2.2216666666666667</v>
          </cell>
          <cell r="F63">
            <v>2.1758333333333333</v>
          </cell>
          <cell r="G63">
            <v>2.1758333333333333</v>
          </cell>
          <cell r="H63">
            <v>2.1758333333333333</v>
          </cell>
          <cell r="I63">
            <v>2.1758333333333333</v>
          </cell>
          <cell r="J63">
            <v>2.1758333333333333</v>
          </cell>
          <cell r="K63">
            <v>2.1758333333333333</v>
          </cell>
          <cell r="L63">
            <v>2.1758333333333333</v>
          </cell>
        </row>
        <row r="64">
          <cell r="A64" t="str">
            <v xml:space="preserve">    Growth</v>
          </cell>
          <cell r="C64">
            <v>4.381161007667167E-3</v>
          </cell>
          <cell r="D64">
            <v>-2.7626317702653447E-2</v>
          </cell>
          <cell r="E64">
            <v>-3.3644859813085626E-3</v>
          </cell>
          <cell r="F64">
            <v>-2.0630157539384908E-2</v>
          </cell>
          <cell r="G64">
            <v>0</v>
          </cell>
          <cell r="H64">
            <v>0</v>
          </cell>
          <cell r="I64">
            <v>0</v>
          </cell>
          <cell r="J64">
            <v>0</v>
          </cell>
          <cell r="K64">
            <v>0</v>
          </cell>
          <cell r="L64">
            <v>0</v>
          </cell>
        </row>
        <row r="65">
          <cell r="A65" t="str">
            <v xml:space="preserve">  New Visitors</v>
          </cell>
          <cell r="H65">
            <v>2.0986377263284512</v>
          </cell>
          <cell r="I65">
            <v>2.6582395245193586</v>
          </cell>
          <cell r="J65">
            <v>2.9458899568829842</v>
          </cell>
          <cell r="K65">
            <v>3.6688073166896129</v>
          </cell>
          <cell r="L65">
            <v>4.0607668782228359</v>
          </cell>
        </row>
        <row r="66">
          <cell r="A66" t="str">
            <v xml:space="preserve">    Growth</v>
          </cell>
          <cell r="I66">
            <v>0.26665002309375518</v>
          </cell>
          <cell r="J66">
            <v>0.10821087780478922</v>
          </cell>
          <cell r="K66">
            <v>0.24539863008716734</v>
          </cell>
          <cell r="L66">
            <v>0.10683569010293259</v>
          </cell>
        </row>
        <row r="67">
          <cell r="A67" t="str">
            <v xml:space="preserve">  Existing, Nights</v>
          </cell>
          <cell r="B67">
            <v>1.2824999999999998</v>
          </cell>
          <cell r="C67">
            <v>1.2925</v>
          </cell>
          <cell r="D67">
            <v>1.229166666666667</v>
          </cell>
          <cell r="E67">
            <v>1.2216666666666667</v>
          </cell>
          <cell r="F67">
            <v>1.1758333333333333</v>
          </cell>
          <cell r="G67">
            <v>1.1758333333333333</v>
          </cell>
          <cell r="H67">
            <v>1.1758333333333333</v>
          </cell>
          <cell r="I67">
            <v>1.1758333333333333</v>
          </cell>
          <cell r="J67">
            <v>1.1758333333333333</v>
          </cell>
          <cell r="K67">
            <v>1.1758333333333333</v>
          </cell>
          <cell r="L67">
            <v>1.1758333333333333</v>
          </cell>
        </row>
        <row r="68">
          <cell r="A68" t="str">
            <v xml:space="preserve">  New, Nights</v>
          </cell>
          <cell r="G68">
            <v>1.1758333333333333</v>
          </cell>
          <cell r="H68">
            <v>1.0986377263284512</v>
          </cell>
          <cell r="I68">
            <v>1.6582395245193586</v>
          </cell>
          <cell r="J68">
            <v>1.9458899568829842</v>
          </cell>
          <cell r="K68">
            <v>2.6688073166896129</v>
          </cell>
          <cell r="L68">
            <v>3.0607668782228359</v>
          </cell>
        </row>
        <row r="70">
          <cell r="A70" t="str">
            <v>Hotel Guest Win / Visitor / Day</v>
          </cell>
        </row>
        <row r="71">
          <cell r="A71" t="str">
            <v xml:space="preserve">  Existing Visitors</v>
          </cell>
          <cell r="B71">
            <v>64.286294902844404</v>
          </cell>
          <cell r="C71">
            <v>60.656439743623672</v>
          </cell>
          <cell r="D71">
            <v>58.150893065459762</v>
          </cell>
          <cell r="E71">
            <v>64.169579231118547</v>
          </cell>
          <cell r="F71">
            <v>77.737479061989291</v>
          </cell>
          <cell r="G71">
            <v>92.212939559031355</v>
          </cell>
          <cell r="H71">
            <v>108.81126867965699</v>
          </cell>
          <cell r="I71">
            <v>121.86862092121584</v>
          </cell>
          <cell r="J71">
            <v>136.49285543176174</v>
          </cell>
          <cell r="K71">
            <v>147.41228386630269</v>
          </cell>
          <cell r="L71">
            <v>151.83465238229178</v>
          </cell>
        </row>
        <row r="72">
          <cell r="A72" t="str">
            <v xml:space="preserve">    Growth</v>
          </cell>
          <cell r="C72">
            <v>-5.6463903615949773E-2</v>
          </cell>
          <cell r="D72">
            <v>-4.1307183355206667E-2</v>
          </cell>
          <cell r="E72">
            <v>0.10350118198328651</v>
          </cell>
          <cell r="F72">
            <v>0.2114381922624653</v>
          </cell>
          <cell r="G72">
            <v>0.18620954360378827</v>
          </cell>
          <cell r="H72">
            <v>0.18</v>
          </cell>
          <cell r="I72">
            <v>0.12</v>
          </cell>
          <cell r="J72">
            <v>0.12</v>
          </cell>
          <cell r="K72">
            <v>0.08</v>
          </cell>
          <cell r="L72">
            <v>0.03</v>
          </cell>
        </row>
        <row r="73">
          <cell r="A73" t="str">
            <v xml:space="preserve">  New Visitors</v>
          </cell>
          <cell r="H73">
            <v>-135.94610818926347</v>
          </cell>
          <cell r="I73">
            <v>-2.5268966422716721</v>
          </cell>
          <cell r="J73">
            <v>39.864172688936904</v>
          </cell>
          <cell r="K73">
            <v>64.630291697425235</v>
          </cell>
          <cell r="L73">
            <v>74.366200067595258</v>
          </cell>
        </row>
        <row r="74">
          <cell r="A74" t="str">
            <v xml:space="preserve">    Growth</v>
          </cell>
          <cell r="I74">
            <v>-0.98141251209079305</v>
          </cell>
          <cell r="J74">
            <v>-16.775941137465416</v>
          </cell>
          <cell r="K74">
            <v>0.62126258587479533</v>
          </cell>
          <cell r="L74">
            <v>0.15064001901383772</v>
          </cell>
        </row>
        <row r="75">
          <cell r="I75">
            <v>1.020734596183748</v>
          </cell>
          <cell r="J75">
            <v>0.70793949205006845</v>
          </cell>
          <cell r="K75">
            <v>0.56156780152702579</v>
          </cell>
          <cell r="L75">
            <v>0.51021589010949353</v>
          </cell>
        </row>
        <row r="76">
          <cell r="A76" t="str">
            <v>Hotel Guest Win / Visitor / Trip</v>
          </cell>
        </row>
        <row r="77">
          <cell r="A77" t="str">
            <v xml:space="preserve">  Existing Visitors</v>
          </cell>
          <cell r="B77">
            <v>146.73346811574234</v>
          </cell>
          <cell r="C77">
            <v>139.05488811225726</v>
          </cell>
          <cell r="D77">
            <v>129.62803245842073</v>
          </cell>
          <cell r="E77">
            <v>142.56341519180171</v>
          </cell>
          <cell r="F77">
            <v>169.14379819237837</v>
          </cell>
          <cell r="G77">
            <v>200.63998765719239</v>
          </cell>
          <cell r="H77">
            <v>236.75518543548699</v>
          </cell>
          <cell r="I77">
            <v>265.16580768774543</v>
          </cell>
          <cell r="J77">
            <v>296.98570461027492</v>
          </cell>
          <cell r="K77">
            <v>320.74456097909695</v>
          </cell>
          <cell r="L77">
            <v>330.36689780846984</v>
          </cell>
        </row>
        <row r="78">
          <cell r="A78" t="str">
            <v xml:space="preserve">    Growth</v>
          </cell>
          <cell r="C78">
            <v>-5.233012006114568E-2</v>
          </cell>
          <cell r="D78">
            <v>-6.7792335687087424E-2</v>
          </cell>
          <cell r="E78">
            <v>9.9788467726146468E-2</v>
          </cell>
          <cell r="F78">
            <v>0.18644603150686301</v>
          </cell>
          <cell r="G78">
            <v>0.18620954360378805</v>
          </cell>
          <cell r="H78">
            <v>0.17999999999999994</v>
          </cell>
          <cell r="I78">
            <v>0.11999999999999988</v>
          </cell>
          <cell r="J78">
            <v>0.12000000000000011</v>
          </cell>
          <cell r="K78">
            <v>8.0000000000000071E-2</v>
          </cell>
          <cell r="L78">
            <v>3.0000000000000027E-2</v>
          </cell>
        </row>
        <row r="79">
          <cell r="A79" t="str">
            <v xml:space="preserve">  New Visitors</v>
          </cell>
          <cell r="H79">
            <v>-285.30163139351754</v>
          </cell>
          <cell r="I79">
            <v>-6.7170965288618136</v>
          </cell>
          <cell r="J79">
            <v>117.43546596378818</v>
          </cell>
          <cell r="K79">
            <v>237.11608705929766</v>
          </cell>
          <cell r="L79">
            <v>301.98380209378365</v>
          </cell>
        </row>
        <row r="80">
          <cell r="A80" t="str">
            <v xml:space="preserve">    Growth</v>
          </cell>
          <cell r="I80">
            <v>-0.97645615801054819</v>
          </cell>
          <cell r="J80">
            <v>-18.483069576147237</v>
          </cell>
          <cell r="K80">
            <v>1.0191182034600486</v>
          </cell>
          <cell r="L80">
            <v>0.2735694395052326</v>
          </cell>
        </row>
      </sheetData>
      <sheetData sheetId="8" refreshError="1">
        <row r="1">
          <cell r="B1" t="str">
            <v>Macau Monthly Market Share Data (published)</v>
          </cell>
        </row>
        <row r="3">
          <cell r="B3" t="str">
            <v>Frequency</v>
          </cell>
          <cell r="C3" t="str">
            <v>M</v>
          </cell>
          <cell r="D3" t="str">
            <v>M</v>
          </cell>
          <cell r="E3" t="str">
            <v>M</v>
          </cell>
          <cell r="F3" t="str">
            <v>M</v>
          </cell>
          <cell r="G3" t="str">
            <v>M</v>
          </cell>
          <cell r="H3" t="str">
            <v>M</v>
          </cell>
          <cell r="I3" t="str">
            <v>M</v>
          </cell>
          <cell r="J3" t="str">
            <v>M</v>
          </cell>
          <cell r="K3" t="str">
            <v>M</v>
          </cell>
          <cell r="L3" t="str">
            <v>M</v>
          </cell>
          <cell r="M3" t="str">
            <v>M</v>
          </cell>
          <cell r="N3" t="str">
            <v>M</v>
          </cell>
          <cell r="O3" t="str">
            <v>M</v>
          </cell>
        </row>
        <row r="4">
          <cell r="B4" t="str">
            <v>Date</v>
          </cell>
          <cell r="C4">
            <v>38718</v>
          </cell>
          <cell r="D4">
            <v>38749</v>
          </cell>
          <cell r="E4">
            <v>38777</v>
          </cell>
          <cell r="F4">
            <v>38808</v>
          </cell>
          <cell r="G4">
            <v>38838</v>
          </cell>
          <cell r="H4">
            <v>38869</v>
          </cell>
          <cell r="I4">
            <v>38899</v>
          </cell>
          <cell r="J4">
            <v>38930</v>
          </cell>
          <cell r="K4">
            <v>38961</v>
          </cell>
          <cell r="L4">
            <v>38991</v>
          </cell>
          <cell r="M4">
            <v>39022</v>
          </cell>
          <cell r="N4">
            <v>39052</v>
          </cell>
          <cell r="O4">
            <v>39083</v>
          </cell>
        </row>
        <row r="5">
          <cell r="B5" t="str">
            <v>Year</v>
          </cell>
          <cell r="C5">
            <v>2006</v>
          </cell>
          <cell r="D5">
            <v>2006</v>
          </cell>
          <cell r="E5">
            <v>2006</v>
          </cell>
          <cell r="F5">
            <v>2006</v>
          </cell>
          <cell r="G5">
            <v>2006</v>
          </cell>
          <cell r="H5">
            <v>2006</v>
          </cell>
          <cell r="I5">
            <v>2006</v>
          </cell>
          <cell r="J5">
            <v>2006</v>
          </cell>
          <cell r="K5">
            <v>2006</v>
          </cell>
          <cell r="L5">
            <v>2006</v>
          </cell>
          <cell r="M5">
            <v>2006</v>
          </cell>
          <cell r="N5">
            <v>2006</v>
          </cell>
          <cell r="O5">
            <v>2007</v>
          </cell>
        </row>
        <row r="6">
          <cell r="B6" t="str">
            <v>Quarter</v>
          </cell>
          <cell r="C6" t="str">
            <v>2006q1</v>
          </cell>
          <cell r="D6" t="str">
            <v>2006q1</v>
          </cell>
          <cell r="E6" t="str">
            <v>2006q1</v>
          </cell>
          <cell r="F6" t="str">
            <v>2006q2</v>
          </cell>
          <cell r="G6" t="str">
            <v>2006q2</v>
          </cell>
          <cell r="H6" t="str">
            <v>2006q2</v>
          </cell>
          <cell r="I6" t="str">
            <v>2006q3</v>
          </cell>
          <cell r="J6" t="str">
            <v>2006q3</v>
          </cell>
          <cell r="K6" t="str">
            <v>2006q3</v>
          </cell>
          <cell r="L6" t="str">
            <v>2006q4</v>
          </cell>
          <cell r="M6" t="str">
            <v>2006q4</v>
          </cell>
          <cell r="N6" t="str">
            <v>2006q4</v>
          </cell>
          <cell r="O6" t="str">
            <v>2007q1</v>
          </cell>
        </row>
        <row r="7">
          <cell r="B7" t="str">
            <v>Month</v>
          </cell>
          <cell r="C7" t="str">
            <v>2006m1</v>
          </cell>
          <cell r="D7" t="str">
            <v>2006m2</v>
          </cell>
          <cell r="E7" t="str">
            <v>2006m3</v>
          </cell>
          <cell r="F7" t="str">
            <v>2006m4</v>
          </cell>
          <cell r="G7" t="str">
            <v>2006m5</v>
          </cell>
          <cell r="H7" t="str">
            <v>2006m6</v>
          </cell>
          <cell r="I7" t="str">
            <v>2006m7</v>
          </cell>
          <cell r="J7" t="str">
            <v>2006m8</v>
          </cell>
          <cell r="K7" t="str">
            <v>2006m9</v>
          </cell>
          <cell r="L7" t="str">
            <v>2006m10</v>
          </cell>
          <cell r="M7" t="str">
            <v>2006m11</v>
          </cell>
          <cell r="N7" t="str">
            <v>2006m12</v>
          </cell>
          <cell r="O7" t="str">
            <v>2007m1</v>
          </cell>
        </row>
        <row r="9">
          <cell r="B9" t="str">
            <v>SJM</v>
          </cell>
          <cell r="C9">
            <v>0.7</v>
          </cell>
          <cell r="D9">
            <v>0.75</v>
          </cell>
          <cell r="E9">
            <v>0.75</v>
          </cell>
          <cell r="F9">
            <v>0.73</v>
          </cell>
          <cell r="G9">
            <v>0.71</v>
          </cell>
          <cell r="H9">
            <v>0.59</v>
          </cell>
          <cell r="I9">
            <v>0.62</v>
          </cell>
          <cell r="J9">
            <v>0.59</v>
          </cell>
          <cell r="K9">
            <v>0.59</v>
          </cell>
          <cell r="L9">
            <v>0.54</v>
          </cell>
          <cell r="M9">
            <v>0.51</v>
          </cell>
          <cell r="N9">
            <v>0.49</v>
          </cell>
          <cell r="O9">
            <v>0.45700000000000002</v>
          </cell>
        </row>
        <row r="10">
          <cell r="B10" t="str">
            <v>Venetian</v>
          </cell>
          <cell r="C10">
            <v>0.21</v>
          </cell>
          <cell r="D10">
            <v>0.19</v>
          </cell>
          <cell r="E10">
            <v>0.19</v>
          </cell>
          <cell r="F10">
            <v>0.21</v>
          </cell>
          <cell r="G10">
            <v>0.19</v>
          </cell>
          <cell r="H10">
            <v>0.23</v>
          </cell>
          <cell r="I10">
            <v>0.2</v>
          </cell>
          <cell r="J10">
            <v>0.21</v>
          </cell>
          <cell r="K10">
            <v>0.21</v>
          </cell>
          <cell r="L10">
            <v>0.16</v>
          </cell>
          <cell r="M10">
            <v>0.18</v>
          </cell>
          <cell r="N10">
            <v>0.2</v>
          </cell>
          <cell r="O10">
            <v>0.2</v>
          </cell>
        </row>
        <row r="11">
          <cell r="B11" t="str">
            <v>Galaxy</v>
          </cell>
          <cell r="C11">
            <v>0.09</v>
          </cell>
          <cell r="D11">
            <v>0.06</v>
          </cell>
          <cell r="E11">
            <v>0.06</v>
          </cell>
          <cell r="F11">
            <v>0.06</v>
          </cell>
          <cell r="G11">
            <v>0.1</v>
          </cell>
          <cell r="H11">
            <v>0.18</v>
          </cell>
          <cell r="I11">
            <v>0.17</v>
          </cell>
          <cell r="J11">
            <v>0.2</v>
          </cell>
          <cell r="K11">
            <v>0.12</v>
          </cell>
          <cell r="L11">
            <v>0.17</v>
          </cell>
          <cell r="M11">
            <v>0.15</v>
          </cell>
          <cell r="N11">
            <v>0.19</v>
          </cell>
          <cell r="O11">
            <v>0.21</v>
          </cell>
        </row>
        <row r="12">
          <cell r="B12" t="str">
            <v>Wynn</v>
          </cell>
          <cell r="K12">
            <v>0.09</v>
          </cell>
          <cell r="L12">
            <v>0.12</v>
          </cell>
          <cell r="M12">
            <v>0.16</v>
          </cell>
          <cell r="N12">
            <v>0.12</v>
          </cell>
          <cell r="O12">
            <v>0.13</v>
          </cell>
        </row>
        <row r="13">
          <cell r="B13" t="str">
            <v>PBL</v>
          </cell>
          <cell r="K13">
            <v>0</v>
          </cell>
          <cell r="L13">
            <v>0.01</v>
          </cell>
          <cell r="M13">
            <v>0.01</v>
          </cell>
          <cell r="N13">
            <v>0.01</v>
          </cell>
          <cell r="O13">
            <v>3.0000000000000001E-3</v>
          </cell>
        </row>
        <row r="14">
          <cell r="B14" t="str">
            <v>MGM</v>
          </cell>
        </row>
        <row r="15">
          <cell r="C15" t="str">
            <v xml:space="preserve">            </v>
          </cell>
          <cell r="D15" t="str">
            <v xml:space="preserve">            </v>
          </cell>
          <cell r="E15" t="str">
            <v xml:space="preserve">            </v>
          </cell>
          <cell r="F15" t="str">
            <v xml:space="preserve">            </v>
          </cell>
          <cell r="G15" t="str">
            <v xml:space="preserve">            </v>
          </cell>
          <cell r="H15" t="str">
            <v xml:space="preserve">            </v>
          </cell>
          <cell r="I15" t="str">
            <v xml:space="preserve">            </v>
          </cell>
          <cell r="J15" t="str">
            <v xml:space="preserve">            </v>
          </cell>
          <cell r="K15" t="str">
            <v xml:space="preserve">            </v>
          </cell>
          <cell r="L15" t="str">
            <v xml:space="preserve">            </v>
          </cell>
          <cell r="M15" t="str">
            <v xml:space="preserve">            </v>
          </cell>
          <cell r="N15" t="str">
            <v xml:space="preserve">            </v>
          </cell>
          <cell r="O15" t="str">
            <v xml:space="preserve">            </v>
          </cell>
        </row>
        <row r="16">
          <cell r="B16" t="str">
            <v>Total</v>
          </cell>
          <cell r="C16">
            <v>0.99999999999999989</v>
          </cell>
          <cell r="D16">
            <v>1</v>
          </cell>
          <cell r="E16">
            <v>1</v>
          </cell>
          <cell r="F16">
            <v>1</v>
          </cell>
          <cell r="G16">
            <v>0.99999999999999989</v>
          </cell>
          <cell r="H16">
            <v>1</v>
          </cell>
          <cell r="I16">
            <v>0.9900000000000001</v>
          </cell>
          <cell r="J16">
            <v>1</v>
          </cell>
          <cell r="K16">
            <v>1.01</v>
          </cell>
          <cell r="L16">
            <v>1</v>
          </cell>
          <cell r="M16">
            <v>1.01</v>
          </cell>
          <cell r="N16">
            <v>1.0099999999999998</v>
          </cell>
          <cell r="O16">
            <v>1</v>
          </cell>
        </row>
      </sheetData>
      <sheetData sheetId="9" refreshError="1">
        <row r="2">
          <cell r="B2" t="str">
            <v>Win per position</v>
          </cell>
        </row>
        <row r="3">
          <cell r="B3" t="str">
            <v>($mm)</v>
          </cell>
          <cell r="C3">
            <v>2004</v>
          </cell>
          <cell r="D3">
            <v>2005</v>
          </cell>
          <cell r="E3" t="str">
            <v>2006E</v>
          </cell>
          <cell r="F3" t="str">
            <v>2007E</v>
          </cell>
          <cell r="G3" t="str">
            <v>2008E</v>
          </cell>
          <cell r="H3" t="str">
            <v>2009E</v>
          </cell>
          <cell r="I3" t="str">
            <v>2010E</v>
          </cell>
        </row>
        <row r="5">
          <cell r="B5" t="str">
            <v>Macau</v>
          </cell>
          <cell r="C5">
            <v>1923.074314419533</v>
          </cell>
          <cell r="D5">
            <v>1133.8513082263344</v>
          </cell>
          <cell r="E5">
            <v>846.84804241168968</v>
          </cell>
          <cell r="F5">
            <v>554.18520300220416</v>
          </cell>
          <cell r="G5">
            <v>420.75875765684395</v>
          </cell>
          <cell r="H5">
            <v>328.00414157503479</v>
          </cell>
          <cell r="I5">
            <v>297.66203483343799</v>
          </cell>
        </row>
        <row r="6">
          <cell r="B6" t="str">
            <v xml:space="preserve">  Growth</v>
          </cell>
          <cell r="C6">
            <v>-5.455387901593356E-2</v>
          </cell>
          <cell r="D6">
            <v>-0.41039651992409887</v>
          </cell>
          <cell r="E6">
            <v>-0.25312248945904503</v>
          </cell>
          <cell r="F6">
            <v>-0.34559073736065793</v>
          </cell>
          <cell r="G6">
            <v>-0.24076147219836452</v>
          </cell>
          <cell r="H6">
            <v>-0.22044607365595603</v>
          </cell>
          <cell r="I6">
            <v>-9.2505254951653404E-2</v>
          </cell>
        </row>
        <row r="8">
          <cell r="B8" t="str">
            <v>Las Vegas Strip</v>
          </cell>
          <cell r="C8">
            <v>200.17086732827966</v>
          </cell>
          <cell r="D8">
            <v>208.5498851863795</v>
          </cell>
          <cell r="E8">
            <v>218.98068870308339</v>
          </cell>
          <cell r="F8">
            <v>236.31424677494363</v>
          </cell>
          <cell r="G8">
            <v>225.75520229159324</v>
          </cell>
          <cell r="H8">
            <v>209.81818702749541</v>
          </cell>
          <cell r="I8">
            <v>220.38051980101446</v>
          </cell>
        </row>
        <row r="9">
          <cell r="B9" t="str">
            <v xml:space="preserve">  Growth</v>
          </cell>
          <cell r="C9">
            <v>0.13958679115325667</v>
          </cell>
          <cell r="D9">
            <v>4.1859327333374052E-2</v>
          </cell>
          <cell r="E9">
            <v>5.0015867941533232E-2</v>
          </cell>
          <cell r="F9">
            <v>7.9155646895251452E-2</v>
          </cell>
          <cell r="G9">
            <v>-4.4682217121705725E-2</v>
          </cell>
          <cell r="H9">
            <v>-7.0594232612690933E-2</v>
          </cell>
          <cell r="I9">
            <v>5.0340406249601788E-2</v>
          </cell>
        </row>
        <row r="11">
          <cell r="C11">
            <v>9.607163820026301</v>
          </cell>
          <cell r="D11">
            <v>5.4368349673893119</v>
          </cell>
          <cell r="E11">
            <v>3.8672270483171856</v>
          </cell>
          <cell r="F11">
            <v>2.345119731735803</v>
          </cell>
          <cell r="G11">
            <v>1.8637832191055219</v>
          </cell>
          <cell r="H11">
            <v>1.5632779322988422</v>
          </cell>
          <cell r="I11">
            <v>1.3506730771948554</v>
          </cell>
        </row>
        <row r="12">
          <cell r="J12" t="str">
            <v>Visitor Volume Growth</v>
          </cell>
        </row>
        <row r="13">
          <cell r="K13">
            <v>1995</v>
          </cell>
          <cell r="L13">
            <v>1996</v>
          </cell>
          <cell r="M13">
            <v>1997</v>
          </cell>
          <cell r="N13">
            <v>1998</v>
          </cell>
          <cell r="O13">
            <v>1999</v>
          </cell>
          <cell r="P13">
            <v>2000</v>
          </cell>
          <cell r="Q13">
            <v>2001</v>
          </cell>
          <cell r="R13">
            <v>2002</v>
          </cell>
          <cell r="S13">
            <v>2003</v>
          </cell>
          <cell r="T13">
            <v>2004</v>
          </cell>
          <cell r="U13">
            <v>2005</v>
          </cell>
          <cell r="V13" t="str">
            <v>2006E</v>
          </cell>
          <cell r="W13" t="str">
            <v>2007E</v>
          </cell>
          <cell r="X13" t="str">
            <v>2008E</v>
          </cell>
          <cell r="Y13" t="str">
            <v>2009E</v>
          </cell>
          <cell r="Z13" t="str">
            <v>2010E</v>
          </cell>
        </row>
        <row r="15">
          <cell r="J15" t="str">
            <v>Total Visitors (mm)</v>
          </cell>
          <cell r="K15">
            <v>7.7525000000000004</v>
          </cell>
          <cell r="L15">
            <v>8.1510999999999996</v>
          </cell>
          <cell r="M15">
            <v>7.0004</v>
          </cell>
          <cell r="N15">
            <v>6.9485000000000001</v>
          </cell>
          <cell r="O15">
            <v>7.4439000000000002</v>
          </cell>
          <cell r="P15">
            <v>9.1622120000000002</v>
          </cell>
          <cell r="Q15">
            <v>10.278973000000001</v>
          </cell>
          <cell r="R15">
            <v>11.530841000000001</v>
          </cell>
          <cell r="S15">
            <v>11.887875999999999</v>
          </cell>
          <cell r="T15">
            <v>16.672556</v>
          </cell>
          <cell r="U15">
            <v>18.711186999999999</v>
          </cell>
          <cell r="V15">
            <v>21.998122000000002</v>
          </cell>
          <cell r="W15">
            <v>26.853211459144823</v>
          </cell>
          <cell r="X15">
            <v>31.112956369452657</v>
          </cell>
          <cell r="Y15">
            <v>35.938386716715485</v>
          </cell>
          <cell r="Z15">
            <v>41.464358695646425</v>
          </cell>
          <cell r="AA15">
            <v>0.17345551240914747</v>
          </cell>
        </row>
        <row r="16">
          <cell r="J16" t="str">
            <v xml:space="preserve">  Growth</v>
          </cell>
          <cell r="K16">
            <v>-1.0378105134162152E-2</v>
          </cell>
          <cell r="L16">
            <v>5.1415672363753551E-2</v>
          </cell>
          <cell r="M16">
            <v>-0.1411711302768951</v>
          </cell>
          <cell r="N16">
            <v>-7.4138620650248122E-3</v>
          </cell>
          <cell r="O16">
            <v>7.1295963157516073E-2</v>
          </cell>
          <cell r="P16">
            <v>0.23083491180698301</v>
          </cell>
          <cell r="Q16">
            <v>0.12188770571997254</v>
          </cell>
          <cell r="R16">
            <v>0.12178920987534458</v>
          </cell>
          <cell r="S16">
            <v>3.0963483062510289E-2</v>
          </cell>
          <cell r="T16">
            <v>0.40248400975918686</v>
          </cell>
          <cell r="U16">
            <v>0.12227465302860563</v>
          </cell>
          <cell r="V16">
            <v>0.17566683503296732</v>
          </cell>
          <cell r="W16">
            <v>0.22070472466444269</v>
          </cell>
          <cell r="X16">
            <v>0.15863074391637366</v>
          </cell>
          <cell r="Y16">
            <v>0.15509391939367534</v>
          </cell>
          <cell r="Z16">
            <v>0.15376238289407484</v>
          </cell>
        </row>
        <row r="18">
          <cell r="J18" t="str">
            <v>China Visitor Growth</v>
          </cell>
          <cell r="K18">
            <v>1.2144313086017124</v>
          </cell>
          <cell r="L18">
            <v>0.1122974963181147</v>
          </cell>
          <cell r="M18">
            <v>-0.12313803376365429</v>
          </cell>
          <cell r="N18">
            <v>0.54171385428463559</v>
          </cell>
          <cell r="O18">
            <v>1.0142017629774731</v>
          </cell>
          <cell r="P18">
            <v>0.3826361536591294</v>
          </cell>
          <cell r="Q18">
            <v>0.32136317856362551</v>
          </cell>
          <cell r="R18">
            <v>0.41079115101130448</v>
          </cell>
          <cell r="S18">
            <v>0.3541113364018782</v>
          </cell>
          <cell r="T18">
            <v>0.65964459296319289</v>
          </cell>
          <cell r="U18">
            <v>9.7927865600516473E-2</v>
          </cell>
          <cell r="V18">
            <v>0.14552766395303207</v>
          </cell>
          <cell r="W18">
            <v>0.20850267108859089</v>
          </cell>
          <cell r="X18">
            <v>0.21775131112272916</v>
          </cell>
          <cell r="Y18">
            <v>0.22220629759693189</v>
          </cell>
          <cell r="Z18">
            <v>0.21586516688115776</v>
          </cell>
          <cell r="AA18">
            <v>1.5051961517361732</v>
          </cell>
        </row>
        <row r="19">
          <cell r="J19" t="str">
            <v xml:space="preserve">  Share of Total Visitors</v>
          </cell>
          <cell r="K19">
            <v>7.0067720090293453E-2</v>
          </cell>
          <cell r="L19">
            <v>7.4124964728686918E-2</v>
          </cell>
          <cell r="M19">
            <v>7.5681389634878013E-2</v>
          </cell>
          <cell r="N19">
            <v>0.11755055047852053</v>
          </cell>
          <cell r="O19">
            <v>0.22101317857574657</v>
          </cell>
          <cell r="P19">
            <v>0.24827115984655232</v>
          </cell>
          <cell r="Q19">
            <v>0.29241462157746689</v>
          </cell>
          <cell r="R19">
            <v>0.36774819807158909</v>
          </cell>
          <cell r="S19">
            <v>0.48301614182382119</v>
          </cell>
          <cell r="T19">
            <v>0.57158236565527198</v>
          </cell>
          <cell r="U19">
            <v>0.55918237576269214</v>
          </cell>
          <cell r="V19">
            <v>0.54484728287260153</v>
          </cell>
          <cell r="W19">
            <v>0.53940103891045388</v>
          </cell>
          <cell r="X19">
            <v>0.56692464428647793</v>
          </cell>
          <cell r="Y19">
            <v>0.59986366379068634</v>
          </cell>
          <cell r="Z19">
            <v>0.63215211771015622</v>
          </cell>
          <cell r="AA19">
            <v>0.84167916011669497</v>
          </cell>
        </row>
        <row r="20">
          <cell r="J20" t="str">
            <v xml:space="preserve">  Share of Growth</v>
          </cell>
          <cell r="L20">
            <v>0.15303562468640242</v>
          </cell>
          <cell r="M20">
            <v>6.4656296167550129E-2</v>
          </cell>
          <cell r="N20">
            <v>-5.529865125240879</v>
          </cell>
          <cell r="O20">
            <v>1.6721840936616859</v>
          </cell>
          <cell r="P20">
            <v>0.36635546978662742</v>
          </cell>
          <cell r="Q20">
            <v>0.65457962804933156</v>
          </cell>
          <cell r="R20">
            <v>0.98630526541136898</v>
          </cell>
          <cell r="S20">
            <v>4.2057221280826873</v>
          </cell>
          <cell r="T20">
            <v>0.79163141526706027</v>
          </cell>
          <cell r="U20">
            <v>0.45777141621019279</v>
          </cell>
          <cell r="V20">
            <v>0.46324341673930247</v>
          </cell>
          <cell r="W20">
            <v>0.51472443096548126</v>
          </cell>
          <cell r="X20">
            <v>0.74043202814224462</v>
          </cell>
          <cell r="Y20">
            <v>0.81224477862085054</v>
          </cell>
          <cell r="Z20">
            <v>0.84214140970567009</v>
          </cell>
          <cell r="AA20">
            <v>4.8524209373717637</v>
          </cell>
        </row>
        <row r="22">
          <cell r="J22" t="str">
            <v>Hong Kong Visitor Growth</v>
          </cell>
          <cell r="K22">
            <v>-7.7343801327113937E-2</v>
          </cell>
          <cell r="L22">
            <v>-7.3324432576769016E-2</v>
          </cell>
          <cell r="M22">
            <v>-9.6645919778699851E-2</v>
          </cell>
          <cell r="N22">
            <v>4.1041998936737212E-3</v>
          </cell>
          <cell r="O22">
            <v>-0.10419755178110046</v>
          </cell>
          <cell r="P22">
            <v>0.17136011158920073</v>
          </cell>
          <cell r="Q22">
            <v>4.8745826873872522E-2</v>
          </cell>
          <cell r="R22">
            <v>-1.8224888648026183E-2</v>
          </cell>
          <cell r="S22">
            <v>-9.3752995479508883E-2</v>
          </cell>
          <cell r="T22">
            <v>9.2555052148291406E-2</v>
          </cell>
          <cell r="U22">
            <v>0.1116266905613259</v>
          </cell>
          <cell r="V22">
            <v>0.23611567239405518</v>
          </cell>
          <cell r="W22">
            <v>0.19999999999999996</v>
          </cell>
          <cell r="X22">
            <v>0.06</v>
          </cell>
          <cell r="Y22">
            <v>0.05</v>
          </cell>
          <cell r="Z22">
            <v>0.05</v>
          </cell>
          <cell r="AA22">
            <v>0.73350389665197513</v>
          </cell>
        </row>
        <row r="23">
          <cell r="J23" t="str">
            <v xml:space="preserve">  Share of Total Visitors</v>
          </cell>
          <cell r="K23">
            <v>0.72460496613995473</v>
          </cell>
          <cell r="L23">
            <v>0.63863772987694911</v>
          </cell>
          <cell r="M23">
            <v>0.67174732872407283</v>
          </cell>
          <cell r="N23">
            <v>0.67954234726919482</v>
          </cell>
          <cell r="O23">
            <v>0.56822364620696142</v>
          </cell>
          <cell r="P23">
            <v>0.54076668385320059</v>
          </cell>
          <cell r="Q23">
            <v>0.50551120233509705</v>
          </cell>
          <cell r="R23">
            <v>0.44241673265636039</v>
          </cell>
          <cell r="S23">
            <v>0.38889722604778187</v>
          </cell>
          <cell r="T23">
            <v>0.30295648729564917</v>
          </cell>
          <cell r="U23">
            <v>0.30008208458394431</v>
          </cell>
          <cell r="V23">
            <v>0.31551129682797469</v>
          </cell>
          <cell r="W23">
            <v>0.3101598187863539</v>
          </cell>
          <cell r="X23">
            <v>0.28375684802065348</v>
          </cell>
          <cell r="Y23">
            <v>0.25793979642632126</v>
          </cell>
          <cell r="Z23">
            <v>0.23474225738602753</v>
          </cell>
          <cell r="AA23">
            <v>0.22011137835777075</v>
          </cell>
        </row>
        <row r="24">
          <cell r="J24" t="str">
            <v xml:space="preserve">  Share of Growth</v>
          </cell>
          <cell r="L24">
            <v>-1.0333667837431022</v>
          </cell>
          <cell r="M24">
            <v>0.43721213174589391</v>
          </cell>
          <cell r="N24">
            <v>-0.37186897880541014</v>
          </cell>
          <cell r="O24">
            <v>-0.99313685910375404</v>
          </cell>
          <cell r="P24">
            <v>0.42182036789593563</v>
          </cell>
          <cell r="Q24">
            <v>0.21626561099465261</v>
          </cell>
          <cell r="R24">
            <v>-7.5646154386884351E-2</v>
          </cell>
          <cell r="S24">
            <v>-1.3395745515145585</v>
          </cell>
          <cell r="T24">
            <v>8.9430641129605123E-2</v>
          </cell>
          <cell r="U24">
            <v>0.27657432855676234</v>
          </cell>
          <cell r="V24">
            <v>0.40334354041074738</v>
          </cell>
          <cell r="W24">
            <v>0.28591258959922577</v>
          </cell>
          <cell r="X24">
            <v>0.1173138867519386</v>
          </cell>
          <cell r="Y24">
            <v>9.1479037066692692E-2</v>
          </cell>
          <cell r="Z24">
            <v>8.3876105316348093E-2</v>
          </cell>
          <cell r="AA24">
            <v>1.2689788597699407</v>
          </cell>
        </row>
        <row r="26">
          <cell r="J26" t="str">
            <v>Other Visitor Growth</v>
          </cell>
          <cell r="K26">
            <v>6.112925804946423E-2</v>
          </cell>
          <cell r="L26">
            <v>0.47085060937303624</v>
          </cell>
          <cell r="M26">
            <v>-0.24482125314995939</v>
          </cell>
          <cell r="N26">
            <v>-0.20259035122447822</v>
          </cell>
          <cell r="O26">
            <v>0.11277395559968784</v>
          </cell>
          <cell r="P26">
            <v>0.23199694053158249</v>
          </cell>
          <cell r="Q26">
            <v>7.4621807872190971E-2</v>
          </cell>
          <cell r="R26">
            <v>5.3845357623434342E-2</v>
          </cell>
          <cell r="S26">
            <v>-0.30438226772738453</v>
          </cell>
          <cell r="T26">
            <v>0.37373627254087838</v>
          </cell>
          <cell r="U26">
            <v>0.25890710110825377</v>
          </cell>
          <cell r="V26">
            <v>0.16652685631001729</v>
          </cell>
          <cell r="W26">
            <v>0.31509527323771458</v>
          </cell>
          <cell r="X26">
            <v>0.15</v>
          </cell>
          <cell r="Y26">
            <v>0.1</v>
          </cell>
          <cell r="Z26">
            <v>0.08</v>
          </cell>
          <cell r="AA26">
            <v>1.0958791610998864</v>
          </cell>
        </row>
        <row r="27">
          <cell r="J27" t="str">
            <v xml:space="preserve">  Share of Total Visitors</v>
          </cell>
          <cell r="K27">
            <v>0.2053273137697518</v>
          </cell>
          <cell r="L27">
            <v>0.28723730539436404</v>
          </cell>
          <cell r="M27">
            <v>0.25257128164104914</v>
          </cell>
          <cell r="N27">
            <v>0.20290710225228473</v>
          </cell>
          <cell r="O27">
            <v>0.21076317521729204</v>
          </cell>
          <cell r="P27">
            <v>0.21096215630024714</v>
          </cell>
          <cell r="Q27">
            <v>0.202074176087436</v>
          </cell>
          <cell r="R27">
            <v>0.18983506927205052</v>
          </cell>
          <cell r="S27">
            <v>0.12808663212839708</v>
          </cell>
          <cell r="T27">
            <v>0.12546114704907874</v>
          </cell>
          <cell r="U27">
            <v>0.14073553965336347</v>
          </cell>
          <cell r="V27">
            <v>0.13964142029942375</v>
          </cell>
          <cell r="W27">
            <v>0.15043914230319225</v>
          </cell>
          <cell r="X27">
            <v>0.14931850769286856</v>
          </cell>
          <cell r="Y27">
            <v>0.14219653978299246</v>
          </cell>
          <cell r="Z27">
            <v>0.13310562490381617</v>
          </cell>
          <cell r="AA27">
            <v>0.15422914513226774</v>
          </cell>
        </row>
        <row r="28">
          <cell r="J28" t="str">
            <v xml:space="preserve">  Share of Growth</v>
          </cell>
          <cell r="L28">
            <v>1.8803311590567</v>
          </cell>
          <cell r="M28">
            <v>0.49813157208655623</v>
          </cell>
          <cell r="N28">
            <v>6.9017341040462838</v>
          </cell>
          <cell r="O28">
            <v>0.32095276544206658</v>
          </cell>
          <cell r="P28">
            <v>0.21182416231743689</v>
          </cell>
          <cell r="Q28">
            <v>0.12915476095601508</v>
          </cell>
          <cell r="R28">
            <v>8.9340888975514829E-2</v>
          </cell>
          <cell r="S28">
            <v>-1.8661475765681284</v>
          </cell>
          <cell r="T28">
            <v>0.11893794360333386</v>
          </cell>
          <cell r="U28">
            <v>0.26565425523304587</v>
          </cell>
          <cell r="V28">
            <v>0.1334130428499502</v>
          </cell>
          <cell r="W28">
            <v>0.19936297943529382</v>
          </cell>
          <cell r="X28">
            <v>0.14225408510581672</v>
          </cell>
          <cell r="Y28">
            <v>9.627618431245713E-2</v>
          </cell>
          <cell r="Z28">
            <v>7.3982484977980628E-2</v>
          </cell>
          <cell r="AA28">
            <v>0.88915678141419618</v>
          </cell>
        </row>
        <row r="30">
          <cell r="J30" t="str">
            <v>Check</v>
          </cell>
          <cell r="K30">
            <v>1</v>
          </cell>
          <cell r="L30">
            <v>1</v>
          </cell>
          <cell r="M30">
            <v>1</v>
          </cell>
          <cell r="N30">
            <v>1.0000000000000002</v>
          </cell>
          <cell r="O30">
            <v>1</v>
          </cell>
          <cell r="P30">
            <v>1</v>
          </cell>
          <cell r="Q30">
            <v>1</v>
          </cell>
          <cell r="R30">
            <v>1</v>
          </cell>
          <cell r="S30">
            <v>1.0000000000000002</v>
          </cell>
          <cell r="T30">
            <v>0.99999999999999989</v>
          </cell>
          <cell r="U30">
            <v>0.99999999999999989</v>
          </cell>
          <cell r="V30">
            <v>0.99999999999999989</v>
          </cell>
          <cell r="W30">
            <v>1</v>
          </cell>
          <cell r="X30">
            <v>1</v>
          </cell>
          <cell r="Y30">
            <v>1</v>
          </cell>
          <cell r="Z30">
            <v>0.99999999999999989</v>
          </cell>
        </row>
        <row r="31">
          <cell r="L31">
            <v>1.0000000000000002</v>
          </cell>
          <cell r="M31">
            <v>1.0000000000000002</v>
          </cell>
          <cell r="N31">
            <v>0.99999999999999467</v>
          </cell>
          <cell r="O31">
            <v>0.99999999999999845</v>
          </cell>
          <cell r="P31">
            <v>1</v>
          </cell>
          <cell r="Q31">
            <v>0.99999999999999922</v>
          </cell>
          <cell r="R31">
            <v>0.99999999999999944</v>
          </cell>
          <cell r="S31">
            <v>1.0000000000000007</v>
          </cell>
          <cell r="T31">
            <v>0.99999999999999922</v>
          </cell>
          <cell r="U31">
            <v>1.0000000000000009</v>
          </cell>
          <cell r="V31">
            <v>1</v>
          </cell>
          <cell r="W31">
            <v>1.0000000000000009</v>
          </cell>
          <cell r="X31">
            <v>1</v>
          </cell>
          <cell r="Y31">
            <v>1.0000000000000004</v>
          </cell>
          <cell r="Z31">
            <v>0.99999999999999889</v>
          </cell>
        </row>
        <row r="32">
          <cell r="AA32" t="str">
            <v>Visitor Volume Distribution</v>
          </cell>
        </row>
        <row r="33">
          <cell r="AB33">
            <v>2000</v>
          </cell>
          <cell r="AD33">
            <v>2005</v>
          </cell>
        </row>
        <row r="34">
          <cell r="AB34" t="str">
            <v>Visitors</v>
          </cell>
          <cell r="AC34" t="str">
            <v>Share</v>
          </cell>
          <cell r="AD34" t="str">
            <v>Visitors</v>
          </cell>
          <cell r="AE34" t="str">
            <v>Share</v>
          </cell>
        </row>
        <row r="36">
          <cell r="AA36" t="str">
            <v>Total</v>
          </cell>
          <cell r="AB36">
            <v>9162212</v>
          </cell>
          <cell r="AC36">
            <v>1</v>
          </cell>
          <cell r="AD36">
            <v>18711187</v>
          </cell>
          <cell r="AE36">
            <v>1</v>
          </cell>
        </row>
        <row r="38">
          <cell r="AA38" t="str">
            <v>Mainland China</v>
          </cell>
          <cell r="AB38">
            <v>2274713</v>
          </cell>
          <cell r="AC38">
            <v>0.24827115984655235</v>
          </cell>
          <cell r="AD38">
            <v>10462966</v>
          </cell>
          <cell r="AE38">
            <v>0.55918237576269214</v>
          </cell>
        </row>
        <row r="39">
          <cell r="AA39" t="str">
            <v>Hong Kong</v>
          </cell>
          <cell r="AB39">
            <v>4954619</v>
          </cell>
          <cell r="AC39">
            <v>0.54076668385320048</v>
          </cell>
          <cell r="AD39">
            <v>5614892</v>
          </cell>
          <cell r="AE39">
            <v>0.30008208458394436</v>
          </cell>
        </row>
        <row r="40">
          <cell r="AA40" t="str">
            <v>Taiwan</v>
          </cell>
          <cell r="AB40">
            <v>1311035</v>
          </cell>
          <cell r="AC40">
            <v>0.14309153728379129</v>
          </cell>
          <cell r="AD40">
            <v>1482483</v>
          </cell>
          <cell r="AE40">
            <v>7.9229767731999037E-2</v>
          </cell>
        </row>
        <row r="41">
          <cell r="AA41" t="str">
            <v>Japan</v>
          </cell>
          <cell r="AB41">
            <v>144888</v>
          </cell>
          <cell r="AC41">
            <v>1.5813648494490195E-2</v>
          </cell>
          <cell r="AD41">
            <v>169115</v>
          </cell>
          <cell r="AE41">
            <v>9.0381759318636495E-3</v>
          </cell>
        </row>
        <row r="42">
          <cell r="AA42" t="str">
            <v>Republic of Korea</v>
          </cell>
          <cell r="AB42">
            <v>45365</v>
          </cell>
          <cell r="AC42">
            <v>4.9513152500727988E-3</v>
          </cell>
          <cell r="AD42">
            <v>120739</v>
          </cell>
          <cell r="AE42">
            <v>6.4527707408407603E-3</v>
          </cell>
        </row>
        <row r="43">
          <cell r="AA43" t="str">
            <v>Malaysia</v>
          </cell>
          <cell r="AB43">
            <v>25753</v>
          </cell>
          <cell r="AC43">
            <v>2.8107841206905055E-3</v>
          </cell>
          <cell r="AD43">
            <v>98450</v>
          </cell>
          <cell r="AE43">
            <v>5.261558232516195E-3</v>
          </cell>
        </row>
        <row r="44">
          <cell r="AA44" t="str">
            <v>Philippines</v>
          </cell>
          <cell r="AB44">
            <v>42111</v>
          </cell>
          <cell r="AC44">
            <v>4.5961608397622755E-3</v>
          </cell>
          <cell r="AD44">
            <v>93878</v>
          </cell>
          <cell r="AE44">
            <v>5.01721243018949E-3</v>
          </cell>
        </row>
        <row r="45">
          <cell r="AA45" t="str">
            <v>Singapore</v>
          </cell>
          <cell r="AB45">
            <v>26026</v>
          </cell>
          <cell r="AC45">
            <v>2.8405804187896983E-3</v>
          </cell>
          <cell r="AD45">
            <v>82298</v>
          </cell>
          <cell r="AE45">
            <v>4.3983313298082052E-3</v>
          </cell>
        </row>
        <row r="46">
          <cell r="AA46" t="str">
            <v>Thailand</v>
          </cell>
          <cell r="AB46">
            <v>24396</v>
          </cell>
          <cell r="AC46">
            <v>2.6626757817871929E-3</v>
          </cell>
          <cell r="AD46">
            <v>57876</v>
          </cell>
          <cell r="AE46">
            <v>3.0931228467761026E-3</v>
          </cell>
        </row>
        <row r="47">
          <cell r="AA47" t="str">
            <v>Indonesia</v>
          </cell>
          <cell r="AB47">
            <v>16920</v>
          </cell>
          <cell r="AC47">
            <v>1.846715618455456E-3</v>
          </cell>
          <cell r="AD47">
            <v>46154</v>
          </cell>
          <cell r="AE47">
            <v>2.4666527035404006E-3</v>
          </cell>
        </row>
        <row r="48">
          <cell r="AA48" t="str">
            <v>Other Asia</v>
          </cell>
          <cell r="AB48">
            <v>17738</v>
          </cell>
          <cell r="AC48">
            <v>1.9359953688039527E-3</v>
          </cell>
          <cell r="AD48">
            <v>33753</v>
          </cell>
          <cell r="AE48">
            <v>1.8038941089092851E-3</v>
          </cell>
        </row>
        <row r="49">
          <cell r="AA49" t="str">
            <v>India</v>
          </cell>
          <cell r="AB49">
            <v>7530</v>
          </cell>
          <cell r="AC49">
            <v>8.2185393658212663E-4</v>
          </cell>
          <cell r="AD49">
            <v>20846</v>
          </cell>
          <cell r="AE49">
            <v>1.1140928686138405E-3</v>
          </cell>
        </row>
        <row r="50">
          <cell r="AB50" t="str">
            <v>______</v>
          </cell>
          <cell r="AC50" t="str">
            <v>______</v>
          </cell>
          <cell r="AD50" t="str">
            <v>______</v>
          </cell>
          <cell r="AE50" t="str">
            <v>______</v>
          </cell>
        </row>
        <row r="51">
          <cell r="AA51" t="str">
            <v>Total Asia</v>
          </cell>
          <cell r="AB51">
            <v>8891094</v>
          </cell>
          <cell r="AC51">
            <v>0.97040911081297831</v>
          </cell>
          <cell r="AD51">
            <v>18283450</v>
          </cell>
          <cell r="AE51">
            <v>0.97714003927169346</v>
          </cell>
        </row>
        <row r="53">
          <cell r="AA53" t="str">
            <v>North America</v>
          </cell>
          <cell r="AB53">
            <v>108626</v>
          </cell>
          <cell r="AC53">
            <v>1.1855870612904395E-2</v>
          </cell>
          <cell r="AD53">
            <v>182769</v>
          </cell>
          <cell r="AE53">
            <v>9.7678998130904249E-3</v>
          </cell>
        </row>
        <row r="54">
          <cell r="AA54" t="str">
            <v>Europe</v>
          </cell>
          <cell r="AB54">
            <v>120907</v>
          </cell>
          <cell r="AC54">
            <v>1.3196267451571738E-2</v>
          </cell>
          <cell r="AD54">
            <v>162564</v>
          </cell>
          <cell r="AE54">
            <v>8.6880645252489855E-3</v>
          </cell>
        </row>
        <row r="55">
          <cell r="AA55" t="str">
            <v>Oceania, Africa, Middle East</v>
          </cell>
          <cell r="AB55">
            <v>41585</v>
          </cell>
          <cell r="AC55">
            <v>4.538751122545516E-3</v>
          </cell>
          <cell r="AD55">
            <v>82404</v>
          </cell>
          <cell r="AE55">
            <v>4.4039963899671353E-3</v>
          </cell>
        </row>
        <row r="57">
          <cell r="AA57" t="str">
            <v>Check</v>
          </cell>
          <cell r="AB57">
            <v>9162212</v>
          </cell>
          <cell r="AC57">
            <v>1</v>
          </cell>
          <cell r="AD57">
            <v>18711187</v>
          </cell>
          <cell r="AE57">
            <v>1</v>
          </cell>
        </row>
        <row r="58">
          <cell r="AF58" t="str">
            <v>Visitation by entry point</v>
          </cell>
        </row>
        <row r="59">
          <cell r="AG59" t="str">
            <v>Number</v>
          </cell>
          <cell r="AH59" t="str">
            <v>Share</v>
          </cell>
        </row>
        <row r="61">
          <cell r="AF61" t="str">
            <v>Macau Border Gate</v>
          </cell>
          <cell r="AG61">
            <v>10341814</v>
          </cell>
          <cell r="AH61">
            <v>0.55270753266481709</v>
          </cell>
        </row>
        <row r="62">
          <cell r="AF62" t="str">
            <v>Cotai Checkpoint</v>
          </cell>
          <cell r="AG62">
            <v>609377</v>
          </cell>
          <cell r="AH62">
            <v>3.2567522306307987E-2</v>
          </cell>
        </row>
        <row r="63">
          <cell r="AF63" t="str">
            <v>Outer Harbour</v>
          </cell>
          <cell r="AG63">
            <v>6503195</v>
          </cell>
          <cell r="AH63">
            <v>0.34755651792694925</v>
          </cell>
        </row>
        <row r="64">
          <cell r="AF64" t="str">
            <v>Inner Harbour</v>
          </cell>
          <cell r="AG64">
            <v>216700</v>
          </cell>
          <cell r="AH64">
            <v>1.1581306947549613E-2</v>
          </cell>
        </row>
        <row r="65">
          <cell r="AF65" t="str">
            <v>Airport</v>
          </cell>
          <cell r="AG65">
            <v>1029540</v>
          </cell>
          <cell r="AH65">
            <v>5.5022698453069813E-2</v>
          </cell>
        </row>
        <row r="66">
          <cell r="AF66" t="str">
            <v>Helicopter</v>
          </cell>
          <cell r="AG66">
            <v>10561</v>
          </cell>
          <cell r="AH66">
            <v>5.6442170130628275E-4</v>
          </cell>
        </row>
        <row r="67">
          <cell r="AG67" t="str">
            <v>______</v>
          </cell>
          <cell r="AH67" t="str">
            <v>______</v>
          </cell>
        </row>
        <row r="68">
          <cell r="AG68">
            <v>18711187</v>
          </cell>
          <cell r="AH68">
            <v>1</v>
          </cell>
        </row>
        <row r="70">
          <cell r="AI70" t="str">
            <v>Las Vegas US penetration</v>
          </cell>
        </row>
        <row r="71">
          <cell r="AI71" t="str">
            <v>(mm)</v>
          </cell>
          <cell r="AJ71">
            <v>1999</v>
          </cell>
          <cell r="AK71">
            <v>2000</v>
          </cell>
          <cell r="AL71">
            <v>2001</v>
          </cell>
          <cell r="AM71">
            <v>2002</v>
          </cell>
          <cell r="AN71">
            <v>2003</v>
          </cell>
          <cell r="AO71">
            <v>2004</v>
          </cell>
          <cell r="AP71">
            <v>2005</v>
          </cell>
        </row>
        <row r="73">
          <cell r="AI73" t="str">
            <v>US Population</v>
          </cell>
          <cell r="AJ73">
            <v>280.46662099999998</v>
          </cell>
          <cell r="AK73">
            <v>283.740343</v>
          </cell>
          <cell r="AL73">
            <v>286.62938600000001</v>
          </cell>
          <cell r="AM73">
            <v>289.475819</v>
          </cell>
          <cell r="AN73">
            <v>292.30278199999998</v>
          </cell>
          <cell r="AO73">
            <v>295.10765700000002</v>
          </cell>
          <cell r="AP73">
            <v>297.82117499999998</v>
          </cell>
        </row>
        <row r="75">
          <cell r="AI75" t="str">
            <v>Las Vegas Visitors</v>
          </cell>
          <cell r="AJ75">
            <v>33.809134</v>
          </cell>
          <cell r="AK75">
            <v>35.849691</v>
          </cell>
          <cell r="AL75">
            <v>35.012</v>
          </cell>
          <cell r="AM75">
            <v>35.071505000000002</v>
          </cell>
          <cell r="AN75">
            <v>35.540126000000001</v>
          </cell>
          <cell r="AO75">
            <v>37.388781000000002</v>
          </cell>
          <cell r="AP75">
            <v>38.566716999999997</v>
          </cell>
        </row>
        <row r="76">
          <cell r="AI76" t="str">
            <v xml:space="preserve">  % International</v>
          </cell>
          <cell r="AJ76">
            <v>0.11</v>
          </cell>
          <cell r="AK76">
            <v>0.13</v>
          </cell>
          <cell r="AL76">
            <v>0.12</v>
          </cell>
          <cell r="AM76">
            <v>0.08</v>
          </cell>
          <cell r="AN76">
            <v>0.09</v>
          </cell>
          <cell r="AO76">
            <v>0.13</v>
          </cell>
          <cell r="AP76">
            <v>0.12</v>
          </cell>
        </row>
        <row r="77">
          <cell r="AI77" t="str">
            <v xml:space="preserve">  Domestic Visitors</v>
          </cell>
          <cell r="AJ77">
            <v>30.090129260000001</v>
          </cell>
          <cell r="AK77">
            <v>31.189231169999999</v>
          </cell>
          <cell r="AL77">
            <v>30.810559999999999</v>
          </cell>
          <cell r="AM77">
            <v>32.265784600000003</v>
          </cell>
          <cell r="AN77">
            <v>32.341514660000001</v>
          </cell>
          <cell r="AO77">
            <v>32.528239470000003</v>
          </cell>
          <cell r="AP77">
            <v>33.938710959999995</v>
          </cell>
        </row>
        <row r="79">
          <cell r="AI79" t="str">
            <v>US Pentration Rate</v>
          </cell>
          <cell r="AJ79">
            <v>0.10728595493008776</v>
          </cell>
          <cell r="AK79">
            <v>0.10992173633200972</v>
          </cell>
          <cell r="AL79">
            <v>0.10749267697206732</v>
          </cell>
          <cell r="AM79">
            <v>0.11146279751953998</v>
          </cell>
          <cell r="AN79">
            <v>0.11064388247936691</v>
          </cell>
          <cell r="AO79">
            <v>0.11022499314546759</v>
          </cell>
          <cell r="AP79">
            <v>0.11395667537743076</v>
          </cell>
        </row>
        <row r="81">
          <cell r="AQ81" t="str">
            <v>Revenue per visitor</v>
          </cell>
        </row>
        <row r="82">
          <cell r="AQ82" t="str">
            <v>($mm)</v>
          </cell>
          <cell r="AR82">
            <v>1999</v>
          </cell>
          <cell r="AS82">
            <v>2000</v>
          </cell>
          <cell r="AT82">
            <v>2001</v>
          </cell>
          <cell r="AU82">
            <v>2002</v>
          </cell>
          <cell r="AV82">
            <v>2003</v>
          </cell>
          <cell r="AW82">
            <v>2004</v>
          </cell>
        </row>
        <row r="84">
          <cell r="AQ84" t="str">
            <v>Gaming Revenue/Visitor</v>
          </cell>
          <cell r="AR84">
            <v>217.86376862885368</v>
          </cell>
          <cell r="AS84">
            <v>216.84155772657923</v>
          </cell>
          <cell r="AT84">
            <v>219.47156798001637</v>
          </cell>
          <cell r="AU84">
            <v>233.6752566583952</v>
          </cell>
          <cell r="AV84">
            <v>292.57303766303806</v>
          </cell>
          <cell r="AW84">
            <v>300.64740025553272</v>
          </cell>
        </row>
        <row r="85">
          <cell r="AQ85" t="str">
            <v xml:space="preserve">  Year-over-Year growth</v>
          </cell>
          <cell r="AR85">
            <v>-0.16593356360145228</v>
          </cell>
          <cell r="AS85">
            <v>-4.6919729182499648E-3</v>
          </cell>
          <cell r="AT85">
            <v>1.212871868755605E-2</v>
          </cell>
          <cell r="AU85">
            <v>6.4717670763039914E-2</v>
          </cell>
          <cell r="AV85">
            <v>0.25204971141101273</v>
          </cell>
          <cell r="AW85">
            <v>2.7597767234430082E-2</v>
          </cell>
        </row>
        <row r="87">
          <cell r="AX87" t="str">
            <v>Gaming Revenue forecast</v>
          </cell>
        </row>
        <row r="88">
          <cell r="AX88" t="str">
            <v>($mm)</v>
          </cell>
          <cell r="AY88">
            <v>2004</v>
          </cell>
          <cell r="AZ88">
            <v>2005</v>
          </cell>
          <cell r="BA88" t="str">
            <v>2006E</v>
          </cell>
          <cell r="BB88" t="str">
            <v>2007E</v>
          </cell>
          <cell r="BC88" t="str">
            <v>2008E</v>
          </cell>
          <cell r="BD88" t="str">
            <v>2009E</v>
          </cell>
          <cell r="BE88" t="str">
            <v>2010E</v>
          </cell>
        </row>
        <row r="90">
          <cell r="AX90" t="str">
            <v>Gaming Revenue</v>
          </cell>
          <cell r="AY90">
            <v>5012.5606170147839</v>
          </cell>
          <cell r="AZ90">
            <v>5583.0517159194042</v>
          </cell>
          <cell r="BA90">
            <v>6872.4190251586988</v>
          </cell>
          <cell r="BB90">
            <v>8711.3099488232911</v>
          </cell>
          <cell r="BC90">
            <v>9975.4970811944731</v>
          </cell>
          <cell r="BD90">
            <v>11495.287373279902</v>
          </cell>
          <cell r="BE90">
            <v>12937.576081668471</v>
          </cell>
        </row>
        <row r="91">
          <cell r="AX91" t="str">
            <v xml:space="preserve">  Year-over-Year growth</v>
          </cell>
          <cell r="AY91">
            <v>0.44118943701053093</v>
          </cell>
          <cell r="AZ91">
            <v>0.11381230921539953</v>
          </cell>
          <cell r="BA91">
            <v>0.23094310689668474</v>
          </cell>
          <cell r="BB91">
            <v>0.26757549516883961</v>
          </cell>
          <cell r="BC91">
            <v>0.14512021036996225</v>
          </cell>
          <cell r="BD91">
            <v>0.15235233690263872</v>
          </cell>
          <cell r="BE91">
            <v>0.12546782534041578</v>
          </cell>
        </row>
        <row r="93">
          <cell r="BF93" t="str">
            <v>Daily win per position forecast</v>
          </cell>
        </row>
        <row r="94">
          <cell r="BF94" t="str">
            <v>($mm)</v>
          </cell>
          <cell r="BG94">
            <v>2004</v>
          </cell>
          <cell r="BH94">
            <v>2005</v>
          </cell>
          <cell r="BI94" t="str">
            <v>2006E</v>
          </cell>
          <cell r="BJ94" t="str">
            <v>2007E</v>
          </cell>
          <cell r="BK94" t="str">
            <v>2008E</v>
          </cell>
          <cell r="BL94" t="str">
            <v>2009E</v>
          </cell>
          <cell r="BM94" t="str">
            <v>2010E</v>
          </cell>
        </row>
        <row r="96">
          <cell r="BF96" t="str">
            <v>Overall Daily Win/Position</v>
          </cell>
          <cell r="BG96">
            <v>1923.074314419533</v>
          </cell>
          <cell r="BH96">
            <v>1133.8513082263344</v>
          </cell>
          <cell r="BI96">
            <v>846.84804241168968</v>
          </cell>
          <cell r="BJ96">
            <v>554.18520300220416</v>
          </cell>
          <cell r="BK96">
            <v>420.75875765684395</v>
          </cell>
          <cell r="BL96">
            <v>328.00414157503479</v>
          </cell>
          <cell r="BM96">
            <v>297.66203483343799</v>
          </cell>
        </row>
        <row r="98">
          <cell r="BF98" t="str">
            <v>Tables</v>
          </cell>
        </row>
        <row r="99">
          <cell r="BF99" t="str">
            <v>Overall Daily Win/Table</v>
          </cell>
          <cell r="BG99">
            <v>20414.826766476152</v>
          </cell>
          <cell r="BH99">
            <v>11887.951376957966</v>
          </cell>
          <cell r="BI99">
            <v>8789.413707071848</v>
          </cell>
          <cell r="BJ99">
            <v>5794.6280674243335</v>
          </cell>
          <cell r="BK99">
            <v>4418.7291130811236</v>
          </cell>
          <cell r="BL99">
            <v>3327.7505285950278</v>
          </cell>
          <cell r="BM99">
            <v>2957.6453872411762</v>
          </cell>
          <cell r="BN99">
            <v>-0.75120647002528251</v>
          </cell>
        </row>
        <row r="100">
          <cell r="BF100" t="str">
            <v>VIP Daily Win/Table</v>
          </cell>
          <cell r="BG100">
            <v>50592.455869262696</v>
          </cell>
          <cell r="BH100">
            <v>33492.743825717982</v>
          </cell>
          <cell r="BI100">
            <v>24840.441493932929</v>
          </cell>
          <cell r="BJ100">
            <v>21145.682313409634</v>
          </cell>
          <cell r="BK100">
            <v>17695.549290114752</v>
          </cell>
          <cell r="BL100">
            <v>13355.530672336219</v>
          </cell>
          <cell r="BM100">
            <v>11132.604799823705</v>
          </cell>
        </row>
        <row r="101">
          <cell r="BF101" t="str">
            <v>Mass Market Daily Win/Table</v>
          </cell>
          <cell r="BG101">
            <v>7793.2971252477782</v>
          </cell>
          <cell r="BH101">
            <v>5486.2206435972312</v>
          </cell>
          <cell r="BI101">
            <v>3765.0870033772258</v>
          </cell>
          <cell r="BJ101">
            <v>2260.7169174700166</v>
          </cell>
          <cell r="BK101">
            <v>1773.6354395919532</v>
          </cell>
          <cell r="BL101">
            <v>1434.3036180858212</v>
          </cell>
          <cell r="BM101">
            <v>1365.3838712194677</v>
          </cell>
        </row>
        <row r="103">
          <cell r="BF103" t="str">
            <v>Slots</v>
          </cell>
        </row>
        <row r="104">
          <cell r="BF104" t="str">
            <v>Daily Win/Slot</v>
          </cell>
          <cell r="BG104">
            <v>136.89300769567095</v>
          </cell>
          <cell r="BH104">
            <v>142.29534428720078</v>
          </cell>
          <cell r="BI104">
            <v>143.3181059766107</v>
          </cell>
          <cell r="BJ104">
            <v>146.39160569190702</v>
          </cell>
          <cell r="BK104">
            <v>149.31943780574517</v>
          </cell>
          <cell r="BL104">
            <v>152.30582656186007</v>
          </cell>
          <cell r="BM104">
            <v>155.35194309309728</v>
          </cell>
        </row>
        <row r="106">
          <cell r="BN106" t="str">
            <v>Overall Macau forecast summary</v>
          </cell>
        </row>
        <row r="107">
          <cell r="BN107" t="str">
            <v>($mm)</v>
          </cell>
          <cell r="BO107">
            <v>2004</v>
          </cell>
          <cell r="BP107">
            <v>2005</v>
          </cell>
          <cell r="BQ107">
            <v>2006</v>
          </cell>
          <cell r="BR107" t="str">
            <v>2007E</v>
          </cell>
          <cell r="BS107" t="str">
            <v>2008E</v>
          </cell>
          <cell r="BT107" t="str">
            <v>2009E</v>
          </cell>
          <cell r="BU107" t="str">
            <v>2010E</v>
          </cell>
        </row>
        <row r="109">
          <cell r="BN109" t="str">
            <v>Visitor Volume</v>
          </cell>
          <cell r="BO109">
            <v>16.672556</v>
          </cell>
          <cell r="BP109">
            <v>18.711186999999999</v>
          </cell>
          <cell r="BQ109">
            <v>21.998122000000002</v>
          </cell>
          <cell r="BR109">
            <v>26.853211459144823</v>
          </cell>
          <cell r="BS109">
            <v>31.112956369452657</v>
          </cell>
          <cell r="BT109">
            <v>35.938386716715485</v>
          </cell>
          <cell r="BU109">
            <v>41.464358695646425</v>
          </cell>
        </row>
        <row r="110">
          <cell r="BN110" t="str">
            <v xml:space="preserve">  Year-over-Year growth</v>
          </cell>
          <cell r="BO110">
            <v>0.40248400975918686</v>
          </cell>
          <cell r="BP110">
            <v>0.12227465302860563</v>
          </cell>
          <cell r="BQ110">
            <v>0.17566683503296732</v>
          </cell>
          <cell r="BR110">
            <v>0.22070472466444269</v>
          </cell>
          <cell r="BS110">
            <v>0.15863074391637366</v>
          </cell>
          <cell r="BT110">
            <v>0.15509391939367534</v>
          </cell>
          <cell r="BU110">
            <v>0.15376238289407484</v>
          </cell>
        </row>
        <row r="112">
          <cell r="BN112" t="str">
            <v>Total Gaming Revenue</v>
          </cell>
          <cell r="BO112">
            <v>5012.5606170147839</v>
          </cell>
          <cell r="BP112">
            <v>5583.0517159194042</v>
          </cell>
          <cell r="BQ112">
            <v>6872.4190251586988</v>
          </cell>
          <cell r="BR112">
            <v>8711.3099488232911</v>
          </cell>
          <cell r="BS112">
            <v>9975.4970811944731</v>
          </cell>
          <cell r="BT112">
            <v>11495.287373279902</v>
          </cell>
          <cell r="BU112">
            <v>12937.576081668471</v>
          </cell>
          <cell r="BV112">
            <v>0.1829627953399644</v>
          </cell>
        </row>
        <row r="113">
          <cell r="BN113" t="str">
            <v xml:space="preserve">  Year-over-Year growth</v>
          </cell>
          <cell r="BO113">
            <v>0.44118943701053093</v>
          </cell>
          <cell r="BP113">
            <v>0.11381230921539953</v>
          </cell>
          <cell r="BQ113">
            <v>0.23094310689668474</v>
          </cell>
          <cell r="BR113">
            <v>0.26757549516883961</v>
          </cell>
          <cell r="BS113">
            <v>0.14512021036996225</v>
          </cell>
          <cell r="BT113">
            <v>0.15235233690263872</v>
          </cell>
          <cell r="BU113">
            <v>0.12546782534041578</v>
          </cell>
        </row>
        <row r="114">
          <cell r="BN114" t="str">
            <v>VIP Revenue</v>
          </cell>
          <cell r="BO114">
            <v>3607.0036807892443</v>
          </cell>
          <cell r="BP114">
            <v>3497.8356344037484</v>
          </cell>
          <cell r="BQ114">
            <v>4462.2919091703079</v>
          </cell>
          <cell r="BR114">
            <v>5544.8648697270928</v>
          </cell>
          <cell r="BS114">
            <v>5988.4540593052607</v>
          </cell>
          <cell r="BT114">
            <v>6347.7613028635769</v>
          </cell>
          <cell r="BU114">
            <v>6601.6717549781206</v>
          </cell>
          <cell r="BV114">
            <v>0.13105156918683147</v>
          </cell>
        </row>
        <row r="115">
          <cell r="BN115" t="str">
            <v xml:space="preserve">  Year-over-Year growth</v>
          </cell>
          <cell r="BO115">
            <v>0.34146712387319189</v>
          </cell>
          <cell r="BP115">
            <v>-3.0265576652145021E-2</v>
          </cell>
          <cell r="BQ115">
            <v>0.27572944402545185</v>
          </cell>
          <cell r="BR115">
            <v>0.24260469341596069</v>
          </cell>
          <cell r="BS115">
            <v>0.08</v>
          </cell>
          <cell r="BT115">
            <v>0.06</v>
          </cell>
          <cell r="BU115">
            <v>3.9999999999999994E-2</v>
          </cell>
        </row>
        <row r="116">
          <cell r="BN116" t="str">
            <v>Mass Market Revenue</v>
          </cell>
          <cell r="BO116">
            <v>1405.5569362255396</v>
          </cell>
          <cell r="BP116">
            <v>2085.2160815156567</v>
          </cell>
          <cell r="BQ116">
            <v>2410.12711598839</v>
          </cell>
          <cell r="BR116">
            <v>3166.4450790961996</v>
          </cell>
          <cell r="BS116">
            <v>3987.0430218892116</v>
          </cell>
          <cell r="BT116">
            <v>5147.5260704163238</v>
          </cell>
          <cell r="BU116">
            <v>6335.90432669035</v>
          </cell>
          <cell r="BV116">
            <v>0.25909458829141108</v>
          </cell>
        </row>
        <row r="117">
          <cell r="BN117" t="str">
            <v xml:space="preserve">  Year-over-Year growth</v>
          </cell>
          <cell r="BO117">
            <v>0.78093957094616173</v>
          </cell>
          <cell r="BP117">
            <v>0.48355148608583787</v>
          </cell>
          <cell r="BQ117">
            <v>0.15581648221155531</v>
          </cell>
          <cell r="BR117">
            <v>0.31380832906717648</v>
          </cell>
          <cell r="BS117">
            <v>0.25915432679073525</v>
          </cell>
          <cell r="BT117">
            <v>0.29106358826728473</v>
          </cell>
          <cell r="BU117">
            <v>0.23086396067109427</v>
          </cell>
        </row>
        <row r="119">
          <cell r="BN119" t="str">
            <v>% VIP</v>
          </cell>
          <cell r="BO119">
            <v>0.71959302966741678</v>
          </cell>
          <cell r="BP119">
            <v>0.6265096245535553</v>
          </cell>
          <cell r="BQ119">
            <v>0.64930439963492537</v>
          </cell>
          <cell r="BR119">
            <v>0.63651332604415989</v>
          </cell>
          <cell r="BS119">
            <v>0.60031635622394453</v>
          </cell>
          <cell r="BT119">
            <v>0.55220553403637074</v>
          </cell>
          <cell r="BU119">
            <v>0.51027114455637257</v>
          </cell>
        </row>
        <row r="120">
          <cell r="BN120" t="str">
            <v>% Mass Market</v>
          </cell>
          <cell r="BO120">
            <v>0.28040697033258322</v>
          </cell>
          <cell r="BP120">
            <v>0.37349037544644492</v>
          </cell>
          <cell r="BQ120">
            <v>0.35069560036507452</v>
          </cell>
          <cell r="BR120">
            <v>0.36348667395584033</v>
          </cell>
          <cell r="BS120">
            <v>0.39968364377605536</v>
          </cell>
          <cell r="BT120">
            <v>0.44779446596362921</v>
          </cell>
          <cell r="BU120">
            <v>0.48972885544362743</v>
          </cell>
        </row>
        <row r="122">
          <cell r="BN122" t="str">
            <v>Daily Win/Table (US$)</v>
          </cell>
          <cell r="BP122">
            <v>11887.951376957966</v>
          </cell>
          <cell r="BQ122">
            <v>8789.413707071848</v>
          </cell>
          <cell r="BR122">
            <v>5794.6280674243335</v>
          </cell>
          <cell r="BS122">
            <v>4418.7291130811236</v>
          </cell>
          <cell r="BT122">
            <v>3327.7505285950278</v>
          </cell>
          <cell r="BU122">
            <v>2957.6453872411762</v>
          </cell>
        </row>
        <row r="123">
          <cell r="BN123" t="str">
            <v>Daily VIP Win/Table (US$)</v>
          </cell>
          <cell r="BP123">
            <v>33492.743825717982</v>
          </cell>
          <cell r="BQ123">
            <v>24840.441493932929</v>
          </cell>
          <cell r="BR123">
            <v>21145.682313409634</v>
          </cell>
          <cell r="BS123">
            <v>17695.549290114752</v>
          </cell>
          <cell r="BT123">
            <v>13355.530672336219</v>
          </cell>
          <cell r="BU123">
            <v>11132.604799823705</v>
          </cell>
        </row>
        <row r="124">
          <cell r="BN124" t="str">
            <v>Daily Mass Market Win/Table (US$)</v>
          </cell>
          <cell r="BP124">
            <v>5486.2206435972312</v>
          </cell>
          <cell r="BQ124">
            <v>3765.0870033772258</v>
          </cell>
          <cell r="BR124">
            <v>2260.7169174700166</v>
          </cell>
          <cell r="BS124">
            <v>1773.6354395919532</v>
          </cell>
          <cell r="BT124">
            <v>1434.3036180858212</v>
          </cell>
          <cell r="BU124">
            <v>1365.3838712194677</v>
          </cell>
        </row>
        <row r="126">
          <cell r="BN126" t="str">
            <v>Average Tables</v>
          </cell>
          <cell r="BO126">
            <v>660.54586717630195</v>
          </cell>
          <cell r="BP126">
            <v>1251.75</v>
          </cell>
          <cell r="BQ126">
            <v>2064.4426328502418</v>
          </cell>
          <cell r="BR126">
            <v>3839.166666666667</v>
          </cell>
          <cell r="BS126">
            <v>5581</v>
          </cell>
          <cell r="BT126">
            <v>8198.5</v>
          </cell>
          <cell r="BU126">
            <v>9966</v>
          </cell>
        </row>
        <row r="127">
          <cell r="BN127" t="str">
            <v>Average Slots</v>
          </cell>
          <cell r="BO127">
            <v>1548.6654323936932</v>
          </cell>
          <cell r="BP127">
            <v>2918.5</v>
          </cell>
          <cell r="BQ127">
            <v>4767.75</v>
          </cell>
          <cell r="BR127">
            <v>11066.615942028986</v>
          </cell>
          <cell r="BS127">
            <v>17875.782608695652</v>
          </cell>
          <cell r="BT127">
            <v>27650.782608695652</v>
          </cell>
          <cell r="BU127">
            <v>38425.782608695648</v>
          </cell>
        </row>
        <row r="129">
          <cell r="BV129" t="str">
            <v>2005 Gaming revenue composition</v>
          </cell>
        </row>
        <row r="130">
          <cell r="BV130" t="str">
            <v>($mm)</v>
          </cell>
          <cell r="BW130" t="str">
            <v>Revenues</v>
          </cell>
          <cell r="BX130" t="str">
            <v>Share of Total Revenue</v>
          </cell>
          <cell r="BY130" t="str">
            <v>Share of Casino Revenue</v>
          </cell>
        </row>
        <row r="132">
          <cell r="BV132" t="str">
            <v>VIP Baccarat</v>
          </cell>
          <cell r="BW132">
            <v>3498.0456748274623</v>
          </cell>
          <cell r="BX132">
            <v>0.61185447981617602</v>
          </cell>
          <cell r="BY132">
            <v>0.62656829373835987</v>
          </cell>
        </row>
        <row r="133">
          <cell r="BV133" t="str">
            <v>Baccarat</v>
          </cell>
          <cell r="BW133">
            <v>1204.3404955340527</v>
          </cell>
          <cell r="BX133">
            <v>0.21065509027491169</v>
          </cell>
          <cell r="BY133">
            <v>0.21572090233041405</v>
          </cell>
        </row>
        <row r="134">
          <cell r="BV134" t="str">
            <v>Other Table Games</v>
          </cell>
          <cell r="BW134">
            <v>728.9378871205115</v>
          </cell>
          <cell r="BX134">
            <v>0.1275008828363631</v>
          </cell>
          <cell r="BY134">
            <v>0.13056701102019538</v>
          </cell>
        </row>
        <row r="135">
          <cell r="BV135" t="str">
            <v>Slot Machines</v>
          </cell>
          <cell r="BW135">
            <v>151.54010877941423</v>
          </cell>
          <cell r="BX135">
            <v>2.6506370427278242E-2</v>
          </cell>
          <cell r="BY135">
            <v>2.7143792911030629E-2</v>
          </cell>
        </row>
        <row r="136">
          <cell r="BW136" t="str">
            <v>______</v>
          </cell>
          <cell r="BX136" t="str">
            <v>______</v>
          </cell>
          <cell r="BY136" t="str">
            <v>______</v>
          </cell>
        </row>
        <row r="137">
          <cell r="BV137" t="str">
            <v>Total Casino Games</v>
          </cell>
          <cell r="BW137">
            <v>5582.8641662614409</v>
          </cell>
          <cell r="BX137">
            <v>0.976516823354729</v>
          </cell>
          <cell r="BY137">
            <v>1</v>
          </cell>
        </row>
        <row r="138">
          <cell r="BV138" t="str">
            <v>Racing Lottery, etc.</v>
          </cell>
          <cell r="BW138">
            <v>134.25614619979413</v>
          </cell>
          <cell r="BX138">
            <v>2.3483176645271005E-2</v>
          </cell>
          <cell r="BY138" t="str">
            <v>N.M.</v>
          </cell>
        </row>
        <row r="139">
          <cell r="BW139" t="str">
            <v>______</v>
          </cell>
          <cell r="BX139" t="str">
            <v>______</v>
          </cell>
          <cell r="BY139" t="str">
            <v>______</v>
          </cell>
        </row>
        <row r="140">
          <cell r="BV140" t="str">
            <v>Total Gaming Revenue</v>
          </cell>
          <cell r="BW140">
            <v>5717.1203124612348</v>
          </cell>
          <cell r="BX140">
            <v>1</v>
          </cell>
          <cell r="BY140" t="str">
            <v>N.M.</v>
          </cell>
        </row>
        <row r="142">
          <cell r="BZ142" t="str">
            <v>Impact of win rate on EBITDA</v>
          </cell>
        </row>
        <row r="143">
          <cell r="CA143" t="str">
            <v>Win Rate</v>
          </cell>
        </row>
        <row r="144">
          <cell r="CA144">
            <v>2.4500000000000001E-2</v>
          </cell>
          <cell r="CB144">
            <v>2.5500000000000002E-2</v>
          </cell>
          <cell r="CC144">
            <v>2.6500000000000003E-2</v>
          </cell>
          <cell r="CD144">
            <v>2.7500000000000004E-2</v>
          </cell>
          <cell r="CE144">
            <v>2.8500000000000004E-2</v>
          </cell>
          <cell r="CF144">
            <v>2.9500000000000005E-2</v>
          </cell>
        </row>
        <row r="146">
          <cell r="BZ146" t="str">
            <v>Rolling Chip Volume</v>
          </cell>
          <cell r="CA146">
            <v>1000</v>
          </cell>
          <cell r="CB146">
            <v>1000</v>
          </cell>
          <cell r="CC146">
            <v>1000</v>
          </cell>
          <cell r="CD146">
            <v>1000</v>
          </cell>
          <cell r="CE146">
            <v>1000</v>
          </cell>
          <cell r="CF146">
            <v>1000</v>
          </cell>
        </row>
        <row r="148">
          <cell r="BZ148" t="str">
            <v>Gross Gaming Revenue</v>
          </cell>
          <cell r="CA148">
            <v>24.5</v>
          </cell>
          <cell r="CB148">
            <v>25.500000000000004</v>
          </cell>
          <cell r="CC148">
            <v>26.500000000000004</v>
          </cell>
          <cell r="CD148">
            <v>27.500000000000004</v>
          </cell>
          <cell r="CE148">
            <v>28.500000000000004</v>
          </cell>
          <cell r="CF148">
            <v>29.500000000000007</v>
          </cell>
        </row>
        <row r="149">
          <cell r="BZ149" t="str">
            <v>0.8% Rebate to Player</v>
          </cell>
          <cell r="CA149">
            <v>-8</v>
          </cell>
          <cell r="CB149">
            <v>-8</v>
          </cell>
          <cell r="CC149">
            <v>-8</v>
          </cell>
          <cell r="CD149">
            <v>-8</v>
          </cell>
          <cell r="CE149">
            <v>-8</v>
          </cell>
          <cell r="CF149">
            <v>-8</v>
          </cell>
        </row>
        <row r="150">
          <cell r="CA150" t="str">
            <v xml:space="preserve">_____ </v>
          </cell>
          <cell r="CB150" t="str">
            <v xml:space="preserve">_____ </v>
          </cell>
          <cell r="CC150" t="str">
            <v xml:space="preserve">_____ </v>
          </cell>
          <cell r="CD150" t="str">
            <v xml:space="preserve">_____ </v>
          </cell>
          <cell r="CE150" t="str">
            <v xml:space="preserve">_____ </v>
          </cell>
          <cell r="CF150" t="str">
            <v xml:space="preserve">_____ </v>
          </cell>
        </row>
        <row r="151">
          <cell r="BZ151" t="str">
            <v>Net Gaming Revenue</v>
          </cell>
          <cell r="CA151">
            <v>16.5</v>
          </cell>
          <cell r="CB151">
            <v>17.500000000000004</v>
          </cell>
          <cell r="CC151">
            <v>18.500000000000004</v>
          </cell>
          <cell r="CD151">
            <v>19.500000000000004</v>
          </cell>
          <cell r="CE151">
            <v>20.500000000000004</v>
          </cell>
          <cell r="CF151">
            <v>21.500000000000007</v>
          </cell>
        </row>
        <row r="153">
          <cell r="BZ153" t="str">
            <v>Taxes (39% of gross revenue)</v>
          </cell>
          <cell r="CA153">
            <v>9.5549999999999997</v>
          </cell>
          <cell r="CB153">
            <v>9.9450000000000021</v>
          </cell>
          <cell r="CC153">
            <v>10.335000000000001</v>
          </cell>
          <cell r="CD153">
            <v>10.725000000000001</v>
          </cell>
          <cell r="CE153">
            <v>11.115000000000002</v>
          </cell>
          <cell r="CF153">
            <v>11.505000000000003</v>
          </cell>
        </row>
        <row r="154">
          <cell r="BZ154" t="str">
            <v>Junket Commission (0.3% of rolling)</v>
          </cell>
          <cell r="CA154">
            <v>3</v>
          </cell>
          <cell r="CB154">
            <v>3</v>
          </cell>
          <cell r="CC154">
            <v>3</v>
          </cell>
          <cell r="CD154">
            <v>3</v>
          </cell>
          <cell r="CE154">
            <v>3</v>
          </cell>
          <cell r="CF154">
            <v>3</v>
          </cell>
        </row>
        <row r="155">
          <cell r="BZ155" t="str">
            <v>Operating Expense (0.2% of rolling)</v>
          </cell>
          <cell r="CA155">
            <v>2</v>
          </cell>
          <cell r="CB155">
            <v>2</v>
          </cell>
          <cell r="CC155">
            <v>2</v>
          </cell>
          <cell r="CD155">
            <v>2</v>
          </cell>
          <cell r="CE155">
            <v>2</v>
          </cell>
          <cell r="CF155">
            <v>2</v>
          </cell>
        </row>
        <row r="156">
          <cell r="CA156" t="str">
            <v xml:space="preserve">_____ </v>
          </cell>
          <cell r="CB156" t="str">
            <v xml:space="preserve">_____ </v>
          </cell>
          <cell r="CC156" t="str">
            <v xml:space="preserve">_____ </v>
          </cell>
          <cell r="CD156" t="str">
            <v xml:space="preserve">_____ </v>
          </cell>
          <cell r="CE156" t="str">
            <v xml:space="preserve">_____ </v>
          </cell>
          <cell r="CF156" t="str">
            <v xml:space="preserve">_____ </v>
          </cell>
        </row>
        <row r="157">
          <cell r="BZ157" t="str">
            <v>Total Expenses</v>
          </cell>
          <cell r="CA157">
            <v>14.555</v>
          </cell>
          <cell r="CB157">
            <v>14.945000000000002</v>
          </cell>
          <cell r="CC157">
            <v>15.335000000000001</v>
          </cell>
          <cell r="CD157">
            <v>15.725000000000001</v>
          </cell>
          <cell r="CE157">
            <v>16.115000000000002</v>
          </cell>
          <cell r="CF157">
            <v>16.505000000000003</v>
          </cell>
        </row>
        <row r="159">
          <cell r="BZ159" t="str">
            <v>EBITDA</v>
          </cell>
          <cell r="CA159">
            <v>1.9450000000000003</v>
          </cell>
          <cell r="CB159">
            <v>2.5550000000000015</v>
          </cell>
          <cell r="CC159">
            <v>3.1650000000000027</v>
          </cell>
          <cell r="CD159">
            <v>3.7750000000000021</v>
          </cell>
          <cell r="CE159">
            <v>4.3850000000000016</v>
          </cell>
          <cell r="CF159">
            <v>4.9950000000000045</v>
          </cell>
        </row>
        <row r="160">
          <cell r="BZ160" t="str">
            <v xml:space="preserve">  Margin</v>
          </cell>
          <cell r="CA160">
            <v>0.1178787878787879</v>
          </cell>
          <cell r="CB160">
            <v>0.14600000000000005</v>
          </cell>
          <cell r="CC160">
            <v>0.17108108108108119</v>
          </cell>
          <cell r="CD160">
            <v>0.19358974358974365</v>
          </cell>
          <cell r="CE160">
            <v>0.2139024390243903</v>
          </cell>
          <cell r="CF160">
            <v>0.23232558139534898</v>
          </cell>
        </row>
        <row r="161">
          <cell r="CG161" t="str">
            <v>Impact of junket commission on EBITDA</v>
          </cell>
        </row>
        <row r="162">
          <cell r="CH162" t="str">
            <v>Rebate Rate</v>
          </cell>
        </row>
        <row r="163">
          <cell r="CH163">
            <v>6.0000000000000001E-3</v>
          </cell>
          <cell r="CI163">
            <v>7.0000000000000001E-3</v>
          </cell>
          <cell r="CJ163">
            <v>8.0000000000000002E-3</v>
          </cell>
          <cell r="CK163">
            <v>9.0000000000000011E-3</v>
          </cell>
          <cell r="CL163">
            <v>1.0000000000000002E-2</v>
          </cell>
          <cell r="CM163">
            <v>1.1000000000000003E-2</v>
          </cell>
        </row>
        <row r="165">
          <cell r="CG165" t="str">
            <v>Rolling Chip Volume</v>
          </cell>
          <cell r="CH165">
            <v>1000</v>
          </cell>
          <cell r="CI165">
            <v>1000</v>
          </cell>
          <cell r="CJ165">
            <v>1000</v>
          </cell>
          <cell r="CK165">
            <v>1000</v>
          </cell>
          <cell r="CL165">
            <v>1000</v>
          </cell>
          <cell r="CM165">
            <v>1000</v>
          </cell>
        </row>
        <row r="167">
          <cell r="CG167" t="str">
            <v>Gross Gaming Revenue @ 2.65% Win</v>
          </cell>
          <cell r="CH167">
            <v>26.5</v>
          </cell>
          <cell r="CI167">
            <v>26.5</v>
          </cell>
          <cell r="CJ167">
            <v>26.5</v>
          </cell>
          <cell r="CK167">
            <v>26.5</v>
          </cell>
          <cell r="CL167">
            <v>26.5</v>
          </cell>
          <cell r="CM167">
            <v>26.5</v>
          </cell>
        </row>
        <row r="168">
          <cell r="CG168" t="str">
            <v>Rebate to Player</v>
          </cell>
          <cell r="CH168">
            <v>-6</v>
          </cell>
          <cell r="CI168">
            <v>-7</v>
          </cell>
          <cell r="CJ168">
            <v>-8</v>
          </cell>
          <cell r="CK168">
            <v>-9.0000000000000018</v>
          </cell>
          <cell r="CL168">
            <v>-10.000000000000002</v>
          </cell>
          <cell r="CM168">
            <v>-11.000000000000004</v>
          </cell>
        </row>
        <row r="169">
          <cell r="CH169" t="str">
            <v xml:space="preserve">_____ </v>
          </cell>
          <cell r="CI169" t="str">
            <v xml:space="preserve">_____ </v>
          </cell>
          <cell r="CJ169" t="str">
            <v xml:space="preserve">_____ </v>
          </cell>
          <cell r="CK169" t="str">
            <v xml:space="preserve">_____ </v>
          </cell>
          <cell r="CL169" t="str">
            <v xml:space="preserve">_____ </v>
          </cell>
          <cell r="CM169" t="str">
            <v xml:space="preserve">_____ </v>
          </cell>
        </row>
        <row r="170">
          <cell r="CG170" t="str">
            <v>Net Gaming Revenue</v>
          </cell>
          <cell r="CH170">
            <v>20.5</v>
          </cell>
          <cell r="CI170">
            <v>19.5</v>
          </cell>
          <cell r="CJ170">
            <v>18.5</v>
          </cell>
          <cell r="CK170">
            <v>17.5</v>
          </cell>
          <cell r="CL170">
            <v>16.5</v>
          </cell>
          <cell r="CM170">
            <v>15.499999999999996</v>
          </cell>
        </row>
        <row r="172">
          <cell r="CG172" t="str">
            <v>Taxes (39% of gross revenue)</v>
          </cell>
          <cell r="CH172">
            <v>10.335000000000001</v>
          </cell>
          <cell r="CI172">
            <v>10.335000000000001</v>
          </cell>
          <cell r="CJ172">
            <v>10.335000000000001</v>
          </cell>
          <cell r="CK172">
            <v>10.335000000000001</v>
          </cell>
          <cell r="CL172">
            <v>10.335000000000001</v>
          </cell>
          <cell r="CM172">
            <v>10.335000000000001</v>
          </cell>
        </row>
        <row r="173">
          <cell r="CG173" t="str">
            <v>Junket Commission (0.3% of rolling)</v>
          </cell>
          <cell r="CH173">
            <v>3</v>
          </cell>
          <cell r="CI173">
            <v>3</v>
          </cell>
          <cell r="CJ173">
            <v>3</v>
          </cell>
          <cell r="CK173">
            <v>3</v>
          </cell>
          <cell r="CL173">
            <v>3</v>
          </cell>
          <cell r="CM173">
            <v>3</v>
          </cell>
        </row>
        <row r="174">
          <cell r="CG174" t="str">
            <v>Operating Expense (0.2% of rolling)</v>
          </cell>
          <cell r="CH174">
            <v>2</v>
          </cell>
          <cell r="CI174">
            <v>2</v>
          </cell>
          <cell r="CJ174">
            <v>2</v>
          </cell>
          <cell r="CK174">
            <v>2</v>
          </cell>
          <cell r="CL174">
            <v>2</v>
          </cell>
          <cell r="CM174">
            <v>2</v>
          </cell>
        </row>
        <row r="175">
          <cell r="CH175" t="str">
            <v xml:space="preserve">_____ </v>
          </cell>
          <cell r="CI175" t="str">
            <v xml:space="preserve">_____ </v>
          </cell>
          <cell r="CJ175" t="str">
            <v xml:space="preserve">_____ </v>
          </cell>
          <cell r="CK175" t="str">
            <v xml:space="preserve">_____ </v>
          </cell>
          <cell r="CL175" t="str">
            <v xml:space="preserve">_____ </v>
          </cell>
          <cell r="CM175" t="str">
            <v xml:space="preserve">_____ </v>
          </cell>
        </row>
        <row r="176">
          <cell r="CG176" t="str">
            <v>Total Expenses</v>
          </cell>
          <cell r="CH176">
            <v>15.335000000000001</v>
          </cell>
          <cell r="CI176">
            <v>15.335000000000001</v>
          </cell>
          <cell r="CJ176">
            <v>15.335000000000001</v>
          </cell>
          <cell r="CK176">
            <v>15.335000000000001</v>
          </cell>
          <cell r="CL176">
            <v>15.335000000000001</v>
          </cell>
          <cell r="CM176">
            <v>15.335000000000001</v>
          </cell>
        </row>
        <row r="178">
          <cell r="CG178" t="str">
            <v>EBITDA</v>
          </cell>
          <cell r="CH178">
            <v>5.1649999999999991</v>
          </cell>
          <cell r="CI178">
            <v>4.1649999999999991</v>
          </cell>
          <cell r="CJ178">
            <v>3.1649999999999991</v>
          </cell>
          <cell r="CK178">
            <v>2.1649999999999991</v>
          </cell>
          <cell r="CL178">
            <v>1.1649999999999991</v>
          </cell>
          <cell r="CM178">
            <v>0.16499999999999559</v>
          </cell>
        </row>
        <row r="179">
          <cell r="CG179" t="str">
            <v xml:space="preserve">  Margin</v>
          </cell>
          <cell r="CH179">
            <v>0.25195121951219507</v>
          </cell>
          <cell r="CI179">
            <v>0.21358974358974356</v>
          </cell>
          <cell r="CJ179">
            <v>0.17108108108108103</v>
          </cell>
          <cell r="CK179">
            <v>0.12371428571428567</v>
          </cell>
          <cell r="CL179">
            <v>7.0606060606060561E-2</v>
          </cell>
          <cell r="CM179">
            <v>1.0645161290322299E-2</v>
          </cell>
        </row>
        <row r="180">
          <cell r="CN180" t="str">
            <v>Key economic statistics</v>
          </cell>
        </row>
        <row r="181">
          <cell r="CO181">
            <v>2002</v>
          </cell>
          <cell r="CP181">
            <v>2003</v>
          </cell>
          <cell r="CQ181">
            <v>2004</v>
          </cell>
          <cell r="CR181">
            <v>2005</v>
          </cell>
        </row>
        <row r="183">
          <cell r="CN183" t="str">
            <v>National Accounts ($mm)</v>
          </cell>
        </row>
        <row r="184">
          <cell r="CN184" t="str">
            <v>GDP</v>
          </cell>
          <cell r="CO184">
            <v>6854.6131571655751</v>
          </cell>
          <cell r="CP184">
            <v>7935.6799084544746</v>
          </cell>
          <cell r="CQ184">
            <v>10341.427496691658</v>
          </cell>
          <cell r="CR184">
            <v>11557.711331616067</v>
          </cell>
        </row>
        <row r="185">
          <cell r="CN185" t="str">
            <v xml:space="preserve">  per Capita (US$)</v>
          </cell>
          <cell r="CO185">
            <v>15522.221823291611</v>
          </cell>
          <cell r="CP185">
            <v>17693.823653187232</v>
          </cell>
          <cell r="CQ185">
            <v>22223.713978358846</v>
          </cell>
          <cell r="CR185">
            <v>23678.982445433448</v>
          </cell>
        </row>
        <row r="187">
          <cell r="CN187" t="str">
            <v>Imports</v>
          </cell>
          <cell r="CO187">
            <v>4368.1363640185109</v>
          </cell>
          <cell r="CP187">
            <v>4859.5650665725107</v>
          </cell>
          <cell r="CQ187">
            <v>6026.0472981240991</v>
          </cell>
          <cell r="CR187">
            <v>6810.3582896180096</v>
          </cell>
        </row>
        <row r="188">
          <cell r="CN188" t="str">
            <v>Exports</v>
          </cell>
          <cell r="CO188">
            <v>7148.1193288764835</v>
          </cell>
          <cell r="CP188">
            <v>8200.9809797102116</v>
          </cell>
          <cell r="CQ188">
            <v>10887.088945279127</v>
          </cell>
          <cell r="CR188">
            <v>11112.352152157848</v>
          </cell>
        </row>
        <row r="189">
          <cell r="CN189" t="str">
            <v xml:space="preserve">  Gaming Exports</v>
          </cell>
          <cell r="CO189">
            <v>2898.5192774708762</v>
          </cell>
          <cell r="CP189">
            <v>3731.9247650699435</v>
          </cell>
          <cell r="CQ189">
            <v>5364.4769010373138</v>
          </cell>
          <cell r="CR189">
            <v>5779.8238138162442</v>
          </cell>
        </row>
        <row r="191">
          <cell r="CN191" t="str">
            <v>Employment (thousands)</v>
          </cell>
        </row>
        <row r="193">
          <cell r="CN193" t="str">
            <v>Population</v>
          </cell>
          <cell r="CO193">
            <v>441.6</v>
          </cell>
          <cell r="CP193">
            <v>448.5</v>
          </cell>
          <cell r="CQ193">
            <v>465.33300000000003</v>
          </cell>
          <cell r="CR193">
            <v>488.1</v>
          </cell>
        </row>
        <row r="194">
          <cell r="CN194" t="str">
            <v>Unemployment Rate</v>
          </cell>
          <cell r="CO194">
            <v>6.275E-2</v>
          </cell>
          <cell r="CP194">
            <v>6.0249999999999998E-2</v>
          </cell>
          <cell r="CQ194">
            <v>4.8250000000000001E-2</v>
          </cell>
          <cell r="CR194">
            <v>4.1000000000000002E-2</v>
          </cell>
        </row>
        <row r="196">
          <cell r="CN196" t="str">
            <v>Total Employment</v>
          </cell>
          <cell r="CO196">
            <v>200.6</v>
          </cell>
          <cell r="CP196">
            <v>202.6</v>
          </cell>
          <cell r="CQ196">
            <v>217.97499999999999</v>
          </cell>
          <cell r="CR196">
            <v>237.8</v>
          </cell>
        </row>
        <row r="197">
          <cell r="CN197" t="str">
            <v xml:space="preserve">  Gaming Employees</v>
          </cell>
          <cell r="CO197" t="str">
            <v>NA</v>
          </cell>
          <cell r="CP197" t="str">
            <v>NA</v>
          </cell>
          <cell r="CQ197">
            <v>24.486499999999999</v>
          </cell>
          <cell r="CR197">
            <v>30.371499999999997</v>
          </cell>
        </row>
        <row r="198">
          <cell r="CN198" t="str">
            <v xml:space="preserve">  Hotel Employees</v>
          </cell>
          <cell r="CO198">
            <v>6.203125</v>
          </cell>
          <cell r="CP198">
            <v>6.4450000000000003</v>
          </cell>
          <cell r="CQ198">
            <v>7.4593749999999996</v>
          </cell>
          <cell r="CR198">
            <v>9.004249999999999</v>
          </cell>
        </row>
        <row r="199">
          <cell r="CN199" t="str">
            <v xml:space="preserve">  Construction Employees</v>
          </cell>
          <cell r="CO199" t="str">
            <v>NA</v>
          </cell>
          <cell r="CP199" t="str">
            <v>NA</v>
          </cell>
          <cell r="CQ199">
            <v>18.100000000000001</v>
          </cell>
          <cell r="CR199">
            <v>23.2</v>
          </cell>
        </row>
        <row r="201">
          <cell r="CN201" t="str">
            <v>Resident Employment</v>
          </cell>
          <cell r="CO201">
            <v>177.1</v>
          </cell>
          <cell r="CP201">
            <v>177.63</v>
          </cell>
          <cell r="CQ201">
            <v>190.239</v>
          </cell>
          <cell r="CR201">
            <v>198.38900000000001</v>
          </cell>
        </row>
        <row r="202">
          <cell r="CN202" t="str">
            <v>Non-resident Employment</v>
          </cell>
          <cell r="CO202">
            <v>23.5</v>
          </cell>
          <cell r="CP202">
            <v>24.97</v>
          </cell>
          <cell r="CQ202">
            <v>27.736000000000001</v>
          </cell>
          <cell r="CR202">
            <v>39.411000000000001</v>
          </cell>
        </row>
        <row r="204">
          <cell r="CS204" t="str">
            <v>Mass Market Revenue forecast</v>
          </cell>
        </row>
        <row r="205">
          <cell r="CS205" t="str">
            <v>($mm)</v>
          </cell>
          <cell r="CT205">
            <v>2005</v>
          </cell>
          <cell r="CU205" t="str">
            <v>2006E</v>
          </cell>
          <cell r="CV205" t="str">
            <v>2007E</v>
          </cell>
          <cell r="CW205" t="str">
            <v>2008E</v>
          </cell>
          <cell r="CX205" t="str">
            <v>2009E</v>
          </cell>
          <cell r="CY205" t="str">
            <v>2010E</v>
          </cell>
        </row>
        <row r="207">
          <cell r="CS207" t="str">
            <v>Visitor Volume (A)</v>
          </cell>
          <cell r="CT207">
            <v>18.711186999999999</v>
          </cell>
          <cell r="CU207">
            <v>21.998122000000002</v>
          </cell>
          <cell r="CV207">
            <v>26.853211459144823</v>
          </cell>
          <cell r="CW207">
            <v>31.112956369452657</v>
          </cell>
          <cell r="CX207">
            <v>35.938386716715485</v>
          </cell>
          <cell r="CY207">
            <v>41.464358695646425</v>
          </cell>
        </row>
        <row r="208">
          <cell r="CS208" t="str">
            <v xml:space="preserve">  Year-over-Year growth</v>
          </cell>
          <cell r="CT208">
            <v>0.12227465302860563</v>
          </cell>
          <cell r="CU208">
            <v>0.17566683503296732</v>
          </cell>
          <cell r="CV208">
            <v>0.22070472466444269</v>
          </cell>
          <cell r="CW208">
            <v>0.15863074391637366</v>
          </cell>
          <cell r="CX208">
            <v>0.15509391939367534</v>
          </cell>
          <cell r="CY208">
            <v>0.15376238289407484</v>
          </cell>
        </row>
        <row r="210">
          <cell r="CS210" t="str">
            <v>Avg Days Stayed (B)</v>
          </cell>
          <cell r="CT210">
            <v>1.3898108575367241</v>
          </cell>
          <cell r="CU210">
            <v>1.3857101947157124</v>
          </cell>
          <cell r="CV210">
            <v>1.409808216231297</v>
          </cell>
          <cell r="CW210">
            <v>1.4591658339019791</v>
          </cell>
          <cell r="CX210">
            <v>1.5834259669277251</v>
          </cell>
          <cell r="CY210">
            <v>1.6892403375063489</v>
          </cell>
        </row>
        <row r="211">
          <cell r="CS211" t="str">
            <v xml:space="preserve">  Year-over-Year growth</v>
          </cell>
          <cell r="CT211">
            <v>-1.4182455828152141E-2</v>
          </cell>
          <cell r="CU211">
            <v>-2.9505186254477067E-3</v>
          </cell>
          <cell r="CV211">
            <v>1.7390376146094955E-2</v>
          </cell>
          <cell r="CW211">
            <v>3.5010164575877578E-2</v>
          </cell>
          <cell r="CX211">
            <v>8.5158335083449721E-2</v>
          </cell>
          <cell r="CY211">
            <v>6.6826219089947347E-2</v>
          </cell>
        </row>
        <row r="213">
          <cell r="CS213" t="str">
            <v xml:space="preserve">Revenue / Visitor / Day (C) </v>
          </cell>
          <cell r="CT213">
            <v>80.18516483394032</v>
          </cell>
          <cell r="CU213">
            <v>79.064573135614836</v>
          </cell>
          <cell r="CV213">
            <v>83.640320959777029</v>
          </cell>
          <cell r="CW213">
            <v>87.822337007765881</v>
          </cell>
          <cell r="CX213">
            <v>90.457007117998856</v>
          </cell>
          <cell r="CY213">
            <v>90.457007117998856</v>
          </cell>
        </row>
        <row r="214">
          <cell r="CS214" t="str">
            <v xml:space="preserve">  Year-over-Year growth</v>
          </cell>
          <cell r="CT214">
            <v>0.34093252755210868</v>
          </cell>
          <cell r="CU214">
            <v>-1.3975050131108113E-2</v>
          </cell>
          <cell r="CV214">
            <v>5.7873553763626573E-2</v>
          </cell>
          <cell r="CW214">
            <v>0.05</v>
          </cell>
          <cell r="CX214">
            <v>0.03</v>
          </cell>
          <cell r="CY214">
            <v>0</v>
          </cell>
        </row>
        <row r="216">
          <cell r="CS216" t="str">
            <v>Mass Market Revenue (A x B x C)</v>
          </cell>
          <cell r="CT216">
            <v>2085.2160815156567</v>
          </cell>
          <cell r="CU216">
            <v>2410.12711598839</v>
          </cell>
          <cell r="CV216">
            <v>3166.4450790961996</v>
          </cell>
          <cell r="CW216">
            <v>3987.0430218892116</v>
          </cell>
          <cell r="CX216">
            <v>5147.5260704163238</v>
          </cell>
          <cell r="CY216">
            <v>6335.90432669035</v>
          </cell>
        </row>
        <row r="217">
          <cell r="CS217" t="str">
            <v xml:space="preserve">  Year-over-Year growth</v>
          </cell>
          <cell r="CT217">
            <v>0.48355148608583787</v>
          </cell>
          <cell r="CU217">
            <v>0.15581648221155531</v>
          </cell>
          <cell r="CV217">
            <v>0.31380832906717648</v>
          </cell>
          <cell r="CW217">
            <v>0.25915432679073525</v>
          </cell>
          <cell r="CX217">
            <v>0.29106358826728473</v>
          </cell>
          <cell r="CY217">
            <v>0.23086396067109427</v>
          </cell>
        </row>
        <row r="219">
          <cell r="CS219" t="str">
            <v>Mass Market Share of Total</v>
          </cell>
          <cell r="CT219">
            <v>0.37349037544644492</v>
          </cell>
          <cell r="CU219">
            <v>0.35069560036507452</v>
          </cell>
          <cell r="CV219">
            <v>0.36348667395584033</v>
          </cell>
          <cell r="CW219">
            <v>0.39968364377605536</v>
          </cell>
          <cell r="CX219">
            <v>0.44779446596362921</v>
          </cell>
          <cell r="CY219">
            <v>0.48972885544362743</v>
          </cell>
        </row>
        <row r="221">
          <cell r="CS221" t="str">
            <v>check</v>
          </cell>
          <cell r="CT221">
            <v>0</v>
          </cell>
          <cell r="CU221">
            <v>0</v>
          </cell>
          <cell r="CV221">
            <v>0</v>
          </cell>
          <cell r="CW221">
            <v>0</v>
          </cell>
          <cell r="CX221">
            <v>0</v>
          </cell>
          <cell r="CY221">
            <v>0</v>
          </cell>
        </row>
        <row r="222">
          <cell r="CZ222" t="str">
            <v>VIP Revenue forecast</v>
          </cell>
        </row>
        <row r="223">
          <cell r="CZ223" t="str">
            <v>($mm)</v>
          </cell>
          <cell r="DA223">
            <v>2004</v>
          </cell>
          <cell r="DB223">
            <v>2005</v>
          </cell>
          <cell r="DC223" t="str">
            <v>2006E</v>
          </cell>
          <cell r="DD223" t="str">
            <v>2007E</v>
          </cell>
          <cell r="DE223" t="str">
            <v>2008E</v>
          </cell>
          <cell r="DF223" t="str">
            <v>2009E</v>
          </cell>
          <cell r="DG223" t="str">
            <v>2010E</v>
          </cell>
        </row>
        <row r="225">
          <cell r="CZ225" t="str">
            <v>VIP Revenue</v>
          </cell>
          <cell r="DA225">
            <v>3607.0036807892443</v>
          </cell>
          <cell r="DB225">
            <v>3497.8356344037484</v>
          </cell>
          <cell r="DC225">
            <v>4462.2919091703079</v>
          </cell>
          <cell r="DD225">
            <v>5544.8648697270928</v>
          </cell>
          <cell r="DE225">
            <v>5988.4540593052607</v>
          </cell>
          <cell r="DF225">
            <v>6347.7613028635769</v>
          </cell>
          <cell r="DG225">
            <v>6601.6717549781206</v>
          </cell>
        </row>
        <row r="226">
          <cell r="CZ226" t="str">
            <v xml:space="preserve">  Year-over-Year growth</v>
          </cell>
          <cell r="DA226">
            <v>0.34146712387319189</v>
          </cell>
          <cell r="DB226">
            <v>-3.0265576652145021E-2</v>
          </cell>
          <cell r="DC226">
            <v>0.27572944402545185</v>
          </cell>
          <cell r="DD226">
            <v>0.24260469341596069</v>
          </cell>
          <cell r="DE226">
            <v>0.08</v>
          </cell>
          <cell r="DF226">
            <v>0.06</v>
          </cell>
          <cell r="DG226">
            <v>3.9999999999999994E-2</v>
          </cell>
        </row>
        <row r="228">
          <cell r="CZ228" t="str">
            <v>VIP Share of Total</v>
          </cell>
          <cell r="DA228">
            <v>0.71959302966741678</v>
          </cell>
          <cell r="DB228">
            <v>0.6265096245535553</v>
          </cell>
          <cell r="DC228">
            <v>0.64930439963492537</v>
          </cell>
          <cell r="DD228">
            <v>0.63651332604415989</v>
          </cell>
          <cell r="DE228">
            <v>0.60031635622394453</v>
          </cell>
          <cell r="DF228">
            <v>0.55220553403637074</v>
          </cell>
          <cell r="DG228">
            <v>0.51027114455637257</v>
          </cell>
        </row>
        <row r="230">
          <cell r="DH230" t="str">
            <v>Mass Market market shares</v>
          </cell>
        </row>
        <row r="231">
          <cell r="DI231">
            <v>2005</v>
          </cell>
          <cell r="DJ231" t="str">
            <v>2006E</v>
          </cell>
          <cell r="DK231" t="str">
            <v>2007E</v>
          </cell>
          <cell r="DL231" t="str">
            <v>2008E</v>
          </cell>
          <cell r="DM231" t="str">
            <v>2009E</v>
          </cell>
          <cell r="DN231" t="str">
            <v>2010E</v>
          </cell>
        </row>
        <row r="233">
          <cell r="DH233" t="str">
            <v>Sands Macao</v>
          </cell>
          <cell r="DI233">
            <v>0.34588086116991928</v>
          </cell>
          <cell r="DJ233">
            <v>0.35498371240437149</v>
          </cell>
          <cell r="DK233">
            <v>0.228694873391485</v>
          </cell>
          <cell r="DL233">
            <v>0.16410273156577451</v>
          </cell>
          <cell r="DM233">
            <v>0.10996424984008536</v>
          </cell>
          <cell r="DN233">
            <v>8.8708320238230498E-2</v>
          </cell>
        </row>
        <row r="234">
          <cell r="DH234" t="str">
            <v>Venetian Macao</v>
          </cell>
          <cell r="DK234">
            <v>9.7125563095070658E-2</v>
          </cell>
          <cell r="DL234">
            <v>0.17602135083589143</v>
          </cell>
          <cell r="DM234">
            <v>0.12356755155694032</v>
          </cell>
          <cell r="DN234">
            <v>9.9682123512939425E-2</v>
          </cell>
        </row>
        <row r="235">
          <cell r="DH235" t="str">
            <v>LVS Cotai Strip, non-Venetian</v>
          </cell>
          <cell r="DL235">
            <v>8.7605096268554269E-2</v>
          </cell>
          <cell r="DM235">
            <v>0.1684181639591753</v>
          </cell>
          <cell r="DN235">
            <v>0.1841756341201316</v>
          </cell>
        </row>
        <row r="236">
          <cell r="DH236" t="str">
            <v>Wynn Macau</v>
          </cell>
          <cell r="DJ236">
            <v>5.3355499445208295E-2</v>
          </cell>
          <cell r="DK236">
            <v>0.16743861775519664</v>
          </cell>
          <cell r="DL236">
            <v>0.14350291592468326</v>
          </cell>
          <cell r="DM236">
            <v>0.10729480420038999</v>
          </cell>
          <cell r="DN236">
            <v>8.7371429979581888E-2</v>
          </cell>
        </row>
        <row r="237">
          <cell r="DH237" t="str">
            <v>Wynn Cotai</v>
          </cell>
          <cell r="DN237">
            <v>5.8464588570638965E-2</v>
          </cell>
        </row>
        <row r="238">
          <cell r="DH238" t="str">
            <v>MGM Grand</v>
          </cell>
          <cell r="DK238">
            <v>2.5948781820280369E-2</v>
          </cell>
          <cell r="DL238">
            <v>0.11481134560973306</v>
          </cell>
          <cell r="DM238">
            <v>8.5482655167983035E-2</v>
          </cell>
          <cell r="DN238">
            <v>6.8958982219068654E-2</v>
          </cell>
        </row>
        <row r="239">
          <cell r="DH239" t="str">
            <v>Other</v>
          </cell>
          <cell r="DI239">
            <v>0.65411913883008077</v>
          </cell>
          <cell r="DJ239">
            <v>0.59166078815042022</v>
          </cell>
          <cell r="DK239">
            <v>0.48079216393796742</v>
          </cell>
          <cell r="DL239">
            <v>0.31395655979536363</v>
          </cell>
          <cell r="DM239">
            <v>0.40527257527542576</v>
          </cell>
          <cell r="DN239">
            <v>0.35417433278877003</v>
          </cell>
        </row>
        <row r="240">
          <cell r="DI240" t="str">
            <v>______</v>
          </cell>
          <cell r="DJ240" t="str">
            <v>______</v>
          </cell>
          <cell r="DK240" t="str">
            <v>______</v>
          </cell>
          <cell r="DL240" t="str">
            <v>______</v>
          </cell>
          <cell r="DM240" t="str">
            <v>______</v>
          </cell>
          <cell r="DN240" t="str">
            <v>______</v>
          </cell>
        </row>
        <row r="241">
          <cell r="DH241" t="str">
            <v>Total</v>
          </cell>
          <cell r="DI241">
            <v>1</v>
          </cell>
          <cell r="DJ241">
            <v>1</v>
          </cell>
          <cell r="DK241">
            <v>1</v>
          </cell>
          <cell r="DL241">
            <v>1</v>
          </cell>
          <cell r="DM241">
            <v>0.99999999999999978</v>
          </cell>
          <cell r="DN241">
            <v>0.94153541142936104</v>
          </cell>
        </row>
        <row r="243">
          <cell r="DO243" t="str">
            <v>VIP revenue and market shares</v>
          </cell>
        </row>
        <row r="244">
          <cell r="DP244">
            <v>2005</v>
          </cell>
          <cell r="DQ244" t="str">
            <v>2006E</v>
          </cell>
          <cell r="DR244" t="str">
            <v>2007E</v>
          </cell>
          <cell r="DS244" t="str">
            <v>2008E</v>
          </cell>
          <cell r="DT244" t="str">
            <v>2009E</v>
          </cell>
          <cell r="DU244" t="str">
            <v>2010E</v>
          </cell>
        </row>
        <row r="246">
          <cell r="DO246" t="str">
            <v>VIP Revenue</v>
          </cell>
        </row>
        <row r="247">
          <cell r="DO247" t="str">
            <v>Sands Macao</v>
          </cell>
          <cell r="DP247">
            <v>241.00369999999998</v>
          </cell>
          <cell r="DQ247">
            <v>542.87</v>
          </cell>
          <cell r="DR247">
            <v>534.36095940395705</v>
          </cell>
          <cell r="DS247">
            <v>359.30724355831563</v>
          </cell>
          <cell r="DT247">
            <v>317.38806514317889</v>
          </cell>
          <cell r="DU247">
            <v>264.06687019912482</v>
          </cell>
        </row>
        <row r="248">
          <cell r="DO248" t="str">
            <v>Venetian Macao</v>
          </cell>
          <cell r="DR248">
            <v>338.17951756676723</v>
          </cell>
          <cell r="DS248">
            <v>778.4990277096839</v>
          </cell>
          <cell r="DT248">
            <v>888.68658240090087</v>
          </cell>
          <cell r="DU248">
            <v>726.18389304759341</v>
          </cell>
        </row>
        <row r="249">
          <cell r="DO249" t="str">
            <v>LVS Cotai Strip</v>
          </cell>
          <cell r="DS249">
            <v>179.65362177915785</v>
          </cell>
          <cell r="DT249">
            <v>406.25672338326893</v>
          </cell>
          <cell r="DU249">
            <v>580.94711443807455</v>
          </cell>
        </row>
        <row r="250">
          <cell r="DO250" t="str">
            <v>Wynn Macau</v>
          </cell>
          <cell r="DQ250">
            <v>199.35</v>
          </cell>
          <cell r="DR250">
            <v>637.96180045470976</v>
          </cell>
          <cell r="DS250">
            <v>569.2296633049815</v>
          </cell>
          <cell r="DT250">
            <v>666.86105613191614</v>
          </cell>
          <cell r="DU250">
            <v>495.48534572784922</v>
          </cell>
        </row>
        <row r="251">
          <cell r="DO251" t="str">
            <v>Wynn Cotai</v>
          </cell>
          <cell r="DU251">
            <v>264.06687019912482</v>
          </cell>
        </row>
        <row r="252">
          <cell r="DO252" t="str">
            <v>MGM Grand</v>
          </cell>
          <cell r="DR252">
            <v>75.407061847509823</v>
          </cell>
          <cell r="DS252">
            <v>538.96086533747348</v>
          </cell>
          <cell r="DT252">
            <v>507.82090422908618</v>
          </cell>
          <cell r="DU252">
            <v>528.13374039824964</v>
          </cell>
        </row>
        <row r="253">
          <cell r="DO253" t="str">
            <v>Other</v>
          </cell>
          <cell r="DP253">
            <v>3256.8319344037482</v>
          </cell>
          <cell r="DQ253">
            <v>3720.0719091703086</v>
          </cell>
          <cell r="DR253">
            <v>3958.9555304541482</v>
          </cell>
          <cell r="DS253">
            <v>3562.8036376156483</v>
          </cell>
          <cell r="DT253">
            <v>3560.7479715752261</v>
          </cell>
          <cell r="DU253">
            <v>3478.7210507689792</v>
          </cell>
        </row>
        <row r="254">
          <cell r="DP254" t="str">
            <v>______</v>
          </cell>
          <cell r="DQ254" t="str">
            <v>______</v>
          </cell>
          <cell r="DR254" t="str">
            <v>______</v>
          </cell>
          <cell r="DS254" t="str">
            <v>______</v>
          </cell>
          <cell r="DT254" t="str">
            <v>______</v>
          </cell>
          <cell r="DU254" t="str">
            <v>______</v>
          </cell>
        </row>
        <row r="255">
          <cell r="DO255" t="str">
            <v>Total</v>
          </cell>
          <cell r="DP255">
            <v>3497.8356344037484</v>
          </cell>
          <cell r="DQ255">
            <v>4462.2919091703088</v>
          </cell>
          <cell r="DR255">
            <v>5544.8648697270919</v>
          </cell>
          <cell r="DS255">
            <v>5988.4540593052607</v>
          </cell>
          <cell r="DT255">
            <v>6347.7613028635769</v>
          </cell>
          <cell r="DU255">
            <v>6337.6048847789953</v>
          </cell>
        </row>
        <row r="257">
          <cell r="DO257" t="str">
            <v>VIP Market Share</v>
          </cell>
        </row>
        <row r="258">
          <cell r="DO258" t="str">
            <v>Sands Macao</v>
          </cell>
          <cell r="DP258">
            <v>6.8900807582138485E-2</v>
          </cell>
          <cell r="DQ258">
            <v>0.12165721361356163</v>
          </cell>
          <cell r="DR258">
            <v>9.6370420552783886E-2</v>
          </cell>
          <cell r="DS258">
            <v>0.06</v>
          </cell>
          <cell r="DT258">
            <v>0.05</v>
          </cell>
          <cell r="DU258">
            <v>0.04</v>
          </cell>
        </row>
        <row r="259">
          <cell r="DO259" t="str">
            <v>Venetian Macao</v>
          </cell>
          <cell r="DR259">
            <v>6.0989677027676929E-2</v>
          </cell>
          <cell r="DS259">
            <v>0.13</v>
          </cell>
          <cell r="DT259">
            <v>0.14000000000000001</v>
          </cell>
          <cell r="DU259">
            <v>0.11000000000000001</v>
          </cell>
        </row>
        <row r="260">
          <cell r="DO260" t="str">
            <v>LVS Cotai Strip</v>
          </cell>
          <cell r="DS260">
            <v>3.0000000000000002E-2</v>
          </cell>
          <cell r="DT260">
            <v>6.4000000000000001E-2</v>
          </cell>
          <cell r="DU260">
            <v>8.7999999999999995E-2</v>
          </cell>
        </row>
        <row r="261">
          <cell r="DO261" t="str">
            <v>Wynn Macau</v>
          </cell>
          <cell r="DQ261">
            <v>4.4674352117198425E-2</v>
          </cell>
          <cell r="DR261">
            <v>0.11505452620455096</v>
          </cell>
          <cell r="DS261">
            <v>9.505452620455096E-2</v>
          </cell>
          <cell r="DT261">
            <v>0.10505452620455095</v>
          </cell>
          <cell r="DU261">
            <v>7.5054526204550956E-2</v>
          </cell>
        </row>
        <row r="262">
          <cell r="DO262" t="str">
            <v>Wynn Cotai</v>
          </cell>
          <cell r="DU262">
            <v>0.04</v>
          </cell>
        </row>
        <row r="263">
          <cell r="DO263" t="str">
            <v>MGM Grand</v>
          </cell>
          <cell r="DR263">
            <v>1.3599440855484946E-2</v>
          </cell>
          <cell r="DS263">
            <v>0.09</v>
          </cell>
          <cell r="DT263">
            <v>0.08</v>
          </cell>
          <cell r="DU263">
            <v>0.08</v>
          </cell>
        </row>
        <row r="264">
          <cell r="DO264" t="str">
            <v>Other</v>
          </cell>
          <cell r="DP264">
            <v>0.93109919241786143</v>
          </cell>
          <cell r="DQ264">
            <v>0.83366843426923987</v>
          </cell>
          <cell r="DR264">
            <v>0.71398593535950328</v>
          </cell>
          <cell r="DS264">
            <v>0.59494547379544904</v>
          </cell>
          <cell r="DT264">
            <v>0.56094547379544901</v>
          </cell>
          <cell r="DU264">
            <v>0.52694547379544898</v>
          </cell>
        </row>
        <row r="265">
          <cell r="DP265" t="str">
            <v>______</v>
          </cell>
          <cell r="DQ265" t="str">
            <v>______</v>
          </cell>
          <cell r="DR265" t="str">
            <v>______</v>
          </cell>
          <cell r="DS265" t="str">
            <v>______</v>
          </cell>
          <cell r="DT265" t="str">
            <v>______</v>
          </cell>
          <cell r="DU265" t="str">
            <v>______</v>
          </cell>
        </row>
        <row r="266">
          <cell r="DO266" t="str">
            <v>Total</v>
          </cell>
          <cell r="DP266">
            <v>0.99999999999999989</v>
          </cell>
          <cell r="DQ266">
            <v>0.99999999999999989</v>
          </cell>
          <cell r="DR266">
            <v>1</v>
          </cell>
          <cell r="DS266">
            <v>1</v>
          </cell>
          <cell r="DT266">
            <v>1</v>
          </cell>
          <cell r="DU266">
            <v>0.96</v>
          </cell>
        </row>
        <row r="268">
          <cell r="DO268" t="str">
            <v>Check</v>
          </cell>
          <cell r="DP268">
            <v>0</v>
          </cell>
          <cell r="DQ268">
            <v>0</v>
          </cell>
          <cell r="DR268">
            <v>0</v>
          </cell>
          <cell r="DS268">
            <v>0</v>
          </cell>
          <cell r="DT268">
            <v>0</v>
          </cell>
          <cell r="DU268">
            <v>264.06687019912533</v>
          </cell>
        </row>
        <row r="269">
          <cell r="DV269" t="str">
            <v>US operator revenue summary</v>
          </cell>
        </row>
        <row r="270">
          <cell r="DW270">
            <v>2005</v>
          </cell>
          <cell r="DX270" t="str">
            <v>2006E</v>
          </cell>
          <cell r="DY270" t="str">
            <v>2007E</v>
          </cell>
          <cell r="DZ270" t="str">
            <v>2008E</v>
          </cell>
          <cell r="EA270" t="str">
            <v>2009E</v>
          </cell>
          <cell r="EB270" t="str">
            <v>2010E</v>
          </cell>
        </row>
        <row r="272">
          <cell r="DV272" t="str">
            <v>Sands Macao</v>
          </cell>
        </row>
        <row r="273">
          <cell r="DV273" t="str">
            <v>Mass Market Revenue</v>
          </cell>
          <cell r="DW273">
            <v>721.23633399999994</v>
          </cell>
          <cell r="DX273">
            <v>855.55587099999991</v>
          </cell>
          <cell r="DY273">
            <v>724.14975646499602</v>
          </cell>
          <cell r="DZ273">
            <v>654.28465076227974</v>
          </cell>
          <cell r="EA273">
            <v>566.04384286561344</v>
          </cell>
          <cell r="EB273">
            <v>562.04743001083773</v>
          </cell>
        </row>
        <row r="274">
          <cell r="DV274" t="str">
            <v>VIP Revenue</v>
          </cell>
          <cell r="DW274">
            <v>241.00369999999998</v>
          </cell>
          <cell r="DX274">
            <v>542.87</v>
          </cell>
          <cell r="DY274">
            <v>534.36095940395705</v>
          </cell>
          <cell r="DZ274">
            <v>359.30724355831563</v>
          </cell>
          <cell r="EA274">
            <v>317.38806514317889</v>
          </cell>
          <cell r="EB274">
            <v>264.06687019912482</v>
          </cell>
        </row>
        <row r="275">
          <cell r="DV275" t="str">
            <v>Total Revenue</v>
          </cell>
          <cell r="DW275">
            <v>962.24003399999992</v>
          </cell>
          <cell r="DX275">
            <v>1398.4258709999999</v>
          </cell>
          <cell r="DY275">
            <v>1258.510715868953</v>
          </cell>
          <cell r="DZ275">
            <v>1013.5918943205954</v>
          </cell>
          <cell r="EA275">
            <v>883.43190800879233</v>
          </cell>
          <cell r="EB275">
            <v>826.11430020996249</v>
          </cell>
        </row>
        <row r="277">
          <cell r="DV277" t="str">
            <v>Venetian Macao</v>
          </cell>
        </row>
        <row r="278">
          <cell r="DV278" t="str">
            <v>Mass Market Revenue</v>
          </cell>
          <cell r="DW278">
            <v>0</v>
          </cell>
          <cell r="DX278">
            <v>0</v>
          </cell>
          <cell r="DY278">
            <v>307.54276131683389</v>
          </cell>
          <cell r="DZ278">
            <v>701.80469855375372</v>
          </cell>
          <cell r="EA278">
            <v>636.06719309686355</v>
          </cell>
          <cell r="EB278">
            <v>631.57639765931481</v>
          </cell>
        </row>
        <row r="279">
          <cell r="DV279" t="str">
            <v>VIP Revenue</v>
          </cell>
          <cell r="DW279">
            <v>0</v>
          </cell>
          <cell r="DX279">
            <v>0</v>
          </cell>
          <cell r="DY279">
            <v>338.17951756676723</v>
          </cell>
          <cell r="DZ279">
            <v>778.4990277096839</v>
          </cell>
          <cell r="EA279">
            <v>888.68658240090087</v>
          </cell>
          <cell r="EB279">
            <v>726.18389304759341</v>
          </cell>
        </row>
        <row r="280">
          <cell r="DV280" t="str">
            <v>Total Revenue</v>
          </cell>
          <cell r="DW280">
            <v>0</v>
          </cell>
          <cell r="DX280">
            <v>0</v>
          </cell>
          <cell r="DY280">
            <v>645.72227888360112</v>
          </cell>
          <cell r="DZ280">
            <v>1480.3037262634375</v>
          </cell>
          <cell r="EA280">
            <v>1524.7537754977643</v>
          </cell>
          <cell r="EB280">
            <v>1357.7602907069081</v>
          </cell>
        </row>
        <row r="282">
          <cell r="DV282" t="str">
            <v>LVS Cotai Strip</v>
          </cell>
        </row>
        <row r="283">
          <cell r="DV283" t="str">
            <v>Mass Market Revenue</v>
          </cell>
          <cell r="DW283">
            <v>0</v>
          </cell>
          <cell r="DX283">
            <v>0</v>
          </cell>
          <cell r="DY283">
            <v>0</v>
          </cell>
          <cell r="DZ283">
            <v>349.28528775947194</v>
          </cell>
          <cell r="EA283">
            <v>866.93688971150573</v>
          </cell>
          <cell r="EB283">
            <v>1166.9191970926806</v>
          </cell>
        </row>
        <row r="284">
          <cell r="DV284" t="str">
            <v>VIP Revenue</v>
          </cell>
          <cell r="DW284">
            <v>0</v>
          </cell>
          <cell r="DX284">
            <v>0</v>
          </cell>
          <cell r="DY284">
            <v>0</v>
          </cell>
          <cell r="DZ284">
            <v>179.65362177915785</v>
          </cell>
          <cell r="EA284">
            <v>406.25672338326893</v>
          </cell>
          <cell r="EB284">
            <v>580.94711443807455</v>
          </cell>
        </row>
        <row r="285">
          <cell r="DV285" t="str">
            <v>Total Revenue</v>
          </cell>
          <cell r="DW285">
            <v>0</v>
          </cell>
          <cell r="DX285">
            <v>0</v>
          </cell>
          <cell r="DY285">
            <v>0</v>
          </cell>
          <cell r="DZ285">
            <v>528.93890953862979</v>
          </cell>
          <cell r="EA285">
            <v>1273.1936130947747</v>
          </cell>
          <cell r="EB285">
            <v>1747.8663115307552</v>
          </cell>
        </row>
        <row r="287">
          <cell r="DV287" t="str">
            <v>Wynn Macau</v>
          </cell>
        </row>
        <row r="288">
          <cell r="DV288" t="str">
            <v>Mass Market Revenue</v>
          </cell>
          <cell r="DW288">
            <v>0</v>
          </cell>
          <cell r="DX288">
            <v>128.593536</v>
          </cell>
          <cell r="DY288">
            <v>530.18518724161186</v>
          </cell>
          <cell r="DZ288">
            <v>572.1522995582626</v>
          </cell>
          <cell r="EA288">
            <v>552.30280184172238</v>
          </cell>
          <cell r="EB288">
            <v>553.57702123675585</v>
          </cell>
        </row>
        <row r="289">
          <cell r="DV289" t="str">
            <v>VIP Revenue</v>
          </cell>
          <cell r="DW289">
            <v>0</v>
          </cell>
          <cell r="DX289">
            <v>199.35</v>
          </cell>
          <cell r="DY289">
            <v>637.96180045470976</v>
          </cell>
          <cell r="DZ289">
            <v>569.2296633049815</v>
          </cell>
          <cell r="EA289">
            <v>666.86105613191614</v>
          </cell>
          <cell r="EB289">
            <v>495.48534572784922</v>
          </cell>
        </row>
        <row r="290">
          <cell r="DV290" t="str">
            <v>Total Revenue</v>
          </cell>
          <cell r="DW290">
            <v>0</v>
          </cell>
          <cell r="DX290">
            <v>327.94353599999999</v>
          </cell>
          <cell r="DY290">
            <v>1168.1469876963215</v>
          </cell>
          <cell r="DZ290">
            <v>1141.3819628632441</v>
          </cell>
          <cell r="EA290">
            <v>1219.1638579736386</v>
          </cell>
          <cell r="EB290">
            <v>1049.0623669646052</v>
          </cell>
        </row>
        <row r="292">
          <cell r="DV292" t="str">
            <v>Wynn Cotai</v>
          </cell>
        </row>
        <row r="293">
          <cell r="DV293" t="str">
            <v>Mass Market Revenue</v>
          </cell>
          <cell r="DW293">
            <v>0</v>
          </cell>
          <cell r="DX293">
            <v>0</v>
          </cell>
          <cell r="DY293">
            <v>0</v>
          </cell>
          <cell r="DZ293">
            <v>0</v>
          </cell>
          <cell r="EA293">
            <v>0</v>
          </cell>
          <cell r="EB293">
            <v>370.42603968288262</v>
          </cell>
        </row>
        <row r="294">
          <cell r="DV294" t="str">
            <v>VIP Revenue</v>
          </cell>
          <cell r="DW294">
            <v>0</v>
          </cell>
          <cell r="DX294">
            <v>0</v>
          </cell>
          <cell r="DY294">
            <v>0</v>
          </cell>
          <cell r="DZ294">
            <v>0</v>
          </cell>
          <cell r="EA294">
            <v>0</v>
          </cell>
          <cell r="EB294">
            <v>264.06687019912482</v>
          </cell>
        </row>
        <row r="295">
          <cell r="DV295" t="str">
            <v>Total Revenue</v>
          </cell>
          <cell r="DW295">
            <v>0</v>
          </cell>
          <cell r="DX295">
            <v>0</v>
          </cell>
          <cell r="DY295">
            <v>0</v>
          </cell>
          <cell r="DZ295">
            <v>0</v>
          </cell>
          <cell r="EA295">
            <v>0</v>
          </cell>
          <cell r="EB295">
            <v>634.49290988200744</v>
          </cell>
        </row>
        <row r="297">
          <cell r="DV297" t="str">
            <v>MGM Grand Macau</v>
          </cell>
        </row>
        <row r="298">
          <cell r="DV298" t="str">
            <v>Mass Market Revenue</v>
          </cell>
          <cell r="DW298">
            <v>0</v>
          </cell>
          <cell r="DX298">
            <v>0</v>
          </cell>
          <cell r="DY298">
            <v>82.165392503367684</v>
          </cell>
          <cell r="DZ298">
            <v>457.75777434699677</v>
          </cell>
          <cell r="EA298">
            <v>440.0241960456014</v>
          </cell>
          <cell r="EB298">
            <v>436.91751380596003</v>
          </cell>
        </row>
        <row r="299">
          <cell r="DV299" t="str">
            <v>VIP Revenue</v>
          </cell>
          <cell r="DW299">
            <v>0</v>
          </cell>
          <cell r="DX299">
            <v>0</v>
          </cell>
          <cell r="DY299">
            <v>75.407061847509823</v>
          </cell>
          <cell r="DZ299">
            <v>538.96086533747348</v>
          </cell>
          <cell r="EA299">
            <v>507.82090422908618</v>
          </cell>
          <cell r="EB299">
            <v>528.13374039824964</v>
          </cell>
        </row>
        <row r="300">
          <cell r="DV300" t="str">
            <v>Total Revenue</v>
          </cell>
          <cell r="DW300">
            <v>0</v>
          </cell>
          <cell r="DX300">
            <v>0</v>
          </cell>
          <cell r="DY300">
            <v>157.57245435087751</v>
          </cell>
          <cell r="DZ300">
            <v>996.71863968447019</v>
          </cell>
          <cell r="EA300">
            <v>947.84510027468764</v>
          </cell>
          <cell r="EB300">
            <v>965.05125420420973</v>
          </cell>
        </row>
        <row r="302">
          <cell r="DV302" t="str">
            <v>check</v>
          </cell>
          <cell r="DW302">
            <v>0</v>
          </cell>
          <cell r="DX302">
            <v>0</v>
          </cell>
          <cell r="DY302">
            <v>0</v>
          </cell>
          <cell r="DZ302">
            <v>0</v>
          </cell>
          <cell r="EA302">
            <v>0</v>
          </cell>
          <cell r="EB302">
            <v>634.49290988200619</v>
          </cell>
        </row>
        <row r="303">
          <cell r="EC303" t="str">
            <v>Future Properties</v>
          </cell>
        </row>
        <row r="304">
          <cell r="EC304" t="str">
            <v>Property</v>
          </cell>
          <cell r="ED304" t="str">
            <v>Open Date</v>
          </cell>
          <cell r="EE304" t="str">
            <v>Investment ($mm)</v>
          </cell>
          <cell r="EF304" t="str">
            <v>Total Tables</v>
          </cell>
          <cell r="EG304" t="str">
            <v>Mass Tables</v>
          </cell>
          <cell r="EH304" t="str">
            <v>VIP Tables</v>
          </cell>
          <cell r="EI304" t="str">
            <v>Mass %</v>
          </cell>
          <cell r="EJ304" t="str">
            <v>Slots</v>
          </cell>
          <cell r="EK304" t="str">
            <v>Location</v>
          </cell>
          <cell r="EL304" t="str">
            <v>Casino Operator</v>
          </cell>
        </row>
        <row r="306">
          <cell r="EC306" t="str">
            <v>Grand Lisboa</v>
          </cell>
          <cell r="ED306">
            <v>39124</v>
          </cell>
          <cell r="EE306">
            <v>625</v>
          </cell>
          <cell r="EF306">
            <v>270</v>
          </cell>
          <cell r="EG306">
            <v>240</v>
          </cell>
          <cell r="EH306">
            <v>30</v>
          </cell>
          <cell r="EI306">
            <v>0.88888888888888884</v>
          </cell>
          <cell r="EJ306">
            <v>484</v>
          </cell>
          <cell r="EK306" t="str">
            <v>Macau</v>
          </cell>
          <cell r="EL306" t="str">
            <v>SJM</v>
          </cell>
        </row>
        <row r="307">
          <cell r="EC307" t="str">
            <v>Crown Macau</v>
          </cell>
          <cell r="ED307">
            <v>39211</v>
          </cell>
          <cell r="EE307">
            <v>583.6</v>
          </cell>
          <cell r="EF307">
            <v>220</v>
          </cell>
          <cell r="EG307">
            <v>160</v>
          </cell>
          <cell r="EH307">
            <v>60</v>
          </cell>
          <cell r="EI307">
            <v>0.72727272727272729</v>
          </cell>
          <cell r="EJ307">
            <v>500</v>
          </cell>
          <cell r="EK307" t="str">
            <v>Taipa</v>
          </cell>
          <cell r="EL307" t="str">
            <v>PBL/Melco</v>
          </cell>
        </row>
        <row r="308">
          <cell r="EC308" t="str">
            <v>Venetian Macao</v>
          </cell>
          <cell r="ED308" t="str">
            <v>3Q07</v>
          </cell>
          <cell r="EE308">
            <v>2600</v>
          </cell>
          <cell r="EF308">
            <v>1150</v>
          </cell>
          <cell r="EG308">
            <v>1000</v>
          </cell>
          <cell r="EH308">
            <v>150</v>
          </cell>
          <cell r="EI308">
            <v>0.86956521739130432</v>
          </cell>
          <cell r="EJ308">
            <v>7000</v>
          </cell>
          <cell r="EK308" t="str">
            <v>Cotai</v>
          </cell>
          <cell r="EL308" t="str">
            <v>LVS</v>
          </cell>
        </row>
        <row r="309">
          <cell r="EC309" t="str">
            <v>Ponte 16</v>
          </cell>
          <cell r="ED309" t="str">
            <v>3Q07</v>
          </cell>
          <cell r="EE309">
            <v>287</v>
          </cell>
          <cell r="EF309">
            <v>174</v>
          </cell>
          <cell r="EG309">
            <v>150</v>
          </cell>
          <cell r="EH309">
            <v>24</v>
          </cell>
          <cell r="EI309">
            <v>0.86206896551724133</v>
          </cell>
          <cell r="EJ309">
            <v>300</v>
          </cell>
          <cell r="EK309" t="str">
            <v>Macau</v>
          </cell>
          <cell r="EL309" t="str">
            <v>SJM</v>
          </cell>
        </row>
        <row r="310">
          <cell r="EC310" t="str">
            <v>MGM Grand</v>
          </cell>
          <cell r="ED310" t="str">
            <v>4Q07</v>
          </cell>
          <cell r="EE310">
            <v>1100</v>
          </cell>
          <cell r="EF310">
            <v>347</v>
          </cell>
          <cell r="EG310">
            <v>302</v>
          </cell>
          <cell r="EH310">
            <v>45</v>
          </cell>
          <cell r="EI310">
            <v>0.87031700288184433</v>
          </cell>
          <cell r="EJ310">
            <v>1037</v>
          </cell>
          <cell r="EK310" t="str">
            <v>Macau</v>
          </cell>
          <cell r="EL310" t="str">
            <v>MGM</v>
          </cell>
        </row>
        <row r="311">
          <cell r="EC311" t="str">
            <v>Cotai Site 2 - Four Seasons</v>
          </cell>
          <cell r="ED311" t="str">
            <v>1Q08</v>
          </cell>
          <cell r="EE311">
            <v>400</v>
          </cell>
          <cell r="EF311">
            <v>130</v>
          </cell>
          <cell r="EG311">
            <v>115</v>
          </cell>
          <cell r="EH311">
            <v>15</v>
          </cell>
          <cell r="EI311">
            <v>0.88461538461538458</v>
          </cell>
          <cell r="EJ311">
            <v>400</v>
          </cell>
          <cell r="EK311" t="str">
            <v>Cotai</v>
          </cell>
          <cell r="EL311" t="str">
            <v>LVS</v>
          </cell>
        </row>
        <row r="312">
          <cell r="EC312" t="str">
            <v>Galaxy Cotai Mega Resort</v>
          </cell>
          <cell r="ED312" t="str">
            <v>2Q08</v>
          </cell>
          <cell r="EE312">
            <v>375</v>
          </cell>
          <cell r="EF312">
            <v>450</v>
          </cell>
          <cell r="EG312">
            <v>400</v>
          </cell>
          <cell r="EH312">
            <v>50</v>
          </cell>
          <cell r="EI312">
            <v>0.88888888888888884</v>
          </cell>
          <cell r="EJ312">
            <v>1000</v>
          </cell>
          <cell r="EK312" t="str">
            <v>Cotai</v>
          </cell>
          <cell r="EL312" t="str">
            <v>Galaxy</v>
          </cell>
        </row>
        <row r="313">
          <cell r="EC313" t="str">
            <v>Cotai Site 5 - Shangri-La</v>
          </cell>
          <cell r="ED313" t="str">
            <v>mid-2008</v>
          </cell>
          <cell r="EE313">
            <v>1512.5</v>
          </cell>
          <cell r="EF313">
            <v>325</v>
          </cell>
          <cell r="EG313">
            <v>250</v>
          </cell>
          <cell r="EH313">
            <v>75</v>
          </cell>
          <cell r="EI313">
            <v>0.76923076923076927</v>
          </cell>
          <cell r="EJ313">
            <v>1750</v>
          </cell>
          <cell r="EK313" t="str">
            <v>Cotai</v>
          </cell>
          <cell r="EL313" t="str">
            <v>LVS</v>
          </cell>
        </row>
        <row r="314">
          <cell r="EC314" t="str">
            <v>Cotai Site 6 - Starwood</v>
          </cell>
          <cell r="ED314" t="str">
            <v>mid-2008</v>
          </cell>
          <cell r="EE314">
            <v>1512.5</v>
          </cell>
          <cell r="EF314">
            <v>325</v>
          </cell>
          <cell r="EG314">
            <v>250</v>
          </cell>
          <cell r="EH314">
            <v>75</v>
          </cell>
          <cell r="EI314">
            <v>0.76923076923076927</v>
          </cell>
          <cell r="EJ314">
            <v>1750</v>
          </cell>
          <cell r="EK314" t="str">
            <v>Cotai</v>
          </cell>
          <cell r="EL314" t="str">
            <v>LVS</v>
          </cell>
        </row>
        <row r="315">
          <cell r="EC315" t="str">
            <v>Cotai Site 7 - Hilton</v>
          </cell>
          <cell r="ED315" t="str">
            <v>mid-2009</v>
          </cell>
          <cell r="EE315">
            <v>1512.5</v>
          </cell>
          <cell r="EF315">
            <v>325</v>
          </cell>
          <cell r="EG315">
            <v>250</v>
          </cell>
          <cell r="EH315">
            <v>75</v>
          </cell>
          <cell r="EI315">
            <v>0.76923076923076927</v>
          </cell>
          <cell r="EJ315">
            <v>1750</v>
          </cell>
          <cell r="EK315" t="str">
            <v>Cotai</v>
          </cell>
          <cell r="EL315" t="str">
            <v>LVS</v>
          </cell>
        </row>
        <row r="316">
          <cell r="EC316" t="str">
            <v>Cotai Site 8 - Fairmont/Raffles</v>
          </cell>
          <cell r="ED316" t="str">
            <v>mid-2009</v>
          </cell>
          <cell r="EE316">
            <v>1512.5</v>
          </cell>
          <cell r="EF316">
            <v>325</v>
          </cell>
          <cell r="EG316">
            <v>250</v>
          </cell>
          <cell r="EH316">
            <v>75</v>
          </cell>
          <cell r="EI316">
            <v>0.76923076923076927</v>
          </cell>
          <cell r="EJ316">
            <v>1750</v>
          </cell>
          <cell r="EK316" t="str">
            <v>Cotai</v>
          </cell>
          <cell r="EL316" t="str">
            <v>LVS</v>
          </cell>
        </row>
        <row r="317">
          <cell r="EC317" t="str">
            <v>Cotai Site 3 - Far East</v>
          </cell>
          <cell r="ED317" t="str">
            <v>mid-2009</v>
          </cell>
          <cell r="EE317">
            <v>1775</v>
          </cell>
          <cell r="EF317">
            <v>325</v>
          </cell>
          <cell r="EG317">
            <v>285</v>
          </cell>
          <cell r="EH317">
            <v>40</v>
          </cell>
          <cell r="EI317">
            <v>0.87692307692307692</v>
          </cell>
          <cell r="EJ317">
            <v>1750</v>
          </cell>
          <cell r="EK317" t="str">
            <v>Cotai</v>
          </cell>
          <cell r="EL317" t="str">
            <v>LVS</v>
          </cell>
        </row>
        <row r="318">
          <cell r="EC318" t="str">
            <v>Arc de Triomphe</v>
          </cell>
          <cell r="ED318">
            <v>2008</v>
          </cell>
          <cell r="EE318">
            <v>125</v>
          </cell>
          <cell r="EF318">
            <v>100</v>
          </cell>
          <cell r="EG318">
            <v>60</v>
          </cell>
          <cell r="EH318">
            <v>40</v>
          </cell>
          <cell r="EI318">
            <v>0.6</v>
          </cell>
          <cell r="EJ318">
            <v>200</v>
          </cell>
          <cell r="EK318" t="str">
            <v>Macau</v>
          </cell>
          <cell r="EL318" t="str">
            <v>SJM</v>
          </cell>
        </row>
        <row r="319">
          <cell r="EC319" t="str">
            <v>PBL/Melco NAPE Project</v>
          </cell>
          <cell r="ED319">
            <v>2009</v>
          </cell>
          <cell r="EE319">
            <v>675</v>
          </cell>
          <cell r="EF319">
            <v>200</v>
          </cell>
          <cell r="EG319">
            <v>160</v>
          </cell>
          <cell r="EH319">
            <v>40</v>
          </cell>
          <cell r="EI319">
            <v>0.8</v>
          </cell>
          <cell r="EJ319">
            <v>500</v>
          </cell>
          <cell r="EK319" t="str">
            <v>Macau</v>
          </cell>
          <cell r="EL319" t="str">
            <v>PBL/Melco</v>
          </cell>
        </row>
        <row r="320">
          <cell r="EC320" t="str">
            <v>City of Dreams</v>
          </cell>
          <cell r="ED320">
            <v>2009</v>
          </cell>
          <cell r="EE320">
            <v>2100</v>
          </cell>
          <cell r="EF320">
            <v>450</v>
          </cell>
          <cell r="EG320">
            <v>400</v>
          </cell>
          <cell r="EH320">
            <v>50</v>
          </cell>
          <cell r="EI320">
            <v>0.88888888888888884</v>
          </cell>
          <cell r="EJ320">
            <v>2500</v>
          </cell>
          <cell r="EK320" t="str">
            <v>Cotai</v>
          </cell>
          <cell r="EL320" t="str">
            <v>PBL/Melco</v>
          </cell>
        </row>
        <row r="321">
          <cell r="EC321" t="str">
            <v>Macau Studio City (eSun)</v>
          </cell>
          <cell r="ED321">
            <v>2009</v>
          </cell>
          <cell r="EE321">
            <v>2000</v>
          </cell>
          <cell r="EF321">
            <v>650</v>
          </cell>
          <cell r="EG321">
            <v>585</v>
          </cell>
          <cell r="EH321">
            <v>65</v>
          </cell>
          <cell r="EI321">
            <v>0.9</v>
          </cell>
          <cell r="EJ321">
            <v>1600</v>
          </cell>
          <cell r="EK321" t="str">
            <v>Cotai</v>
          </cell>
          <cell r="EL321" t="str">
            <v>TBD</v>
          </cell>
        </row>
        <row r="322">
          <cell r="EC322" t="str">
            <v>Wynn Cotai</v>
          </cell>
          <cell r="ED322">
            <v>2010</v>
          </cell>
          <cell r="EE322">
            <v>1500</v>
          </cell>
          <cell r="EF322">
            <v>500</v>
          </cell>
          <cell r="EG322">
            <v>425</v>
          </cell>
          <cell r="EH322">
            <v>75</v>
          </cell>
          <cell r="EI322">
            <v>0.85</v>
          </cell>
          <cell r="EJ322">
            <v>3500</v>
          </cell>
          <cell r="EK322" t="str">
            <v>Cotai</v>
          </cell>
          <cell r="EL322" t="str">
            <v>WYNN</v>
          </cell>
        </row>
        <row r="323">
          <cell r="EC323" t="str">
            <v>Wynn Cotai #2</v>
          </cell>
          <cell r="ED323">
            <v>2010</v>
          </cell>
          <cell r="EE323">
            <v>1500</v>
          </cell>
          <cell r="EF323">
            <v>500</v>
          </cell>
          <cell r="EG323">
            <v>425</v>
          </cell>
          <cell r="EH323">
            <v>75</v>
          </cell>
          <cell r="EI323">
            <v>0.85</v>
          </cell>
          <cell r="EJ323">
            <v>3500</v>
          </cell>
          <cell r="EK323" t="str">
            <v>Cotai</v>
          </cell>
          <cell r="EL323" t="str">
            <v>WYNN</v>
          </cell>
        </row>
        <row r="324">
          <cell r="EC324" t="str">
            <v>Shun Tak Nam Van</v>
          </cell>
          <cell r="ED324">
            <v>2010</v>
          </cell>
          <cell r="EE324">
            <v>550</v>
          </cell>
          <cell r="EF324">
            <v>180</v>
          </cell>
          <cell r="EG324">
            <v>150</v>
          </cell>
          <cell r="EH324">
            <v>30</v>
          </cell>
          <cell r="EI324">
            <v>0.83333333333333337</v>
          </cell>
          <cell r="EJ324">
            <v>300</v>
          </cell>
          <cell r="EK324" t="str">
            <v>Macau</v>
          </cell>
          <cell r="EL324" t="str">
            <v>SJM</v>
          </cell>
        </row>
        <row r="325">
          <cell r="EC325" t="str">
            <v>Shun Tak Cotai</v>
          </cell>
          <cell r="ED325">
            <v>2011</v>
          </cell>
          <cell r="EE325">
            <v>300</v>
          </cell>
          <cell r="EF325">
            <v>600</v>
          </cell>
          <cell r="EG325">
            <v>500</v>
          </cell>
          <cell r="EH325">
            <v>100</v>
          </cell>
          <cell r="EI325">
            <v>0.83333333333333337</v>
          </cell>
          <cell r="EJ325">
            <v>1000</v>
          </cell>
          <cell r="EK325" t="str">
            <v>Cotai</v>
          </cell>
          <cell r="EL325" t="str">
            <v>SJM</v>
          </cell>
        </row>
        <row r="326">
          <cell r="EC326" t="str">
            <v>MGM Cotai</v>
          </cell>
          <cell r="ED326">
            <v>2011</v>
          </cell>
          <cell r="EE326">
            <v>1500</v>
          </cell>
          <cell r="EF326">
            <v>500</v>
          </cell>
          <cell r="EG326">
            <v>400</v>
          </cell>
          <cell r="EH326">
            <v>100</v>
          </cell>
          <cell r="EI326">
            <v>0.8</v>
          </cell>
          <cell r="EJ326">
            <v>3000</v>
          </cell>
          <cell r="EK326" t="str">
            <v>Cotai</v>
          </cell>
          <cell r="EL326" t="str">
            <v>MGM</v>
          </cell>
        </row>
        <row r="327">
          <cell r="EC327" t="str">
            <v>Mocha Slot Lounges</v>
          </cell>
          <cell r="ED327" t="str">
            <v>2006-2009</v>
          </cell>
          <cell r="EE327" t="str">
            <v>N/A</v>
          </cell>
          <cell r="EF327">
            <v>0</v>
          </cell>
          <cell r="EG327">
            <v>0</v>
          </cell>
          <cell r="EH327">
            <v>0</v>
          </cell>
          <cell r="EI327" t="str">
            <v>N.M.</v>
          </cell>
          <cell r="EJ327">
            <v>3000</v>
          </cell>
          <cell r="EL327" t="str">
            <v>PBL/Melco</v>
          </cell>
        </row>
        <row r="328">
          <cell r="EF328" t="str">
            <v>______</v>
          </cell>
          <cell r="EG328" t="str">
            <v>______</v>
          </cell>
          <cell r="EH328" t="str">
            <v>______</v>
          </cell>
          <cell r="EI328" t="str">
            <v>______</v>
          </cell>
          <cell r="EJ328" t="str">
            <v>______</v>
          </cell>
        </row>
        <row r="329">
          <cell r="EC329" t="str">
            <v>Total</v>
          </cell>
          <cell r="EF329">
            <v>8046</v>
          </cell>
          <cell r="EG329">
            <v>6757</v>
          </cell>
          <cell r="EH329">
            <v>1289</v>
          </cell>
          <cell r="EI329">
            <v>0.83979617201093715</v>
          </cell>
          <cell r="EJ329">
            <v>38571</v>
          </cell>
        </row>
        <row r="333">
          <cell r="EM333" t="str">
            <v>Current Properies</v>
          </cell>
        </row>
        <row r="334">
          <cell r="EM334" t="str">
            <v>Property</v>
          </cell>
          <cell r="EN334" t="str">
            <v>Tables</v>
          </cell>
          <cell r="EO334" t="str">
            <v>Slots</v>
          </cell>
          <cell r="EP334" t="str">
            <v>Location</v>
          </cell>
          <cell r="EQ334" t="str">
            <v>Casino Operator</v>
          </cell>
        </row>
        <row r="336">
          <cell r="EM336" t="str">
            <v>Mass Market Focus</v>
          </cell>
        </row>
        <row r="337">
          <cell r="EM337" t="str">
            <v>Sands Macao</v>
          </cell>
          <cell r="EN337">
            <v>772</v>
          </cell>
          <cell r="EO337">
            <v>1233</v>
          </cell>
          <cell r="EP337" t="str">
            <v>Macau</v>
          </cell>
          <cell r="EQ337" t="str">
            <v>LVS</v>
          </cell>
        </row>
        <row r="338">
          <cell r="EM338" t="str">
            <v>Wynn Macau</v>
          </cell>
          <cell r="EN338">
            <v>224</v>
          </cell>
          <cell r="EO338">
            <v>366</v>
          </cell>
          <cell r="EP338" t="str">
            <v>Macau</v>
          </cell>
          <cell r="EQ338" t="str">
            <v>WYNN</v>
          </cell>
        </row>
        <row r="339">
          <cell r="EM339" t="str">
            <v>Mocha Slot Lounges</v>
          </cell>
          <cell r="EN339">
            <v>0</v>
          </cell>
          <cell r="EO339">
            <v>937</v>
          </cell>
          <cell r="EQ339" t="str">
            <v>PBL/Melco</v>
          </cell>
        </row>
        <row r="340">
          <cell r="EM340" t="str">
            <v>Greek Mythology Casino</v>
          </cell>
          <cell r="EN340">
            <v>228</v>
          </cell>
          <cell r="EO340">
            <v>100</v>
          </cell>
          <cell r="EP340" t="str">
            <v>Taipa</v>
          </cell>
          <cell r="EQ340" t="str">
            <v>SJM</v>
          </cell>
        </row>
        <row r="341">
          <cell r="EM341" t="str">
            <v>Hotel Emperor Casino</v>
          </cell>
          <cell r="EN341">
            <v>86</v>
          </cell>
          <cell r="EO341">
            <v>333</v>
          </cell>
          <cell r="EP341" t="str">
            <v>Macau</v>
          </cell>
          <cell r="EQ341" t="str">
            <v>SJM</v>
          </cell>
        </row>
        <row r="342">
          <cell r="EM342" t="str">
            <v>Grand Waldo</v>
          </cell>
          <cell r="EN342">
            <v>168</v>
          </cell>
          <cell r="EO342">
            <v>334</v>
          </cell>
          <cell r="EP342" t="str">
            <v>Cotai</v>
          </cell>
          <cell r="EQ342" t="str">
            <v>Galaxy</v>
          </cell>
        </row>
        <row r="343">
          <cell r="EN343" t="str">
            <v>______</v>
          </cell>
          <cell r="EO343" t="str">
            <v>______</v>
          </cell>
        </row>
        <row r="344">
          <cell r="EM344" t="str">
            <v>Total</v>
          </cell>
          <cell r="EN344">
            <v>1478</v>
          </cell>
          <cell r="EO344">
            <v>3303</v>
          </cell>
        </row>
        <row r="346">
          <cell r="EM346" t="str">
            <v>VIP Focus</v>
          </cell>
        </row>
        <row r="347">
          <cell r="EM347" t="str">
            <v>Casa Real Casino</v>
          </cell>
          <cell r="EN347">
            <v>49</v>
          </cell>
          <cell r="EO347">
            <v>123</v>
          </cell>
          <cell r="EP347" t="str">
            <v>Macau</v>
          </cell>
          <cell r="EQ347" t="str">
            <v>SJM</v>
          </cell>
        </row>
        <row r="348">
          <cell r="EM348" t="str">
            <v>Casino Lisboa</v>
          </cell>
          <cell r="EN348">
            <v>260</v>
          </cell>
          <cell r="EO348">
            <v>217</v>
          </cell>
          <cell r="EP348" t="str">
            <v>Macau</v>
          </cell>
          <cell r="EQ348" t="str">
            <v>SJM</v>
          </cell>
        </row>
        <row r="349">
          <cell r="EM349" t="str">
            <v>Casino Macau Palace</v>
          </cell>
          <cell r="EN349">
            <v>25</v>
          </cell>
          <cell r="EO349">
            <v>51</v>
          </cell>
          <cell r="EP349" t="str">
            <v>Macau</v>
          </cell>
          <cell r="EQ349" t="str">
            <v>SJM</v>
          </cell>
        </row>
        <row r="350">
          <cell r="EM350" t="str">
            <v>Casino Marina</v>
          </cell>
          <cell r="EN350">
            <v>20</v>
          </cell>
          <cell r="EO350">
            <v>37</v>
          </cell>
          <cell r="EP350" t="str">
            <v>Taipa</v>
          </cell>
          <cell r="EQ350" t="str">
            <v>SJM</v>
          </cell>
        </row>
        <row r="351">
          <cell r="EM351" t="str">
            <v>Casino Taipa</v>
          </cell>
          <cell r="EN351">
            <v>8</v>
          </cell>
          <cell r="EO351">
            <v>10</v>
          </cell>
          <cell r="EP351" t="str">
            <v>Taipa</v>
          </cell>
          <cell r="EQ351" t="str">
            <v>SJM</v>
          </cell>
        </row>
        <row r="352">
          <cell r="EM352" t="str">
            <v>Diamond Casino</v>
          </cell>
          <cell r="EN352">
            <v>54</v>
          </cell>
          <cell r="EO352">
            <v>47</v>
          </cell>
          <cell r="EP352" t="str">
            <v>Macau</v>
          </cell>
          <cell r="EQ352" t="str">
            <v>SJM</v>
          </cell>
        </row>
        <row r="353">
          <cell r="EM353" t="str">
            <v>Golden Dragon</v>
          </cell>
          <cell r="EN353">
            <v>90</v>
          </cell>
          <cell r="EO353">
            <v>123</v>
          </cell>
          <cell r="EP353" t="str">
            <v>Macau</v>
          </cell>
          <cell r="EQ353" t="str">
            <v>SJM</v>
          </cell>
        </row>
        <row r="354">
          <cell r="EM354" t="str">
            <v>Hotel Fortuna Casino</v>
          </cell>
          <cell r="EN354">
            <v>40</v>
          </cell>
          <cell r="EO354">
            <v>0</v>
          </cell>
          <cell r="EP354" t="str">
            <v>Macau</v>
          </cell>
          <cell r="EQ354" t="str">
            <v>SJM</v>
          </cell>
        </row>
        <row r="355">
          <cell r="EM355" t="str">
            <v>Jai Alai Casino</v>
          </cell>
          <cell r="EN355">
            <v>116</v>
          </cell>
          <cell r="EO355">
            <v>208</v>
          </cell>
          <cell r="EP355" t="str">
            <v>Macau</v>
          </cell>
          <cell r="EQ355" t="str">
            <v>SJM</v>
          </cell>
        </row>
        <row r="356">
          <cell r="EM356" t="str">
            <v>Kam Pek Casino</v>
          </cell>
          <cell r="EN356">
            <v>67</v>
          </cell>
          <cell r="EO356">
            <v>71</v>
          </cell>
          <cell r="EP356" t="str">
            <v>Macau</v>
          </cell>
          <cell r="EQ356" t="str">
            <v>SJM</v>
          </cell>
        </row>
        <row r="357">
          <cell r="EM357" t="str">
            <v>Kingsway Hotel &amp; Casino</v>
          </cell>
          <cell r="EN357">
            <v>9</v>
          </cell>
          <cell r="EO357">
            <v>20</v>
          </cell>
          <cell r="EP357" t="str">
            <v>Macau</v>
          </cell>
          <cell r="EQ357" t="str">
            <v>SJM</v>
          </cell>
        </row>
        <row r="358">
          <cell r="EM358" t="str">
            <v>Macau Jockey Club Casino</v>
          </cell>
          <cell r="EN358">
            <v>21</v>
          </cell>
          <cell r="EO358">
            <v>0</v>
          </cell>
          <cell r="EP358" t="str">
            <v>Taipa</v>
          </cell>
          <cell r="EQ358" t="str">
            <v>SJM</v>
          </cell>
        </row>
        <row r="359">
          <cell r="EM359" t="str">
            <v>Mandarin Oriental Casino</v>
          </cell>
          <cell r="EN359">
            <v>13</v>
          </cell>
          <cell r="EO359">
            <v>59</v>
          </cell>
          <cell r="EP359" t="str">
            <v>Macau</v>
          </cell>
          <cell r="EQ359" t="str">
            <v>SJM</v>
          </cell>
        </row>
        <row r="360">
          <cell r="EM360" t="str">
            <v>Pharaoh's Palace</v>
          </cell>
          <cell r="EN360">
            <v>103</v>
          </cell>
          <cell r="EO360">
            <v>383</v>
          </cell>
          <cell r="EP360" t="str">
            <v>Macau</v>
          </cell>
          <cell r="EQ360" t="str">
            <v>SJM</v>
          </cell>
        </row>
        <row r="361">
          <cell r="EM361" t="str">
            <v>Galaxy Waldo</v>
          </cell>
          <cell r="EN361">
            <v>63</v>
          </cell>
          <cell r="EO361">
            <v>75</v>
          </cell>
          <cell r="EP361" t="str">
            <v>Macau</v>
          </cell>
          <cell r="EQ361" t="str">
            <v>Galaxy</v>
          </cell>
        </row>
        <row r="362">
          <cell r="EM362" t="str">
            <v>Galaxy Rio</v>
          </cell>
          <cell r="EN362">
            <v>90</v>
          </cell>
          <cell r="EO362">
            <v>150</v>
          </cell>
          <cell r="EP362" t="str">
            <v>Macau</v>
          </cell>
          <cell r="EQ362" t="str">
            <v>Galaxy</v>
          </cell>
        </row>
        <row r="363">
          <cell r="EM363" t="str">
            <v>Hotel Presidente Casino</v>
          </cell>
          <cell r="EN363">
            <v>75</v>
          </cell>
          <cell r="EO363">
            <v>0</v>
          </cell>
          <cell r="EP363" t="str">
            <v>Macau</v>
          </cell>
          <cell r="EQ363" t="str">
            <v>Galaxy</v>
          </cell>
        </row>
        <row r="364">
          <cell r="EN364" t="str">
            <v>______</v>
          </cell>
          <cell r="EO364" t="str">
            <v>______</v>
          </cell>
        </row>
        <row r="365">
          <cell r="EM365" t="str">
            <v>Total</v>
          </cell>
          <cell r="EN365">
            <v>1103</v>
          </cell>
          <cell r="EO365">
            <v>1574</v>
          </cell>
        </row>
        <row r="367">
          <cell r="EM367" t="str">
            <v>total</v>
          </cell>
          <cell r="EN367">
            <v>2581</v>
          </cell>
          <cell r="EO367">
            <v>4877</v>
          </cell>
        </row>
        <row r="368">
          <cell r="ER368" t="str">
            <v>Future Hotel Properties</v>
          </cell>
        </row>
        <row r="369">
          <cell r="ER369" t="str">
            <v>Property</v>
          </cell>
          <cell r="ES369" t="str">
            <v>Rooms</v>
          </cell>
          <cell r="ET369" t="str">
            <v>Open Date</v>
          </cell>
          <cell r="EU369" t="str">
            <v>Location</v>
          </cell>
          <cell r="EV369" t="str">
            <v>Casino Operator</v>
          </cell>
        </row>
        <row r="371">
          <cell r="ER371" t="str">
            <v>Galaxy StarWorld</v>
          </cell>
          <cell r="ES371">
            <v>507</v>
          </cell>
          <cell r="ET371" t="str">
            <v>4Q06</v>
          </cell>
          <cell r="EU371" t="str">
            <v>Macau</v>
          </cell>
          <cell r="EV371" t="str">
            <v>Galaxy</v>
          </cell>
        </row>
        <row r="372">
          <cell r="ER372" t="str">
            <v>Grand Lisboa</v>
          </cell>
          <cell r="ES372">
            <v>650</v>
          </cell>
          <cell r="ET372" t="str">
            <v>4Q06</v>
          </cell>
          <cell r="EU372" t="str">
            <v>Macau</v>
          </cell>
          <cell r="EV372" t="str">
            <v>SJM</v>
          </cell>
        </row>
        <row r="373">
          <cell r="ER373" t="str">
            <v>Crown Macau</v>
          </cell>
          <cell r="ES373">
            <v>248</v>
          </cell>
          <cell r="ET373" t="str">
            <v>2Q07</v>
          </cell>
          <cell r="EU373" t="str">
            <v>Taipa</v>
          </cell>
          <cell r="EV373" t="str">
            <v>Melco/PBL</v>
          </cell>
        </row>
        <row r="374">
          <cell r="ER374" t="str">
            <v>Sands Macao</v>
          </cell>
          <cell r="ES374">
            <v>180</v>
          </cell>
          <cell r="ET374" t="str">
            <v>3Q07</v>
          </cell>
          <cell r="EU374" t="str">
            <v>Macau</v>
          </cell>
          <cell r="EV374" t="str">
            <v>LVS</v>
          </cell>
        </row>
        <row r="375">
          <cell r="ER375" t="str">
            <v>Venetian Macao</v>
          </cell>
          <cell r="ES375">
            <v>3000</v>
          </cell>
          <cell r="ET375" t="str">
            <v>3Q07</v>
          </cell>
          <cell r="EU375" t="str">
            <v>Cotai</v>
          </cell>
          <cell r="EV375" t="str">
            <v>LVS</v>
          </cell>
        </row>
        <row r="376">
          <cell r="ER376" t="str">
            <v>MGM Grand</v>
          </cell>
          <cell r="ES376">
            <v>600</v>
          </cell>
          <cell r="ET376" t="str">
            <v>4Q07</v>
          </cell>
          <cell r="EU376" t="str">
            <v>Macau</v>
          </cell>
          <cell r="EV376" t="str">
            <v>MGM</v>
          </cell>
        </row>
        <row r="377">
          <cell r="ER377" t="str">
            <v>Cotai Site 2 - Four Seasons</v>
          </cell>
          <cell r="ES377">
            <v>400</v>
          </cell>
          <cell r="ET377" t="str">
            <v>1Q08</v>
          </cell>
          <cell r="EU377" t="str">
            <v>Cotai</v>
          </cell>
          <cell r="EV377" t="str">
            <v>LVS</v>
          </cell>
        </row>
        <row r="378">
          <cell r="ER378" t="str">
            <v>Ponte 16</v>
          </cell>
          <cell r="ES378">
            <v>420</v>
          </cell>
          <cell r="ET378" t="str">
            <v>1Q08</v>
          </cell>
          <cell r="EU378" t="str">
            <v>Macau</v>
          </cell>
          <cell r="EV378" t="str">
            <v>SJM</v>
          </cell>
        </row>
        <row r="379">
          <cell r="ER379" t="str">
            <v>Arc de Triomphe</v>
          </cell>
          <cell r="ES379">
            <v>400</v>
          </cell>
          <cell r="ET379" t="str">
            <v>1Q08</v>
          </cell>
          <cell r="EU379" t="str">
            <v>Macau</v>
          </cell>
          <cell r="EV379" t="str">
            <v>SJM</v>
          </cell>
        </row>
        <row r="380">
          <cell r="ER380" t="str">
            <v>Cotai Site 5 - Shangri-La</v>
          </cell>
          <cell r="ES380">
            <v>2200</v>
          </cell>
          <cell r="ET380" t="str">
            <v>2Q08</v>
          </cell>
          <cell r="EU380" t="str">
            <v>Cotai</v>
          </cell>
          <cell r="EV380" t="str">
            <v>LVS</v>
          </cell>
        </row>
        <row r="381">
          <cell r="ER381" t="str">
            <v>Cotai Site 6 - Sheraton</v>
          </cell>
          <cell r="ES381">
            <v>4000</v>
          </cell>
          <cell r="ET381" t="str">
            <v>2Q08</v>
          </cell>
          <cell r="EU381" t="str">
            <v>Cotai</v>
          </cell>
          <cell r="EV381" t="str">
            <v>LVS</v>
          </cell>
        </row>
        <row r="382">
          <cell r="ER382" t="str">
            <v>Galaxy Cotai Mega Resort</v>
          </cell>
          <cell r="ES382">
            <v>1500</v>
          </cell>
          <cell r="ET382" t="str">
            <v>2Q08</v>
          </cell>
          <cell r="EU382" t="str">
            <v>Cotai</v>
          </cell>
          <cell r="EV382" t="str">
            <v>Galaxy</v>
          </cell>
        </row>
        <row r="383">
          <cell r="ER383" t="str">
            <v>Cotai Site 3 - Far East</v>
          </cell>
          <cell r="ES383">
            <v>3600</v>
          </cell>
          <cell r="ET383" t="str">
            <v>4Q08</v>
          </cell>
          <cell r="EU383" t="str">
            <v>Cotai</v>
          </cell>
          <cell r="EV383" t="str">
            <v>LVS</v>
          </cell>
        </row>
        <row r="384">
          <cell r="ER384" t="str">
            <v>Cotai Site 7 - Hilton</v>
          </cell>
          <cell r="ES384">
            <v>3000</v>
          </cell>
          <cell r="ET384" t="str">
            <v>4Q08</v>
          </cell>
          <cell r="EU384" t="str">
            <v>Cotai</v>
          </cell>
          <cell r="EV384" t="str">
            <v>LVS</v>
          </cell>
        </row>
        <row r="385">
          <cell r="ER385" t="str">
            <v>Cotai Site 8 - FHR/Raffles</v>
          </cell>
          <cell r="ES385">
            <v>3000</v>
          </cell>
          <cell r="ET385" t="str">
            <v>4Q08</v>
          </cell>
          <cell r="EU385" t="str">
            <v>Cotai</v>
          </cell>
          <cell r="EV385" t="str">
            <v>LVS</v>
          </cell>
        </row>
        <row r="386">
          <cell r="ER386" t="str">
            <v>Oceanus</v>
          </cell>
          <cell r="ES386">
            <v>600</v>
          </cell>
          <cell r="ET386">
            <v>2009</v>
          </cell>
          <cell r="EU386" t="str">
            <v>Macau</v>
          </cell>
          <cell r="EV386" t="str">
            <v>SJM</v>
          </cell>
        </row>
        <row r="387">
          <cell r="ER387" t="str">
            <v>Penninsula Project</v>
          </cell>
          <cell r="ES387">
            <v>150</v>
          </cell>
          <cell r="ET387">
            <v>2009</v>
          </cell>
          <cell r="EU387" t="str">
            <v>Macau</v>
          </cell>
          <cell r="EV387" t="str">
            <v>Melco/PBL</v>
          </cell>
        </row>
        <row r="388">
          <cell r="ER388" t="str">
            <v>City of Dreams</v>
          </cell>
          <cell r="ES388">
            <v>1640</v>
          </cell>
          <cell r="ET388">
            <v>2009</v>
          </cell>
          <cell r="EU388" t="str">
            <v>Cotai</v>
          </cell>
          <cell r="EV388" t="str">
            <v>Melco/PBL</v>
          </cell>
        </row>
        <row r="389">
          <cell r="ER389" t="str">
            <v>eSun Casino</v>
          </cell>
          <cell r="ES389">
            <v>1500</v>
          </cell>
          <cell r="ET389">
            <v>2009</v>
          </cell>
          <cell r="EU389" t="str">
            <v>Cotai</v>
          </cell>
          <cell r="EV389" t="str">
            <v>TBD</v>
          </cell>
        </row>
        <row r="390">
          <cell r="ER390" t="str">
            <v>Mandarin Oriental</v>
          </cell>
          <cell r="ES390">
            <v>210</v>
          </cell>
          <cell r="ET390">
            <v>2009</v>
          </cell>
          <cell r="EU390" t="str">
            <v>Macau</v>
          </cell>
          <cell r="EV390" t="str">
            <v>None</v>
          </cell>
        </row>
        <row r="391">
          <cell r="ER391" t="str">
            <v>Wynn Cotai</v>
          </cell>
          <cell r="ES391">
            <v>3000</v>
          </cell>
          <cell r="ET391">
            <v>2010</v>
          </cell>
          <cell r="EU391" t="str">
            <v>Cotai</v>
          </cell>
          <cell r="EV391" t="str">
            <v>WYNN</v>
          </cell>
        </row>
        <row r="392">
          <cell r="ER392" t="str">
            <v>Nova de Taipa Phase 5</v>
          </cell>
          <cell r="ES392">
            <v>600</v>
          </cell>
          <cell r="ET392">
            <v>2010</v>
          </cell>
          <cell r="EU392" t="str">
            <v>Macau</v>
          </cell>
          <cell r="EV392" t="str">
            <v>None</v>
          </cell>
        </row>
        <row r="393">
          <cell r="ER393" t="str">
            <v>Shun Tak Nam Van</v>
          </cell>
          <cell r="ES393">
            <v>500</v>
          </cell>
          <cell r="ET393">
            <v>2010</v>
          </cell>
          <cell r="EU393" t="str">
            <v>Macau</v>
          </cell>
          <cell r="EV393" t="str">
            <v>SJM</v>
          </cell>
        </row>
        <row r="394">
          <cell r="ER394" t="str">
            <v>Shun Tak Cotai</v>
          </cell>
          <cell r="ES394">
            <v>2000</v>
          </cell>
          <cell r="ET394">
            <v>2011</v>
          </cell>
          <cell r="EU394" t="str">
            <v>Cotai</v>
          </cell>
          <cell r="EV394" t="str">
            <v>SJM</v>
          </cell>
        </row>
        <row r="395">
          <cell r="ES395" t="str">
            <v>_____</v>
          </cell>
        </row>
        <row r="396">
          <cell r="ER396" t="str">
            <v>Total</v>
          </cell>
          <cell r="ES396">
            <v>33905</v>
          </cell>
        </row>
        <row r="398">
          <cell r="ER398" t="str">
            <v>Note: excludes Cotai hotel expansions</v>
          </cell>
        </row>
        <row r="399">
          <cell r="EW399" t="str">
            <v>Infrastructure Projects</v>
          </cell>
        </row>
        <row r="400">
          <cell r="EW400" t="str">
            <v>Project</v>
          </cell>
          <cell r="EX400" t="str">
            <v>Completion</v>
          </cell>
          <cell r="EY400" t="str">
            <v>Status</v>
          </cell>
          <cell r="EZ400" t="str">
            <v>Details</v>
          </cell>
          <cell r="FA400" t="str">
            <v>Est. Cost</v>
          </cell>
        </row>
        <row r="402">
          <cell r="EW402" t="str">
            <v>Land reclamation</v>
          </cell>
          <cell r="EX402" t="str">
            <v>2026</v>
          </cell>
          <cell r="EY402" t="str">
            <v>Proposed</v>
          </cell>
          <cell r="EZ402" t="str">
            <v>Add 1,000 acres to Macau land, helping traffic and housing</v>
          </cell>
        </row>
        <row r="403">
          <cell r="EW403" t="str">
            <v>Roundabout</v>
          </cell>
          <cell r="EX403" t="str">
            <v>1Q07</v>
          </cell>
          <cell r="EY403" t="str">
            <v>In Process</v>
          </cell>
          <cell r="EZ403" t="str">
            <v>Make traffic and pedestrian flow easier by Casino Lisboa</v>
          </cell>
        </row>
        <row r="404">
          <cell r="EW404" t="str">
            <v>New Taipa tunnel</v>
          </cell>
          <cell r="EX404" t="str">
            <v>2009</v>
          </cell>
          <cell r="EY404" t="str">
            <v>In Process</v>
          </cell>
          <cell r="EZ404" t="str">
            <v>Add 4th link to Macau-Taipa crossing</v>
          </cell>
        </row>
        <row r="405">
          <cell r="EW405" t="str">
            <v>Hong Kong-Macau-Zhuhai bridge</v>
          </cell>
          <cell r="EX405" t="str">
            <v>2011</v>
          </cell>
          <cell r="EY405" t="str">
            <v>Proposed</v>
          </cell>
          <cell r="EZ405" t="str">
            <v>Shorten HK to Macau drive time to 1/2 hour from 4.5 hours</v>
          </cell>
          <cell r="FA405" t="str">
            <v>$4-5b</v>
          </cell>
        </row>
        <row r="406">
          <cell r="EW406" t="str">
            <v>Gongbei Expansion</v>
          </cell>
          <cell r="EY406" t="str">
            <v>Proposed</v>
          </cell>
          <cell r="EZ406" t="str">
            <v>Double border gate capacity to 600,000 people per day</v>
          </cell>
        </row>
        <row r="407">
          <cell r="EW407" t="str">
            <v>Expansion of airport</v>
          </cell>
          <cell r="EX407" t="str">
            <v>2009</v>
          </cell>
          <cell r="EY407" t="str">
            <v>Proposed</v>
          </cell>
          <cell r="EZ407" t="str">
            <v>Double passenger capacity to 12 million annually</v>
          </cell>
        </row>
        <row r="408">
          <cell r="EW408" t="str">
            <v>Lotus Bridge Expansion</v>
          </cell>
          <cell r="EX408" t="str">
            <v>Late '06/ early '07</v>
          </cell>
          <cell r="EY408" t="str">
            <v>In Process</v>
          </cell>
          <cell r="EZ408" t="str">
            <v>Make link to Cotai more usable for bus traffic</v>
          </cell>
        </row>
        <row r="409">
          <cell r="EW409" t="str">
            <v>New Taipa ferry terminal</v>
          </cell>
          <cell r="EX409">
            <v>2007</v>
          </cell>
          <cell r="EY409" t="str">
            <v>In Process</v>
          </cell>
          <cell r="EZ409" t="str">
            <v>Make Cotai a 5 mintue drive from terminal, bypassing old Macau</v>
          </cell>
          <cell r="FA409" t="str">
            <v>$60mm</v>
          </cell>
        </row>
        <row r="410">
          <cell r="EW410" t="str">
            <v>Subway to Wanzi</v>
          </cell>
          <cell r="EY410" t="str">
            <v>Proposed</v>
          </cell>
          <cell r="EZ410" t="str">
            <v>Pedestrian link between Zhuhai and Inner Harbor</v>
          </cell>
        </row>
        <row r="411">
          <cell r="EW411" t="str">
            <v>Internal Macau light rail system</v>
          </cell>
          <cell r="EX411" t="str">
            <v>Phase I 2009</v>
          </cell>
          <cell r="EY411" t="str">
            <v>Proposed</v>
          </cell>
          <cell r="EZ411" t="str">
            <v>3 lines, 17 miles, linking peninsula to Cotai, city loop line</v>
          </cell>
          <cell r="FA411" t="str">
            <v>$2-2.5b</v>
          </cell>
        </row>
        <row r="412">
          <cell r="EW412" t="str">
            <v>Expansion/ modernization of China road/rail network</v>
          </cell>
          <cell r="EX412" t="str">
            <v>2020</v>
          </cell>
          <cell r="EY412" t="str">
            <v>In Process</v>
          </cell>
          <cell r="EZ412" t="str">
            <v>10,000 km rail, 30,000 km road construction in Southern China</v>
          </cell>
        </row>
        <row r="414">
          <cell r="FB414" t="str">
            <v>Gaming &amp; Hotel employees needed</v>
          </cell>
        </row>
        <row r="415">
          <cell r="FC415">
            <v>2004</v>
          </cell>
          <cell r="FD415">
            <v>2005</v>
          </cell>
          <cell r="FE415" t="str">
            <v>2006E</v>
          </cell>
          <cell r="FF415" t="str">
            <v>2007E</v>
          </cell>
          <cell r="FG415" t="str">
            <v>2008E</v>
          </cell>
          <cell r="FH415" t="str">
            <v>2009E</v>
          </cell>
          <cell r="FI415" t="str">
            <v>2010E</v>
          </cell>
        </row>
        <row r="417">
          <cell r="FB417" t="str">
            <v>Gaming Tables</v>
          </cell>
          <cell r="FC417">
            <v>660.54586717630195</v>
          </cell>
          <cell r="FD417">
            <v>1251.75</v>
          </cell>
          <cell r="FE417">
            <v>2064.4426328502418</v>
          </cell>
          <cell r="FF417">
            <v>3839.166666666667</v>
          </cell>
          <cell r="FG417">
            <v>5581</v>
          </cell>
          <cell r="FH417">
            <v>8198.5</v>
          </cell>
          <cell r="FI417">
            <v>9966</v>
          </cell>
        </row>
        <row r="418">
          <cell r="FB418" t="str">
            <v xml:space="preserve">  Employees/Table</v>
          </cell>
          <cell r="FC418">
            <v>37.070097955006155</v>
          </cell>
          <cell r="FD418">
            <v>24.26323147593369</v>
          </cell>
          <cell r="FE418">
            <v>20.437357965580738</v>
          </cell>
          <cell r="FF418">
            <v>20.047988212869072</v>
          </cell>
          <cell r="FG418">
            <v>17.454695707879562</v>
          </cell>
          <cell r="FH418">
            <v>15.709226137091607</v>
          </cell>
          <cell r="FI418">
            <v>14.138303523382445</v>
          </cell>
        </row>
        <row r="419">
          <cell r="FB419" t="str">
            <v>Gaming Employees</v>
          </cell>
          <cell r="FC419">
            <v>20518</v>
          </cell>
          <cell r="FD419">
            <v>24136.249999999996</v>
          </cell>
          <cell r="FE419">
            <v>42191.753086966361</v>
          </cell>
          <cell r="FF419">
            <v>76967.568080573183</v>
          </cell>
          <cell r="FG419">
            <v>97414.656745675835</v>
          </cell>
          <cell r="FH419">
            <v>128792.09048494554</v>
          </cell>
          <cell r="FI419">
            <v>140902.33291402945</v>
          </cell>
          <cell r="FJ419">
            <v>73278.406745675835</v>
          </cell>
          <cell r="FK419">
            <v>116766.08291402945</v>
          </cell>
        </row>
        <row r="420">
          <cell r="FB420" t="str">
            <v xml:space="preserve">  % Change</v>
          </cell>
          <cell r="FD420">
            <v>0.17634516034701231</v>
          </cell>
          <cell r="FE420">
            <v>0.74806579675659512</v>
          </cell>
          <cell r="FF420">
            <v>0.82423252055742546</v>
          </cell>
          <cell r="FG420">
            <v>0.26565849974235523</v>
          </cell>
          <cell r="FH420">
            <v>0.32210177387564953</v>
          </cell>
          <cell r="FI420">
            <v>9.4029395621150202E-2</v>
          </cell>
        </row>
        <row r="421">
          <cell r="FB421" t="str">
            <v xml:space="preserve"> </v>
          </cell>
        </row>
        <row r="422">
          <cell r="FB422" t="str">
            <v>Hotel Rooms</v>
          </cell>
          <cell r="FC422">
            <v>9232.5</v>
          </cell>
          <cell r="FD422">
            <v>10534.833333333332</v>
          </cell>
          <cell r="FE422">
            <v>11819.416666666666</v>
          </cell>
          <cell r="FF422">
            <v>15220.325250836122</v>
          </cell>
          <cell r="FG422">
            <v>21337.818840579712</v>
          </cell>
          <cell r="FH422">
            <v>33922.818840579712</v>
          </cell>
          <cell r="FI422">
            <v>48497.818840579712</v>
          </cell>
        </row>
        <row r="423">
          <cell r="FB423" t="str">
            <v xml:space="preserve">  Employees/Room</v>
          </cell>
          <cell r="FC423">
            <v>0.80794746818304897</v>
          </cell>
          <cell r="FD423">
            <v>0.85471214542232909</v>
          </cell>
          <cell r="FE423">
            <v>0.77858858359416339</v>
          </cell>
          <cell r="FF423">
            <v>0.678779490405788</v>
          </cell>
          <cell r="FG423">
            <v>0.61090154136520936</v>
          </cell>
          <cell r="FH423">
            <v>0.54981138722868839</v>
          </cell>
          <cell r="FI423">
            <v>0.49483024850581958</v>
          </cell>
        </row>
        <row r="424">
          <cell r="FB424" t="str">
            <v>Hotel Employees</v>
          </cell>
          <cell r="FC424">
            <v>7459.375</v>
          </cell>
          <cell r="FD424">
            <v>9004.2499999999982</v>
          </cell>
          <cell r="FE424">
            <v>9202.4628814092484</v>
          </cell>
          <cell r="FF424">
            <v>10331.244617572891</v>
          </cell>
          <cell r="FG424">
            <v>13035.306419081749</v>
          </cell>
          <cell r="FH424">
            <v>18651.152085446618</v>
          </cell>
          <cell r="FI424">
            <v>23998.187748874279</v>
          </cell>
          <cell r="FJ424">
            <v>131760.02066290373</v>
          </cell>
        </row>
        <row r="425">
          <cell r="FB425" t="str">
            <v xml:space="preserve">  % Change</v>
          </cell>
          <cell r="FD425">
            <v>0.20710515291160436</v>
          </cell>
          <cell r="FE425">
            <v>2.2013258340144892E-2</v>
          </cell>
          <cell r="FF425">
            <v>0.12266083011798945</v>
          </cell>
          <cell r="FG425">
            <v>0.26173630589574803</v>
          </cell>
          <cell r="FH425">
            <v>0.43081807867163802</v>
          </cell>
          <cell r="FI425">
            <v>0.28668661533246098</v>
          </cell>
        </row>
        <row r="427">
          <cell r="FJ427" t="str">
            <v>Macau spend per visitor</v>
          </cell>
        </row>
        <row r="428">
          <cell r="FK428">
            <v>1999</v>
          </cell>
          <cell r="FL428">
            <v>2000</v>
          </cell>
          <cell r="FM428">
            <v>2001</v>
          </cell>
          <cell r="FN428">
            <v>2002</v>
          </cell>
          <cell r="FO428">
            <v>2003</v>
          </cell>
          <cell r="FP428">
            <v>2004</v>
          </cell>
          <cell r="FQ428">
            <v>2005</v>
          </cell>
          <cell r="FR428" t="str">
            <v>2006E</v>
          </cell>
          <cell r="FS428" t="str">
            <v>2007E</v>
          </cell>
          <cell r="FT428" t="str">
            <v>2008E</v>
          </cell>
          <cell r="FU428" t="str">
            <v>2009E</v>
          </cell>
          <cell r="FV428" t="str">
            <v>2010E</v>
          </cell>
        </row>
        <row r="430">
          <cell r="FJ430" t="str">
            <v>Total Gaming Revenue/Visitor</v>
          </cell>
          <cell r="FK430">
            <v>217.86376862885368</v>
          </cell>
          <cell r="FL430">
            <v>216.84155772657923</v>
          </cell>
          <cell r="FM430">
            <v>219.47156798001637</v>
          </cell>
          <cell r="FN430">
            <v>233.6752566583952</v>
          </cell>
          <cell r="FO430">
            <v>292.57303766303806</v>
          </cell>
          <cell r="FP430">
            <v>300.64740025553272</v>
          </cell>
          <cell r="FQ430">
            <v>298.38041359532156</v>
          </cell>
          <cell r="FR430">
            <v>312.40935136002508</v>
          </cell>
          <cell r="FS430">
            <v>324.40477229611457</v>
          </cell>
          <cell r="FT430">
            <v>320.62196092006934</v>
          </cell>
          <cell r="FU430">
            <v>319.86097383534667</v>
          </cell>
          <cell r="FV430">
            <v>312.01678956696031</v>
          </cell>
        </row>
        <row r="431">
          <cell r="FJ431" t="str">
            <v xml:space="preserve">  % Change</v>
          </cell>
          <cell r="FK431">
            <v>-0.16593356360145228</v>
          </cell>
          <cell r="FL431">
            <v>-4.6919729182499648E-3</v>
          </cell>
          <cell r="FM431">
            <v>1.212871868755605E-2</v>
          </cell>
          <cell r="FN431">
            <v>6.4717670763039914E-2</v>
          </cell>
          <cell r="FO431">
            <v>0.25204971141101273</v>
          </cell>
          <cell r="FP431">
            <v>2.7597767234430082E-2</v>
          </cell>
          <cell r="FQ431">
            <v>-7.5403501187250033E-3</v>
          </cell>
          <cell r="FR431">
            <v>4.7016952606447893E-2</v>
          </cell>
          <cell r="FS431">
            <v>3.8396484880715898E-2</v>
          </cell>
          <cell r="FT431">
            <v>-1.1660775978327154E-2</v>
          </cell>
          <cell r="FU431">
            <v>-2.373471494400814E-3</v>
          </cell>
          <cell r="FV431">
            <v>-2.4523730339245042E-2</v>
          </cell>
        </row>
        <row r="433">
          <cell r="FJ433" t="str">
            <v>Mass Market Gaming Revenue/Visitor</v>
          </cell>
          <cell r="FK433">
            <v>74.093968535002972</v>
          </cell>
          <cell r="FL433">
            <v>69.485441851167352</v>
          </cell>
          <cell r="FM433">
            <v>64.879130958528137</v>
          </cell>
          <cell r="FN433">
            <v>61.631618489333086</v>
          </cell>
          <cell r="FO433">
            <v>66.388826584460716</v>
          </cell>
          <cell r="FP433">
            <v>84.303626644021449</v>
          </cell>
          <cell r="FQ433">
            <v>111.44221269958217</v>
          </cell>
          <cell r="FR433">
            <v>109.56058503486751</v>
          </cell>
          <cell r="FS433">
            <v>117.91681169731642</v>
          </cell>
          <cell r="FT433">
            <v>128.14735361515733</v>
          </cell>
          <cell r="FU433">
            <v>143.23197396120545</v>
          </cell>
          <cell r="FV433">
            <v>152.8036252338226</v>
          </cell>
        </row>
        <row r="434">
          <cell r="FJ434" t="str">
            <v xml:space="preserve">  % Change</v>
          </cell>
          <cell r="FK434">
            <v>-0.22325466096502977</v>
          </cell>
          <cell r="FL434">
            <v>-6.2198405281240876E-2</v>
          </cell>
          <cell r="FM434">
            <v>-6.6291740685848866E-2</v>
          </cell>
          <cell r="FN434">
            <v>-5.0054808398573014E-2</v>
          </cell>
          <cell r="FO434">
            <v>7.7187784642569257E-2</v>
          </cell>
          <cell r="FP434">
            <v>0.26984661397455634</v>
          </cell>
          <cell r="FQ434">
            <v>0.32191481121156862</v>
          </cell>
          <cell r="FR434">
            <v>-1.6884335110852633E-2</v>
          </cell>
          <cell r="FS434">
            <v>7.6270372778582285E-2</v>
          </cell>
          <cell r="FT434">
            <v>8.6760672804671257E-2</v>
          </cell>
          <cell r="FU434">
            <v>0.11771308513595335</v>
          </cell>
          <cell r="FV434">
            <v>6.6826219089947347E-2</v>
          </cell>
        </row>
        <row r="436">
          <cell r="FJ436" t="str">
            <v>Las Vegas Gaming Revenue/Visitor</v>
          </cell>
          <cell r="FK436">
            <v>132.7643113840183</v>
          </cell>
          <cell r="FL436">
            <v>134.04751552809759</v>
          </cell>
          <cell r="FM436">
            <v>134.33016420084542</v>
          </cell>
          <cell r="FN436">
            <v>132.73488993415023</v>
          </cell>
          <cell r="FO436">
            <v>134.04098511074497</v>
          </cell>
          <cell r="FP436">
            <v>142.65024663414405</v>
          </cell>
          <cell r="FQ436">
            <v>145.42860799220509</v>
          </cell>
          <cell r="FR436">
            <v>148.3371801520492</v>
          </cell>
          <cell r="FS436">
            <v>151.30392375509018</v>
          </cell>
          <cell r="FT436">
            <v>154.33000223019198</v>
          </cell>
          <cell r="FU436">
            <v>157.41660227479582</v>
          </cell>
          <cell r="FV436">
            <v>160.56493432029174</v>
          </cell>
        </row>
        <row r="437">
          <cell r="FJ437" t="str">
            <v xml:space="preserve">  % Change</v>
          </cell>
          <cell r="FK437">
            <v>6.5798123042734913E-2</v>
          </cell>
          <cell r="FL437">
            <v>9.665279250894887E-3</v>
          </cell>
          <cell r="FM437">
            <v>2.1085707678676346E-3</v>
          </cell>
          <cell r="FN437">
            <v>-1.1875770986998768E-2</v>
          </cell>
          <cell r="FO437">
            <v>9.8398784015467644E-3</v>
          </cell>
          <cell r="FP437">
            <v>6.4228575433745716E-2</v>
          </cell>
          <cell r="FQ437">
            <v>1.947673714989584E-2</v>
          </cell>
          <cell r="FR437">
            <v>2.0000000000000018E-2</v>
          </cell>
          <cell r="FS437">
            <v>2.0000000000000018E-2</v>
          </cell>
          <cell r="FT437">
            <v>2.0000000000000018E-2</v>
          </cell>
          <cell r="FU437">
            <v>2.0000000000000018E-2</v>
          </cell>
          <cell r="FV437">
            <v>2.0000000000000018E-2</v>
          </cell>
        </row>
        <row r="439">
          <cell r="FJ439" t="str">
            <v>US Personal Disposable Income per capita</v>
          </cell>
          <cell r="FK439">
            <v>23968</v>
          </cell>
          <cell r="FL439">
            <v>25472</v>
          </cell>
          <cell r="FM439">
            <v>26236</v>
          </cell>
          <cell r="FN439">
            <v>27159</v>
          </cell>
          <cell r="FO439">
            <v>28034</v>
          </cell>
          <cell r="FP439">
            <v>29416</v>
          </cell>
        </row>
        <row r="440">
          <cell r="FJ440" t="str">
            <v xml:space="preserve">  % Change</v>
          </cell>
          <cell r="FL440">
            <v>6.2750333778371248E-2</v>
          </cell>
          <cell r="FM440">
            <v>2.9993718592964846E-2</v>
          </cell>
          <cell r="FN440">
            <v>3.5180667784723285E-2</v>
          </cell>
          <cell r="FO440">
            <v>3.2217681063367642E-2</v>
          </cell>
          <cell r="FP440">
            <v>4.9297281872012544E-2</v>
          </cell>
        </row>
        <row r="442">
          <cell r="FJ442" t="str">
            <v>China Personal Disposable Income per capita, yuan</v>
          </cell>
          <cell r="FK442">
            <v>5854.02</v>
          </cell>
          <cell r="FL442">
            <v>6280</v>
          </cell>
          <cell r="FM442">
            <v>6859.6</v>
          </cell>
          <cell r="FN442">
            <v>7702.8</v>
          </cell>
          <cell r="FO442">
            <v>8472.2000000000007</v>
          </cell>
        </row>
        <row r="443">
          <cell r="FK443">
            <v>8.2782841897233155</v>
          </cell>
          <cell r="FL443">
            <v>8.2784197628458553</v>
          </cell>
          <cell r="FM443">
            <v>8.2770746987951913</v>
          </cell>
          <cell r="FN443">
            <v>8.2763569169960558</v>
          </cell>
          <cell r="FO443">
            <v>8.2770482213438719</v>
          </cell>
          <cell r="FP443">
            <v>8.2767809525691511</v>
          </cell>
        </row>
        <row r="444">
          <cell r="FJ444" t="str">
            <v>China Personal Disposable Income per capita, USD</v>
          </cell>
          <cell r="FK444">
            <v>707.15378523332129</v>
          </cell>
          <cell r="FL444">
            <v>758.59888479986148</v>
          </cell>
          <cell r="FM444">
            <v>828.74690027848624</v>
          </cell>
          <cell r="FN444">
            <v>930.69934963556034</v>
          </cell>
          <cell r="FO444">
            <v>1023.5774606402431</v>
          </cell>
        </row>
        <row r="445">
          <cell r="FJ445" t="str">
            <v xml:space="preserve">  % Change</v>
          </cell>
          <cell r="FL445">
            <v>7.2749521590365518E-2</v>
          </cell>
          <cell r="FM445">
            <v>9.2470496443099348E-2</v>
          </cell>
          <cell r="FN445">
            <v>0.12302000685953063</v>
          </cell>
          <cell r="FO445">
            <v>9.9793892669046702E-2</v>
          </cell>
        </row>
        <row r="447">
          <cell r="FJ447" t="str">
            <v>LV Revenue/Visitor as Share of Income</v>
          </cell>
          <cell r="FK447">
            <v>5.5392319502677858E-3</v>
          </cell>
          <cell r="FL447">
            <v>5.2625437942877508E-3</v>
          </cell>
          <cell r="FM447">
            <v>5.1200702927597739E-3</v>
          </cell>
          <cell r="FN447">
            <v>4.8873261141481727E-3</v>
          </cell>
          <cell r="FO447">
            <v>4.7813720878485044E-3</v>
          </cell>
        </row>
        <row r="448">
          <cell r="FJ448" t="str">
            <v>Macau Mass Revenue/Visitor as Share of Income</v>
          </cell>
          <cell r="FK448">
            <v>0.10477773022250896</v>
          </cell>
          <cell r="FL448">
            <v>9.1597078829742093E-2</v>
          </cell>
          <cell r="FM448">
            <v>7.8285820359299818E-2</v>
          </cell>
          <cell r="FN448">
            <v>6.6220760241711307E-2</v>
          </cell>
          <cell r="FO448">
            <v>6.4859601874131548E-2</v>
          </cell>
        </row>
        <row r="451">
          <cell r="FW451" t="str">
            <v>% Impact of revaluation to EBITDA</v>
          </cell>
        </row>
        <row r="452">
          <cell r="FW452" t="str">
            <v>% Change in EBITDA = % RMB Appreciation * (RMB Revenue Share - RMB Expense Share * (1- Margin))/Margin</v>
          </cell>
        </row>
        <row r="453">
          <cell r="FY453" t="str">
            <v>Margin:</v>
          </cell>
          <cell r="FZ453">
            <v>0.35</v>
          </cell>
          <cell r="GI453" t="str">
            <v>% RMB Revenues</v>
          </cell>
          <cell r="GJ453">
            <v>0.7</v>
          </cell>
        </row>
        <row r="454">
          <cell r="FY454" t="str">
            <v>% Appreciation:</v>
          </cell>
          <cell r="FZ454">
            <v>0.2</v>
          </cell>
          <cell r="GI454" t="str">
            <v>% RMB Expenses</v>
          </cell>
          <cell r="GJ454">
            <v>0.2</v>
          </cell>
        </row>
        <row r="455">
          <cell r="FW455" t="str">
            <v>EBITDA Impact from 20% RMB Appreciation, Assumes 35% Margin</v>
          </cell>
          <cell r="GG455" t="str">
            <v>EBITDA Impact Assuming 70% Revenue, 20% Expense Exposure to RMB</v>
          </cell>
        </row>
        <row r="456">
          <cell r="FY456" t="str">
            <v>% of Revenue Denominated in RMB</v>
          </cell>
          <cell r="GI456" t="str">
            <v>% RMB Appreciation</v>
          </cell>
        </row>
        <row r="457">
          <cell r="FY457">
            <v>0.4</v>
          </cell>
          <cell r="FZ457">
            <v>0.5</v>
          </cell>
          <cell r="GA457">
            <v>0.6</v>
          </cell>
          <cell r="GB457">
            <v>0.7</v>
          </cell>
          <cell r="GC457">
            <v>0.79999999999999993</v>
          </cell>
          <cell r="GD457">
            <v>0.89999999999999991</v>
          </cell>
          <cell r="GE457">
            <v>0.99999999999999989</v>
          </cell>
          <cell r="GI457">
            <v>0.05</v>
          </cell>
          <cell r="GJ457">
            <v>0.1</v>
          </cell>
          <cell r="GK457">
            <v>0.15000000000000002</v>
          </cell>
          <cell r="GL457">
            <v>0.2</v>
          </cell>
          <cell r="GM457">
            <v>0.25</v>
          </cell>
          <cell r="GN457">
            <v>0.3</v>
          </cell>
          <cell r="GO457">
            <v>0.35</v>
          </cell>
        </row>
        <row r="458">
          <cell r="FW458" t="str">
            <v>% of Expense Denominated in RMB</v>
          </cell>
          <cell r="FX458">
            <v>0.05</v>
          </cell>
          <cell r="FY458">
            <v>0.21000000000000005</v>
          </cell>
          <cell r="FZ458">
            <v>0.26714285714285718</v>
          </cell>
          <cell r="GA458">
            <v>0.32428571428571434</v>
          </cell>
          <cell r="GB458">
            <v>0.38142857142857145</v>
          </cell>
          <cell r="GC458">
            <v>0.43857142857142861</v>
          </cell>
          <cell r="GD458">
            <v>0.49571428571428572</v>
          </cell>
          <cell r="GE458">
            <v>0.55285714285714294</v>
          </cell>
          <cell r="GG458" t="str">
            <v>EBITDA Margin</v>
          </cell>
          <cell r="GH458">
            <v>0.2</v>
          </cell>
          <cell r="GI458">
            <v>0.13499999999999998</v>
          </cell>
          <cell r="GJ458">
            <v>0.26999999999999996</v>
          </cell>
          <cell r="GK458">
            <v>0.40499999999999997</v>
          </cell>
          <cell r="GL458">
            <v>0.53999999999999992</v>
          </cell>
          <cell r="GM458">
            <v>0.67499999999999982</v>
          </cell>
          <cell r="GN458">
            <v>0.80999999999999983</v>
          </cell>
          <cell r="GO458">
            <v>0.94499999999999984</v>
          </cell>
        </row>
        <row r="459">
          <cell r="FX459">
            <v>0.1</v>
          </cell>
          <cell r="FY459">
            <v>0.19142857142857145</v>
          </cell>
          <cell r="FZ459">
            <v>0.24857142857142861</v>
          </cell>
          <cell r="GA459">
            <v>0.30571428571428566</v>
          </cell>
          <cell r="GB459">
            <v>0.36285714285714288</v>
          </cell>
          <cell r="GC459">
            <v>0.42</v>
          </cell>
          <cell r="GD459">
            <v>0.4771428571428572</v>
          </cell>
          <cell r="GE459">
            <v>0.53428571428571425</v>
          </cell>
          <cell r="GH459">
            <v>0.25</v>
          </cell>
          <cell r="GI459">
            <v>0.10999999999999999</v>
          </cell>
          <cell r="GJ459">
            <v>0.21999999999999997</v>
          </cell>
          <cell r="GK459">
            <v>0.33</v>
          </cell>
          <cell r="GL459">
            <v>0.43999999999999995</v>
          </cell>
          <cell r="GM459">
            <v>0.54999999999999993</v>
          </cell>
          <cell r="GN459">
            <v>0.65999999999999992</v>
          </cell>
          <cell r="GO459">
            <v>0.76999999999999991</v>
          </cell>
        </row>
        <row r="460">
          <cell r="FX460">
            <v>0.15000000000000002</v>
          </cell>
          <cell r="FY460">
            <v>0.17285714285714288</v>
          </cell>
          <cell r="FZ460">
            <v>0.23</v>
          </cell>
          <cell r="GA460">
            <v>0.28714285714285714</v>
          </cell>
          <cell r="GB460">
            <v>0.34428571428571431</v>
          </cell>
          <cell r="GC460">
            <v>0.40142857142857141</v>
          </cell>
          <cell r="GD460">
            <v>0.45857142857142852</v>
          </cell>
          <cell r="GE460">
            <v>0.51571428571428568</v>
          </cell>
          <cell r="GH460">
            <v>0.3</v>
          </cell>
          <cell r="GI460">
            <v>9.3333333333333324E-2</v>
          </cell>
          <cell r="GJ460">
            <v>0.18666666666666665</v>
          </cell>
          <cell r="GK460">
            <v>0.28000000000000003</v>
          </cell>
          <cell r="GL460">
            <v>0.37333333333333329</v>
          </cell>
          <cell r="GM460">
            <v>0.46666666666666662</v>
          </cell>
          <cell r="GN460">
            <v>0.55999999999999994</v>
          </cell>
          <cell r="GO460">
            <v>0.65333333333333332</v>
          </cell>
        </row>
        <row r="461">
          <cell r="FX461">
            <v>0.2</v>
          </cell>
          <cell r="FY461">
            <v>0.1542857142857143</v>
          </cell>
          <cell r="FZ461">
            <v>0.21142857142857144</v>
          </cell>
          <cell r="GA461">
            <v>0.26857142857142857</v>
          </cell>
          <cell r="GB461">
            <v>0.32571428571428573</v>
          </cell>
          <cell r="GC461">
            <v>0.38285714285714284</v>
          </cell>
          <cell r="GD461">
            <v>0.44</v>
          </cell>
          <cell r="GE461">
            <v>0.49714285714285716</v>
          </cell>
          <cell r="GH461">
            <v>0.35</v>
          </cell>
          <cell r="GI461">
            <v>8.1428571428571433E-2</v>
          </cell>
          <cell r="GJ461">
            <v>0.16285714285714287</v>
          </cell>
          <cell r="GK461">
            <v>0.24428571428571433</v>
          </cell>
          <cell r="GL461">
            <v>0.32571428571428573</v>
          </cell>
          <cell r="GM461">
            <v>0.40714285714285714</v>
          </cell>
          <cell r="GN461">
            <v>0.48857142857142855</v>
          </cell>
          <cell r="GO461">
            <v>0.56999999999999995</v>
          </cell>
        </row>
        <row r="462">
          <cell r="FX462">
            <v>0.25</v>
          </cell>
          <cell r="FY462">
            <v>0.13571428571428573</v>
          </cell>
          <cell r="FZ462">
            <v>0.19285714285714289</v>
          </cell>
          <cell r="GA462">
            <v>0.25000000000000006</v>
          </cell>
          <cell r="GB462">
            <v>0.30714285714285716</v>
          </cell>
          <cell r="GC462">
            <v>0.36428571428571432</v>
          </cell>
          <cell r="GD462">
            <v>0.42142857142857143</v>
          </cell>
          <cell r="GE462">
            <v>0.47857142857142854</v>
          </cell>
          <cell r="GH462">
            <v>0.39999999999999997</v>
          </cell>
          <cell r="GI462">
            <v>7.2499999999999995E-2</v>
          </cell>
          <cell r="GJ462">
            <v>0.14499999999999999</v>
          </cell>
          <cell r="GK462">
            <v>0.21750000000000003</v>
          </cell>
          <cell r="GL462">
            <v>0.28999999999999998</v>
          </cell>
          <cell r="GM462">
            <v>0.36249999999999999</v>
          </cell>
          <cell r="GN462">
            <v>0.435</v>
          </cell>
          <cell r="GO462">
            <v>0.50750000000000006</v>
          </cell>
        </row>
        <row r="463">
          <cell r="FX463">
            <v>0.3</v>
          </cell>
          <cell r="FY463">
            <v>0.11714285714285717</v>
          </cell>
          <cell r="FZ463">
            <v>0.17428571428571429</v>
          </cell>
          <cell r="GA463">
            <v>0.23142857142857146</v>
          </cell>
          <cell r="GB463">
            <v>0.28857142857142853</v>
          </cell>
          <cell r="GC463">
            <v>0.34571428571428575</v>
          </cell>
          <cell r="GD463">
            <v>0.40285714285714286</v>
          </cell>
          <cell r="GE463">
            <v>0.46</v>
          </cell>
          <cell r="GH463">
            <v>0.44999999999999996</v>
          </cell>
          <cell r="GI463">
            <v>6.5555555555555561E-2</v>
          </cell>
          <cell r="GJ463">
            <v>0.13111111111111112</v>
          </cell>
          <cell r="GK463">
            <v>0.19666666666666671</v>
          </cell>
          <cell r="GL463">
            <v>0.26222222222222225</v>
          </cell>
          <cell r="GM463">
            <v>0.32777777777777778</v>
          </cell>
          <cell r="GN463">
            <v>0.39333333333333337</v>
          </cell>
          <cell r="GO463">
            <v>0.4588888888888889</v>
          </cell>
        </row>
        <row r="464">
          <cell r="FX464">
            <v>0.35</v>
          </cell>
          <cell r="FY464">
            <v>9.8571428571428601E-2</v>
          </cell>
          <cell r="FZ464">
            <v>0.15571428571428575</v>
          </cell>
          <cell r="GA464">
            <v>0.21285714285714286</v>
          </cell>
          <cell r="GB464">
            <v>0.27</v>
          </cell>
          <cell r="GC464">
            <v>0.32714285714285718</v>
          </cell>
          <cell r="GD464">
            <v>0.38428571428571423</v>
          </cell>
          <cell r="GE464">
            <v>0.44142857142857145</v>
          </cell>
          <cell r="GH464">
            <v>0.49999999999999994</v>
          </cell>
          <cell r="GI464">
            <v>6.0000000000000005E-2</v>
          </cell>
          <cell r="GJ464">
            <v>0.12000000000000001</v>
          </cell>
          <cell r="GK464">
            <v>0.18000000000000005</v>
          </cell>
          <cell r="GL464">
            <v>0.24000000000000002</v>
          </cell>
          <cell r="GM464">
            <v>0.30000000000000004</v>
          </cell>
          <cell r="GN464">
            <v>0.36000000000000004</v>
          </cell>
          <cell r="GO464">
            <v>0.42000000000000004</v>
          </cell>
        </row>
        <row r="465">
          <cell r="GP465" t="str">
            <v>Cost of Macau Visit</v>
          </cell>
        </row>
        <row r="466">
          <cell r="GQ466" t="str">
            <v>From Guangzhou</v>
          </cell>
          <cell r="GR466" t="str">
            <v>From Beijing</v>
          </cell>
        </row>
        <row r="468">
          <cell r="GP468" t="str">
            <v>Bus Ticket</v>
          </cell>
          <cell r="GQ468" t="str">
            <v>$5-$10</v>
          </cell>
          <cell r="GR468" t="str">
            <v>CNY$4730</v>
          </cell>
        </row>
        <row r="469">
          <cell r="GR469">
            <v>591.25</v>
          </cell>
        </row>
        <row r="470">
          <cell r="GP470" t="str">
            <v>Hotel</v>
          </cell>
          <cell r="GS470" t="str">
            <v>Macau quarterly revenue breakdown</v>
          </cell>
        </row>
        <row r="471">
          <cell r="GS471" t="str">
            <v>($mm)</v>
          </cell>
          <cell r="GT471">
            <v>2003</v>
          </cell>
          <cell r="GU471">
            <v>2004</v>
          </cell>
          <cell r="GV471" t="str">
            <v>1Q05</v>
          </cell>
          <cell r="GW471" t="str">
            <v>2Q05</v>
          </cell>
          <cell r="GX471" t="str">
            <v>3Q05</v>
          </cell>
        </row>
        <row r="473">
          <cell r="GS473" t="str">
            <v>VIP Table Revenues</v>
          </cell>
          <cell r="GT473">
            <v>2688.8498544599533</v>
          </cell>
          <cell r="GU473">
            <v>3607.0036807892443</v>
          </cell>
          <cell r="GV473">
            <v>871.38028739791866</v>
          </cell>
          <cell r="GW473">
            <v>926.51373647604282</v>
          </cell>
          <cell r="GX473">
            <v>873.66750231017863</v>
          </cell>
        </row>
        <row r="474">
          <cell r="GS474" t="str">
            <v xml:space="preserve">  % Share</v>
          </cell>
          <cell r="GT474">
            <v>0.77330928187941317</v>
          </cell>
          <cell r="GU474">
            <v>0.719518947138583</v>
          </cell>
          <cell r="GV474">
            <v>0.66021107044983496</v>
          </cell>
          <cell r="GW474">
            <v>0.65546324614351004</v>
          </cell>
          <cell r="GX474">
            <v>0.61355943536736657</v>
          </cell>
        </row>
        <row r="476">
          <cell r="GS476" t="str">
            <v>Mass Market Table Revenues</v>
          </cell>
          <cell r="GT476">
            <v>759.50589422411349</v>
          </cell>
          <cell r="GU476">
            <v>1328.4804978068</v>
          </cell>
          <cell r="GV476">
            <v>418.10835301082398</v>
          </cell>
          <cell r="GW476">
            <v>450.22017054270304</v>
          </cell>
          <cell r="GX476">
            <v>509.53095927530671</v>
          </cell>
        </row>
        <row r="477">
          <cell r="GS477" t="str">
            <v xml:space="preserve">  % Share</v>
          </cell>
          <cell r="GT477">
            <v>0.21843278332236762</v>
          </cell>
          <cell r="GU477">
            <v>0.26500302568777451</v>
          </cell>
          <cell r="GV477">
            <v>0.31678449386271129</v>
          </cell>
          <cell r="GW477">
            <v>0.3185087957633701</v>
          </cell>
          <cell r="GX477">
            <v>0.35783353146190106</v>
          </cell>
        </row>
        <row r="479">
          <cell r="GS479" t="str">
            <v>Slot Revenues</v>
          </cell>
          <cell r="GT479">
            <v>28.71341040465337</v>
          </cell>
          <cell r="GU479">
            <v>77.592537637416328</v>
          </cell>
          <cell r="GV479">
            <v>30.362429044248191</v>
          </cell>
          <cell r="GW479">
            <v>36.791171507453747</v>
          </cell>
          <cell r="GX479">
            <v>40.734497390320115</v>
          </cell>
        </row>
        <row r="480">
          <cell r="GS480" t="str">
            <v xml:space="preserve">  % Share</v>
          </cell>
          <cell r="GT480">
            <v>8.2579347982191572E-3</v>
          </cell>
          <cell r="GU480">
            <v>1.5478027173642562E-2</v>
          </cell>
          <cell r="GV480">
            <v>2.3004435687453605E-2</v>
          </cell>
          <cell r="GW480">
            <v>2.6027958093119762E-2</v>
          </cell>
          <cell r="GX480">
            <v>2.8607033170732481E-2</v>
          </cell>
        </row>
        <row r="482">
          <cell r="GY482" t="str">
            <v>Sands growth contribution</v>
          </cell>
        </row>
        <row r="483">
          <cell r="GY483" t="str">
            <v>($mm)</v>
          </cell>
          <cell r="GZ483" t="str">
            <v>1Q03</v>
          </cell>
          <cell r="HA483" t="str">
            <v>2Q03</v>
          </cell>
          <cell r="HB483" t="str">
            <v>3Q03</v>
          </cell>
          <cell r="HC483" t="str">
            <v>4Q03</v>
          </cell>
          <cell r="HD483">
            <v>2003</v>
          </cell>
          <cell r="HE483" t="str">
            <v>1Q04</v>
          </cell>
          <cell r="HF483" t="str">
            <v>2Q04</v>
          </cell>
          <cell r="HG483" t="str">
            <v>3Q04</v>
          </cell>
          <cell r="HH483" t="str">
            <v>4Q04</v>
          </cell>
          <cell r="HI483">
            <v>2004</v>
          </cell>
          <cell r="HJ483" t="str">
            <v>1Q05</v>
          </cell>
          <cell r="HK483" t="str">
            <v>2Q05</v>
          </cell>
          <cell r="HL483" t="str">
            <v>3Q05</v>
          </cell>
        </row>
        <row r="485">
          <cell r="GY485" t="str">
            <v>Sand Macau Mass Market Revenues</v>
          </cell>
          <cell r="GZ485" t="str">
            <v>N.M.</v>
          </cell>
          <cell r="HA485" t="str">
            <v>N.M.</v>
          </cell>
          <cell r="HB485" t="str">
            <v>N.M.</v>
          </cell>
          <cell r="HC485" t="str">
            <v>N.M.</v>
          </cell>
          <cell r="HD485" t="str">
            <v>N.M.</v>
          </cell>
          <cell r="HE485" t="str">
            <v>N.M.</v>
          </cell>
          <cell r="HF485">
            <v>57.6</v>
          </cell>
          <cell r="HG485">
            <v>161.45427947878929</v>
          </cell>
          <cell r="HH485">
            <v>159.43351093841301</v>
          </cell>
          <cell r="HI485">
            <v>378.48779041720229</v>
          </cell>
          <cell r="HJ485">
            <v>159.43683999999999</v>
          </cell>
          <cell r="HK485">
            <v>168.69997400000003</v>
          </cell>
          <cell r="HL485">
            <v>187.61291200000002</v>
          </cell>
        </row>
        <row r="486">
          <cell r="GY486" t="str">
            <v xml:space="preserve">  % Share</v>
          </cell>
          <cell r="GZ486" t="str">
            <v>N.M.</v>
          </cell>
          <cell r="HA486" t="str">
            <v>N.M.</v>
          </cell>
          <cell r="HB486" t="str">
            <v>N.M.</v>
          </cell>
          <cell r="HC486" t="str">
            <v>N.M.</v>
          </cell>
          <cell r="HD486" t="str">
            <v>N.M.</v>
          </cell>
          <cell r="HE486" t="str">
            <v>N.M.</v>
          </cell>
          <cell r="HF486">
            <v>0.1707328432166498</v>
          </cell>
          <cell r="HG486">
            <v>0.40015800358857484</v>
          </cell>
          <cell r="HH486">
            <v>0.41545205130517049</v>
          </cell>
          <cell r="HI486">
            <v>0.26927958637775812</v>
          </cell>
          <cell r="HJ486">
            <v>0.35551221256688498</v>
          </cell>
          <cell r="HK486">
            <v>0.34639844996181995</v>
          </cell>
          <cell r="HL486">
            <v>0.34094982653800221</v>
          </cell>
        </row>
        <row r="487">
          <cell r="GY487" t="str">
            <v xml:space="preserve">  % Growth</v>
          </cell>
          <cell r="GZ487" t="str">
            <v>N.M.</v>
          </cell>
          <cell r="HA487" t="str">
            <v>N.M.</v>
          </cell>
          <cell r="HB487" t="str">
            <v>N.M.</v>
          </cell>
          <cell r="HC487" t="str">
            <v>N.M.</v>
          </cell>
          <cell r="HD487" t="str">
            <v>N.M.</v>
          </cell>
          <cell r="HE487" t="str">
            <v>N.M.</v>
          </cell>
          <cell r="HF487" t="str">
            <v>N.M.</v>
          </cell>
          <cell r="HG487" t="str">
            <v>N.M.</v>
          </cell>
          <cell r="HH487" t="str">
            <v>N.M.</v>
          </cell>
          <cell r="HI487" t="str">
            <v>N.M.</v>
          </cell>
          <cell r="HJ487" t="str">
            <v>N.M.</v>
          </cell>
          <cell r="HK487">
            <v>1.9288189930555562</v>
          </cell>
          <cell r="HL487">
            <v>0.16201882418760705</v>
          </cell>
        </row>
        <row r="488">
          <cell r="GY488" t="str">
            <v xml:space="preserve">  Contribution to growth</v>
          </cell>
          <cell r="HK488">
            <v>0.32931275073465061</v>
          </cell>
          <cell r="HL488">
            <v>6.483312923068113E-2</v>
          </cell>
        </row>
        <row r="490">
          <cell r="GY490" t="str">
            <v>Mass Market Revenues</v>
          </cell>
          <cell r="GZ490">
            <v>189.65527202686269</v>
          </cell>
          <cell r="HA490">
            <v>147.12338809600604</v>
          </cell>
          <cell r="HB490">
            <v>215.50208627736168</v>
          </cell>
          <cell r="HC490">
            <v>236.94139182134211</v>
          </cell>
          <cell r="HD490">
            <v>789.22213822157244</v>
          </cell>
          <cell r="HE490">
            <v>280.95231671690618</v>
          </cell>
          <cell r="HF490">
            <v>337.36918401170789</v>
          </cell>
          <cell r="HG490">
            <v>403.47632193004841</v>
          </cell>
          <cell r="HH490">
            <v>383.7591135668772</v>
          </cell>
          <cell r="HI490">
            <v>1405.5569362255396</v>
          </cell>
          <cell r="HJ490">
            <v>448.47078205507222</v>
          </cell>
          <cell r="HK490">
            <v>487.01134205015683</v>
          </cell>
          <cell r="HL490">
            <v>550.26545666562674</v>
          </cell>
        </row>
        <row r="491">
          <cell r="GY491" t="str">
            <v xml:space="preserve">  % Growth</v>
          </cell>
          <cell r="GZ491">
            <v>0.17961350655231589</v>
          </cell>
          <cell r="HA491">
            <v>-0.16653363672271004</v>
          </cell>
          <cell r="HB491">
            <v>0.22419881485991899</v>
          </cell>
          <cell r="HC491">
            <v>0.20072561908201503</v>
          </cell>
          <cell r="HD491">
            <v>0.11054127036749239</v>
          </cell>
          <cell r="HE491">
            <v>0.4813841646179613</v>
          </cell>
          <cell r="HF491">
            <v>1.2931036892078374</v>
          </cell>
          <cell r="HG491">
            <v>0.87226179059238773</v>
          </cell>
          <cell r="HH491">
            <v>0.61963728927632111</v>
          </cell>
          <cell r="HI491">
            <v>0.78093957094616173</v>
          </cell>
          <cell r="HJ491">
            <v>0.59625230108695404</v>
          </cell>
          <cell r="HK491">
            <v>0.44355609560728526</v>
          </cell>
          <cell r="HL491">
            <v>0.36381102621686812</v>
          </cell>
        </row>
        <row r="493">
          <cell r="GY493" t="str">
            <v>Mass Market Revenues, ex Sands</v>
          </cell>
          <cell r="GZ493">
            <v>189.65527202686269</v>
          </cell>
          <cell r="HA493">
            <v>147.12338809600604</v>
          </cell>
          <cell r="HB493">
            <v>215.50208627736168</v>
          </cell>
          <cell r="HC493">
            <v>236.94139182134211</v>
          </cell>
          <cell r="HD493">
            <v>789.22213822157244</v>
          </cell>
          <cell r="HE493">
            <v>280.95231671690618</v>
          </cell>
          <cell r="HF493">
            <v>279.76918401170786</v>
          </cell>
          <cell r="HG493">
            <v>242.02204245125913</v>
          </cell>
          <cell r="HH493">
            <v>224.3256026284642</v>
          </cell>
          <cell r="HI493">
            <v>1027.0691458083375</v>
          </cell>
          <cell r="HJ493">
            <v>289.0339420550722</v>
          </cell>
          <cell r="HK493">
            <v>318.31136805015683</v>
          </cell>
          <cell r="HL493">
            <v>362.65254466562669</v>
          </cell>
        </row>
        <row r="494">
          <cell r="GY494" t="str">
            <v xml:space="preserve">  % Growth</v>
          </cell>
          <cell r="GZ494">
            <v>0.17961350655231589</v>
          </cell>
          <cell r="HA494">
            <v>-0.16653363672271004</v>
          </cell>
          <cell r="HB494">
            <v>0.22419881485991899</v>
          </cell>
          <cell r="HC494">
            <v>0.20072561908201503</v>
          </cell>
          <cell r="HD494">
            <v>0.11054127036749239</v>
          </cell>
          <cell r="HE494">
            <v>0.4813841646179613</v>
          </cell>
          <cell r="HF494">
            <v>0.90159557655879441</v>
          </cell>
          <cell r="HG494">
            <v>0.12306125027376758</v>
          </cell>
          <cell r="HH494">
            <v>-5.3244344923872311E-2</v>
          </cell>
          <cell r="HI494">
            <v>0.30136889991799753</v>
          </cell>
          <cell r="HJ494">
            <v>2.8765113712549528E-2</v>
          </cell>
          <cell r="HK494">
            <v>0.13776422222697704</v>
          </cell>
          <cell r="HL494">
            <v>0.49842775059904465</v>
          </cell>
        </row>
        <row r="496">
          <cell r="HM496" t="str">
            <v>Asian Convention Market</v>
          </cell>
        </row>
        <row r="497">
          <cell r="HM497" t="str">
            <v>Country</v>
          </cell>
          <cell r="HN497" t="str">
            <v>Facilities</v>
          </cell>
          <cell r="HO497" t="str">
            <v>Sq. Meters (000s)</v>
          </cell>
          <cell r="HP497" t="str">
            <v>Sq. Feet (000s)</v>
          </cell>
          <cell r="HQ497" t="str">
            <v>Share</v>
          </cell>
        </row>
        <row r="498">
          <cell r="HM498" t="str">
            <v>China</v>
          </cell>
          <cell r="HN498">
            <v>19</v>
          </cell>
          <cell r="HO498">
            <v>1554.652</v>
          </cell>
          <cell r="HP498">
            <v>16734.13485715857</v>
          </cell>
          <cell r="HQ498">
            <v>0.57960033111319331</v>
          </cell>
        </row>
        <row r="499">
          <cell r="HM499" t="str">
            <v>Thailand</v>
          </cell>
          <cell r="HN499">
            <v>4</v>
          </cell>
          <cell r="HO499">
            <v>298.45499999999998</v>
          </cell>
          <cell r="HP499">
            <v>3212.5428834190934</v>
          </cell>
          <cell r="HQ499">
            <v>0.11126902793833481</v>
          </cell>
        </row>
        <row r="500">
          <cell r="HM500" t="str">
            <v>Korea</v>
          </cell>
          <cell r="HN500">
            <v>9</v>
          </cell>
          <cell r="HO500">
            <v>275.38099999999997</v>
          </cell>
          <cell r="HP500">
            <v>2964.1764144639337</v>
          </cell>
          <cell r="HQ500">
            <v>0.10266665387641881</v>
          </cell>
        </row>
        <row r="501">
          <cell r="HM501" t="str">
            <v>Macau</v>
          </cell>
          <cell r="HN501">
            <v>2</v>
          </cell>
          <cell r="HP501">
            <v>1852.0039999999999</v>
          </cell>
          <cell r="HQ501">
            <v>6.4145660399274676E-2</v>
          </cell>
        </row>
        <row r="502">
          <cell r="HM502" t="str">
            <v>Singapore</v>
          </cell>
          <cell r="HN502">
            <v>3</v>
          </cell>
          <cell r="HO502">
            <v>138.83099999999999</v>
          </cell>
          <cell r="HP502">
            <v>1494.3644470622244</v>
          </cell>
          <cell r="HQ502">
            <v>5.1758524459992163E-2</v>
          </cell>
        </row>
        <row r="503">
          <cell r="HM503" t="str">
            <v>Malaysia</v>
          </cell>
          <cell r="HN503">
            <v>4</v>
          </cell>
          <cell r="HO503">
            <v>83.397000000000006</v>
          </cell>
          <cell r="HP503">
            <v>897.67783702233896</v>
          </cell>
          <cell r="HQ503">
            <v>3.1091799845783481E-2</v>
          </cell>
        </row>
        <row r="504">
          <cell r="HM504" t="str">
            <v>Taiwan</v>
          </cell>
          <cell r="HN504">
            <v>3</v>
          </cell>
          <cell r="HO504">
            <v>70.239999999999995</v>
          </cell>
          <cell r="HP504">
            <v>756.05706766968933</v>
          </cell>
          <cell r="HQ504">
            <v>2.6186649653678569E-2</v>
          </cell>
        </row>
        <row r="505">
          <cell r="HM505" t="str">
            <v>Indonesia</v>
          </cell>
          <cell r="HN505">
            <v>2</v>
          </cell>
          <cell r="HO505">
            <v>62.683999999999997</v>
          </cell>
          <cell r="HP505">
            <v>674.7249605610308</v>
          </cell>
          <cell r="HQ505">
            <v>2.3369646168724192E-2</v>
          </cell>
        </row>
        <row r="506">
          <cell r="HM506" t="str">
            <v>Philippines</v>
          </cell>
          <cell r="HN506">
            <v>2</v>
          </cell>
          <cell r="HO506">
            <v>18.452000000000002</v>
          </cell>
          <cell r="HP506">
            <v>198.61567500912741</v>
          </cell>
          <cell r="HQ506">
            <v>6.8792149688165858E-3</v>
          </cell>
        </row>
        <row r="507">
          <cell r="HM507" t="str">
            <v>Vietnam</v>
          </cell>
          <cell r="HN507">
            <v>1</v>
          </cell>
          <cell r="HO507">
            <v>8.1340000000000003</v>
          </cell>
          <cell r="HP507">
            <v>87.553647329516707</v>
          </cell>
          <cell r="HQ507">
            <v>3.0324915757833355E-3</v>
          </cell>
        </row>
        <row r="508">
          <cell r="HN508" t="str">
            <v>______</v>
          </cell>
          <cell r="HO508" t="str">
            <v>______</v>
          </cell>
          <cell r="HP508" t="str">
            <v>______</v>
          </cell>
          <cell r="HQ508" t="str">
            <v>______</v>
          </cell>
        </row>
        <row r="509">
          <cell r="HM509" t="str">
            <v>Total</v>
          </cell>
          <cell r="HN509">
            <v>49</v>
          </cell>
          <cell r="HO509">
            <v>2510.2260000000001</v>
          </cell>
          <cell r="HP509">
            <v>28871.851789695527</v>
          </cell>
          <cell r="HQ509">
            <v>1</v>
          </cell>
        </row>
        <row r="510">
          <cell r="HM510" t="str">
            <v>Australia</v>
          </cell>
          <cell r="HN510">
            <v>17</v>
          </cell>
          <cell r="HO510">
            <v>299.928</v>
          </cell>
          <cell r="HP510">
            <v>3228.3981234629073</v>
          </cell>
          <cell r="HQ510">
            <v>0.11181818703485914</v>
          </cell>
        </row>
        <row r="511">
          <cell r="HM511" t="str">
            <v>New Zealand</v>
          </cell>
          <cell r="HN511">
            <v>4</v>
          </cell>
          <cell r="HO511">
            <v>41.606999999999999</v>
          </cell>
          <cell r="HP511">
            <v>447.85402070804048</v>
          </cell>
          <cell r="HQ511">
            <v>1.5511787188789922E-2</v>
          </cell>
        </row>
        <row r="513">
          <cell r="HM513" t="str">
            <v>conversion</v>
          </cell>
          <cell r="HO513">
            <v>10.763910416709701</v>
          </cell>
        </row>
        <row r="514">
          <cell r="HR514" t="str">
            <v>Actuals versus Estimates</v>
          </cell>
        </row>
        <row r="515">
          <cell r="HS515" t="str">
            <v>2Q05</v>
          </cell>
          <cell r="HU515" t="str">
            <v>3Q05</v>
          </cell>
          <cell r="HW515" t="str">
            <v>4Q05</v>
          </cell>
          <cell r="HY515" t="str">
            <v>1Q06</v>
          </cell>
          <cell r="IA515" t="str">
            <v>2Q06</v>
          </cell>
          <cell r="IC515" t="str">
            <v>3Q06</v>
          </cell>
        </row>
        <row r="516">
          <cell r="HR516" t="str">
            <v>US$mm</v>
          </cell>
          <cell r="HS516" t="str">
            <v>Rev.</v>
          </cell>
          <cell r="HT516" t="str">
            <v>Growth</v>
          </cell>
          <cell r="HU516" t="str">
            <v>Rev.</v>
          </cell>
          <cell r="HV516" t="str">
            <v>Growth</v>
          </cell>
          <cell r="HW516" t="str">
            <v>Rev.</v>
          </cell>
          <cell r="HX516" t="str">
            <v>Growth</v>
          </cell>
          <cell r="HY516" t="str">
            <v>Rev.</v>
          </cell>
          <cell r="HZ516" t="str">
            <v>Growth</v>
          </cell>
          <cell r="IA516" t="str">
            <v>Rev.</v>
          </cell>
          <cell r="IB516" t="str">
            <v>Growth</v>
          </cell>
          <cell r="IC516" t="str">
            <v>Rev.</v>
          </cell>
          <cell r="ID516" t="str">
            <v>Growth</v>
          </cell>
        </row>
        <row r="518">
          <cell r="HR518" t="str">
            <v>Mass, Est.</v>
          </cell>
          <cell r="HS518">
            <v>429.0037339906437</v>
          </cell>
          <cell r="HT518">
            <v>0.27161505650663043</v>
          </cell>
          <cell r="HU518">
            <v>487.89444755603216</v>
          </cell>
          <cell r="HV518">
            <v>0.20922696336222546</v>
          </cell>
          <cell r="HW518">
            <v>489.76528729658878</v>
          </cell>
          <cell r="HX518">
            <v>0.27623102613623796</v>
          </cell>
          <cell r="HY518">
            <v>531.40952611841635</v>
          </cell>
          <cell r="HZ518">
            <v>0.18460542010210812</v>
          </cell>
          <cell r="IA518">
            <v>657.4653117677118</v>
          </cell>
          <cell r="IB518">
            <v>0.35</v>
          </cell>
          <cell r="IC518">
            <v>737.18629472862926</v>
          </cell>
          <cell r="ID518">
            <v>0.33969211732036175</v>
          </cell>
        </row>
        <row r="519">
          <cell r="HR519" t="str">
            <v>Mass, Actual.</v>
          </cell>
          <cell r="HS519">
            <v>487.01134205015683</v>
          </cell>
          <cell r="HT519">
            <v>0.44355609560728526</v>
          </cell>
          <cell r="HU519">
            <v>550.26545666562674</v>
          </cell>
          <cell r="HV519">
            <v>0.36381102621686812</v>
          </cell>
          <cell r="HW519">
            <v>599.46850074480096</v>
          </cell>
          <cell r="HX519">
            <v>0.56209580320581076</v>
          </cell>
          <cell r="HY519">
            <v>572.49378186415947</v>
          </cell>
          <cell r="HZ519">
            <v>0.27654644354034463</v>
          </cell>
          <cell r="IA519">
            <v>571.01356755050801</v>
          </cell>
          <cell r="IB519">
            <v>0.17248515228973837</v>
          </cell>
          <cell r="IC519">
            <v>586.73964501081116</v>
          </cell>
          <cell r="ID519">
            <v>6.6284713865562894E-2</v>
          </cell>
        </row>
        <row r="520">
          <cell r="HS520" t="str">
            <v xml:space="preserve">_____ </v>
          </cell>
          <cell r="HT520" t="str">
            <v xml:space="preserve">_____ </v>
          </cell>
          <cell r="HU520" t="str">
            <v xml:space="preserve">_____ </v>
          </cell>
          <cell r="HV520" t="str">
            <v xml:space="preserve">_____ </v>
          </cell>
          <cell r="HW520" t="str">
            <v xml:space="preserve">_____ </v>
          </cell>
          <cell r="HX520" t="str">
            <v xml:space="preserve">_____ </v>
          </cell>
          <cell r="HY520" t="str">
            <v xml:space="preserve">_____ </v>
          </cell>
          <cell r="HZ520" t="str">
            <v xml:space="preserve">_____ </v>
          </cell>
          <cell r="IA520" t="str">
            <v xml:space="preserve">_____ </v>
          </cell>
          <cell r="IB520" t="str">
            <v xml:space="preserve">_____ </v>
          </cell>
          <cell r="IC520" t="str">
            <v xml:space="preserve">_____ </v>
          </cell>
          <cell r="ID520" t="str">
            <v xml:space="preserve">_____ </v>
          </cell>
        </row>
        <row r="521">
          <cell r="HR521" t="str">
            <v xml:space="preserve">  Abs. Diff</v>
          </cell>
          <cell r="HS521">
            <v>58.007608059513132</v>
          </cell>
          <cell r="HT521">
            <v>0.17194103910065484</v>
          </cell>
          <cell r="HU521">
            <v>62.371009109594581</v>
          </cell>
          <cell r="HV521">
            <v>0.15458406285464266</v>
          </cell>
          <cell r="HW521">
            <v>109.70321344821218</v>
          </cell>
          <cell r="HX521">
            <v>0.28586477706957281</v>
          </cell>
          <cell r="HY521">
            <v>41.084255745743121</v>
          </cell>
          <cell r="HZ521">
            <v>9.1941023438236513E-2</v>
          </cell>
          <cell r="IA521">
            <v>-86.451744217203782</v>
          </cell>
          <cell r="IB521">
            <v>-0.1775148477102616</v>
          </cell>
          <cell r="IC521">
            <v>-150.4466497178181</v>
          </cell>
          <cell r="ID521">
            <v>-0.27340740345479886</v>
          </cell>
        </row>
        <row r="522">
          <cell r="HR522" t="str">
            <v xml:space="preserve">  Relative Diff.</v>
          </cell>
          <cell r="HS522">
            <v>0.13521469270190137</v>
          </cell>
          <cell r="HU522">
            <v>0.1278370955480726</v>
          </cell>
          <cell r="HW522">
            <v>0.22399140219543334</v>
          </cell>
          <cell r="HY522">
            <v>7.7311854090828122E-2</v>
          </cell>
          <cell r="IA522">
            <v>-0.13149247978537906</v>
          </cell>
          <cell r="IC522">
            <v>-0.20408226630583259</v>
          </cell>
        </row>
        <row r="524">
          <cell r="HR524" t="str">
            <v>VIP, Est.</v>
          </cell>
          <cell r="HS524">
            <v>927.07869405345832</v>
          </cell>
          <cell r="HT524">
            <v>0.12</v>
          </cell>
          <cell r="HU524">
            <v>1068.8126920716857</v>
          </cell>
          <cell r="HV524">
            <v>0.12</v>
          </cell>
          <cell r="HW524">
            <v>1021.8505219370035</v>
          </cell>
          <cell r="HX524">
            <v>0.05</v>
          </cell>
          <cell r="HY524">
            <v>915.20523592324048</v>
          </cell>
          <cell r="HZ524">
            <v>0.05</v>
          </cell>
          <cell r="IA524">
            <v>972.83942329984495</v>
          </cell>
          <cell r="IB524">
            <v>0.05</v>
          </cell>
          <cell r="IC524">
            <v>891.01026264514792</v>
          </cell>
          <cell r="ID524">
            <v>1.9850526990086159E-2</v>
          </cell>
        </row>
        <row r="525">
          <cell r="HR525" t="str">
            <v>VIP, Actual.</v>
          </cell>
          <cell r="HS525">
            <v>926.51373647604282</v>
          </cell>
          <cell r="HT525">
            <v>0.11931747704831985</v>
          </cell>
          <cell r="HU525">
            <v>873.66750231017863</v>
          </cell>
          <cell r="HV525">
            <v>-8.4491033980188424E-2</v>
          </cell>
          <cell r="HW525">
            <v>826.27410821960814</v>
          </cell>
          <cell r="HX525">
            <v>-0.15096406469900991</v>
          </cell>
          <cell r="HY525">
            <v>973.27110396866146</v>
          </cell>
          <cell r="HZ525">
            <v>0.11693036673460355</v>
          </cell>
          <cell r="IA525">
            <v>1013.2898875543249</v>
          </cell>
          <cell r="IB525">
            <v>9.3658785252695331E-2</v>
          </cell>
          <cell r="IC525">
            <v>1104.6934295107803</v>
          </cell>
          <cell r="ID525">
            <v>0.2644323230401906</v>
          </cell>
        </row>
        <row r="526">
          <cell r="HS526" t="str">
            <v xml:space="preserve">_____ </v>
          </cell>
          <cell r="HT526" t="str">
            <v xml:space="preserve">_____ </v>
          </cell>
          <cell r="HU526" t="str">
            <v xml:space="preserve">_____ </v>
          </cell>
          <cell r="HV526" t="str">
            <v xml:space="preserve">_____ </v>
          </cell>
          <cell r="HW526" t="str">
            <v xml:space="preserve">_____ </v>
          </cell>
          <cell r="HX526" t="str">
            <v xml:space="preserve">_____ </v>
          </cell>
          <cell r="HY526" t="str">
            <v xml:space="preserve">_____ </v>
          </cell>
          <cell r="HZ526" t="str">
            <v xml:space="preserve">_____ </v>
          </cell>
          <cell r="IA526" t="str">
            <v xml:space="preserve">_____ </v>
          </cell>
          <cell r="IB526" t="str">
            <v xml:space="preserve">_____ </v>
          </cell>
          <cell r="IC526" t="str">
            <v xml:space="preserve">_____ </v>
          </cell>
          <cell r="ID526" t="str">
            <v xml:space="preserve">_____ </v>
          </cell>
        </row>
        <row r="527">
          <cell r="HR527" t="str">
            <v xml:space="preserve">  Abs. Diff</v>
          </cell>
          <cell r="HS527">
            <v>-0.56495757741549824</v>
          </cell>
          <cell r="HT527">
            <v>-6.8252295168014232E-4</v>
          </cell>
          <cell r="HU527">
            <v>-195.14518976150703</v>
          </cell>
          <cell r="HV527">
            <v>-0.20449103398018842</v>
          </cell>
          <cell r="HW527">
            <v>-195.57641371739533</v>
          </cell>
          <cell r="HX527">
            <v>-0.2009640646990099</v>
          </cell>
          <cell r="HY527">
            <v>58.065868045420984</v>
          </cell>
          <cell r="HZ527">
            <v>6.693036673460355E-2</v>
          </cell>
          <cell r="IA527">
            <v>40.450464254479925</v>
          </cell>
          <cell r="IB527">
            <v>4.3658785252695329E-2</v>
          </cell>
          <cell r="IC527">
            <v>213.68316686563242</v>
          </cell>
          <cell r="ID527">
            <v>0.24458179605010444</v>
          </cell>
        </row>
        <row r="528">
          <cell r="HR528" t="str">
            <v xml:space="preserve">  Relative Diff.</v>
          </cell>
          <cell r="HS528">
            <v>-6.0939549257176754E-4</v>
          </cell>
          <cell r="HU528">
            <v>-0.18258128033945406</v>
          </cell>
          <cell r="HW528">
            <v>-0.19139434733239047</v>
          </cell>
          <cell r="HY528">
            <v>6.3445734100117238E-2</v>
          </cell>
          <cell r="IA528">
            <v>4.1579795478757481E-2</v>
          </cell>
          <cell r="IC528">
            <v>0.23982121847987453</v>
          </cell>
        </row>
        <row r="530">
          <cell r="HS530">
            <v>411.95813247164057</v>
          </cell>
          <cell r="HU530">
            <v>483.33945536276292</v>
          </cell>
          <cell r="HW530">
            <v>510.48493974671209</v>
          </cell>
        </row>
        <row r="531">
          <cell r="HS531">
            <v>942.09145952717051</v>
          </cell>
          <cell r="HU531">
            <v>1072.9080726047741</v>
          </cell>
          <cell r="HW531">
            <v>1004.8567349453626</v>
          </cell>
        </row>
        <row r="533">
          <cell r="IE533" t="str">
            <v>Airport Usage</v>
          </cell>
        </row>
        <row r="534">
          <cell r="IF534" t="str">
            <v>Passengers</v>
          </cell>
          <cell r="IG534" t="str">
            <v>Share of Total</v>
          </cell>
          <cell r="IH534" t="str">
            <v>Share of Capacity</v>
          </cell>
        </row>
        <row r="535">
          <cell r="IE535" t="str">
            <v>Visitors</v>
          </cell>
          <cell r="IF535">
            <v>2059080</v>
          </cell>
          <cell r="IG535">
            <v>0.48440484037845616</v>
          </cell>
          <cell r="IH535">
            <v>0.34317999999999999</v>
          </cell>
        </row>
        <row r="536">
          <cell r="IE536" t="str">
            <v>Transit</v>
          </cell>
          <cell r="IF536">
            <v>1961501.0000000009</v>
          </cell>
          <cell r="IG536">
            <v>0.46144908347766117</v>
          </cell>
          <cell r="IH536">
            <v>0.32691683333333349</v>
          </cell>
        </row>
        <row r="537">
          <cell r="IE537" t="str">
            <v>Residents</v>
          </cell>
          <cell r="IF537">
            <v>230161</v>
          </cell>
          <cell r="IG537">
            <v>5.4146076143882629E-2</v>
          </cell>
          <cell r="IH537">
            <v>3.8360166666666667E-2</v>
          </cell>
        </row>
        <row r="538">
          <cell r="IF538" t="str">
            <v xml:space="preserve">_____ </v>
          </cell>
          <cell r="IG538" t="str">
            <v xml:space="preserve">_____ </v>
          </cell>
          <cell r="IH538" t="str">
            <v xml:space="preserve">_____ </v>
          </cell>
        </row>
        <row r="539">
          <cell r="IE539" t="str">
            <v>Total</v>
          </cell>
          <cell r="IF539">
            <v>4250742.0000000009</v>
          </cell>
          <cell r="IG539">
            <v>1</v>
          </cell>
          <cell r="IH539">
            <v>0.70845700000000011</v>
          </cell>
        </row>
        <row r="541">
          <cell r="IE541" t="str">
            <v>Capacity</v>
          </cell>
          <cell r="IF541">
            <v>6000000</v>
          </cell>
        </row>
        <row r="542">
          <cell r="IF542">
            <v>3808337.9999999991</v>
          </cell>
          <cell r="IG542">
            <v>5.3350167810084708</v>
          </cell>
        </row>
        <row r="543">
          <cell r="IE543" t="str">
            <v>2006 YTD growth</v>
          </cell>
          <cell r="IF543">
            <v>0.12216927646183851</v>
          </cell>
          <cell r="IG543">
            <v>2.9902390339775282</v>
          </cell>
        </row>
        <row r="544">
          <cell r="IE544" t="str">
            <v>2005 growth</v>
          </cell>
          <cell r="IF544">
            <v>0.14443876961730462</v>
          </cell>
          <cell r="IG544">
            <v>2.5547014793890397</v>
          </cell>
        </row>
        <row r="545">
          <cell r="II545" t="str">
            <v>Gongbei Usage</v>
          </cell>
        </row>
        <row r="546">
          <cell r="IJ546" t="str">
            <v>Passengers</v>
          </cell>
          <cell r="IK546" t="str">
            <v>Share of Total</v>
          </cell>
          <cell r="IL546" t="str">
            <v>Share of Capacity</v>
          </cell>
        </row>
        <row r="547">
          <cell r="II547" t="str">
            <v>Visitors</v>
          </cell>
          <cell r="IJ547">
            <v>20683628</v>
          </cell>
          <cell r="IK547">
            <v>0.29134074764079332</v>
          </cell>
          <cell r="IL547">
            <v>0.18889157990867581</v>
          </cell>
        </row>
        <row r="548">
          <cell r="II548" t="str">
            <v>Residents</v>
          </cell>
          <cell r="IJ548">
            <v>50311000</v>
          </cell>
          <cell r="IK548">
            <v>0.70865925235920668</v>
          </cell>
          <cell r="IL548">
            <v>0.45946118721461188</v>
          </cell>
        </row>
        <row r="549">
          <cell r="IJ549" t="str">
            <v xml:space="preserve">_____ </v>
          </cell>
          <cell r="IK549" t="str">
            <v xml:space="preserve">_____ </v>
          </cell>
          <cell r="IL549" t="str">
            <v xml:space="preserve">_____ </v>
          </cell>
        </row>
        <row r="550">
          <cell r="II550" t="str">
            <v>Total</v>
          </cell>
          <cell r="IJ550">
            <v>70994628</v>
          </cell>
          <cell r="IK550">
            <v>1</v>
          </cell>
          <cell r="IL550">
            <v>0.64835276712328771</v>
          </cell>
        </row>
        <row r="552">
          <cell r="II552" t="str">
            <v>Capacity</v>
          </cell>
          <cell r="IJ552">
            <v>109500000</v>
          </cell>
        </row>
        <row r="553">
          <cell r="IJ553">
            <v>59189000</v>
          </cell>
          <cell r="IK553">
            <v>7.0839051886568658</v>
          </cell>
        </row>
        <row r="554">
          <cell r="II554" t="str">
            <v>2006 YTD growth</v>
          </cell>
          <cell r="IJ554">
            <v>0.25469967959915674</v>
          </cell>
          <cell r="IK554">
            <v>1.909773065603966</v>
          </cell>
        </row>
        <row r="555">
          <cell r="II555" t="str">
            <v>2005 growth</v>
          </cell>
          <cell r="IJ555">
            <v>0.17375041908251521</v>
          </cell>
          <cell r="IK555">
            <v>2.7048016488088877</v>
          </cell>
        </row>
        <row r="556">
          <cell r="IK556" t="e">
            <v>#DIV/0!</v>
          </cell>
        </row>
        <row r="557">
          <cell r="IM557" t="str">
            <v>New Retail Space</v>
          </cell>
        </row>
        <row r="558">
          <cell r="IM558" t="str">
            <v>Property</v>
          </cell>
          <cell r="IN558" t="str">
            <v>Square Feet</v>
          </cell>
          <cell r="IO558" t="str">
            <v>Opening</v>
          </cell>
        </row>
        <row r="560">
          <cell r="IM560" t="str">
            <v>Wynn Macau</v>
          </cell>
          <cell r="IN560">
            <v>26000</v>
          </cell>
          <cell r="IO560" t="str">
            <v>3Q06</v>
          </cell>
        </row>
        <row r="561">
          <cell r="IM561" t="str">
            <v>Crown Macau</v>
          </cell>
          <cell r="IN561">
            <v>312500</v>
          </cell>
          <cell r="IO561" t="str">
            <v>2Q07</v>
          </cell>
        </row>
        <row r="562">
          <cell r="IM562" t="str">
            <v>Venetian Macao</v>
          </cell>
          <cell r="IN562">
            <v>1000000</v>
          </cell>
          <cell r="IO562" t="str">
            <v>3Q07</v>
          </cell>
        </row>
        <row r="563">
          <cell r="IM563" t="str">
            <v>Four Seasons</v>
          </cell>
          <cell r="IN563">
            <v>190000</v>
          </cell>
          <cell r="IO563" t="str">
            <v>1Q08</v>
          </cell>
        </row>
        <row r="564">
          <cell r="IM564" t="str">
            <v>Cotai - Shangri-La</v>
          </cell>
          <cell r="IN564">
            <v>375000</v>
          </cell>
          <cell r="IO564" t="str">
            <v>2Q08</v>
          </cell>
        </row>
        <row r="565">
          <cell r="IM565" t="str">
            <v>Cotai - Starwood</v>
          </cell>
          <cell r="IN565">
            <v>375000</v>
          </cell>
          <cell r="IO565" t="str">
            <v>2Q08</v>
          </cell>
        </row>
        <row r="566">
          <cell r="IM566" t="str">
            <v>Galaxy Cotai Megaresort</v>
          </cell>
          <cell r="IN566">
            <v>187500</v>
          </cell>
          <cell r="IO566" t="str">
            <v>3Q08</v>
          </cell>
        </row>
        <row r="567">
          <cell r="IM567" t="str">
            <v>Cotai - Far East</v>
          </cell>
          <cell r="IN567">
            <v>300000</v>
          </cell>
          <cell r="IO567" t="str">
            <v>4Q08</v>
          </cell>
        </row>
        <row r="568">
          <cell r="IM568" t="str">
            <v>Cotai - Hilton</v>
          </cell>
          <cell r="IN568">
            <v>375000</v>
          </cell>
          <cell r="IO568" t="str">
            <v>4Q08</v>
          </cell>
        </row>
        <row r="569">
          <cell r="IM569" t="str">
            <v>Cotai - Fairmont/Raffles</v>
          </cell>
          <cell r="IN569">
            <v>375000</v>
          </cell>
          <cell r="IO569" t="str">
            <v>4Q08</v>
          </cell>
        </row>
        <row r="570">
          <cell r="IM570" t="str">
            <v>City of Dreams</v>
          </cell>
          <cell r="IN570">
            <v>67250</v>
          </cell>
          <cell r="IO570">
            <v>2009</v>
          </cell>
        </row>
        <row r="571">
          <cell r="IM571" t="str">
            <v>Landmark Center</v>
          </cell>
          <cell r="IN571">
            <v>237500</v>
          </cell>
          <cell r="IO571">
            <v>2009</v>
          </cell>
        </row>
        <row r="572">
          <cell r="IM572" t="str">
            <v>Shun Tak Nam Van</v>
          </cell>
          <cell r="IN572">
            <v>312500</v>
          </cell>
          <cell r="IO572">
            <v>2011</v>
          </cell>
        </row>
        <row r="573">
          <cell r="IN573" t="str">
            <v xml:space="preserve">_____ </v>
          </cell>
        </row>
        <row r="574">
          <cell r="IM574" t="str">
            <v>Total</v>
          </cell>
          <cell r="IN574">
            <v>4133250</v>
          </cell>
        </row>
        <row r="576">
          <cell r="IP576" t="str">
            <v>2010 LVS Total Market Share</v>
          </cell>
        </row>
        <row r="577">
          <cell r="IP577" t="str">
            <v>Property</v>
          </cell>
          <cell r="IQ577" t="str">
            <v>Market Share</v>
          </cell>
        </row>
        <row r="578">
          <cell r="IP578" t="str">
            <v>Sands Macao</v>
          </cell>
          <cell r="IQ578">
            <v>6.3853869920850292E-2</v>
          </cell>
        </row>
        <row r="579">
          <cell r="IP579" t="str">
            <v>Venetian Macao</v>
          </cell>
          <cell r="IQ579">
            <v>0.10494703815738311</v>
          </cell>
        </row>
        <row r="580">
          <cell r="IP580" t="str">
            <v>LVS Cotai Strip</v>
          </cell>
          <cell r="IQ580">
            <v>0.13509998321921712</v>
          </cell>
        </row>
        <row r="581">
          <cell r="IQ581" t="str">
            <v xml:space="preserve">_____   </v>
          </cell>
        </row>
        <row r="582">
          <cell r="IP582" t="str">
            <v>Total LVS Market Share</v>
          </cell>
          <cell r="IQ582">
            <v>0.30390089129745051</v>
          </cell>
        </row>
      </sheetData>
      <sheetData sheetId="10" refreshError="1"/>
      <sheetData sheetId="11" refreshError="1">
        <row r="2">
          <cell r="C2" t="str">
            <v>1Q00</v>
          </cell>
          <cell r="D2" t="str">
            <v>2Q00</v>
          </cell>
          <cell r="E2" t="str">
            <v>3Q00</v>
          </cell>
          <cell r="F2" t="str">
            <v>4Q00</v>
          </cell>
          <cell r="G2" t="str">
            <v>1Q01</v>
          </cell>
          <cell r="H2" t="str">
            <v>2Q01</v>
          </cell>
          <cell r="I2" t="str">
            <v>3Q01</v>
          </cell>
          <cell r="J2" t="str">
            <v>4Q01</v>
          </cell>
          <cell r="K2" t="str">
            <v>1Q02</v>
          </cell>
          <cell r="L2" t="str">
            <v>2Q02</v>
          </cell>
          <cell r="M2" t="str">
            <v>3Q02</v>
          </cell>
          <cell r="N2" t="str">
            <v>4Q02</v>
          </cell>
          <cell r="O2" t="str">
            <v>1Q03</v>
          </cell>
          <cell r="P2" t="str">
            <v>2Q03</v>
          </cell>
          <cell r="Q2" t="str">
            <v>3Q03</v>
          </cell>
          <cell r="R2" t="str">
            <v>4Q03</v>
          </cell>
          <cell r="S2" t="str">
            <v>1Q04</v>
          </cell>
          <cell r="T2" t="str">
            <v>2Q04</v>
          </cell>
          <cell r="U2" t="str">
            <v>3Q04</v>
          </cell>
          <cell r="V2" t="str">
            <v>4Q04</v>
          </cell>
          <cell r="W2" t="str">
            <v>1Q05</v>
          </cell>
          <cell r="X2" t="str">
            <v>2Q05</v>
          </cell>
          <cell r="Y2" t="str">
            <v>3Q05</v>
          </cell>
          <cell r="Z2" t="str">
            <v>4Q05</v>
          </cell>
          <cell r="AA2" t="str">
            <v>1Q06</v>
          </cell>
          <cell r="AB2" t="str">
            <v>2Q06</v>
          </cell>
        </row>
        <row r="3">
          <cell r="B3" t="str">
            <v>Visitors</v>
          </cell>
          <cell r="C3">
            <v>0.57844899999999999</v>
          </cell>
          <cell r="D3">
            <v>0.54893999999999998</v>
          </cell>
          <cell r="E3">
            <v>0.55027999999999999</v>
          </cell>
          <cell r="F3">
            <v>0.59704400000000002</v>
          </cell>
          <cell r="G3">
            <v>0.65302700000000002</v>
          </cell>
          <cell r="H3">
            <v>0.70688700000000004</v>
          </cell>
          <cell r="I3">
            <v>0.79081500000000005</v>
          </cell>
          <cell r="J3">
            <v>0.854993</v>
          </cell>
          <cell r="K3">
            <v>0.87337799999999999</v>
          </cell>
          <cell r="L3">
            <v>0.99712999999999996</v>
          </cell>
          <cell r="M3">
            <v>1.074287</v>
          </cell>
          <cell r="N3">
            <v>1.2956510000000001</v>
          </cell>
          <cell r="O3">
            <v>1.3382860000000001</v>
          </cell>
          <cell r="P3">
            <v>0.93695799999999996</v>
          </cell>
          <cell r="Q3">
            <v>1.5344089999999999</v>
          </cell>
          <cell r="R3">
            <v>1.932383</v>
          </cell>
          <cell r="S3">
            <v>2.1895210000000001</v>
          </cell>
          <cell r="T3">
            <v>2.2764180000000001</v>
          </cell>
          <cell r="U3">
            <v>2.4935589999999999</v>
          </cell>
          <cell r="V3">
            <v>2.5702410000000002</v>
          </cell>
          <cell r="W3">
            <v>2.4850150000000002</v>
          </cell>
          <cell r="X3">
            <v>2.5055670000000001</v>
          </cell>
          <cell r="Y3">
            <v>2.6505230000000002</v>
          </cell>
          <cell r="Z3">
            <v>2.8218610000000002</v>
          </cell>
          <cell r="AA3">
            <v>2.9777629999999999</v>
          </cell>
          <cell r="AB3">
            <v>2.8476919999999999</v>
          </cell>
        </row>
        <row r="4">
          <cell r="B4" t="str">
            <v>Growth</v>
          </cell>
          <cell r="G4">
            <v>0.12892752861531442</v>
          </cell>
          <cell r="H4">
            <v>0.28773089955186371</v>
          </cell>
          <cell r="I4">
            <v>0.43711383295776707</v>
          </cell>
          <cell r="J4">
            <v>0.43204353447987076</v>
          </cell>
          <cell r="K4">
            <v>0.33743015219891359</v>
          </cell>
          <cell r="L4">
            <v>0.41059320655210785</v>
          </cell>
          <cell r="M4">
            <v>0.35845551740925496</v>
          </cell>
          <cell r="N4">
            <v>0.51539369328169959</v>
          </cell>
          <cell r="O4">
            <v>0.53231017955570215</v>
          </cell>
          <cell r="P4">
            <v>-6.0345190697301265E-2</v>
          </cell>
          <cell r="Q4">
            <v>0.42830454059296996</v>
          </cell>
          <cell r="R4">
            <v>0.49143789492695156</v>
          </cell>
          <cell r="S4">
            <v>0.63606359178830219</v>
          </cell>
          <cell r="T4">
            <v>1.4295838233944318</v>
          </cell>
          <cell r="U4">
            <v>0.62509409160139184</v>
          </cell>
          <cell r="V4">
            <v>0.33008880744655711</v>
          </cell>
          <cell r="W4">
            <v>0.1349582853966691</v>
          </cell>
          <cell r="X4">
            <v>0.10066209281423721</v>
          </cell>
          <cell r="Y4">
            <v>6.2947778656931908E-2</v>
          </cell>
          <cell r="Z4">
            <v>9.7897434520731741E-2</v>
          </cell>
          <cell r="AA4">
            <v>0.19828773669374211</v>
          </cell>
          <cell r="AB4">
            <v>0.13654593950191707</v>
          </cell>
        </row>
        <row r="28">
          <cell r="AE28" t="str">
            <v>Macau visitor stats</v>
          </cell>
        </row>
        <row r="29">
          <cell r="AE29" t="str">
            <v>($mm)</v>
          </cell>
          <cell r="AF29">
            <v>1996</v>
          </cell>
          <cell r="AG29">
            <v>1997</v>
          </cell>
          <cell r="AH29">
            <v>1998</v>
          </cell>
          <cell r="AI29">
            <v>1999</v>
          </cell>
          <cell r="AJ29">
            <v>2000</v>
          </cell>
          <cell r="AK29">
            <v>2001</v>
          </cell>
          <cell r="AL29">
            <v>2002</v>
          </cell>
          <cell r="AM29">
            <v>2003</v>
          </cell>
          <cell r="AN29">
            <v>2004</v>
          </cell>
        </row>
        <row r="31">
          <cell r="AE31" t="str">
            <v>Mainland China Visitors</v>
          </cell>
          <cell r="AF31">
            <v>0.60419999999999996</v>
          </cell>
          <cell r="AG31">
            <v>0.52980000000000005</v>
          </cell>
          <cell r="AH31">
            <v>0.81679999999999997</v>
          </cell>
          <cell r="AI31">
            <v>1.6452</v>
          </cell>
          <cell r="AJ31">
            <v>2.2747129999999998</v>
          </cell>
          <cell r="AK31">
            <v>3.005722</v>
          </cell>
          <cell r="AL31">
            <v>4.2404460000000004</v>
          </cell>
          <cell r="AM31">
            <v>5.7420359999999997</v>
          </cell>
          <cell r="AN31">
            <v>9.5297389999999993</v>
          </cell>
        </row>
        <row r="32">
          <cell r="AE32" t="str">
            <v>Mainland China Visitor Growth</v>
          </cell>
          <cell r="AF32">
            <v>0.1122974963181147</v>
          </cell>
          <cell r="AG32">
            <v>-0.12313803376365429</v>
          </cell>
          <cell r="AH32">
            <v>0.54171385428463559</v>
          </cell>
          <cell r="AI32">
            <v>1.0142017629774731</v>
          </cell>
          <cell r="AJ32">
            <v>0.3826361536591294</v>
          </cell>
          <cell r="AK32">
            <v>0.32136317856362551</v>
          </cell>
          <cell r="AL32">
            <v>0.41079115101130448</v>
          </cell>
          <cell r="AM32">
            <v>0.3541113364018782</v>
          </cell>
          <cell r="AN32">
            <v>0.65964459296319289</v>
          </cell>
        </row>
        <row r="33">
          <cell r="AE33" t="str">
            <v>Total Visitors</v>
          </cell>
          <cell r="AF33">
            <v>8.1510999999999996</v>
          </cell>
          <cell r="AG33">
            <v>7.0004</v>
          </cell>
          <cell r="AH33">
            <v>6.9485000000000001</v>
          </cell>
          <cell r="AI33">
            <v>7.4439000000000002</v>
          </cell>
          <cell r="AJ33">
            <v>9.1622120000000002</v>
          </cell>
          <cell r="AK33">
            <v>10.278973000000001</v>
          </cell>
          <cell r="AL33">
            <v>11.530841000000001</v>
          </cell>
          <cell r="AM33">
            <v>11.887875999999999</v>
          </cell>
          <cell r="AN33">
            <v>16.672556</v>
          </cell>
        </row>
        <row r="34">
          <cell r="AE34" t="str">
            <v>Total Visitor Growth</v>
          </cell>
          <cell r="AF34">
            <v>5.1415672363753551E-2</v>
          </cell>
          <cell r="AG34">
            <v>-0.1411711302768951</v>
          </cell>
          <cell r="AH34">
            <v>-7.4138620650248122E-3</v>
          </cell>
          <cell r="AI34">
            <v>7.1295963157516073E-2</v>
          </cell>
          <cell r="AJ34">
            <v>0.23083491180698301</v>
          </cell>
          <cell r="AK34">
            <v>0.12188770571997254</v>
          </cell>
          <cell r="AL34">
            <v>0.12178920987534458</v>
          </cell>
          <cell r="AM34">
            <v>3.0963483062510289E-2</v>
          </cell>
          <cell r="AN34">
            <v>0.40248400975918686</v>
          </cell>
        </row>
        <row r="58">
          <cell r="AO58" t="str">
            <v>Macau vs LV vs AC</v>
          </cell>
        </row>
        <row r="59">
          <cell r="AO59">
            <v>2005</v>
          </cell>
          <cell r="AP59" t="str">
            <v>Macau</v>
          </cell>
          <cell r="AQ59" t="str">
            <v>Las Vegas</v>
          </cell>
          <cell r="AR59" t="str">
            <v>Atlantic City</v>
          </cell>
        </row>
        <row r="61">
          <cell r="AO61" t="str">
            <v>Revenue</v>
          </cell>
          <cell r="AP61">
            <v>5583.0517159194042</v>
          </cell>
          <cell r="AQ61">
            <v>6035.5789210000003</v>
          </cell>
          <cell r="AR61">
            <v>5017.7659150000009</v>
          </cell>
        </row>
        <row r="62">
          <cell r="AO62" t="str">
            <v>dummy</v>
          </cell>
          <cell r="AP62">
            <v>0</v>
          </cell>
          <cell r="AQ62">
            <v>0</v>
          </cell>
          <cell r="AR62">
            <v>0</v>
          </cell>
        </row>
        <row r="63">
          <cell r="AO63" t="str">
            <v>dummy</v>
          </cell>
          <cell r="AP63">
            <v>0</v>
          </cell>
          <cell r="AQ63">
            <v>0</v>
          </cell>
          <cell r="AR63">
            <v>0</v>
          </cell>
        </row>
        <row r="64">
          <cell r="AO64" t="str">
            <v>dummy</v>
          </cell>
          <cell r="AP64">
            <v>0</v>
          </cell>
          <cell r="AQ64">
            <v>0</v>
          </cell>
          <cell r="AR64">
            <v>0</v>
          </cell>
        </row>
        <row r="65">
          <cell r="AO65" t="str">
            <v>Table Positions</v>
          </cell>
          <cell r="AP65">
            <v>13880</v>
          </cell>
          <cell r="AQ65">
            <v>19188</v>
          </cell>
          <cell r="AR65">
            <v>9636</v>
          </cell>
        </row>
        <row r="66">
          <cell r="AO66" t="str">
            <v>Slots</v>
          </cell>
          <cell r="AP66">
            <v>3421</v>
          </cell>
          <cell r="AQ66">
            <v>55067</v>
          </cell>
          <cell r="AR66">
            <v>41231</v>
          </cell>
        </row>
        <row r="68">
          <cell r="AO68" t="str">
            <v>Tables</v>
          </cell>
          <cell r="AP68">
            <v>1388</v>
          </cell>
          <cell r="AQ68">
            <v>3198</v>
          </cell>
          <cell r="AR68">
            <v>1606</v>
          </cell>
        </row>
        <row r="92">
          <cell r="AZ92" t="str">
            <v>Mass market/VIP/Total forecast</v>
          </cell>
        </row>
        <row r="93">
          <cell r="BA93">
            <v>1996</v>
          </cell>
          <cell r="BB93">
            <v>1997</v>
          </cell>
          <cell r="BC93">
            <v>1998</v>
          </cell>
          <cell r="BD93">
            <v>1999</v>
          </cell>
          <cell r="BE93">
            <v>2000</v>
          </cell>
          <cell r="BF93">
            <v>2001</v>
          </cell>
          <cell r="BG93">
            <v>2002</v>
          </cell>
          <cell r="BH93">
            <v>2003</v>
          </cell>
          <cell r="BI93">
            <v>2004</v>
          </cell>
          <cell r="BJ93">
            <v>2005</v>
          </cell>
          <cell r="BK93" t="str">
            <v>2006E</v>
          </cell>
          <cell r="BL93" t="str">
            <v>2007E</v>
          </cell>
          <cell r="BM93" t="str">
            <v>2008E</v>
          </cell>
          <cell r="BN93" t="str">
            <v>2009E</v>
          </cell>
          <cell r="BO93" t="str">
            <v>2010E</v>
          </cell>
        </row>
        <row r="94">
          <cell r="AZ94" t="str">
            <v>Mass Market</v>
          </cell>
          <cell r="BA94">
            <v>743.50329546010403</v>
          </cell>
          <cell r="BB94">
            <v>680.70481053873436</v>
          </cell>
          <cell r="BC94">
            <v>662.81947826698092</v>
          </cell>
          <cell r="BD94">
            <v>551.5480923777086</v>
          </cell>
          <cell r="BE94">
            <v>636.64034915406774</v>
          </cell>
          <cell r="BF94">
            <v>666.8908353861749</v>
          </cell>
          <cell r="BG94">
            <v>710.66439337316001</v>
          </cell>
          <cell r="BH94">
            <v>789.22213822157244</v>
          </cell>
          <cell r="BI94">
            <v>1405.5569362255396</v>
          </cell>
          <cell r="BJ94">
            <v>2085.2160815156567</v>
          </cell>
          <cell r="BK94">
            <v>2410.12711598839</v>
          </cell>
          <cell r="BL94">
            <v>3166.4450790961996</v>
          </cell>
          <cell r="BM94">
            <v>3987.0430218892116</v>
          </cell>
          <cell r="BN94">
            <v>5147.5260704163238</v>
          </cell>
          <cell r="BO94">
            <v>6335.90432669035</v>
          </cell>
        </row>
        <row r="95">
          <cell r="AZ95" t="str">
            <v>Mass Market Growth</v>
          </cell>
          <cell r="BA95">
            <v>-8.5061861588807242E-2</v>
          </cell>
          <cell r="BB95">
            <v>-8.446295437400575E-2</v>
          </cell>
          <cell r="BC95">
            <v>-2.6274725835415125E-2</v>
          </cell>
          <cell r="BD95">
            <v>-0.16787585389042037</v>
          </cell>
          <cell r="BE95">
            <v>0.15427894312811197</v>
          </cell>
          <cell r="BF95">
            <v>4.7515816853742177E-2</v>
          </cell>
          <cell r="BG95">
            <v>6.5638265911447391E-2</v>
          </cell>
          <cell r="BH95">
            <v>0.11054127036749239</v>
          </cell>
          <cell r="BI95">
            <v>0.78093957094616173</v>
          </cell>
          <cell r="BJ95">
            <v>0.48355148608583787</v>
          </cell>
          <cell r="BK95">
            <v>0.15581648221155531</v>
          </cell>
          <cell r="BL95">
            <v>0.31380832906717648</v>
          </cell>
          <cell r="BM95">
            <v>0.25915432679073525</v>
          </cell>
          <cell r="BN95">
            <v>0.29106358826728473</v>
          </cell>
          <cell r="BO95">
            <v>0.23086396067109427</v>
          </cell>
        </row>
        <row r="96">
          <cell r="AZ96" t="str">
            <v>VIP</v>
          </cell>
          <cell r="BA96">
            <v>1311.6412933882118</v>
          </cell>
          <cell r="BB96">
            <v>1543.9553513896376</v>
          </cell>
          <cell r="BC96">
            <v>1152.1755032529654</v>
          </cell>
          <cell r="BD96">
            <v>1070.2080149186154</v>
          </cell>
          <cell r="BE96">
            <v>1350.1079731470891</v>
          </cell>
          <cell r="BF96">
            <v>1589.0514861480779</v>
          </cell>
          <cell r="BG96">
            <v>1983.8078367889864</v>
          </cell>
          <cell r="BH96">
            <v>2688.8498544599533</v>
          </cell>
          <cell r="BI96">
            <v>3607.0036807892443</v>
          </cell>
          <cell r="BJ96">
            <v>3497.8356344037484</v>
          </cell>
          <cell r="BK96">
            <v>4462.2919091703079</v>
          </cell>
          <cell r="BL96">
            <v>5544.8648697270928</v>
          </cell>
          <cell r="BM96">
            <v>5988.4540593052607</v>
          </cell>
          <cell r="BN96">
            <v>6347.7613028635769</v>
          </cell>
          <cell r="BO96">
            <v>6601.6717549781206</v>
          </cell>
        </row>
        <row r="97">
          <cell r="AZ97" t="str">
            <v>VIP Growth</v>
          </cell>
          <cell r="BA97">
            <v>-4.4825780687432371E-2</v>
          </cell>
          <cell r="BB97">
            <v>0.17711706635990065</v>
          </cell>
          <cell r="BC97">
            <v>-0.2537507627950838</v>
          </cell>
          <cell r="BD97">
            <v>-7.114149546048254E-2</v>
          </cell>
          <cell r="BE97">
            <v>0.26153790134879418</v>
          </cell>
          <cell r="BF97">
            <v>0.17698103985269698</v>
          </cell>
          <cell r="BG97">
            <v>0.24842263078448967</v>
          </cell>
          <cell r="BH97">
            <v>0.35539834282142757</v>
          </cell>
          <cell r="BI97">
            <v>0.34146712387319189</v>
          </cell>
          <cell r="BJ97">
            <v>-3.0265576652145021E-2</v>
          </cell>
          <cell r="BK97">
            <v>0.27572944402545185</v>
          </cell>
          <cell r="BL97">
            <v>0.24260469341596069</v>
          </cell>
          <cell r="BM97">
            <v>0.08</v>
          </cell>
          <cell r="BN97">
            <v>0.06</v>
          </cell>
          <cell r="BO97">
            <v>3.9999999999999994E-2</v>
          </cell>
        </row>
        <row r="121">
          <cell r="BS121">
            <v>1996</v>
          </cell>
          <cell r="BT121">
            <v>1997</v>
          </cell>
          <cell r="BU121">
            <v>1998</v>
          </cell>
          <cell r="BV121">
            <v>1999</v>
          </cell>
          <cell r="BW121">
            <v>2000</v>
          </cell>
          <cell r="BX121">
            <v>2001</v>
          </cell>
          <cell r="BY121">
            <v>2002</v>
          </cell>
          <cell r="BZ121">
            <v>2003</v>
          </cell>
          <cell r="CA121">
            <v>2004</v>
          </cell>
          <cell r="CB121">
            <v>2005</v>
          </cell>
          <cell r="CC121">
            <v>2006</v>
          </cell>
          <cell r="CD121" t="str">
            <v>2007E</v>
          </cell>
          <cell r="CE121" t="str">
            <v>2008E</v>
          </cell>
          <cell r="CF121" t="str">
            <v>2009E</v>
          </cell>
          <cell r="CG121" t="str">
            <v>2010E</v>
          </cell>
        </row>
        <row r="122">
          <cell r="BR122" t="str">
            <v>Mass Market Growth</v>
          </cell>
          <cell r="BS122">
            <v>-8.5061861588807242E-2</v>
          </cell>
          <cell r="BT122">
            <v>-8.446295437400575E-2</v>
          </cell>
          <cell r="BU122">
            <v>-2.6274725835415125E-2</v>
          </cell>
          <cell r="BV122">
            <v>-0.16787585389042037</v>
          </cell>
          <cell r="BW122">
            <v>0.15427894312811197</v>
          </cell>
          <cell r="BX122">
            <v>4.7515816853742177E-2</v>
          </cell>
          <cell r="BY122">
            <v>6.5638265911447391E-2</v>
          </cell>
          <cell r="BZ122">
            <v>0.11054127036749239</v>
          </cell>
          <cell r="CA122">
            <v>0.78093957094616173</v>
          </cell>
          <cell r="CB122">
            <v>0.48355148608583787</v>
          </cell>
          <cell r="CC122">
            <v>0.15581648221155531</v>
          </cell>
          <cell r="CD122">
            <v>0.31380832906717648</v>
          </cell>
          <cell r="CE122">
            <v>0.25915432679073525</v>
          </cell>
          <cell r="CF122">
            <v>0.29106358826728473</v>
          </cell>
          <cell r="CG122">
            <v>0.23086396067109427</v>
          </cell>
        </row>
        <row r="123">
          <cell r="BR123" t="str">
            <v>VIP Growth</v>
          </cell>
          <cell r="BS123">
            <v>-4.4825780687432371E-2</v>
          </cell>
          <cell r="BT123">
            <v>0.17711706635990065</v>
          </cell>
          <cell r="BU123">
            <v>-0.2537507627950838</v>
          </cell>
          <cell r="BV123">
            <v>-7.114149546048254E-2</v>
          </cell>
          <cell r="BW123">
            <v>0.26153790134879418</v>
          </cell>
          <cell r="BX123">
            <v>0.17698103985269698</v>
          </cell>
          <cell r="BY123">
            <v>0.24842263078448967</v>
          </cell>
          <cell r="BZ123">
            <v>0.35539834282142757</v>
          </cell>
          <cell r="CA123">
            <v>0.34146712387319189</v>
          </cell>
          <cell r="CB123">
            <v>-3.0265576652145021E-2</v>
          </cell>
          <cell r="CC123">
            <v>0.27572944402545185</v>
          </cell>
          <cell r="CD123">
            <v>0.24260469341596069</v>
          </cell>
          <cell r="CE123">
            <v>0.08</v>
          </cell>
          <cell r="CF123">
            <v>0.06</v>
          </cell>
          <cell r="CG123">
            <v>3.9999999999999994E-2</v>
          </cell>
        </row>
        <row r="124">
          <cell r="BR124" t="str">
            <v>Mass Market</v>
          </cell>
          <cell r="BS124">
            <v>743.50329546010403</v>
          </cell>
          <cell r="BT124">
            <v>680.70481053873436</v>
          </cell>
          <cell r="BU124">
            <v>662.81947826698092</v>
          </cell>
          <cell r="BV124">
            <v>551.5480923777086</v>
          </cell>
          <cell r="BW124">
            <v>636.64034915406774</v>
          </cell>
          <cell r="BX124">
            <v>666.8908353861749</v>
          </cell>
          <cell r="BY124">
            <v>710.66439337316001</v>
          </cell>
          <cell r="BZ124">
            <v>789.22213822157244</v>
          </cell>
          <cell r="CA124">
            <v>1405.5569362255396</v>
          </cell>
          <cell r="CB124">
            <v>2085.2160815156567</v>
          </cell>
          <cell r="CC124">
            <v>2410.12711598839</v>
          </cell>
        </row>
        <row r="125">
          <cell r="BR125" t="str">
            <v>VIP</v>
          </cell>
          <cell r="BS125">
            <v>1311.6412933882118</v>
          </cell>
          <cell r="BT125">
            <v>1543.9553513896376</v>
          </cell>
          <cell r="BU125">
            <v>1152.1755032529654</v>
          </cell>
          <cell r="BV125">
            <v>1070.2080149186154</v>
          </cell>
          <cell r="BW125">
            <v>1350.1079731470891</v>
          </cell>
          <cell r="BX125">
            <v>1589.0514861480779</v>
          </cell>
          <cell r="BY125">
            <v>1983.8078367889864</v>
          </cell>
          <cell r="BZ125">
            <v>2688.8498544599533</v>
          </cell>
          <cell r="CA125">
            <v>3607.0036807892443</v>
          </cell>
          <cell r="CB125">
            <v>3497.8356344037484</v>
          </cell>
          <cell r="CC125">
            <v>4462.2919091703079</v>
          </cell>
        </row>
        <row r="126">
          <cell r="BR126" t="str">
            <v>Mass Market</v>
          </cell>
          <cell r="CD126">
            <v>3166.4450790961996</v>
          </cell>
          <cell r="CE126">
            <v>3987.0430218892116</v>
          </cell>
          <cell r="CF126">
            <v>5147.5260704163238</v>
          </cell>
          <cell r="CG126">
            <v>6335.90432669035</v>
          </cell>
        </row>
        <row r="127">
          <cell r="BR127" t="str">
            <v>VIP</v>
          </cell>
          <cell r="CD127">
            <v>5544.8648697270928</v>
          </cell>
          <cell r="CE127">
            <v>5988.4540593052607</v>
          </cell>
          <cell r="CF127">
            <v>6347.7613028635769</v>
          </cell>
          <cell r="CG127">
            <v>6601.6717549781206</v>
          </cell>
        </row>
        <row r="149">
          <cell r="CH149" t="str">
            <v>Visitor Volume forecast</v>
          </cell>
        </row>
        <row r="150">
          <cell r="CI150">
            <v>2003</v>
          </cell>
          <cell r="CJ150">
            <v>2004</v>
          </cell>
          <cell r="CK150">
            <v>2005</v>
          </cell>
          <cell r="CL150" t="str">
            <v>2006E</v>
          </cell>
          <cell r="CM150" t="str">
            <v>2007E</v>
          </cell>
          <cell r="CN150" t="str">
            <v>2008E</v>
          </cell>
          <cell r="CO150" t="str">
            <v>2009E</v>
          </cell>
          <cell r="CP150" t="str">
            <v>2010E</v>
          </cell>
        </row>
        <row r="151">
          <cell r="CH151" t="str">
            <v>China Visitors</v>
          </cell>
          <cell r="CI151">
            <v>5.7420359999999997</v>
          </cell>
          <cell r="CJ151">
            <v>9.5297389999999993</v>
          </cell>
          <cell r="CK151">
            <v>10.462966</v>
          </cell>
          <cell r="CL151">
            <v>11.985617</v>
          </cell>
          <cell r="CM151">
            <v>14.484650159144822</v>
          </cell>
          <cell r="CN151">
            <v>17.638701722452655</v>
          </cell>
          <cell r="CO151">
            <v>21.558132326615485</v>
          </cell>
          <cell r="CP151">
            <v>26.21178215894642</v>
          </cell>
        </row>
        <row r="152">
          <cell r="CH152" t="str">
            <v>China Growth</v>
          </cell>
          <cell r="CJ152">
            <v>0.65964459296319289</v>
          </cell>
          <cell r="CK152">
            <v>9.7927865600516473E-2</v>
          </cell>
          <cell r="CL152">
            <v>0.14552766395303207</v>
          </cell>
          <cell r="CM152">
            <v>0.20850267108859089</v>
          </cell>
          <cell r="CN152">
            <v>0.21775131112272916</v>
          </cell>
          <cell r="CO152">
            <v>0.22220629759693189</v>
          </cell>
          <cell r="CP152">
            <v>0.21586516688115776</v>
          </cell>
        </row>
        <row r="153">
          <cell r="CH153" t="str">
            <v>Other Visitors</v>
          </cell>
          <cell r="CI153">
            <v>6.1458399999999989</v>
          </cell>
          <cell r="CJ153">
            <v>7.1428170000000009</v>
          </cell>
          <cell r="CK153">
            <v>8.2482209999999991</v>
          </cell>
          <cell r="CL153">
            <v>10.012505000000003</v>
          </cell>
          <cell r="CM153">
            <v>12.368561300000001</v>
          </cell>
          <cell r="CN153">
            <v>13.474254647000002</v>
          </cell>
          <cell r="CO153">
            <v>14.380254390099999</v>
          </cell>
          <cell r="CP153">
            <v>15.252576536700005</v>
          </cell>
        </row>
        <row r="154">
          <cell r="CH154" t="str">
            <v>Other Growth</v>
          </cell>
          <cell r="CJ154">
            <v>0.16221981047342626</v>
          </cell>
          <cell r="CK154">
            <v>0.15475742973675488</v>
          </cell>
          <cell r="CL154">
            <v>0.2138987304050175</v>
          </cell>
          <cell r="CM154">
            <v>0.23531137312790329</v>
          </cell>
          <cell r="CN154">
            <v>8.9395469705922936E-2</v>
          </cell>
          <cell r="CO154">
            <v>6.7239321716523692E-2</v>
          </cell>
          <cell r="CP154">
            <v>6.0661106746522586E-2</v>
          </cell>
        </row>
        <row r="176">
          <cell r="CQ176" t="str">
            <v>Mass Market Fair shares - major properties</v>
          </cell>
        </row>
        <row r="177">
          <cell r="CR177">
            <v>2005</v>
          </cell>
          <cell r="CS177" t="str">
            <v>2006E</v>
          </cell>
          <cell r="CT177" t="str">
            <v>2007E</v>
          </cell>
          <cell r="CU177" t="str">
            <v>2008E</v>
          </cell>
          <cell r="CV177" t="str">
            <v>2009E</v>
          </cell>
          <cell r="CW177" t="str">
            <v>2010E</v>
          </cell>
        </row>
        <row r="178">
          <cell r="CQ178" t="str">
            <v>Sands Macao</v>
          </cell>
          <cell r="CR178">
            <v>1.0965861639373129</v>
          </cell>
          <cell r="CS178">
            <v>1.166517758723717</v>
          </cell>
          <cell r="CT178">
            <v>1.0919373183163483</v>
          </cell>
          <cell r="CU178">
            <v>1.2</v>
          </cell>
          <cell r="CV178">
            <v>1.2</v>
          </cell>
          <cell r="CW178">
            <v>1.2</v>
          </cell>
        </row>
        <row r="179">
          <cell r="CQ179" t="str">
            <v>Wynn Macau</v>
          </cell>
          <cell r="CR179" t="str">
            <v>N.M.</v>
          </cell>
          <cell r="CS179">
            <v>1.5032113619893295</v>
          </cell>
          <cell r="CT179">
            <v>1.8491700905658222</v>
          </cell>
          <cell r="CU179">
            <v>1.9</v>
          </cell>
          <cell r="CV179">
            <v>2.12</v>
          </cell>
          <cell r="CW179">
            <v>2.14</v>
          </cell>
        </row>
        <row r="180">
          <cell r="CQ180" t="str">
            <v>MGM Grand</v>
          </cell>
          <cell r="CR180" t="str">
            <v>N.M.</v>
          </cell>
          <cell r="CS180" t="str">
            <v>N.M.</v>
          </cell>
          <cell r="CT180">
            <v>1.0768169205587728</v>
          </cell>
          <cell r="CU180">
            <v>1.8</v>
          </cell>
          <cell r="CV180">
            <v>2</v>
          </cell>
          <cell r="CW180">
            <v>2</v>
          </cell>
        </row>
        <row r="181">
          <cell r="CQ181" t="str">
            <v>PBL/Melco NAPE</v>
          </cell>
          <cell r="CR181" t="str">
            <v>N.M.</v>
          </cell>
          <cell r="CS181" t="str">
            <v>N.M.</v>
          </cell>
          <cell r="CT181" t="str">
            <v>N.M.</v>
          </cell>
          <cell r="CU181">
            <v>0</v>
          </cell>
          <cell r="CV181">
            <v>1.5</v>
          </cell>
          <cell r="CW181">
            <v>1.5</v>
          </cell>
        </row>
        <row r="182">
          <cell r="CQ182" t="str">
            <v>Venetian Macao</v>
          </cell>
          <cell r="CR182" t="str">
            <v>N.M.</v>
          </cell>
          <cell r="CS182" t="str">
            <v>N.M.</v>
          </cell>
          <cell r="CT182">
            <v>0.87730964062357364</v>
          </cell>
          <cell r="CU182">
            <v>1.05</v>
          </cell>
          <cell r="CV182">
            <v>1.1000000000000001</v>
          </cell>
          <cell r="CW182">
            <v>1.1000000000000001</v>
          </cell>
        </row>
        <row r="183">
          <cell r="CQ183" t="str">
            <v>Wynn Cotai</v>
          </cell>
          <cell r="CR183" t="str">
            <v>N.M.</v>
          </cell>
          <cell r="CS183" t="str">
            <v>N.M.</v>
          </cell>
          <cell r="CT183" t="str">
            <v>N.M.</v>
          </cell>
          <cell r="CU183">
            <v>0</v>
          </cell>
          <cell r="CV183">
            <v>0</v>
          </cell>
          <cell r="CW183">
            <v>1</v>
          </cell>
        </row>
        <row r="184">
          <cell r="CQ184" t="str">
            <v>LVS Cotai Strip</v>
          </cell>
          <cell r="CR184" t="str">
            <v>N.M.</v>
          </cell>
          <cell r="CS184" t="str">
            <v>N.M.</v>
          </cell>
          <cell r="CT184" t="str">
            <v>N.M.</v>
          </cell>
          <cell r="CU184">
            <v>0.9</v>
          </cell>
          <cell r="CV184">
            <v>1</v>
          </cell>
          <cell r="CW184">
            <v>1</v>
          </cell>
        </row>
        <row r="185">
          <cell r="CQ185" t="str">
            <v>City of Dreams</v>
          </cell>
          <cell r="CR185" t="str">
            <v>N.M.</v>
          </cell>
          <cell r="CS185" t="str">
            <v>N.M.</v>
          </cell>
          <cell r="CT185" t="str">
            <v>N.M.</v>
          </cell>
          <cell r="CU185">
            <v>0</v>
          </cell>
          <cell r="CV185">
            <v>1</v>
          </cell>
          <cell r="CW185">
            <v>1</v>
          </cell>
        </row>
        <row r="207">
          <cell r="CY207" t="str">
            <v>China Visitation Forecast Components</v>
          </cell>
        </row>
        <row r="208">
          <cell r="CY208" t="str">
            <v>millions</v>
          </cell>
          <cell r="CZ208">
            <v>2003</v>
          </cell>
          <cell r="DA208">
            <v>2004</v>
          </cell>
          <cell r="DB208">
            <v>2005</v>
          </cell>
          <cell r="DC208" t="str">
            <v>2006E</v>
          </cell>
          <cell r="DD208" t="str">
            <v>2007E</v>
          </cell>
          <cell r="DE208" t="str">
            <v>2008E</v>
          </cell>
          <cell r="DF208" t="str">
            <v>2009E</v>
          </cell>
          <cell r="DG208" t="str">
            <v>2010E</v>
          </cell>
        </row>
        <row r="210">
          <cell r="CY210" t="str">
            <v>IVS Visitors</v>
          </cell>
          <cell r="CZ210">
            <v>0.60830000000000006</v>
          </cell>
          <cell r="DA210">
            <v>3.5187520000000001</v>
          </cell>
          <cell r="DB210">
            <v>5.3315089999999996</v>
          </cell>
          <cell r="DC210">
            <v>5.7748499999999998</v>
          </cell>
          <cell r="DD210">
            <v>7.8961822091448219</v>
          </cell>
          <cell r="DE210">
            <v>10.519358044952657</v>
          </cell>
          <cell r="DF210">
            <v>13.865754056090488</v>
          </cell>
          <cell r="DG210">
            <v>17.989030775247421</v>
          </cell>
        </row>
        <row r="211">
          <cell r="CY211" t="str">
            <v>Non-IVS Individual Visitors</v>
          </cell>
          <cell r="CZ211">
            <v>3.875521</v>
          </cell>
          <cell r="DA211">
            <v>3.9427409999999989</v>
          </cell>
          <cell r="DB211">
            <v>2.8527119999999995</v>
          </cell>
          <cell r="DC211">
            <v>3.9166359999999996</v>
          </cell>
          <cell r="DD211">
            <v>3.7208041999999995</v>
          </cell>
          <cell r="DE211">
            <v>3.5347639899999992</v>
          </cell>
          <cell r="DF211">
            <v>3.5701116298999991</v>
          </cell>
          <cell r="DG211">
            <v>3.6058127461989993</v>
          </cell>
        </row>
        <row r="212">
          <cell r="CZ212" t="str">
            <v>_____</v>
          </cell>
          <cell r="DA212" t="str">
            <v>_____</v>
          </cell>
          <cell r="DB212" t="str">
            <v>_____</v>
          </cell>
          <cell r="DC212" t="str">
            <v>_____</v>
          </cell>
          <cell r="DD212" t="str">
            <v>_____</v>
          </cell>
          <cell r="DE212" t="str">
            <v>_____</v>
          </cell>
          <cell r="DF212" t="str">
            <v>_____</v>
          </cell>
          <cell r="DG212" t="str">
            <v>_____</v>
          </cell>
        </row>
        <row r="213">
          <cell r="CY213" t="str">
            <v>Total Individuals</v>
          </cell>
          <cell r="CZ213">
            <v>4.4838209999999998</v>
          </cell>
          <cell r="DA213">
            <v>7.461492999999999</v>
          </cell>
          <cell r="DB213">
            <v>8.1842209999999991</v>
          </cell>
          <cell r="DC213">
            <v>9.6914859999999994</v>
          </cell>
          <cell r="DD213">
            <v>11.616986409144822</v>
          </cell>
          <cell r="DE213">
            <v>14.054122034952655</v>
          </cell>
          <cell r="DF213">
            <v>17.435865685990485</v>
          </cell>
          <cell r="DG213">
            <v>21.594843521446421</v>
          </cell>
        </row>
        <row r="214">
          <cell r="CY214" t="str">
            <v>Package Tour Visitors</v>
          </cell>
          <cell r="CZ214">
            <v>1.2582150000000001</v>
          </cell>
          <cell r="DA214">
            <v>2.0682459999999998</v>
          </cell>
          <cell r="DB214">
            <v>2.2787450000000002</v>
          </cell>
          <cell r="DC214">
            <v>2.2941310000000001</v>
          </cell>
          <cell r="DD214">
            <v>2.8676637500000002</v>
          </cell>
          <cell r="DE214">
            <v>3.5845796875000002</v>
          </cell>
          <cell r="DF214">
            <v>4.1222666406249999</v>
          </cell>
          <cell r="DG214">
            <v>4.6169386375000006</v>
          </cell>
        </row>
        <row r="215">
          <cell r="CZ215" t="str">
            <v>_____</v>
          </cell>
          <cell r="DA215" t="str">
            <v>_____</v>
          </cell>
          <cell r="DB215" t="str">
            <v>_____</v>
          </cell>
          <cell r="DC215" t="str">
            <v>_____</v>
          </cell>
          <cell r="DD215" t="str">
            <v>_____</v>
          </cell>
          <cell r="DE215" t="str">
            <v>_____</v>
          </cell>
          <cell r="DF215" t="str">
            <v>_____</v>
          </cell>
          <cell r="DG215" t="str">
            <v>_____</v>
          </cell>
        </row>
        <row r="216">
          <cell r="CY216" t="str">
            <v>Total Mainland China Visitation</v>
          </cell>
          <cell r="CZ216">
            <v>5.7420359999999997</v>
          </cell>
          <cell r="DA216">
            <v>9.5297389999999993</v>
          </cell>
          <cell r="DB216">
            <v>10.462966</v>
          </cell>
          <cell r="DC216">
            <v>11.985617</v>
          </cell>
          <cell r="DD216">
            <v>14.484650159144822</v>
          </cell>
          <cell r="DE216">
            <v>17.638701722452655</v>
          </cell>
          <cell r="DF216">
            <v>21.558132326615485</v>
          </cell>
          <cell r="DG216">
            <v>26.21178215894642</v>
          </cell>
        </row>
        <row r="218">
          <cell r="DG218">
            <v>1.7505246637863241</v>
          </cell>
        </row>
        <row r="219">
          <cell r="DG219">
            <v>0.20579878746169999</v>
          </cell>
        </row>
        <row r="238">
          <cell r="DH238" t="str">
            <v>Position forecast</v>
          </cell>
        </row>
        <row r="239">
          <cell r="DI239">
            <v>2004</v>
          </cell>
          <cell r="DJ239">
            <v>2005</v>
          </cell>
          <cell r="DK239" t="str">
            <v>2006E</v>
          </cell>
          <cell r="DL239" t="str">
            <v>2007E</v>
          </cell>
          <cell r="DM239" t="str">
            <v>2008E</v>
          </cell>
          <cell r="DN239" t="str">
            <v>2009E</v>
          </cell>
          <cell r="DO239" t="str">
            <v>2010E</v>
          </cell>
        </row>
        <row r="240">
          <cell r="DH240" t="str">
            <v>Total Tables</v>
          </cell>
          <cell r="DI240">
            <v>660.54586717630195</v>
          </cell>
          <cell r="DJ240">
            <v>1251.75</v>
          </cell>
          <cell r="DK240">
            <v>2064.4426328502418</v>
          </cell>
          <cell r="DL240">
            <v>3839.166666666667</v>
          </cell>
          <cell r="DM240">
            <v>5581</v>
          </cell>
          <cell r="DN240">
            <v>8198.5</v>
          </cell>
          <cell r="DO240">
            <v>9966</v>
          </cell>
          <cell r="DP240">
            <v>7.961653684841222</v>
          </cell>
          <cell r="DQ240">
            <v>6.961653684841222</v>
          </cell>
          <cell r="DR240">
            <v>0.53000867023692599</v>
          </cell>
        </row>
        <row r="241">
          <cell r="DH241" t="str">
            <v>Mass Market Tables</v>
          </cell>
          <cell r="DI241">
            <v>465.75</v>
          </cell>
          <cell r="DJ241">
            <v>965.625</v>
          </cell>
          <cell r="DK241">
            <v>1572.2832125603863</v>
          </cell>
          <cell r="DL241">
            <v>3120.7500000000005</v>
          </cell>
          <cell r="DM241">
            <v>4653.833333333333</v>
          </cell>
          <cell r="DN241">
            <v>6896.333333333333</v>
          </cell>
          <cell r="DO241">
            <v>8341.3333333333339</v>
          </cell>
          <cell r="DP241">
            <v>8.6382740021574982</v>
          </cell>
          <cell r="DQ241">
            <v>7.6382740021574982</v>
          </cell>
          <cell r="DR241">
            <v>0.56231993756419785</v>
          </cell>
        </row>
        <row r="242">
          <cell r="DH242" t="str">
            <v>VIP Tables</v>
          </cell>
          <cell r="DI242">
            <v>194.79586717630195</v>
          </cell>
          <cell r="DJ242">
            <v>286.125</v>
          </cell>
          <cell r="DK242">
            <v>492.15942028985546</v>
          </cell>
          <cell r="DL242">
            <v>718.41666666666652</v>
          </cell>
          <cell r="DM242">
            <v>927.16666666666697</v>
          </cell>
          <cell r="DN242">
            <v>1302.166666666667</v>
          </cell>
          <cell r="DO242">
            <v>1624.6666666666661</v>
          </cell>
          <cell r="DP242">
            <v>5.6781709625746304</v>
          </cell>
          <cell r="DQ242">
            <v>4.6781709625746304</v>
          </cell>
          <cell r="DR242">
            <v>0.40322962265607054</v>
          </cell>
        </row>
        <row r="243">
          <cell r="DH243" t="str">
            <v>Slots</v>
          </cell>
          <cell r="DI243">
            <v>1548.6654323936932</v>
          </cell>
          <cell r="DJ243">
            <v>2918.5</v>
          </cell>
          <cell r="DK243">
            <v>4767.75</v>
          </cell>
          <cell r="DL243">
            <v>11066.615942028986</v>
          </cell>
          <cell r="DM243">
            <v>17875.782608695652</v>
          </cell>
          <cell r="DN243">
            <v>27650.782608695652</v>
          </cell>
          <cell r="DO243">
            <v>38425.782608695648</v>
          </cell>
          <cell r="DP243">
            <v>13.166278091038427</v>
          </cell>
          <cell r="DQ243">
            <v>12.166278091038427</v>
          </cell>
          <cell r="DR243">
            <v>0.70336242574887442</v>
          </cell>
        </row>
        <row r="244">
          <cell r="DH244" t="str">
            <v>Positions</v>
          </cell>
          <cell r="DI244">
            <v>7121.6804825609161</v>
          </cell>
          <cell r="DJ244">
            <v>13490.333333333334</v>
          </cell>
          <cell r="DK244">
            <v>22233.676328502414</v>
          </cell>
          <cell r="DL244">
            <v>43066.113043478254</v>
          </cell>
          <cell r="DM244">
            <v>64954.391304347824</v>
          </cell>
          <cell r="DN244">
            <v>96016.891304347824</v>
          </cell>
          <cell r="DO244">
            <v>119079.39130434782</v>
          </cell>
          <cell r="DP244">
            <v>8.8270162316978436</v>
          </cell>
          <cell r="DQ244">
            <v>7.8270162316978436</v>
          </cell>
          <cell r="DR244">
            <v>0.56557148117633949</v>
          </cell>
        </row>
        <row r="267">
          <cell r="DS267" t="str">
            <v>Win/Position forecast</v>
          </cell>
        </row>
        <row r="268">
          <cell r="DT268">
            <v>2004</v>
          </cell>
          <cell r="DU268">
            <v>2005</v>
          </cell>
          <cell r="DV268" t="str">
            <v>2006E</v>
          </cell>
          <cell r="DW268" t="str">
            <v>2007E</v>
          </cell>
          <cell r="DX268" t="str">
            <v>2008E</v>
          </cell>
          <cell r="DY268" t="str">
            <v>2009E</v>
          </cell>
          <cell r="DZ268" t="str">
            <v>2010E</v>
          </cell>
        </row>
        <row r="269">
          <cell r="DS269" t="str">
            <v>All Tables</v>
          </cell>
          <cell r="DT269">
            <v>20414.826766476152</v>
          </cell>
          <cell r="DU269">
            <v>11887.951376957966</v>
          </cell>
          <cell r="DV269">
            <v>8789.413707071848</v>
          </cell>
          <cell r="DW269">
            <v>5794.6280674243335</v>
          </cell>
          <cell r="DX269">
            <v>4418.7291130811236</v>
          </cell>
          <cell r="DY269">
            <v>3327.7505285950278</v>
          </cell>
          <cell r="DZ269">
            <v>2957.6453872411762</v>
          </cell>
          <cell r="EA269">
            <v>-0.75120647002528251</v>
          </cell>
        </row>
        <row r="270">
          <cell r="DS270" t="str">
            <v>Mass Market Tables</v>
          </cell>
          <cell r="DT270">
            <v>7793.2971252477782</v>
          </cell>
          <cell r="DU270">
            <v>5486.2206435972312</v>
          </cell>
          <cell r="DV270">
            <v>3765.0870033772258</v>
          </cell>
          <cell r="DW270">
            <v>2260.7169174700166</v>
          </cell>
          <cell r="DX270">
            <v>1773.6354395919532</v>
          </cell>
          <cell r="DY270">
            <v>1434.3036180858212</v>
          </cell>
          <cell r="DZ270">
            <v>1365.3838712194677</v>
          </cell>
          <cell r="EA270">
            <v>-0.75112487085021673</v>
          </cell>
        </row>
        <row r="271">
          <cell r="DS271" t="str">
            <v>VIP Tables</v>
          </cell>
          <cell r="DT271">
            <v>50592.455869262696</v>
          </cell>
          <cell r="DU271">
            <v>33492.743825717982</v>
          </cell>
          <cell r="DV271">
            <v>24840.441493932929</v>
          </cell>
          <cell r="DW271">
            <v>21145.682313409634</v>
          </cell>
          <cell r="DX271">
            <v>17695.549290114752</v>
          </cell>
          <cell r="DY271">
            <v>13355.530672336219</v>
          </cell>
          <cell r="DZ271">
            <v>11132.604799823705</v>
          </cell>
          <cell r="EA271">
            <v>-0.66761144271269468</v>
          </cell>
        </row>
        <row r="272">
          <cell r="DS272" t="str">
            <v>Slots</v>
          </cell>
          <cell r="DT272">
            <v>136.89300769567095</v>
          </cell>
          <cell r="DU272">
            <v>142.29534428720078</v>
          </cell>
          <cell r="DV272">
            <v>143.3181059766107</v>
          </cell>
          <cell r="DW272">
            <v>146.39160569190702</v>
          </cell>
          <cell r="DX272">
            <v>149.31943780574517</v>
          </cell>
          <cell r="DY272">
            <v>152.30582656186007</v>
          </cell>
          <cell r="DZ272">
            <v>155.35194309309728</v>
          </cell>
          <cell r="EA272">
            <v>9.1757034436374951E-2</v>
          </cell>
        </row>
        <row r="294">
          <cell r="EB294" t="str">
            <v>Hotel/Room forecast</v>
          </cell>
        </row>
        <row r="295">
          <cell r="EC295">
            <v>1999</v>
          </cell>
          <cell r="ED295">
            <v>2000</v>
          </cell>
          <cell r="EE295">
            <v>2001</v>
          </cell>
          <cell r="EF295">
            <v>2002</v>
          </cell>
          <cell r="EG295">
            <v>2003</v>
          </cell>
          <cell r="EH295">
            <v>2004</v>
          </cell>
          <cell r="EI295">
            <v>2005</v>
          </cell>
          <cell r="EJ295" t="str">
            <v>2006E</v>
          </cell>
          <cell r="EK295" t="str">
            <v>2007E</v>
          </cell>
          <cell r="EL295" t="str">
            <v>2008E</v>
          </cell>
          <cell r="EM295" t="str">
            <v>2009E</v>
          </cell>
          <cell r="EN295" t="str">
            <v>2010E</v>
          </cell>
        </row>
        <row r="296">
          <cell r="EB296" t="str">
            <v>Hotels</v>
          </cell>
          <cell r="EC296">
            <v>74</v>
          </cell>
          <cell r="ED296">
            <v>72.416666666666671</v>
          </cell>
          <cell r="EE296">
            <v>70.333333333333329</v>
          </cell>
          <cell r="EF296">
            <v>68.083333333333329</v>
          </cell>
          <cell r="EG296">
            <v>68.083333333333329</v>
          </cell>
          <cell r="EH296">
            <v>70</v>
          </cell>
          <cell r="EI296">
            <v>73.833333333333329</v>
          </cell>
        </row>
        <row r="297">
          <cell r="EB297" t="str">
            <v>Rooms</v>
          </cell>
          <cell r="EC297">
            <v>9431</v>
          </cell>
          <cell r="ED297">
            <v>9309.75</v>
          </cell>
          <cell r="EE297">
            <v>9049</v>
          </cell>
          <cell r="EF297">
            <v>8903.9166666666661</v>
          </cell>
          <cell r="EG297">
            <v>8953.1666666666679</v>
          </cell>
          <cell r="EH297">
            <v>9232.5</v>
          </cell>
          <cell r="EI297">
            <v>10534.833333333332</v>
          </cell>
        </row>
        <row r="298">
          <cell r="EB298" t="str">
            <v>Hotel Forecast</v>
          </cell>
          <cell r="EI298">
            <v>73.833333333333329</v>
          </cell>
          <cell r="EJ298">
            <v>78</v>
          </cell>
          <cell r="EK298">
            <v>0</v>
          </cell>
          <cell r="EL298">
            <v>0</v>
          </cell>
          <cell r="EM298">
            <v>0</v>
          </cell>
          <cell r="EN298">
            <v>0</v>
          </cell>
        </row>
        <row r="299">
          <cell r="EB299" t="str">
            <v>Room Forecast</v>
          </cell>
          <cell r="EI299">
            <v>10534.833333333332</v>
          </cell>
          <cell r="EJ299">
            <v>11819.416666666666</v>
          </cell>
          <cell r="EK299">
            <v>15220.325250836122</v>
          </cell>
          <cell r="EL299">
            <v>21337.818840579712</v>
          </cell>
          <cell r="EM299">
            <v>33922.818840579712</v>
          </cell>
          <cell r="EN299">
            <v>48497.818840579712</v>
          </cell>
        </row>
        <row r="321">
          <cell r="EO321" t="str">
            <v>Sands market share estimates</v>
          </cell>
        </row>
        <row r="322">
          <cell r="EP322">
            <v>2004</v>
          </cell>
          <cell r="EQ322">
            <v>2005</v>
          </cell>
          <cell r="ER322" t="str">
            <v>2006E</v>
          </cell>
          <cell r="ES322" t="str">
            <v>2007E</v>
          </cell>
          <cell r="ET322" t="str">
            <v>2008E</v>
          </cell>
          <cell r="EU322" t="str">
            <v>2009E</v>
          </cell>
          <cell r="EV322" t="str">
            <v>2010E</v>
          </cell>
        </row>
        <row r="323">
          <cell r="EO323" t="str">
            <v>Mass Share</v>
          </cell>
          <cell r="EP323">
            <v>0.40761349902224442</v>
          </cell>
          <cell r="EQ323">
            <v>0.34588086116991928</v>
          </cell>
          <cell r="ER323">
            <v>0.35498371240437149</v>
          </cell>
          <cell r="ES323">
            <v>0.228694873391485</v>
          </cell>
          <cell r="ET323">
            <v>0.16410273156577451</v>
          </cell>
          <cell r="EU323">
            <v>0.10996424984008536</v>
          </cell>
          <cell r="EV323">
            <v>8.8708320238230498E-2</v>
          </cell>
        </row>
        <row r="324">
          <cell r="EO324" t="str">
            <v>VIP Share</v>
          </cell>
          <cell r="EP324">
            <v>6.5167720220255859E-3</v>
          </cell>
          <cell r="EQ324">
            <v>6.8900807582138485E-2</v>
          </cell>
          <cell r="ER324">
            <v>0.12165721361356163</v>
          </cell>
          <cell r="ES324">
            <v>9.6370420552783886E-2</v>
          </cell>
          <cell r="ET324">
            <v>0.06</v>
          </cell>
          <cell r="EU324">
            <v>0.05</v>
          </cell>
          <cell r="EV324">
            <v>0.04</v>
          </cell>
        </row>
        <row r="325">
          <cell r="EO325" t="str">
            <v>Mass Revenue</v>
          </cell>
          <cell r="EP325">
            <v>378.48779041720229</v>
          </cell>
          <cell r="EQ325">
            <v>721.23633399999994</v>
          </cell>
          <cell r="ER325">
            <v>855.55587099999991</v>
          </cell>
          <cell r="ES325">
            <v>724.14975646499602</v>
          </cell>
          <cell r="ET325">
            <v>654.28465076227974</v>
          </cell>
          <cell r="EU325">
            <v>566.04384286561344</v>
          </cell>
          <cell r="EV325">
            <v>562.04743001083773</v>
          </cell>
        </row>
        <row r="326">
          <cell r="EO326" t="str">
            <v>VIP Revenue</v>
          </cell>
          <cell r="EP326">
            <v>12.561</v>
          </cell>
          <cell r="EQ326">
            <v>241.00369999999998</v>
          </cell>
          <cell r="ER326">
            <v>542.87</v>
          </cell>
          <cell r="ES326">
            <v>534.36095940395705</v>
          </cell>
          <cell r="ET326">
            <v>359.30724355831563</v>
          </cell>
          <cell r="EU326">
            <v>317.38806514317889</v>
          </cell>
          <cell r="EV326">
            <v>264.06687019912482</v>
          </cell>
        </row>
        <row r="348">
          <cell r="EX348" t="str">
            <v>Venetian market share estimates</v>
          </cell>
        </row>
        <row r="349">
          <cell r="EY349" t="str">
            <v>2007E</v>
          </cell>
          <cell r="EZ349" t="str">
            <v>2008E</v>
          </cell>
          <cell r="FA349" t="str">
            <v>2009E</v>
          </cell>
          <cell r="FB349" t="str">
            <v>2010E</v>
          </cell>
        </row>
        <row r="350">
          <cell r="EX350" t="str">
            <v>Mass Share</v>
          </cell>
          <cell r="EY350">
            <v>9.7125563095070658E-2</v>
          </cell>
          <cell r="EZ350">
            <v>0.17602135083589143</v>
          </cell>
          <cell r="FA350">
            <v>0.12356755155694032</v>
          </cell>
          <cell r="FB350">
            <v>9.9682123512939425E-2</v>
          </cell>
        </row>
        <row r="351">
          <cell r="EX351" t="str">
            <v>VIP Share</v>
          </cell>
          <cell r="EY351">
            <v>6.0989677027676929E-2</v>
          </cell>
          <cell r="EZ351">
            <v>0.13</v>
          </cell>
          <cell r="FA351">
            <v>0.14000000000000001</v>
          </cell>
          <cell r="FB351">
            <v>0.11000000000000001</v>
          </cell>
        </row>
        <row r="352">
          <cell r="EX352" t="str">
            <v>Mass Revenue</v>
          </cell>
          <cell r="EY352">
            <v>307.54276131683389</v>
          </cell>
          <cell r="EZ352">
            <v>701.80469855375372</v>
          </cell>
          <cell r="FA352">
            <v>636.06719309686355</v>
          </cell>
          <cell r="FB352">
            <v>631.57639765931481</v>
          </cell>
        </row>
        <row r="353">
          <cell r="EX353" t="str">
            <v>VIP Revenue</v>
          </cell>
          <cell r="EY353">
            <v>338.17951756676723</v>
          </cell>
          <cell r="EZ353">
            <v>778.4990277096839</v>
          </cell>
          <cell r="FA353">
            <v>888.68658240090087</v>
          </cell>
          <cell r="FB353">
            <v>726.18389304759341</v>
          </cell>
        </row>
        <row r="375">
          <cell r="FG375" t="str">
            <v>Cotai strip market share estimates</v>
          </cell>
        </row>
        <row r="376">
          <cell r="FH376" t="str">
            <v>2007E</v>
          </cell>
          <cell r="FI376" t="str">
            <v>2008E</v>
          </cell>
          <cell r="FJ376" t="str">
            <v>2009E</v>
          </cell>
          <cell r="FK376" t="str">
            <v>2010E</v>
          </cell>
        </row>
        <row r="377">
          <cell r="FG377" t="str">
            <v>Mass Share</v>
          </cell>
          <cell r="FH377">
            <v>0</v>
          </cell>
          <cell r="FI377">
            <v>8.7605096268554269E-2</v>
          </cell>
          <cell r="FJ377">
            <v>0.1684181639591753</v>
          </cell>
          <cell r="FK377">
            <v>0.1841756341201316</v>
          </cell>
        </row>
        <row r="378">
          <cell r="FG378" t="str">
            <v>Mass Revenue</v>
          </cell>
          <cell r="FH378">
            <v>0</v>
          </cell>
          <cell r="FI378">
            <v>349.28528775947194</v>
          </cell>
          <cell r="FJ378">
            <v>866.93688971150573</v>
          </cell>
          <cell r="FK378">
            <v>1166.9191970926806</v>
          </cell>
        </row>
        <row r="400">
          <cell r="FP400" t="str">
            <v>Wynn market share estimates</v>
          </cell>
        </row>
        <row r="401">
          <cell r="FQ401" t="str">
            <v>2006E</v>
          </cell>
          <cell r="FR401" t="str">
            <v>2007E</v>
          </cell>
          <cell r="FS401" t="str">
            <v>2008E</v>
          </cell>
          <cell r="FT401" t="str">
            <v>2009E</v>
          </cell>
          <cell r="FU401" t="str">
            <v>2010E</v>
          </cell>
        </row>
        <row r="402">
          <cell r="FP402" t="str">
            <v>Mass Share</v>
          </cell>
          <cell r="FQ402">
            <v>5.3355499445208295E-2</v>
          </cell>
          <cell r="FR402">
            <v>0.16743861775519664</v>
          </cell>
          <cell r="FS402">
            <v>0.14350291592468326</v>
          </cell>
          <cell r="FT402">
            <v>0.10729480420038999</v>
          </cell>
          <cell r="FU402">
            <v>8.7371429979581888E-2</v>
          </cell>
        </row>
        <row r="403">
          <cell r="FP403" t="str">
            <v>VIP Share</v>
          </cell>
          <cell r="FQ403">
            <v>4.4674352117198425E-2</v>
          </cell>
          <cell r="FR403">
            <v>0.11505452620455096</v>
          </cell>
          <cell r="FS403">
            <v>9.505452620455096E-2</v>
          </cell>
          <cell r="FT403">
            <v>0.10505452620455095</v>
          </cell>
          <cell r="FU403">
            <v>7.5054526204550956E-2</v>
          </cell>
        </row>
        <row r="404">
          <cell r="FP404" t="str">
            <v>Mass Revenue</v>
          </cell>
          <cell r="FQ404">
            <v>128.593536</v>
          </cell>
          <cell r="FR404">
            <v>530.18518724161186</v>
          </cell>
          <cell r="FS404">
            <v>572.1522995582626</v>
          </cell>
          <cell r="FT404">
            <v>552.30280184172238</v>
          </cell>
          <cell r="FU404">
            <v>553.57702123675585</v>
          </cell>
        </row>
        <row r="405">
          <cell r="FP405" t="str">
            <v>VIP Revenue</v>
          </cell>
          <cell r="FQ405">
            <v>199.35</v>
          </cell>
          <cell r="FR405">
            <v>637.96180045470976</v>
          </cell>
          <cell r="FS405">
            <v>569.2296633049815</v>
          </cell>
          <cell r="FT405">
            <v>666.86105613191614</v>
          </cell>
          <cell r="FU405">
            <v>495.48534572784922</v>
          </cell>
        </row>
        <row r="426">
          <cell r="FX426" t="str">
            <v>Quarterly Mass &amp; VIP revenues</v>
          </cell>
        </row>
        <row r="427">
          <cell r="FY427" t="str">
            <v>1Q04</v>
          </cell>
          <cell r="FZ427" t="str">
            <v>2Q04</v>
          </cell>
          <cell r="GA427" t="str">
            <v>3Q04</v>
          </cell>
          <cell r="GB427" t="str">
            <v>4Q04</v>
          </cell>
          <cell r="GC427" t="str">
            <v>1Q05</v>
          </cell>
          <cell r="GD427" t="str">
            <v>2Q05</v>
          </cell>
        </row>
        <row r="428">
          <cell r="FX428" t="str">
            <v>Mass Market</v>
          </cell>
          <cell r="FY428">
            <v>280.95231671690618</v>
          </cell>
          <cell r="FZ428">
            <v>337.36918401170789</v>
          </cell>
          <cell r="GA428">
            <v>403.47632193004841</v>
          </cell>
          <cell r="GB428">
            <v>383.7591135668772</v>
          </cell>
          <cell r="GC428">
            <v>448.47078205507222</v>
          </cell>
          <cell r="GD428">
            <v>487.01134205015683</v>
          </cell>
        </row>
        <row r="429">
          <cell r="FY429">
            <v>0.4813841646179613</v>
          </cell>
          <cell r="FZ429">
            <v>1.2931036892078374</v>
          </cell>
          <cell r="GA429">
            <v>0.87226179059238773</v>
          </cell>
          <cell r="GB429">
            <v>0.61963728927632111</v>
          </cell>
          <cell r="GC429">
            <v>0.59625230108695404</v>
          </cell>
          <cell r="GD429">
            <v>0.44355609560728526</v>
          </cell>
        </row>
        <row r="430">
          <cell r="FX430" t="str">
            <v>VIP</v>
          </cell>
          <cell r="FY430">
            <v>851.76682704702944</v>
          </cell>
          <cell r="FZ430">
            <v>827.74883397630197</v>
          </cell>
          <cell r="GA430">
            <v>954.29704649257633</v>
          </cell>
          <cell r="GB430">
            <v>973.19097327333657</v>
          </cell>
          <cell r="GC430">
            <v>871.38028739791866</v>
          </cell>
          <cell r="GD430">
            <v>926.51373647604282</v>
          </cell>
        </row>
        <row r="431">
          <cell r="FY431">
            <v>0.31822186062360713</v>
          </cell>
          <cell r="FZ431">
            <v>0.65138968326619362</v>
          </cell>
          <cell r="GA431">
            <v>0.29976490958524837</v>
          </cell>
          <cell r="GB431">
            <v>0.20556281508449858</v>
          </cell>
          <cell r="GC431">
            <v>2.3026795277865775E-2</v>
          </cell>
          <cell r="GD431">
            <v>0.11931747704831985</v>
          </cell>
        </row>
        <row r="472">
          <cell r="GH472" t="str">
            <v>Chinese Travel - Synovate</v>
          </cell>
        </row>
        <row r="473">
          <cell r="GI473">
            <v>1999</v>
          </cell>
          <cell r="GJ473">
            <v>2000</v>
          </cell>
          <cell r="GK473">
            <v>2001</v>
          </cell>
          <cell r="GL473">
            <v>2002</v>
          </cell>
          <cell r="GM473">
            <v>2003</v>
          </cell>
          <cell r="GN473">
            <v>2004</v>
          </cell>
        </row>
        <row r="474">
          <cell r="GH474" t="str">
            <v>Raw</v>
          </cell>
        </row>
        <row r="475">
          <cell r="GH475" t="str">
            <v>International</v>
          </cell>
          <cell r="GI475">
            <v>9.1999999999999993</v>
          </cell>
          <cell r="GJ475">
            <v>10.5</v>
          </cell>
          <cell r="GK475">
            <v>12.1</v>
          </cell>
          <cell r="GL475">
            <v>16.600000000000001</v>
          </cell>
          <cell r="GM475">
            <v>20.2</v>
          </cell>
          <cell r="GN475">
            <v>25.3</v>
          </cell>
          <cell r="GO475">
            <v>0.2332242853591473</v>
          </cell>
        </row>
        <row r="476">
          <cell r="GH476" t="str">
            <v>Domestic</v>
          </cell>
          <cell r="GI476">
            <v>719</v>
          </cell>
          <cell r="GJ476">
            <v>744</v>
          </cell>
          <cell r="GK476">
            <v>784</v>
          </cell>
          <cell r="GL476">
            <v>878</v>
          </cell>
          <cell r="GM476">
            <v>870</v>
          </cell>
          <cell r="GN476">
            <v>913.5</v>
          </cell>
          <cell r="GO476">
            <v>5.2163679681155983E-2</v>
          </cell>
        </row>
        <row r="477">
          <cell r="GH477" t="str">
            <v>Total</v>
          </cell>
          <cell r="GI477">
            <v>728.2</v>
          </cell>
          <cell r="GJ477">
            <v>754.5</v>
          </cell>
          <cell r="GK477">
            <v>796.1</v>
          </cell>
          <cell r="GL477">
            <v>894.6</v>
          </cell>
          <cell r="GM477">
            <v>890.2</v>
          </cell>
          <cell r="GN477">
            <v>938.8</v>
          </cell>
          <cell r="GO477">
            <v>5.5272264875848354E-2</v>
          </cell>
        </row>
        <row r="478">
          <cell r="GH478" t="str">
            <v>Indexed</v>
          </cell>
        </row>
        <row r="479">
          <cell r="GH479" t="str">
            <v>International</v>
          </cell>
          <cell r="GI479">
            <v>100</v>
          </cell>
          <cell r="GJ479">
            <v>114.13043478260872</v>
          </cell>
          <cell r="GK479">
            <v>131.52173913043478</v>
          </cell>
          <cell r="GL479">
            <v>180.43478260869568</v>
          </cell>
          <cell r="GM479">
            <v>219.56521739130434</v>
          </cell>
          <cell r="GN479">
            <v>275.00000000000006</v>
          </cell>
          <cell r="GO479">
            <v>0.2332242853591473</v>
          </cell>
        </row>
        <row r="480">
          <cell r="GH480" t="str">
            <v>Domestic</v>
          </cell>
          <cell r="GI480">
            <v>100</v>
          </cell>
          <cell r="GJ480">
            <v>103.47705146036161</v>
          </cell>
          <cell r="GK480">
            <v>109.0403337969402</v>
          </cell>
          <cell r="GL480">
            <v>122.11404728789985</v>
          </cell>
          <cell r="GM480">
            <v>121.00139082058415</v>
          </cell>
          <cell r="GN480">
            <v>127.05146036161335</v>
          </cell>
          <cell r="GO480">
            <v>5.2163679681155761E-2</v>
          </cell>
        </row>
        <row r="482">
          <cell r="GH482" t="str">
            <v>International Components</v>
          </cell>
        </row>
        <row r="483">
          <cell r="GH483" t="str">
            <v>Hong Kong</v>
          </cell>
          <cell r="GJ483">
            <v>3.786</v>
          </cell>
          <cell r="GK483">
            <v>4.4489999999999998</v>
          </cell>
          <cell r="GL483">
            <v>6.8250000000000002</v>
          </cell>
          <cell r="GM483">
            <v>8.4670000000000005</v>
          </cell>
          <cell r="GN483">
            <v>12.246</v>
          </cell>
          <cell r="GO483">
            <v>0.48403162055335969</v>
          </cell>
        </row>
        <row r="484">
          <cell r="GH484" t="str">
            <v>Macau</v>
          </cell>
          <cell r="GJ484">
            <v>2.2749999999999999</v>
          </cell>
          <cell r="GK484">
            <v>3.0059999999999998</v>
          </cell>
          <cell r="GL484">
            <v>4.24</v>
          </cell>
          <cell r="GM484">
            <v>5.742</v>
          </cell>
          <cell r="GN484">
            <v>9.5299999999999994</v>
          </cell>
          <cell r="GO484">
            <v>0.37667984189723319</v>
          </cell>
        </row>
        <row r="485">
          <cell r="GH485" t="str">
            <v>Singapore</v>
          </cell>
          <cell r="GJ485">
            <v>0.434</v>
          </cell>
          <cell r="GK485">
            <v>0.49700000000000005</v>
          </cell>
          <cell r="GL485">
            <v>0.67</v>
          </cell>
          <cell r="GM485">
            <v>0.56800000000000006</v>
          </cell>
          <cell r="GN485">
            <v>0.88</v>
          </cell>
          <cell r="GO485">
            <v>3.4782608695652174E-2</v>
          </cell>
        </row>
        <row r="486">
          <cell r="GH486" t="str">
            <v>Thailand</v>
          </cell>
          <cell r="GJ486">
            <v>0.70399999999999996</v>
          </cell>
          <cell r="GK486">
            <v>0.69499999999999995</v>
          </cell>
          <cell r="GL486">
            <v>0.76400000000000001</v>
          </cell>
          <cell r="GM486">
            <v>0.625</v>
          </cell>
          <cell r="GN486">
            <v>0.87200000000000011</v>
          </cell>
          <cell r="GO486">
            <v>3.4466403162055341E-2</v>
          </cell>
        </row>
        <row r="487">
          <cell r="GH487" t="str">
            <v>Malaysia</v>
          </cell>
          <cell r="GJ487">
            <v>0.42499999999999999</v>
          </cell>
          <cell r="GK487">
            <v>0.45300000000000001</v>
          </cell>
          <cell r="GL487">
            <v>0.55800000000000005</v>
          </cell>
          <cell r="GM487">
            <v>0.35100000000000003</v>
          </cell>
          <cell r="GN487">
            <v>0.55000000000000004</v>
          </cell>
          <cell r="GO487">
            <v>2.1739130434782612E-2</v>
          </cell>
        </row>
        <row r="488">
          <cell r="GH488" t="str">
            <v>Other</v>
          </cell>
          <cell r="GJ488">
            <v>2.8760000000000003</v>
          </cell>
          <cell r="GK488">
            <v>3</v>
          </cell>
          <cell r="GL488">
            <v>3.543000000000001</v>
          </cell>
          <cell r="GM488">
            <v>4.4469999999999992</v>
          </cell>
          <cell r="GN488">
            <v>1.2220000000000013</v>
          </cell>
          <cell r="GO488">
            <v>4.8300395256917046E-2</v>
          </cell>
        </row>
        <row r="526">
          <cell r="GR526" t="str">
            <v>Chinese spending components, leisure - Synovate</v>
          </cell>
        </row>
        <row r="527">
          <cell r="GR527" t="str">
            <v>Retail</v>
          </cell>
          <cell r="GS527">
            <v>0.36</v>
          </cell>
        </row>
        <row r="528">
          <cell r="GR528" t="str">
            <v>International Transport</v>
          </cell>
          <cell r="GS528">
            <v>0.14000000000000001</v>
          </cell>
        </row>
        <row r="529">
          <cell r="GR529" t="str">
            <v>Tour Package</v>
          </cell>
          <cell r="GS529">
            <v>0.11</v>
          </cell>
        </row>
        <row r="530">
          <cell r="GR530" t="str">
            <v>F&amp;B</v>
          </cell>
          <cell r="GS530">
            <v>0.11</v>
          </cell>
        </row>
        <row r="531">
          <cell r="GR531" t="str">
            <v>Hotel</v>
          </cell>
          <cell r="GS531">
            <v>7.0000000000000007E-2</v>
          </cell>
        </row>
        <row r="532">
          <cell r="GR532" t="str">
            <v>Other</v>
          </cell>
          <cell r="GS532">
            <v>0.21</v>
          </cell>
        </row>
        <row r="547">
          <cell r="GZ547" t="str">
            <v>2004 Macau Non-gaming spending components</v>
          </cell>
        </row>
        <row r="548">
          <cell r="HA548" t="str">
            <v>all tourists</v>
          </cell>
          <cell r="HB548" t="str">
            <v>Chinese</v>
          </cell>
        </row>
        <row r="549">
          <cell r="GZ549" t="str">
            <v>Retail</v>
          </cell>
          <cell r="HA549">
            <v>0.44320603179806589</v>
          </cell>
          <cell r="HB549">
            <v>0.58650610943864001</v>
          </cell>
        </row>
        <row r="550">
          <cell r="GZ550" t="str">
            <v>Accomodation</v>
          </cell>
          <cell r="HA550">
            <v>0.20357318472381578</v>
          </cell>
          <cell r="HB550">
            <v>0.1835487869665309</v>
          </cell>
        </row>
        <row r="551">
          <cell r="GZ551" t="str">
            <v>F&amp;B</v>
          </cell>
          <cell r="HA551">
            <v>0.21947221766923455</v>
          </cell>
          <cell r="HB551">
            <v>0.16380378962280856</v>
          </cell>
        </row>
        <row r="552">
          <cell r="GZ552" t="str">
            <v>Entertainment</v>
          </cell>
          <cell r="HA552">
            <v>1.868546139977053E-2</v>
          </cell>
          <cell r="HB552">
            <v>1.9479369576766426E-2</v>
          </cell>
        </row>
        <row r="553">
          <cell r="GZ553" t="str">
            <v>Other</v>
          </cell>
          <cell r="HA553">
            <v>0.11506310440911327</v>
          </cell>
          <cell r="HB553">
            <v>4.6661944395254118E-2</v>
          </cell>
        </row>
        <row r="554">
          <cell r="GZ554" t="str">
            <v>Outbound Transport</v>
          </cell>
          <cell r="HA554">
            <v>8.3592853630552369E-2</v>
          </cell>
          <cell r="HB554">
            <v>2.665131928457588E-2</v>
          </cell>
        </row>
        <row r="582">
          <cell r="HH582" t="str">
            <v>Length of Stay</v>
          </cell>
          <cell r="HI582" t="str">
            <v>1Q00</v>
          </cell>
          <cell r="HJ582" t="str">
            <v>2Q00</v>
          </cell>
          <cell r="HK582" t="str">
            <v>3Q00</v>
          </cell>
          <cell r="HL582" t="str">
            <v>4Q00</v>
          </cell>
          <cell r="HM582" t="str">
            <v>1Q01</v>
          </cell>
          <cell r="HN582" t="str">
            <v>2Q01</v>
          </cell>
          <cell r="HO582" t="str">
            <v>3Q01</v>
          </cell>
          <cell r="HP582" t="str">
            <v>4Q01</v>
          </cell>
          <cell r="HQ582" t="str">
            <v>1Q02</v>
          </cell>
          <cell r="HR582" t="str">
            <v>2Q02</v>
          </cell>
          <cell r="HS582" t="str">
            <v>3Q02</v>
          </cell>
          <cell r="HT582" t="str">
            <v>4Q02</v>
          </cell>
          <cell r="HU582" t="str">
            <v>1Q03</v>
          </cell>
          <cell r="HV582" t="str">
            <v>2Q03</v>
          </cell>
          <cell r="HW582" t="str">
            <v>3Q03</v>
          </cell>
          <cell r="HX582" t="str">
            <v>4Q03</v>
          </cell>
          <cell r="HY582" t="str">
            <v>1Q04</v>
          </cell>
          <cell r="HZ582" t="str">
            <v>2Q04</v>
          </cell>
          <cell r="IA582" t="str">
            <v>3Q04</v>
          </cell>
          <cell r="IB582" t="str">
            <v>4Q04</v>
          </cell>
          <cell r="IC582" t="str">
            <v>1Q05</v>
          </cell>
          <cell r="ID582" t="str">
            <v>2Q05</v>
          </cell>
          <cell r="IE582" t="str">
            <v>3Q05</v>
          </cell>
          <cell r="IF582" t="str">
            <v>4Q05</v>
          </cell>
          <cell r="IG582" t="str">
            <v>1Q06</v>
          </cell>
          <cell r="IH582" t="str">
            <v>2Q06</v>
          </cell>
        </row>
        <row r="583">
          <cell r="HH583" t="str">
            <v>Avg Days Stayed for All Guests (incl. day trippers)</v>
          </cell>
          <cell r="HI583">
            <v>1.5232597975794282</v>
          </cell>
          <cell r="HJ583">
            <v>1.5132306225435557</v>
          </cell>
          <cell r="HK583">
            <v>1.500360645483001</v>
          </cell>
          <cell r="HL583">
            <v>1.517526692588324</v>
          </cell>
          <cell r="HM583">
            <v>1.4894279794424594</v>
          </cell>
          <cell r="HN583">
            <v>1.4860305442341841</v>
          </cell>
          <cell r="HO583">
            <v>1.4987913754352666</v>
          </cell>
          <cell r="HP583">
            <v>1.5150468461031128</v>
          </cell>
          <cell r="HQ583">
            <v>1.4957646062348318</v>
          </cell>
          <cell r="HR583">
            <v>1.4955896072035468</v>
          </cell>
          <cell r="HS583">
            <v>1.4758884166147859</v>
          </cell>
          <cell r="HT583">
            <v>1.4702494428907067</v>
          </cell>
          <cell r="HU583">
            <v>1.4437517054253473</v>
          </cell>
          <cell r="HV583">
            <v>1.4415942323304582</v>
          </cell>
          <cell r="HW583">
            <v>1.4531459649543277</v>
          </cell>
          <cell r="HX583">
            <v>1.4519682554838729</v>
          </cell>
          <cell r="HY583">
            <v>1.418854215453397</v>
          </cell>
          <cell r="HZ583">
            <v>1.4150729633364536</v>
          </cell>
          <cell r="IA583">
            <v>1.4096909023939745</v>
          </cell>
          <cell r="IB583">
            <v>1.3976647600426821</v>
          </cell>
          <cell r="IC583">
            <v>1.3753959751600955</v>
          </cell>
          <cell r="ID583">
            <v>1.3844091296130736</v>
          </cell>
          <cell r="IE583">
            <v>1.3939428261280047</v>
          </cell>
          <cell r="IF583">
            <v>1.4036516869864517</v>
          </cell>
          <cell r="IG583">
            <v>1.3711201231906343</v>
          </cell>
          <cell r="IH583">
            <v>1.3802034684958553</v>
          </cell>
        </row>
        <row r="584">
          <cell r="HH584" t="str">
            <v>Hotel Growth</v>
          </cell>
          <cell r="HM584">
            <v>-1.2441945886718098E-2</v>
          </cell>
          <cell r="HN584">
            <v>2.7061554212731265E-2</v>
          </cell>
          <cell r="HO584">
            <v>-3.3701750557322274E-3</v>
          </cell>
          <cell r="HP584">
            <v>0.10470101213935656</v>
          </cell>
          <cell r="HQ584">
            <v>0.13731068068273156</v>
          </cell>
          <cell r="HR584">
            <v>0.15090315605453997</v>
          </cell>
          <cell r="HS584">
            <v>0.13624545774560048</v>
          </cell>
          <cell r="HT584">
            <v>0.13677694050004363</v>
          </cell>
          <cell r="HU584">
            <v>5.7240848905610209E-2</v>
          </cell>
          <cell r="HV584">
            <v>-0.39573917412765258</v>
          </cell>
          <cell r="HW584">
            <v>7.4585268098362301E-2</v>
          </cell>
          <cell r="HX584">
            <v>0.11251047728524566</v>
          </cell>
          <cell r="HY584">
            <v>0.19121899174511303</v>
          </cell>
          <cell r="HZ584">
            <v>1.0530293846804946</v>
          </cell>
          <cell r="IA584">
            <v>0.19181468689026415</v>
          </cell>
          <cell r="IB584">
            <v>0.11070366870375925</v>
          </cell>
          <cell r="IC584">
            <v>9.6607620118582815E-4</v>
          </cell>
          <cell r="ID584">
            <v>3.0932597992245459E-2</v>
          </cell>
          <cell r="IE584">
            <v>3.8091102076267758E-2</v>
          </cell>
          <cell r="IF584">
            <v>9.1281904187868301E-2</v>
          </cell>
          <cell r="IG584">
            <v>0.17274644968885666</v>
          </cell>
          <cell r="IH584">
            <v>9.7458044368168517E-2</v>
          </cell>
        </row>
        <row r="585">
          <cell r="HH585" t="str">
            <v>Other Overnight Growth</v>
          </cell>
          <cell r="HM585">
            <v>0.16388574878408679</v>
          </cell>
          <cell r="HN585">
            <v>0.28666934151768264</v>
          </cell>
          <cell r="HO585">
            <v>0.25928857149868745</v>
          </cell>
          <cell r="HP585">
            <v>0.20258409912169895</v>
          </cell>
          <cell r="HQ585">
            <v>8.7928301297573563E-2</v>
          </cell>
          <cell r="HR585">
            <v>0.15351562816390318</v>
          </cell>
          <cell r="HS585">
            <v>8.3255789027521399E-2</v>
          </cell>
          <cell r="HT585">
            <v>0.11466103373159919</v>
          </cell>
          <cell r="HU585">
            <v>3.1272235446083485E-2</v>
          </cell>
          <cell r="HV585">
            <v>-0.26603307903227502</v>
          </cell>
          <cell r="HW585">
            <v>1.3559825138971249E-2</v>
          </cell>
          <cell r="HX585">
            <v>5.2634134786213149E-2</v>
          </cell>
          <cell r="HY585">
            <v>0.15535607717148014</v>
          </cell>
          <cell r="HZ585">
            <v>0.60925995018926193</v>
          </cell>
          <cell r="IA585">
            <v>0.33951780017127908</v>
          </cell>
          <cell r="IB585">
            <v>0.31746103186649877</v>
          </cell>
          <cell r="IC585">
            <v>0.22435869297805988</v>
          </cell>
          <cell r="ID585">
            <v>0.11451858046183072</v>
          </cell>
          <cell r="IE585">
            <v>6.5049510936132204E-2</v>
          </cell>
          <cell r="IF585">
            <v>9.5472717505395766E-2</v>
          </cell>
          <cell r="IG585">
            <v>0.19002186957794054</v>
          </cell>
          <cell r="IH585">
            <v>0.25174776062613602</v>
          </cell>
        </row>
        <row r="586">
          <cell r="HH586" t="str">
            <v>Day Tripper Growth</v>
          </cell>
          <cell r="HM586">
            <v>0.20238201631979824</v>
          </cell>
          <cell r="HN586">
            <v>0.1923480105789992</v>
          </cell>
          <cell r="HO586">
            <v>4.3569990497791977E-2</v>
          </cell>
          <cell r="HP586">
            <v>5.9416410497094008E-2</v>
          </cell>
          <cell r="HQ586">
            <v>6.2374512397751714E-2</v>
          </cell>
          <cell r="HR586">
            <v>2.7644678967424285E-2</v>
          </cell>
          <cell r="HS586">
            <v>0.1373628290489306</v>
          </cell>
          <cell r="HT586">
            <v>0.25114406222742636</v>
          </cell>
          <cell r="HU586">
            <v>0.22638110647930443</v>
          </cell>
          <cell r="HV586">
            <v>-0.16694728573624085</v>
          </cell>
          <cell r="HW586">
            <v>0.17999289908339899</v>
          </cell>
          <cell r="HX586">
            <v>0.23424837062242521</v>
          </cell>
          <cell r="HY586">
            <v>0.34536351602832815</v>
          </cell>
          <cell r="HZ586">
            <v>1.0588507801674303</v>
          </cell>
          <cell r="IA586">
            <v>0.42821576601693034</v>
          </cell>
          <cell r="IB586">
            <v>0.35680555291025429</v>
          </cell>
          <cell r="IC586">
            <v>0.26028507553616032</v>
          </cell>
          <cell r="ID586">
            <v>0.16797076457738869</v>
          </cell>
          <cell r="IE586">
            <v>0.12620472155751417</v>
          </cell>
          <cell r="IF586">
            <v>0.10892359955027331</v>
          </cell>
          <cell r="IG586">
            <v>0.17289186645257759</v>
          </cell>
          <cell r="IH586">
            <v>0.13979366767325252</v>
          </cell>
        </row>
        <row r="587">
          <cell r="HH587" t="str">
            <v>Total Visitor Growth</v>
          </cell>
          <cell r="HM587">
            <v>0.12745620280112724</v>
          </cell>
          <cell r="HN587">
            <v>0.16745810202552347</v>
          </cell>
          <cell r="HO587">
            <v>8.667080997335419E-2</v>
          </cell>
          <cell r="HP587">
            <v>0.11122380772722673</v>
          </cell>
          <cell r="HQ587">
            <v>8.9629698477262432E-2</v>
          </cell>
          <cell r="HR587">
            <v>9.6712847431374316E-2</v>
          </cell>
          <cell r="HS587">
            <v>0.12054339725921448</v>
          </cell>
          <cell r="HT587">
            <v>0.17851181052007359</v>
          </cell>
          <cell r="HU587">
            <v>0.12070404582800065</v>
          </cell>
          <cell r="HV587">
            <v>-0.26064079820876662</v>
          </cell>
          <cell r="HW587">
            <v>0.10219007896948074</v>
          </cell>
          <cell r="HX587">
            <v>0.15038431990570578</v>
          </cell>
          <cell r="HY587">
            <v>0.25232450267677087</v>
          </cell>
          <cell r="HZ587">
            <v>0.92151410008234169</v>
          </cell>
          <cell r="IA587">
            <v>0.34143199828257265</v>
          </cell>
          <cell r="IB587">
            <v>0.28144160225548021</v>
          </cell>
          <cell r="IC587">
            <v>0.18808075923770207</v>
          </cell>
          <cell r="ID587">
            <v>0.12121737021704093</v>
          </cell>
          <cell r="IE587">
            <v>8.8863036608460177E-2</v>
          </cell>
          <cell r="IF587">
            <v>0.10134852802366923</v>
          </cell>
          <cell r="IG587">
            <v>0.17747186349988842</v>
          </cell>
          <cell r="IH587">
            <v>0.15855648779605325</v>
          </cell>
        </row>
        <row r="589">
          <cell r="HH589" t="str">
            <v>Hotel Share</v>
          </cell>
          <cell r="HM589">
            <v>0.25865829189566431</v>
          </cell>
          <cell r="HN589">
            <v>0.26446206319280924</v>
          </cell>
          <cell r="HO589">
            <v>0.26832136179529936</v>
          </cell>
          <cell r="HP589">
            <v>0.28473769580038094</v>
          </cell>
          <cell r="HQ589">
            <v>0.26997689070993075</v>
          </cell>
          <cell r="HR589">
            <v>0.2775295501444785</v>
          </cell>
          <cell r="HS589">
            <v>0.27208132170671778</v>
          </cell>
          <cell r="HT589">
            <v>0.27465422390136995</v>
          </cell>
          <cell r="HU589">
            <v>0.25468864699973659</v>
          </cell>
          <cell r="HV589">
            <v>0.22681835130745517</v>
          </cell>
          <cell r="HW589">
            <v>0.26526693136644158</v>
          </cell>
          <cell r="HX589">
            <v>0.26561184504493895</v>
          </cell>
          <cell r="HY589">
            <v>0.24226145271411273</v>
          </cell>
          <cell r="HZ589">
            <v>0.24234260898685783</v>
          </cell>
          <cell r="IA589">
            <v>0.23568024704465115</v>
          </cell>
          <cell r="IB589">
            <v>0.230222001707551</v>
          </cell>
          <cell r="IC589">
            <v>0.20410691264256714</v>
          </cell>
          <cell r="ID589">
            <v>0.22282824198369078</v>
          </cell>
          <cell r="IE589">
            <v>0.22469085566008098</v>
          </cell>
          <cell r="IF589">
            <v>0.22811771025852728</v>
          </cell>
          <cell r="IG589">
            <v>0.20328779360131768</v>
          </cell>
          <cell r="IH589">
            <v>0.21107701631589909</v>
          </cell>
        </row>
        <row r="590">
          <cell r="HH590" t="str">
            <v>Other Overnight Share</v>
          </cell>
          <cell r="HM590">
            <v>0.30806878856882897</v>
          </cell>
          <cell r="HN590">
            <v>0.28974896543092055</v>
          </cell>
          <cell r="HO590">
            <v>0.30531363743866102</v>
          </cell>
          <cell r="HP590">
            <v>0.29357218573590715</v>
          </cell>
          <cell r="HQ590">
            <v>0.30758775600450583</v>
          </cell>
          <cell r="HR590">
            <v>0.30475612704975041</v>
          </cell>
          <cell r="HS590">
            <v>0.29515391017735942</v>
          </cell>
          <cell r="HT590">
            <v>0.27766669209944039</v>
          </cell>
          <cell r="HU590">
            <v>0.2830423553046531</v>
          </cell>
          <cell r="HV590">
            <v>0.30253348531383129</v>
          </cell>
          <cell r="HW590">
            <v>0.27141974083830561</v>
          </cell>
          <cell r="HX590">
            <v>0.25407286342446139</v>
          </cell>
          <cell r="HY590">
            <v>0.26112617344720584</v>
          </cell>
          <cell r="HZ590">
            <v>0.25337051728418591</v>
          </cell>
          <cell r="IA590">
            <v>0.27103242999739408</v>
          </cell>
          <cell r="IB590">
            <v>0.26121447612384585</v>
          </cell>
          <cell r="IC590">
            <v>0.26909963648373297</v>
          </cell>
          <cell r="ID590">
            <v>0.25185673782398449</v>
          </cell>
          <cell r="IE590">
            <v>0.26510492808688779</v>
          </cell>
          <cell r="IF590">
            <v>0.25982086935243809</v>
          </cell>
          <cell r="IG590">
            <v>0.27196781718355384</v>
          </cell>
          <cell r="IH590">
            <v>0.27211543924759718</v>
          </cell>
        </row>
        <row r="591">
          <cell r="HH591" t="str">
            <v>Day Tripper Share</v>
          </cell>
          <cell r="HM591">
            <v>0.56672708046449327</v>
          </cell>
          <cell r="HN591">
            <v>0.55421102862372984</v>
          </cell>
          <cell r="HO591">
            <v>0.57363499923396033</v>
          </cell>
          <cell r="HP591">
            <v>0.57830988153628815</v>
          </cell>
          <cell r="HQ591">
            <v>0.57756464671443664</v>
          </cell>
          <cell r="HR591">
            <v>0.58228567719422886</v>
          </cell>
          <cell r="HS591">
            <v>0.56723523188407721</v>
          </cell>
          <cell r="HT591">
            <v>0.55232091600081035</v>
          </cell>
          <cell r="HU591">
            <v>0.53773100230438975</v>
          </cell>
          <cell r="HV591">
            <v>0.52935183662128638</v>
          </cell>
          <cell r="HW591">
            <v>0.53668667220474719</v>
          </cell>
          <cell r="HX591">
            <v>0.5196847084694004</v>
          </cell>
          <cell r="HY591">
            <v>0.5033876261613186</v>
          </cell>
          <cell r="HZ591">
            <v>0.49571312627104375</v>
          </cell>
          <cell r="IA591">
            <v>0.50671267704204526</v>
          </cell>
          <cell r="IB591">
            <v>0.49143647783139688</v>
          </cell>
          <cell r="IC591">
            <v>0.47320654912630011</v>
          </cell>
          <cell r="ID591">
            <v>0.47468497980767527</v>
          </cell>
          <cell r="IE591">
            <v>0.48979578374696875</v>
          </cell>
          <cell r="IF591">
            <v>0.48793857961096537</v>
          </cell>
          <cell r="IG591">
            <v>0.4752556107848715</v>
          </cell>
          <cell r="IH591">
            <v>0.48319245556349627</v>
          </cell>
        </row>
        <row r="593">
          <cell r="HH593" t="str">
            <v>Quarter</v>
          </cell>
          <cell r="HI593">
            <v>1</v>
          </cell>
          <cell r="HJ593">
            <v>2</v>
          </cell>
          <cell r="HK593">
            <v>3</v>
          </cell>
          <cell r="HL593">
            <v>4</v>
          </cell>
          <cell r="HM593">
            <v>1</v>
          </cell>
          <cell r="HN593">
            <v>2</v>
          </cell>
          <cell r="HO593">
            <v>3</v>
          </cell>
          <cell r="HP593">
            <v>4</v>
          </cell>
          <cell r="HQ593">
            <v>1</v>
          </cell>
          <cell r="HR593">
            <v>2</v>
          </cell>
          <cell r="HS593">
            <v>3</v>
          </cell>
          <cell r="HT593">
            <v>4</v>
          </cell>
          <cell r="HU593">
            <v>1</v>
          </cell>
          <cell r="HV593">
            <v>2</v>
          </cell>
          <cell r="HW593">
            <v>3</v>
          </cell>
          <cell r="HX593">
            <v>4</v>
          </cell>
          <cell r="HY593">
            <v>1</v>
          </cell>
          <cell r="HZ593">
            <v>2</v>
          </cell>
          <cell r="IA593">
            <v>3</v>
          </cell>
          <cell r="IB593">
            <v>4</v>
          </cell>
          <cell r="IC593">
            <v>1</v>
          </cell>
          <cell r="ID593">
            <v>2</v>
          </cell>
          <cell r="IE593">
            <v>3</v>
          </cell>
          <cell r="IF593">
            <v>4</v>
          </cell>
          <cell r="IG593">
            <v>1</v>
          </cell>
          <cell r="IH593">
            <v>2</v>
          </cell>
        </row>
        <row r="595">
          <cell r="HJ595" t="str">
            <v>CORR</v>
          </cell>
          <cell r="HK595" t="str">
            <v>Hotel</v>
          </cell>
          <cell r="HL595" t="str">
            <v>Other</v>
          </cell>
          <cell r="HM595" t="str">
            <v>Day Tripper</v>
          </cell>
          <cell r="HO595" t="str">
            <v>Total Avg</v>
          </cell>
          <cell r="HP595" t="str">
            <v>Seasonality</v>
          </cell>
          <cell r="HQ595">
            <v>1</v>
          </cell>
          <cell r="HR595">
            <v>2</v>
          </cell>
          <cell r="HS595">
            <v>3</v>
          </cell>
          <cell r="HT595">
            <v>4</v>
          </cell>
          <cell r="HV595" t="str">
            <v>none are statistically significant from 0</v>
          </cell>
        </row>
        <row r="596">
          <cell r="HJ596" t="str">
            <v>Hotel</v>
          </cell>
          <cell r="HK596">
            <v>0.99999999999999989</v>
          </cell>
          <cell r="HO596">
            <v>0.24839738087926574</v>
          </cell>
          <cell r="HP596" t="str">
            <v>Hotel Share</v>
          </cell>
          <cell r="HQ596">
            <v>-9.5673827853774984E-3</v>
          </cell>
          <cell r="HR596">
            <v>-1.6012177562074181E-3</v>
          </cell>
          <cell r="HS596">
            <v>4.8107626353724176E-3</v>
          </cell>
          <cell r="HT596">
            <v>8.2713144632878544E-3</v>
          </cell>
        </row>
        <row r="597">
          <cell r="HJ597" t="str">
            <v>Other</v>
          </cell>
          <cell r="HK597">
            <v>0.78307741260457886</v>
          </cell>
          <cell r="HL597">
            <v>0.99999999999999989</v>
          </cell>
          <cell r="HO597">
            <v>0.27893000443665972</v>
          </cell>
          <cell r="HP597" t="str">
            <v>Other Share</v>
          </cell>
          <cell r="HQ597">
            <v>4.5520833954204032E-3</v>
          </cell>
          <cell r="HR597">
            <v>1.5231621438748233E-3</v>
          </cell>
          <cell r="HS597">
            <v>2.6749248710618567E-3</v>
          </cell>
          <cell r="HT597">
            <v>-9.6605870894411749E-3</v>
          </cell>
        </row>
        <row r="598">
          <cell r="HJ598" t="str">
            <v>Day Tripper</v>
          </cell>
          <cell r="HK598">
            <v>0.89410661997004615</v>
          </cell>
          <cell r="HL598">
            <v>0.79115021612132541</v>
          </cell>
          <cell r="HM598">
            <v>1</v>
          </cell>
          <cell r="HO598">
            <v>0.52732738531592538</v>
          </cell>
          <cell r="HP598" t="str">
            <v>Day Share</v>
          </cell>
          <cell r="HQ598">
            <v>-5.0152993899570397E-3</v>
          </cell>
          <cell r="HR598">
            <v>-7.8055612332539326E-5</v>
          </cell>
          <cell r="HS598">
            <v>7.485687506434302E-3</v>
          </cell>
          <cell r="HT598">
            <v>-1.3892726261531818E-3</v>
          </cell>
        </row>
        <row r="599">
          <cell r="HJ599" t="str">
            <v>Total</v>
          </cell>
          <cell r="HK599">
            <v>0.95178004247969206</v>
          </cell>
          <cell r="HL599">
            <v>0.88069548427840649</v>
          </cell>
          <cell r="HM599">
            <v>0.97396907415496647</v>
          </cell>
          <cell r="HO599">
            <v>1.4536571726740792</v>
          </cell>
          <cell r="HP599" t="str">
            <v>Days Stayed</v>
          </cell>
          <cell r="HQ599">
            <v>-8.2894008903373617E-3</v>
          </cell>
          <cell r="HR599">
            <v>2.3306772027993361E-3</v>
          </cell>
          <cell r="HS599">
            <v>1.6461824941471637E-3</v>
          </cell>
          <cell r="HT599">
            <v>5.6941080084458306E-3</v>
          </cell>
        </row>
      </sheetData>
      <sheetData sheetId="12" refreshError="1">
        <row r="2">
          <cell r="C2" t="str">
            <v>1Q00</v>
          </cell>
          <cell r="D2" t="str">
            <v>2Q00</v>
          </cell>
          <cell r="E2" t="str">
            <v>3Q00</v>
          </cell>
          <cell r="F2" t="str">
            <v>4Q00</v>
          </cell>
          <cell r="G2" t="str">
            <v>1Q01</v>
          </cell>
          <cell r="H2" t="str">
            <v>2Q01</v>
          </cell>
          <cell r="I2" t="str">
            <v>3Q01</v>
          </cell>
          <cell r="J2" t="str">
            <v>4Q01</v>
          </cell>
          <cell r="K2" t="str">
            <v>1Q02</v>
          </cell>
          <cell r="L2" t="str">
            <v>2Q02</v>
          </cell>
          <cell r="M2" t="str">
            <v>3Q02</v>
          </cell>
          <cell r="N2" t="str">
            <v>4Q02</v>
          </cell>
          <cell r="O2" t="str">
            <v>1Q03</v>
          </cell>
          <cell r="P2" t="str">
            <v>2Q03</v>
          </cell>
          <cell r="Q2" t="str">
            <v>3Q03</v>
          </cell>
          <cell r="R2" t="str">
            <v>4Q03</v>
          </cell>
          <cell r="S2" t="str">
            <v>1Q04</v>
          </cell>
          <cell r="T2" t="str">
            <v>2Q04</v>
          </cell>
          <cell r="U2" t="str">
            <v>3Q04</v>
          </cell>
          <cell r="V2" t="str">
            <v>4Q04</v>
          </cell>
          <cell r="W2" t="str">
            <v>1Q05</v>
          </cell>
          <cell r="X2" t="str">
            <v>2Q05</v>
          </cell>
          <cell r="Y2" t="str">
            <v>3Q05</v>
          </cell>
          <cell r="Z2" t="str">
            <v>4Q05</v>
          </cell>
          <cell r="AA2" t="str">
            <v>1Q06</v>
          </cell>
        </row>
        <row r="3">
          <cell r="B3" t="str">
            <v>Occupancy</v>
          </cell>
          <cell r="C3">
            <v>0.54488524984387665</v>
          </cell>
          <cell r="D3">
            <v>0.56857131157548613</v>
          </cell>
          <cell r="E3">
            <v>0.60272981654378599</v>
          </cell>
          <cell r="F3">
            <v>0.58658794292937144</v>
          </cell>
          <cell r="G3">
            <v>0.55606307283241474</v>
          </cell>
          <cell r="H3">
            <v>0.59575597146118309</v>
          </cell>
          <cell r="I3">
            <v>0.63266172123134856</v>
          </cell>
          <cell r="J3">
            <v>0.64147226224862008</v>
          </cell>
          <cell r="K3">
            <v>0.62039213501105894</v>
          </cell>
          <cell r="L3">
            <v>0.66436800407143515</v>
          </cell>
          <cell r="M3">
            <v>0.69655375011736109</v>
          </cell>
          <cell r="N3">
            <v>0.70357624717407674</v>
          </cell>
          <cell r="O3">
            <v>0.65081805181156627</v>
          </cell>
          <cell r="P3">
            <v>0.42114635430201353</v>
          </cell>
          <cell r="Q3">
            <v>0.73179237407935516</v>
          </cell>
          <cell r="R3">
            <v>0.76343145665259871</v>
          </cell>
          <cell r="S3">
            <v>0.69876780482057055</v>
          </cell>
          <cell r="T3">
            <v>0.7430798428550015</v>
          </cell>
          <cell r="U3">
            <v>0.78663331340738429</v>
          </cell>
          <cell r="V3">
            <v>0.79345733116261807</v>
          </cell>
          <cell r="W3">
            <v>0.65672049831872303</v>
          </cell>
          <cell r="X3">
            <v>0.67234752552369925</v>
          </cell>
          <cell r="Y3">
            <v>0.7227681795753228</v>
          </cell>
          <cell r="Z3">
            <v>0.77966560703183452</v>
          </cell>
          <cell r="AA3">
            <v>0.70592520103515133</v>
          </cell>
        </row>
        <row r="4">
          <cell r="B4" t="str">
            <v>ADR</v>
          </cell>
          <cell r="C4">
            <v>47.749307373616297</v>
          </cell>
          <cell r="D4">
            <v>48.335675406915442</v>
          </cell>
          <cell r="E4">
            <v>50.783381206347201</v>
          </cell>
          <cell r="F4">
            <v>52.389399776054503</v>
          </cell>
          <cell r="G4">
            <v>52.939835851369047</v>
          </cell>
          <cell r="H4">
            <v>52.500572441544328</v>
          </cell>
          <cell r="I4">
            <v>51.403055409518565</v>
          </cell>
          <cell r="J4">
            <v>50.483305164764261</v>
          </cell>
          <cell r="K4">
            <v>50.648412514415647</v>
          </cell>
          <cell r="L4">
            <v>47.973118895419333</v>
          </cell>
          <cell r="M4">
            <v>47.510847858151898</v>
          </cell>
          <cell r="N4">
            <v>48.547335694693956</v>
          </cell>
          <cell r="O4">
            <v>50.261874235043663</v>
          </cell>
          <cell r="P4">
            <v>45.919385013897511</v>
          </cell>
          <cell r="Q4">
            <v>51.695933513572228</v>
          </cell>
          <cell r="R4">
            <v>56.788558904483885</v>
          </cell>
          <cell r="S4">
            <v>58.592998889701121</v>
          </cell>
          <cell r="T4">
            <v>58.382028402147647</v>
          </cell>
          <cell r="U4">
            <v>59.527013301190301</v>
          </cell>
          <cell r="V4">
            <v>67.196477919640145</v>
          </cell>
          <cell r="W4">
            <v>66.973341949573197</v>
          </cell>
          <cell r="X4">
            <v>61.907683767053449</v>
          </cell>
          <cell r="Y4">
            <v>65.256919906916337</v>
          </cell>
          <cell r="Z4">
            <v>72.182763832568668</v>
          </cell>
          <cell r="AA4">
            <v>72.292429237858357</v>
          </cell>
        </row>
        <row r="26">
          <cell r="AB26" t="str">
            <v>New vs Old</v>
          </cell>
        </row>
        <row r="27">
          <cell r="AC27">
            <v>2005</v>
          </cell>
          <cell r="AD27" t="str">
            <v>2006E</v>
          </cell>
          <cell r="AE27" t="str">
            <v>2007E</v>
          </cell>
          <cell r="AF27" t="str">
            <v>2008E</v>
          </cell>
          <cell r="AG27" t="str">
            <v>2009E</v>
          </cell>
          <cell r="AH27" t="str">
            <v>2010E</v>
          </cell>
        </row>
        <row r="28">
          <cell r="AB28" t="str">
            <v>New</v>
          </cell>
        </row>
        <row r="29">
          <cell r="AB29" t="str">
            <v>Visitation</v>
          </cell>
          <cell r="AC29">
            <v>18.711186999999999</v>
          </cell>
          <cell r="AD29">
            <v>21.998122000000002</v>
          </cell>
          <cell r="AE29">
            <v>26.853211459144823</v>
          </cell>
          <cell r="AF29">
            <v>31.112956369452657</v>
          </cell>
          <cell r="AG29">
            <v>35.938386716715485</v>
          </cell>
          <cell r="AH29">
            <v>41.464358695646425</v>
          </cell>
        </row>
        <row r="30">
          <cell r="AB30" t="str">
            <v>Win per Mass Visitor</v>
          </cell>
          <cell r="AC30">
            <v>111.44221269958217</v>
          </cell>
          <cell r="AD30">
            <v>109.56058503486751</v>
          </cell>
          <cell r="AE30">
            <v>117.91681169731642</v>
          </cell>
          <cell r="AF30">
            <v>128.14735361515733</v>
          </cell>
          <cell r="AG30">
            <v>143.23197396120545</v>
          </cell>
          <cell r="AH30">
            <v>152.8036252338226</v>
          </cell>
        </row>
        <row r="31">
          <cell r="AB31" t="str">
            <v>Mass Revenue</v>
          </cell>
          <cell r="AC31">
            <v>2085.2160815156567</v>
          </cell>
          <cell r="AD31">
            <v>2410.12711598839</v>
          </cell>
          <cell r="AE31">
            <v>3166.4450790961996</v>
          </cell>
          <cell r="AF31">
            <v>3987.0430218892116</v>
          </cell>
          <cell r="AG31">
            <v>5147.5260704163238</v>
          </cell>
          <cell r="AH31">
            <v>6335.90432669035</v>
          </cell>
          <cell r="AI31">
            <v>0.48972885544362743</v>
          </cell>
        </row>
        <row r="32">
          <cell r="AB32" t="str">
            <v>VIP Revenue</v>
          </cell>
          <cell r="AC32">
            <v>3497.8356344037484</v>
          </cell>
          <cell r="AD32">
            <v>4462.2919091703079</v>
          </cell>
          <cell r="AE32">
            <v>5544.8648697270928</v>
          </cell>
          <cell r="AF32">
            <v>5988.4540593052607</v>
          </cell>
          <cell r="AG32">
            <v>6347.7613028635769</v>
          </cell>
          <cell r="AH32">
            <v>6601.6717549781206</v>
          </cell>
          <cell r="AJ32">
            <v>531.90432669034999</v>
          </cell>
          <cell r="AK32">
            <v>1053.5760816684706</v>
          </cell>
        </row>
        <row r="33">
          <cell r="AC33">
            <v>1.1730759231534966</v>
          </cell>
          <cell r="AD33">
            <v>1.0741233826947796</v>
          </cell>
          <cell r="AE33">
            <v>1.0078359974129609</v>
          </cell>
          <cell r="AF33">
            <v>0.95632353444147256</v>
          </cell>
          <cell r="AG33">
            <v>0.99466648584170458</v>
          </cell>
          <cell r="AH33">
            <v>1.0119445379723351</v>
          </cell>
          <cell r="AJ33">
            <v>521.67175497812059</v>
          </cell>
        </row>
        <row r="34">
          <cell r="AB34" t="str">
            <v>Old - just before 7/2006</v>
          </cell>
          <cell r="AH34">
            <v>0.48972885544362743</v>
          </cell>
        </row>
        <row r="35">
          <cell r="AB35" t="str">
            <v>Visitation</v>
          </cell>
          <cell r="AC35">
            <v>18.711186999999999</v>
          </cell>
          <cell r="AD35">
            <v>21.632217972379454</v>
          </cell>
          <cell r="AE35">
            <v>24.640252608957702</v>
          </cell>
          <cell r="AF35">
            <v>28.319635388651172</v>
          </cell>
          <cell r="AG35">
            <v>32.205298519054921</v>
          </cell>
          <cell r="AH35">
            <v>36.33204378008724</v>
          </cell>
        </row>
        <row r="36">
          <cell r="AB36" t="str">
            <v>Win per Mass Visitor</v>
          </cell>
          <cell r="AC36">
            <v>111.42495853909043</v>
          </cell>
          <cell r="AD36">
            <v>132.92823720522313</v>
          </cell>
          <cell r="AE36">
            <v>154.19675515805881</v>
          </cell>
          <cell r="AF36">
            <v>178.8682359833482</v>
          </cell>
          <cell r="AG36">
            <v>194.96637722184954</v>
          </cell>
          <cell r="AH36">
            <v>212.51335117181603</v>
          </cell>
        </row>
        <row r="37">
          <cell r="AB37" t="str">
            <v>Mass Revenue</v>
          </cell>
          <cell r="AC37">
            <v>2084.8932356921678</v>
          </cell>
          <cell r="AD37">
            <v>2875.5326019075469</v>
          </cell>
          <cell r="AE37">
            <v>3799.4469985761707</v>
          </cell>
          <cell r="AF37">
            <v>5065.4832256596364</v>
          </cell>
          <cell r="AG37">
            <v>6278.9503796083345</v>
          </cell>
          <cell r="AH37">
            <v>7721.0443786274736</v>
          </cell>
          <cell r="AI37">
            <v>0.6060985360576765</v>
          </cell>
        </row>
        <row r="38">
          <cell r="AB38" t="str">
            <v>VIP Revenue</v>
          </cell>
          <cell r="AC38">
            <v>3497.3427297378967</v>
          </cell>
          <cell r="AD38">
            <v>3655.7088883012116</v>
          </cell>
          <cell r="AE38">
            <v>4021.279777131333</v>
          </cell>
          <cell r="AF38">
            <v>4383.1949570731531</v>
          </cell>
          <cell r="AG38">
            <v>4733.8505536390057</v>
          </cell>
          <cell r="AH38">
            <v>5017.8815868573465</v>
          </cell>
        </row>
        <row r="40">
          <cell r="AB40" t="str">
            <v>Old - 7/11/2005</v>
          </cell>
        </row>
        <row r="41">
          <cell r="AB41" t="str">
            <v>Visitation</v>
          </cell>
          <cell r="AC41">
            <v>19.8</v>
          </cell>
          <cell r="AD41">
            <v>22.5</v>
          </cell>
          <cell r="AE41">
            <v>25.9</v>
          </cell>
          <cell r="AF41">
            <v>30.1</v>
          </cell>
          <cell r="AG41">
            <v>34.200000000000003</v>
          </cell>
          <cell r="AH41">
            <v>38.5</v>
          </cell>
        </row>
        <row r="42">
          <cell r="AB42" t="str">
            <v>Win per Mass Visitor</v>
          </cell>
          <cell r="AC42">
            <v>95</v>
          </cell>
          <cell r="AD42">
            <v>102</v>
          </cell>
          <cell r="AE42">
            <v>117</v>
          </cell>
          <cell r="AF42">
            <v>134</v>
          </cell>
          <cell r="AG42">
            <v>144</v>
          </cell>
          <cell r="AH42">
            <v>151</v>
          </cell>
        </row>
        <row r="43">
          <cell r="AB43" t="str">
            <v>Mass Revenue</v>
          </cell>
          <cell r="AC43">
            <v>1881</v>
          </cell>
          <cell r="AD43">
            <v>2281</v>
          </cell>
          <cell r="AE43">
            <v>3028</v>
          </cell>
          <cell r="AF43">
            <v>4042</v>
          </cell>
          <cell r="AG43">
            <v>4920</v>
          </cell>
          <cell r="AH43">
            <v>5804</v>
          </cell>
          <cell r="AI43">
            <v>0.4883877482329182</v>
          </cell>
        </row>
        <row r="44">
          <cell r="AB44" t="str">
            <v>VIP Revenue</v>
          </cell>
          <cell r="AC44">
            <v>3955</v>
          </cell>
          <cell r="AD44">
            <v>4430</v>
          </cell>
          <cell r="AE44">
            <v>4873</v>
          </cell>
          <cell r="AF44">
            <v>5311</v>
          </cell>
          <cell r="AG44">
            <v>5736</v>
          </cell>
          <cell r="AH44">
            <v>6080</v>
          </cell>
        </row>
        <row r="45">
          <cell r="AH45">
            <v>0.4883877482329182</v>
          </cell>
        </row>
        <row r="118">
          <cell r="AK118" t="str">
            <v>Days Stayed</v>
          </cell>
          <cell r="AL118">
            <v>2005</v>
          </cell>
          <cell r="AM118" t="str">
            <v>2006E</v>
          </cell>
          <cell r="AN118" t="str">
            <v>2007E</v>
          </cell>
          <cell r="AO118" t="str">
            <v>2008E</v>
          </cell>
          <cell r="AP118" t="str">
            <v>2009E</v>
          </cell>
          <cell r="AQ118" t="str">
            <v>2010E</v>
          </cell>
        </row>
        <row r="119">
          <cell r="AK119" t="str">
            <v>Hotel Guests</v>
          </cell>
          <cell r="AL119">
            <v>2.1758333333333333</v>
          </cell>
          <cell r="AM119">
            <v>2.17</v>
          </cell>
          <cell r="AN119">
            <v>2.2749478692713261</v>
          </cell>
          <cell r="AO119">
            <v>2.439017908256258</v>
          </cell>
          <cell r="AP119">
            <v>2.8461329551184145</v>
          </cell>
          <cell r="AQ119">
            <v>3.1697667219533114</v>
          </cell>
        </row>
        <row r="120">
          <cell r="AK120" t="str">
            <v>Other Overnight</v>
          </cell>
          <cell r="AL120">
            <v>1.5</v>
          </cell>
          <cell r="AM120">
            <v>1.5</v>
          </cell>
          <cell r="AN120">
            <v>1.5</v>
          </cell>
          <cell r="AO120">
            <v>1.5</v>
          </cell>
          <cell r="AP120">
            <v>1.5</v>
          </cell>
          <cell r="AQ120">
            <v>1.5</v>
          </cell>
        </row>
        <row r="121">
          <cell r="AK121" t="str">
            <v>Day Trippers</v>
          </cell>
          <cell r="AL121">
            <v>1</v>
          </cell>
          <cell r="AM121">
            <v>1</v>
          </cell>
          <cell r="AN121">
            <v>1</v>
          </cell>
          <cell r="AO121">
            <v>1</v>
          </cell>
          <cell r="AP121">
            <v>1</v>
          </cell>
          <cell r="AQ121">
            <v>1</v>
          </cell>
        </row>
        <row r="122">
          <cell r="AK122" t="str">
            <v>Overall</v>
          </cell>
          <cell r="AL122">
            <v>1.3898108575367241</v>
          </cell>
          <cell r="AM122">
            <v>1.3857101947157124</v>
          </cell>
          <cell r="AN122">
            <v>1.409808216231297</v>
          </cell>
          <cell r="AO122">
            <v>1.4591658339019791</v>
          </cell>
          <cell r="AP122">
            <v>1.5834259669277251</v>
          </cell>
          <cell r="AQ122">
            <v>1.6892403375063489</v>
          </cell>
        </row>
        <row r="145">
          <cell r="AU145" t="str">
            <v>Win per Visitor</v>
          </cell>
          <cell r="AV145">
            <v>2003</v>
          </cell>
          <cell r="AW145">
            <v>2004</v>
          </cell>
          <cell r="AX145">
            <v>2005</v>
          </cell>
          <cell r="AY145" t="str">
            <v>2006E</v>
          </cell>
          <cell r="AZ145" t="str">
            <v>2007E</v>
          </cell>
          <cell r="BA145" t="str">
            <v>2008E</v>
          </cell>
          <cell r="BB145" t="str">
            <v>2009E</v>
          </cell>
          <cell r="BC145" t="str">
            <v>2010E</v>
          </cell>
        </row>
        <row r="146">
          <cell r="AU146" t="str">
            <v>Revenue</v>
          </cell>
        </row>
        <row r="147">
          <cell r="AU147" t="str">
            <v>Total Win/Visitor/Day</v>
          </cell>
          <cell r="AV147">
            <v>201.99492775148218</v>
          </cell>
          <cell r="AW147">
            <v>213.25454479961729</v>
          </cell>
          <cell r="AX147">
            <v>214.69138190801422</v>
          </cell>
          <cell r="AY147">
            <v>225.4507129639166</v>
          </cell>
          <cell r="AZ147">
            <v>230.10560483419101</v>
          </cell>
          <cell r="BA147">
            <v>219.72962460523692</v>
          </cell>
          <cell r="BB147">
            <v>202.00563873280637</v>
          </cell>
          <cell r="BC147">
            <v>184.70834649115616</v>
          </cell>
        </row>
        <row r="148">
          <cell r="AU148" t="str">
            <v>Mass Win/Visitor/Day</v>
          </cell>
          <cell r="AV148">
            <v>45.835413736513246</v>
          </cell>
          <cell r="AW148">
            <v>59.798060816914834</v>
          </cell>
          <cell r="AX148">
            <v>80.18516483394032</v>
          </cell>
          <cell r="AY148">
            <v>79.064573135614836</v>
          </cell>
          <cell r="AZ148">
            <v>83.640320959777029</v>
          </cell>
          <cell r="BA148">
            <v>87.822337007765881</v>
          </cell>
          <cell r="BB148">
            <v>90.457007117998856</v>
          </cell>
          <cell r="BC148">
            <v>90.457007117998856</v>
          </cell>
        </row>
        <row r="149">
          <cell r="AU149" t="str">
            <v>Total Win/Visitor/Trip</v>
          </cell>
          <cell r="AV149">
            <v>292.57303766303806</v>
          </cell>
          <cell r="AW149">
            <v>300.64740025553272</v>
          </cell>
          <cell r="AX149">
            <v>298.38041359532156</v>
          </cell>
          <cell r="AY149">
            <v>312.40935136002508</v>
          </cell>
          <cell r="AZ149">
            <v>324.40477229611457</v>
          </cell>
          <cell r="BA149">
            <v>320.62196092006934</v>
          </cell>
          <cell r="BB149">
            <v>319.86097383534667</v>
          </cell>
          <cell r="BC149">
            <v>312.01678956696031</v>
          </cell>
        </row>
        <row r="150">
          <cell r="AU150" t="str">
            <v>Mass Win/Visitor/Trip</v>
          </cell>
          <cell r="AV150">
            <v>66.388826584460716</v>
          </cell>
          <cell r="AW150">
            <v>84.303626644021449</v>
          </cell>
          <cell r="AX150">
            <v>111.44221269958217</v>
          </cell>
          <cell r="AY150">
            <v>109.56058503486751</v>
          </cell>
          <cell r="AZ150">
            <v>117.91681169731642</v>
          </cell>
          <cell r="BA150">
            <v>128.14735361515733</v>
          </cell>
          <cell r="BB150">
            <v>143.23197396120545</v>
          </cell>
          <cell r="BC150">
            <v>152.8036252338226</v>
          </cell>
        </row>
        <row r="152">
          <cell r="AU152" t="str">
            <v>Growth</v>
          </cell>
        </row>
        <row r="153">
          <cell r="AU153" t="str">
            <v>Mass Win/Visitor/Day</v>
          </cell>
          <cell r="AV153">
            <v>0.10350118198328628</v>
          </cell>
          <cell r="AW153">
            <v>0.30462574551342403</v>
          </cell>
          <cell r="AX153">
            <v>0.34093252755210868</v>
          </cell>
          <cell r="AY153">
            <v>-1.3975050131108113E-2</v>
          </cell>
          <cell r="AZ153">
            <v>5.7873553763626573E-2</v>
          </cell>
          <cell r="BA153">
            <v>0.05</v>
          </cell>
          <cell r="BB153">
            <v>0.03</v>
          </cell>
          <cell r="BC153">
            <v>0</v>
          </cell>
        </row>
        <row r="154">
          <cell r="AU154" t="str">
            <v>Total Win/Visitor/Day</v>
          </cell>
          <cell r="AV154">
            <v>0.28263461222068931</v>
          </cell>
          <cell r="AW154">
            <v>5.5742078147566154E-2</v>
          </cell>
          <cell r="AX154">
            <v>6.7376623074881792E-3</v>
          </cell>
          <cell r="AY154">
            <v>5.0115337468516818E-2</v>
          </cell>
          <cell r="AZ154">
            <v>2.064704878985868E-2</v>
          </cell>
          <cell r="BA154">
            <v>-4.5092253343549715E-2</v>
          </cell>
          <cell r="BB154">
            <v>-8.0662704923258333E-2</v>
          </cell>
          <cell r="BC154">
            <v>-8.562776935414862E-2</v>
          </cell>
        </row>
        <row r="155">
          <cell r="AU155" t="str">
            <v>Mass Win/Visitor/Trip</v>
          </cell>
          <cell r="AV155">
            <v>7.7187784642569257E-2</v>
          </cell>
          <cell r="AW155">
            <v>0.26984661397455634</v>
          </cell>
          <cell r="AX155">
            <v>0.32191481121156862</v>
          </cell>
          <cell r="AY155">
            <v>-1.6884335110852633E-2</v>
          </cell>
          <cell r="AZ155">
            <v>7.6270372778582285E-2</v>
          </cell>
          <cell r="BA155">
            <v>8.6760672804671257E-2</v>
          </cell>
          <cell r="BB155">
            <v>0.11771308513595335</v>
          </cell>
          <cell r="BC155">
            <v>6.6826219089947347E-2</v>
          </cell>
        </row>
        <row r="156">
          <cell r="AU156" t="str">
            <v>Total Win/Visitor/Trip</v>
          </cell>
          <cell r="AV156">
            <v>0.25204971141101273</v>
          </cell>
          <cell r="AW156">
            <v>2.7597767234430082E-2</v>
          </cell>
          <cell r="AX156">
            <v>-7.5403501187250033E-3</v>
          </cell>
          <cell r="AY156">
            <v>4.7016952606447893E-2</v>
          </cell>
          <cell r="AZ156">
            <v>3.8396484880715898E-2</v>
          </cell>
          <cell r="BA156">
            <v>-1.1660775978327154E-2</v>
          </cell>
          <cell r="BB156">
            <v>-2.373471494400814E-3</v>
          </cell>
          <cell r="BC156">
            <v>-2.4523730339245042E-2</v>
          </cell>
        </row>
        <row r="180">
          <cell r="BD180" t="str">
            <v>Shares</v>
          </cell>
        </row>
        <row r="181">
          <cell r="BE181">
            <v>2001</v>
          </cell>
          <cell r="BF181">
            <v>2002</v>
          </cell>
          <cell r="BG181">
            <v>2003</v>
          </cell>
          <cell r="BH181">
            <v>2004</v>
          </cell>
          <cell r="BI181">
            <v>2005</v>
          </cell>
          <cell r="BJ181" t="str">
            <v>2006E</v>
          </cell>
          <cell r="BK181" t="str">
            <v>2007E</v>
          </cell>
          <cell r="BL181" t="str">
            <v>2008E</v>
          </cell>
          <cell r="BM181" t="str">
            <v>2009E</v>
          </cell>
          <cell r="BN181" t="str">
            <v>2010E</v>
          </cell>
        </row>
        <row r="182">
          <cell r="BD182" t="str">
            <v>Hotel Guest</v>
          </cell>
          <cell r="BE182">
            <v>2.7668530000000002</v>
          </cell>
          <cell r="BF182">
            <v>3.154801</v>
          </cell>
          <cell r="BG182">
            <v>3.043272</v>
          </cell>
          <cell r="BH182">
            <v>3.9561540000000006</v>
          </cell>
          <cell r="BI182">
            <v>4.1210880000000003</v>
          </cell>
          <cell r="BJ182">
            <v>4.6808540000000001</v>
          </cell>
          <cell r="BK182">
            <v>5.718392947220277</v>
          </cell>
          <cell r="BL182">
            <v>7.2477650018330273</v>
          </cell>
          <cell r="BM182">
            <v>9.0906170171459291</v>
          </cell>
          <cell r="BN182">
            <v>11.12696307559267</v>
          </cell>
        </row>
        <row r="183">
          <cell r="BD183" t="str">
            <v>Other Overnight</v>
          </cell>
          <cell r="BE183">
            <v>3.0749820000000003</v>
          </cell>
          <cell r="BF183">
            <v>3.410358</v>
          </cell>
          <cell r="BG183">
            <v>3.2652429999999999</v>
          </cell>
          <cell r="BH183">
            <v>4.3672770000000005</v>
          </cell>
          <cell r="BI183">
            <v>4.8929760000000009</v>
          </cell>
          <cell r="BJ183">
            <v>6.0018090000000006</v>
          </cell>
          <cell r="BK183">
            <v>7.059522834707419</v>
          </cell>
          <cell r="BL183">
            <v>7.7126858481298948</v>
          </cell>
          <cell r="BM183">
            <v>8.3698007246177593</v>
          </cell>
          <cell r="BN183">
            <v>8.8719887680948251</v>
          </cell>
        </row>
        <row r="184">
          <cell r="BD184" t="str">
            <v>Day Trippers</v>
          </cell>
          <cell r="BE184">
            <v>4.4371380000000009</v>
          </cell>
          <cell r="BF184">
            <v>4.9656820000000002</v>
          </cell>
          <cell r="BG184">
            <v>5.5793609999999996</v>
          </cell>
          <cell r="BH184">
            <v>8.3491250000000008</v>
          </cell>
          <cell r="BI184">
            <v>9.6971229999999995</v>
          </cell>
          <cell r="BJ184">
            <v>11.315459000000001</v>
          </cell>
          <cell r="BK184">
            <v>14.075295677217126</v>
          </cell>
          <cell r="BL184">
            <v>16.152505519489736</v>
          </cell>
          <cell r="BM184">
            <v>18.477968974951796</v>
          </cell>
          <cell r="BN184">
            <v>21.465406851958932</v>
          </cell>
        </row>
        <row r="185">
          <cell r="BE185">
            <v>0.26917601593077439</v>
          </cell>
          <cell r="BI185">
            <v>0.22024727773817876</v>
          </cell>
          <cell r="BN185">
            <v>0.26835005835411491</v>
          </cell>
        </row>
        <row r="186">
          <cell r="BE186">
            <v>0.2991526488103432</v>
          </cell>
          <cell r="BI186">
            <v>0.26150003203965627</v>
          </cell>
          <cell r="BN186">
            <v>0.2139666221107224</v>
          </cell>
        </row>
        <row r="187">
          <cell r="BE187">
            <v>0.43167133525888246</v>
          </cell>
          <cell r="BI187">
            <v>0.51825269022216491</v>
          </cell>
          <cell r="BN187">
            <v>0.51768331953516278</v>
          </cell>
        </row>
        <row r="210">
          <cell r="BO210" t="str">
            <v>Chinese Tourism (mm person-times)</v>
          </cell>
          <cell r="BP210">
            <v>1995</v>
          </cell>
          <cell r="BQ210">
            <v>1996</v>
          </cell>
          <cell r="BR210">
            <v>1997</v>
          </cell>
          <cell r="BS210">
            <v>1998</v>
          </cell>
          <cell r="BT210">
            <v>1999</v>
          </cell>
          <cell r="BU210">
            <v>2000</v>
          </cell>
          <cell r="BV210">
            <v>2001</v>
          </cell>
          <cell r="BW210">
            <v>2002</v>
          </cell>
          <cell r="BX210">
            <v>2003</v>
          </cell>
          <cell r="BY210">
            <v>2004</v>
          </cell>
        </row>
        <row r="211">
          <cell r="BO211" t="str">
            <v>Outbound Total</v>
          </cell>
          <cell r="BP211">
            <v>7.1390000000000002</v>
          </cell>
          <cell r="BQ211">
            <v>7.5882000000000005</v>
          </cell>
          <cell r="BR211">
            <v>8.1753999999999998</v>
          </cell>
          <cell r="BS211">
            <v>8.4255999999999993</v>
          </cell>
          <cell r="BT211">
            <v>9.2324000000000002</v>
          </cell>
          <cell r="BU211">
            <v>10.4726</v>
          </cell>
          <cell r="BV211">
            <v>12.134399999999999</v>
          </cell>
          <cell r="BW211">
            <v>16.6023</v>
          </cell>
          <cell r="BX211">
            <v>20.221900000000002</v>
          </cell>
          <cell r="BY211">
            <v>28.85</v>
          </cell>
          <cell r="BZ211">
            <v>0.28883886992131336</v>
          </cell>
        </row>
        <row r="212">
          <cell r="BO212" t="str">
            <v xml:space="preserve">  Growth</v>
          </cell>
          <cell r="BQ212">
            <v>6.2921977868048762E-2</v>
          </cell>
          <cell r="BR212">
            <v>7.7383305658785817E-2</v>
          </cell>
          <cell r="BS212">
            <v>3.0604007143381295E-2</v>
          </cell>
          <cell r="BT212">
            <v>9.5755791872389029E-2</v>
          </cell>
          <cell r="BU212">
            <v>0.13433126814262808</v>
          </cell>
          <cell r="BV212">
            <v>0.15868074785631081</v>
          </cell>
          <cell r="BW212">
            <v>0.36820114715189867</v>
          </cell>
          <cell r="BX212">
            <v>0.21801798545984608</v>
          </cell>
          <cell r="BY212">
            <v>0.42667108431947542</v>
          </cell>
        </row>
        <row r="213">
          <cell r="BO213" t="str">
            <v xml:space="preserve">  Private Purpose</v>
          </cell>
          <cell r="BP213">
            <v>2.0538999999999996</v>
          </cell>
          <cell r="BQ213">
            <v>2.4138999999999999</v>
          </cell>
          <cell r="BR213">
            <v>2.4396</v>
          </cell>
          <cell r="BS213">
            <v>3.1901999999999999</v>
          </cell>
          <cell r="BT213">
            <v>4.2660999999999998</v>
          </cell>
          <cell r="BU213">
            <v>5.6308999999999996</v>
          </cell>
          <cell r="BV213">
            <v>6.9466999999999999</v>
          </cell>
          <cell r="BW213">
            <v>10.0739</v>
          </cell>
          <cell r="BX213">
            <v>14.8109</v>
          </cell>
          <cell r="BY213">
            <v>22.98</v>
          </cell>
        </row>
        <row r="214">
          <cell r="BO214" t="str">
            <v xml:space="preserve">  Growth</v>
          </cell>
          <cell r="BQ214">
            <v>0.17527630361750823</v>
          </cell>
          <cell r="BR214">
            <v>1.0646671361696836E-2</v>
          </cell>
          <cell r="BS214">
            <v>0.30767338908017705</v>
          </cell>
          <cell r="BT214">
            <v>0.3372515829728544</v>
          </cell>
          <cell r="BU214">
            <v>0.31991748904151329</v>
          </cell>
          <cell r="BV214">
            <v>0.23367490099273658</v>
          </cell>
          <cell r="BW214">
            <v>0.45017058459412396</v>
          </cell>
          <cell r="BX214">
            <v>0.47022503697674178</v>
          </cell>
          <cell r="BY214">
            <v>0.55155999972992875</v>
          </cell>
        </row>
        <row r="215">
          <cell r="BO215" t="str">
            <v>Domestic</v>
          </cell>
          <cell r="BP215">
            <v>629</v>
          </cell>
          <cell r="BQ215">
            <v>639</v>
          </cell>
          <cell r="BR215">
            <v>644</v>
          </cell>
          <cell r="BS215">
            <v>694.5</v>
          </cell>
          <cell r="BT215">
            <v>719</v>
          </cell>
          <cell r="BU215">
            <v>744</v>
          </cell>
          <cell r="BV215">
            <v>784</v>
          </cell>
          <cell r="BW215">
            <v>878</v>
          </cell>
          <cell r="BX215">
            <v>870</v>
          </cell>
          <cell r="BY215">
            <v>1102</v>
          </cell>
        </row>
        <row r="216">
          <cell r="BO216" t="str">
            <v xml:space="preserve">  Growth</v>
          </cell>
          <cell r="BQ216">
            <v>1.5898251192368873E-2</v>
          </cell>
          <cell r="BR216">
            <v>7.8247261345851804E-3</v>
          </cell>
          <cell r="BS216">
            <v>7.841614906832306E-2</v>
          </cell>
          <cell r="BT216">
            <v>3.5277177825773887E-2</v>
          </cell>
          <cell r="BU216">
            <v>3.4770514603616132E-2</v>
          </cell>
          <cell r="BV216">
            <v>5.3763440860215006E-2</v>
          </cell>
          <cell r="BW216">
            <v>0.11989795918367352</v>
          </cell>
          <cell r="BX216">
            <v>-9.1116173120728838E-3</v>
          </cell>
          <cell r="BY216">
            <v>0.26666666666666661</v>
          </cell>
        </row>
        <row r="218">
          <cell r="BO218" t="str">
            <v>Outbound Share of Total</v>
          </cell>
          <cell r="BP218">
            <v>1.1222390075125091E-2</v>
          </cell>
          <cell r="BQ218">
            <v>1.1735753915707092E-2</v>
          </cell>
          <cell r="BR218">
            <v>1.2535584752200098E-2</v>
          </cell>
          <cell r="BS218">
            <v>1.1986474813266153E-2</v>
          </cell>
          <cell r="BT218">
            <v>1.2677820981324094E-2</v>
          </cell>
          <cell r="BU218">
            <v>1.3880689636707813E-2</v>
          </cell>
          <cell r="BV218">
            <v>1.5241647641403259E-2</v>
          </cell>
          <cell r="BW218">
            <v>1.8558302387552548E-2</v>
          </cell>
          <cell r="BX218">
            <v>2.2715572375831241E-2</v>
          </cell>
          <cell r="BY218">
            <v>2.5511783171950308E-2</v>
          </cell>
        </row>
        <row r="241">
          <cell r="CA241" t="str">
            <v>China Population and IVS forecast</v>
          </cell>
        </row>
        <row r="242">
          <cell r="CA242" t="str">
            <v>millions</v>
          </cell>
          <cell r="CB242">
            <v>2004</v>
          </cell>
          <cell r="CC242">
            <v>2005</v>
          </cell>
          <cell r="CD242" t="str">
            <v>2006E</v>
          </cell>
          <cell r="CE242" t="str">
            <v>2007E</v>
          </cell>
          <cell r="CF242" t="str">
            <v>2008E</v>
          </cell>
          <cell r="CG242" t="str">
            <v>2009E</v>
          </cell>
          <cell r="CH242" t="str">
            <v>2010E</v>
          </cell>
        </row>
        <row r="244">
          <cell r="CA244" t="str">
            <v>Population</v>
          </cell>
        </row>
        <row r="245">
          <cell r="CA245" t="str">
            <v>Total China</v>
          </cell>
          <cell r="CB245">
            <v>1299.8800000000001</v>
          </cell>
          <cell r="CC245">
            <v>1306.3794</v>
          </cell>
          <cell r="CD245">
            <v>1312.9112969999999</v>
          </cell>
          <cell r="CE245">
            <v>1319.4758534849998</v>
          </cell>
          <cell r="CF245">
            <v>1326.0732327524247</v>
          </cell>
          <cell r="CG245">
            <v>1332.7035989161866</v>
          </cell>
          <cell r="CH245">
            <v>1339.3671169107674</v>
          </cell>
        </row>
        <row r="246">
          <cell r="CA246" t="str">
            <v>Urban</v>
          </cell>
          <cell r="CB246">
            <v>542.83000000000004</v>
          </cell>
          <cell r="CC246">
            <v>564.54320000000007</v>
          </cell>
          <cell r="CD246">
            <v>587.12492800000007</v>
          </cell>
          <cell r="CE246">
            <v>610.60992512000007</v>
          </cell>
          <cell r="CF246">
            <v>635.03432212480004</v>
          </cell>
          <cell r="CG246">
            <v>660.43569500979208</v>
          </cell>
          <cell r="CH246">
            <v>686.85312281018378</v>
          </cell>
        </row>
        <row r="247">
          <cell r="CA247" t="str">
            <v>Covered Under IVS Program</v>
          </cell>
          <cell r="CB247">
            <v>157.501823</v>
          </cell>
          <cell r="CC247">
            <v>229.114823</v>
          </cell>
          <cell r="CD247">
            <v>244.32482300000001</v>
          </cell>
          <cell r="CE247">
            <v>344.32482300000004</v>
          </cell>
          <cell r="CF247">
            <v>444.32482300000004</v>
          </cell>
          <cell r="CG247">
            <v>544.32482300000004</v>
          </cell>
          <cell r="CH247">
            <v>644.32482300000004</v>
          </cell>
        </row>
        <row r="249">
          <cell r="CA249" t="str">
            <v>Growth</v>
          </cell>
        </row>
        <row r="250">
          <cell r="CA250" t="str">
            <v>China Population</v>
          </cell>
          <cell r="CB250">
            <v>5.8888622346724429E-3</v>
          </cell>
          <cell r="CC250">
            <v>4.9999999999998934E-3</v>
          </cell>
          <cell r="CD250">
            <v>4.9999999999998934E-3</v>
          </cell>
          <cell r="CE250">
            <v>4.9999999999998934E-3</v>
          </cell>
          <cell r="CF250">
            <v>4.9999999999998934E-3</v>
          </cell>
          <cell r="CG250">
            <v>4.9999999999998934E-3</v>
          </cell>
          <cell r="CH250">
            <v>4.9999999999998934E-3</v>
          </cell>
        </row>
        <row r="251">
          <cell r="CA251" t="str">
            <v>Urban Population</v>
          </cell>
          <cell r="CB251">
            <v>3.6409806018023572E-2</v>
          </cell>
          <cell r="CC251">
            <v>4.0000000000000036E-2</v>
          </cell>
          <cell r="CD251">
            <v>4.0000000000000036E-2</v>
          </cell>
          <cell r="CE251">
            <v>4.0000000000000036E-2</v>
          </cell>
          <cell r="CF251">
            <v>4.0000000000000036E-2</v>
          </cell>
          <cell r="CG251">
            <v>4.0000000000000036E-2</v>
          </cell>
          <cell r="CH251">
            <v>4.0000000000000036E-2</v>
          </cell>
        </row>
        <row r="252">
          <cell r="CA252" t="str">
            <v>Covered Under IVS Program</v>
          </cell>
          <cell r="CB252">
            <v>1.9172406556769772</v>
          </cell>
          <cell r="CC252">
            <v>0.45468045153991654</v>
          </cell>
          <cell r="CD252">
            <v>6.6385927374066123E-2</v>
          </cell>
          <cell r="CE252">
            <v>0.40929120001859176</v>
          </cell>
          <cell r="CF252">
            <v>0.29042344123995956</v>
          </cell>
          <cell r="CG252">
            <v>0.22506057465981377</v>
          </cell>
          <cell r="CH252">
            <v>0.18371383367904937</v>
          </cell>
        </row>
        <row r="254">
          <cell r="CA254" t="str">
            <v>Urban Share of Total</v>
          </cell>
          <cell r="CB254">
            <v>0.41760008616179956</v>
          </cell>
          <cell r="CC254">
            <v>0.43214337274454884</v>
          </cell>
          <cell r="CD254">
            <v>0.4471931419446078</v>
          </cell>
          <cell r="CE254">
            <v>0.46276703246009165</v>
          </cell>
          <cell r="CF254">
            <v>0.47888329727213469</v>
          </cell>
          <cell r="CG254">
            <v>0.49556082503783105</v>
          </cell>
          <cell r="CH254">
            <v>0.51281916222820334</v>
          </cell>
        </row>
        <row r="255">
          <cell r="CA255" t="str">
            <v>IVS Share of Urban</v>
          </cell>
          <cell r="CB255">
            <v>0.29014944457749203</v>
          </cell>
          <cell r="CC255">
            <v>0.40584108178080963</v>
          </cell>
          <cell r="CD255">
            <v>0.41613770996281046</v>
          </cell>
          <cell r="CE255">
            <v>0.56390308908315179</v>
          </cell>
          <cell r="CF255">
            <v>0.69968631225050404</v>
          </cell>
          <cell r="CG255">
            <v>0.82419049593000804</v>
          </cell>
          <cell r="CH255">
            <v>0.93808239578764108</v>
          </cell>
        </row>
        <row r="279">
          <cell r="CI279" t="str">
            <v>Visitor Growth forecast</v>
          </cell>
        </row>
        <row r="280">
          <cell r="CI280" t="str">
            <v>(mm)</v>
          </cell>
          <cell r="CJ280">
            <v>2002</v>
          </cell>
          <cell r="CK280">
            <v>2003</v>
          </cell>
          <cell r="CL280">
            <v>2004</v>
          </cell>
          <cell r="CM280">
            <v>2005</v>
          </cell>
          <cell r="CN280" t="str">
            <v>2006E</v>
          </cell>
          <cell r="CO280" t="str">
            <v>2007E</v>
          </cell>
          <cell r="CP280" t="str">
            <v>2008E</v>
          </cell>
          <cell r="CQ280" t="str">
            <v>2009E</v>
          </cell>
          <cell r="CR280" t="str">
            <v>2010E</v>
          </cell>
        </row>
        <row r="282">
          <cell r="CI282" t="str">
            <v>Total Visitors</v>
          </cell>
          <cell r="CJ282">
            <v>11.530841000000001</v>
          </cell>
          <cell r="CK282">
            <v>11.887875999999999</v>
          </cell>
          <cell r="CL282">
            <v>16.672556</v>
          </cell>
          <cell r="CM282">
            <v>18.711186999999999</v>
          </cell>
          <cell r="CN282">
            <v>21.998122000000002</v>
          </cell>
          <cell r="CO282">
            <v>26.853211459144823</v>
          </cell>
          <cell r="CP282">
            <v>31.112956369452657</v>
          </cell>
          <cell r="CQ282">
            <v>35.938386716715485</v>
          </cell>
          <cell r="CR282">
            <v>41.464358695646425</v>
          </cell>
        </row>
        <row r="283">
          <cell r="CI283" t="str">
            <v xml:space="preserve">  Year-over-Year growth</v>
          </cell>
          <cell r="CJ283">
            <v>0.12178920987534458</v>
          </cell>
          <cell r="CK283">
            <v>3.0963483062510289E-2</v>
          </cell>
          <cell r="CL283">
            <v>0.40248400975918686</v>
          </cell>
          <cell r="CM283">
            <v>0.12227465302860563</v>
          </cell>
          <cell r="CN283">
            <v>0.17566683503296732</v>
          </cell>
          <cell r="CO283">
            <v>0.22070472466444269</v>
          </cell>
          <cell r="CP283">
            <v>0.15863074391637366</v>
          </cell>
          <cell r="CQ283">
            <v>0.15509391939367534</v>
          </cell>
          <cell r="CR283">
            <v>0.15376238289407484</v>
          </cell>
        </row>
        <row r="285">
          <cell r="CI285" t="str">
            <v>China Visitors</v>
          </cell>
          <cell r="CJ285">
            <v>4.2404460000000004</v>
          </cell>
          <cell r="CK285">
            <v>5.7420359999999997</v>
          </cell>
          <cell r="CL285">
            <v>9.5297389999999993</v>
          </cell>
          <cell r="CM285">
            <v>10.462966</v>
          </cell>
          <cell r="CN285">
            <v>11.985617</v>
          </cell>
          <cell r="CO285">
            <v>14.484650159144822</v>
          </cell>
          <cell r="CP285">
            <v>17.638701722452655</v>
          </cell>
          <cell r="CQ285">
            <v>21.558132326615485</v>
          </cell>
          <cell r="CR285">
            <v>26.21178215894642</v>
          </cell>
        </row>
        <row r="286">
          <cell r="CI286" t="str">
            <v xml:space="preserve">  Year-over-Year growth</v>
          </cell>
          <cell r="CJ286">
            <v>0.41079115101130448</v>
          </cell>
          <cell r="CK286">
            <v>0.3541113364018782</v>
          </cell>
          <cell r="CL286">
            <v>0.65964459296319289</v>
          </cell>
          <cell r="CM286">
            <v>9.7927865600516473E-2</v>
          </cell>
          <cell r="CN286">
            <v>0.14552766395303207</v>
          </cell>
          <cell r="CO286">
            <v>0.20850267108859089</v>
          </cell>
          <cell r="CP286">
            <v>0.21775131112272916</v>
          </cell>
          <cell r="CQ286">
            <v>0.22220629759693189</v>
          </cell>
          <cell r="CR286">
            <v>0.21586516688115776</v>
          </cell>
        </row>
        <row r="287">
          <cell r="CI287" t="str">
            <v xml:space="preserve">  Share</v>
          </cell>
          <cell r="CJ287">
            <v>0.36774819807158909</v>
          </cell>
          <cell r="CK287">
            <v>0.48301614182382119</v>
          </cell>
          <cell r="CL287">
            <v>0.57158236565527198</v>
          </cell>
          <cell r="CM287">
            <v>0.55918237576269214</v>
          </cell>
          <cell r="CN287">
            <v>0.54484728287260153</v>
          </cell>
          <cell r="CO287">
            <v>0.53940103891045388</v>
          </cell>
          <cell r="CP287">
            <v>0.56692464428647793</v>
          </cell>
          <cell r="CQ287">
            <v>0.59986366379068634</v>
          </cell>
          <cell r="CR287">
            <v>0.63215211771015622</v>
          </cell>
        </row>
        <row r="288">
          <cell r="CI288" t="str">
            <v xml:space="preserve">  Contribution</v>
          </cell>
          <cell r="CK288">
            <v>4.2057221280826873</v>
          </cell>
          <cell r="CL288">
            <v>0.79163141526706027</v>
          </cell>
          <cell r="CM288">
            <v>0.45777141621019279</v>
          </cell>
          <cell r="CN288">
            <v>0.46324341673930247</v>
          </cell>
          <cell r="CO288">
            <v>0.51472443096548126</v>
          </cell>
          <cell r="CP288">
            <v>0.74043202814224462</v>
          </cell>
          <cell r="CQ288">
            <v>0.81224477862085054</v>
          </cell>
          <cell r="CR288">
            <v>0.84214140970567009</v>
          </cell>
        </row>
        <row r="290">
          <cell r="CI290" t="str">
            <v>Hong Kong Visitors</v>
          </cell>
          <cell r="CJ290">
            <v>5.1014369999999998</v>
          </cell>
          <cell r="CK290">
            <v>4.6231620000000007</v>
          </cell>
          <cell r="CL290">
            <v>5.0510589999999995</v>
          </cell>
          <cell r="CM290">
            <v>5.6148919999999993</v>
          </cell>
          <cell r="CN290">
            <v>6.9406560000000006</v>
          </cell>
          <cell r="CO290">
            <v>8.3287872000000007</v>
          </cell>
          <cell r="CP290">
            <v>8.8285144320000004</v>
          </cell>
          <cell r="CQ290">
            <v>9.2699401536000003</v>
          </cell>
          <cell r="CR290">
            <v>9.7334371612800012</v>
          </cell>
        </row>
        <row r="291">
          <cell r="CI291" t="str">
            <v xml:space="preserve">  Year-over-Year growth</v>
          </cell>
          <cell r="CJ291">
            <v>-1.8224888648026183E-2</v>
          </cell>
          <cell r="CK291">
            <v>-9.3752995479508883E-2</v>
          </cell>
          <cell r="CL291">
            <v>9.2555052148291406E-2</v>
          </cell>
          <cell r="CM291">
            <v>0.1116266905613259</v>
          </cell>
          <cell r="CN291">
            <v>0.23611567239405518</v>
          </cell>
          <cell r="CO291">
            <v>0.19999999999999996</v>
          </cell>
          <cell r="CP291">
            <v>0.06</v>
          </cell>
          <cell r="CQ291">
            <v>0.05</v>
          </cell>
          <cell r="CR291">
            <v>0.05</v>
          </cell>
        </row>
        <row r="292">
          <cell r="CI292" t="str">
            <v xml:space="preserve">  Share</v>
          </cell>
          <cell r="CJ292">
            <v>0.44241673265636039</v>
          </cell>
          <cell r="CK292">
            <v>0.38889722604778187</v>
          </cell>
          <cell r="CL292">
            <v>0.30295648729564917</v>
          </cell>
          <cell r="CM292">
            <v>0.30008208458394431</v>
          </cell>
          <cell r="CN292">
            <v>0.31551129682797469</v>
          </cell>
          <cell r="CO292">
            <v>0.3101598187863539</v>
          </cell>
          <cell r="CP292">
            <v>0.28375684802065348</v>
          </cell>
          <cell r="CQ292">
            <v>0.25793979642632126</v>
          </cell>
          <cell r="CR292">
            <v>0.23474225738602753</v>
          </cell>
        </row>
        <row r="293">
          <cell r="CI293" t="str">
            <v xml:space="preserve">  Contribution</v>
          </cell>
          <cell r="CK293">
            <v>-1.3395745515145585</v>
          </cell>
          <cell r="CL293">
            <v>8.9430641129605123E-2</v>
          </cell>
          <cell r="CM293">
            <v>0.27657432855676234</v>
          </cell>
          <cell r="CN293">
            <v>0.40334354041074738</v>
          </cell>
          <cell r="CO293">
            <v>0.28591258959922577</v>
          </cell>
          <cell r="CP293">
            <v>0.1173138867519386</v>
          </cell>
          <cell r="CQ293">
            <v>9.1479037066692692E-2</v>
          </cell>
          <cell r="CR293">
            <v>8.3876105316348093E-2</v>
          </cell>
        </row>
        <row r="295">
          <cell r="CI295" t="str">
            <v>Other Visitors</v>
          </cell>
          <cell r="CJ295">
            <v>2.1889580000000004</v>
          </cell>
          <cell r="CK295">
            <v>1.5226780000000002</v>
          </cell>
          <cell r="CL295">
            <v>2.091758</v>
          </cell>
          <cell r="CM295">
            <v>2.6333289999999989</v>
          </cell>
          <cell r="CN295">
            <v>3.0718490000000003</v>
          </cell>
          <cell r="CO295">
            <v>4.0397741000000007</v>
          </cell>
          <cell r="CP295">
            <v>4.645740215</v>
          </cell>
          <cell r="CQ295">
            <v>5.1103142365000007</v>
          </cell>
          <cell r="CR295">
            <v>5.5191393754200009</v>
          </cell>
        </row>
        <row r="296">
          <cell r="CI296" t="str">
            <v xml:space="preserve">  Year-over-Year growth</v>
          </cell>
          <cell r="CJ296">
            <v>5.3845357623434342E-2</v>
          </cell>
          <cell r="CK296">
            <v>-0.30438226772738453</v>
          </cell>
          <cell r="CL296">
            <v>0.37373627254087838</v>
          </cell>
          <cell r="CM296">
            <v>0.25890710110825377</v>
          </cell>
          <cell r="CN296">
            <v>0.16652685631001729</v>
          </cell>
          <cell r="CO296">
            <v>0.31509527323771458</v>
          </cell>
          <cell r="CP296">
            <v>0.15</v>
          </cell>
          <cell r="CQ296">
            <v>0.1</v>
          </cell>
          <cell r="CR296">
            <v>0.08</v>
          </cell>
        </row>
        <row r="297">
          <cell r="CI297" t="str">
            <v xml:space="preserve">  Share</v>
          </cell>
          <cell r="CJ297">
            <v>0.18983506927205052</v>
          </cell>
          <cell r="CK297">
            <v>0.12808663212839708</v>
          </cell>
          <cell r="CL297">
            <v>0.12546114704907874</v>
          </cell>
          <cell r="CM297">
            <v>0.14073553965336347</v>
          </cell>
          <cell r="CN297">
            <v>0.13964142029942375</v>
          </cell>
          <cell r="CO297">
            <v>0.15043914230319225</v>
          </cell>
          <cell r="CP297">
            <v>0.14931850769286856</v>
          </cell>
          <cell r="CQ297">
            <v>0.14219653978299246</v>
          </cell>
          <cell r="CR297">
            <v>0.13310562490381617</v>
          </cell>
        </row>
        <row r="298">
          <cell r="CI298" t="str">
            <v xml:space="preserve">  Contribution</v>
          </cell>
          <cell r="CK298">
            <v>-1.8661475765681284</v>
          </cell>
          <cell r="CL298">
            <v>0.11893794360333386</v>
          </cell>
          <cell r="CM298">
            <v>0.26565425523304587</v>
          </cell>
          <cell r="CN298">
            <v>0.1334130428499502</v>
          </cell>
          <cell r="CO298">
            <v>0.19936297943529382</v>
          </cell>
          <cell r="CP298">
            <v>0.14225408510581672</v>
          </cell>
          <cell r="CQ298">
            <v>9.627618431245713E-2</v>
          </cell>
          <cell r="CR298">
            <v>7.3982484977980628E-2</v>
          </cell>
        </row>
        <row r="300">
          <cell r="CI300" t="str">
            <v>check</v>
          </cell>
          <cell r="CJ300">
            <v>1</v>
          </cell>
          <cell r="CK300">
            <v>1.0000000000000002</v>
          </cell>
          <cell r="CL300">
            <v>0.99999999999999989</v>
          </cell>
          <cell r="CM300">
            <v>0.99999999999999989</v>
          </cell>
          <cell r="CN300">
            <v>1</v>
          </cell>
          <cell r="CO300">
            <v>1</v>
          </cell>
          <cell r="CP300">
            <v>1</v>
          </cell>
          <cell r="CQ300">
            <v>1</v>
          </cell>
          <cell r="CR300">
            <v>0.99999999999999989</v>
          </cell>
        </row>
        <row r="301">
          <cell r="CJ301">
            <v>0</v>
          </cell>
          <cell r="CK301">
            <v>1.0000000000000004</v>
          </cell>
          <cell r="CL301">
            <v>0.99999999999999922</v>
          </cell>
          <cell r="CM301">
            <v>1.0000000000000009</v>
          </cell>
          <cell r="CN301">
            <v>1</v>
          </cell>
          <cell r="CO301">
            <v>1.0000000000000009</v>
          </cell>
          <cell r="CP301">
            <v>1</v>
          </cell>
          <cell r="CQ301">
            <v>1.0000000000000004</v>
          </cell>
          <cell r="CR301">
            <v>0.99999999999999878</v>
          </cell>
        </row>
        <row r="343">
          <cell r="CS343" t="str">
            <v>VIP &amp; Mass Market Revenue</v>
          </cell>
        </row>
        <row r="344">
          <cell r="CS344" t="str">
            <v>($mm)</v>
          </cell>
          <cell r="CT344">
            <v>1995</v>
          </cell>
          <cell r="CU344">
            <v>1996</v>
          </cell>
          <cell r="CV344">
            <v>1997</v>
          </cell>
          <cell r="CW344">
            <v>1998</v>
          </cell>
          <cell r="CX344">
            <v>1999</v>
          </cell>
          <cell r="CY344">
            <v>2000</v>
          </cell>
          <cell r="CZ344">
            <v>2001</v>
          </cell>
          <cell r="DA344">
            <v>2002</v>
          </cell>
          <cell r="DB344">
            <v>2003</v>
          </cell>
          <cell r="DC344">
            <v>2004</v>
          </cell>
          <cell r="DD344">
            <v>2005</v>
          </cell>
        </row>
        <row r="346">
          <cell r="CS346" t="str">
            <v>VIP Revenue</v>
          </cell>
          <cell r="CT346">
            <v>1373.1958703116916</v>
          </cell>
          <cell r="CU346">
            <v>1311.6412933882118</v>
          </cell>
          <cell r="CV346">
            <v>1543.9553513896376</v>
          </cell>
          <cell r="CW346">
            <v>1152.1755032529654</v>
          </cell>
          <cell r="CX346">
            <v>1070.2080149186154</v>
          </cell>
          <cell r="CY346">
            <v>1350.1079731470891</v>
          </cell>
          <cell r="CZ346">
            <v>1589.0514861480779</v>
          </cell>
          <cell r="DA346">
            <v>1983.8078367889864</v>
          </cell>
          <cell r="DB346">
            <v>2688.8498544599533</v>
          </cell>
          <cell r="DC346">
            <v>3607.0036807892443</v>
          </cell>
          <cell r="DD346">
            <v>3497.8356344037484</v>
          </cell>
        </row>
        <row r="347">
          <cell r="CS347" t="str">
            <v xml:space="preserve">  Year-over-Year growth</v>
          </cell>
          <cell r="CT347">
            <v>0.18539911279643562</v>
          </cell>
          <cell r="CU347">
            <v>-4.4825780687432371E-2</v>
          </cell>
          <cell r="CV347">
            <v>0.17711706635990065</v>
          </cell>
          <cell r="CW347">
            <v>-0.2537507627950838</v>
          </cell>
          <cell r="CX347">
            <v>-7.114149546048254E-2</v>
          </cell>
          <cell r="CY347">
            <v>0.26153790134879418</v>
          </cell>
          <cell r="CZ347">
            <v>0.17698103985269698</v>
          </cell>
          <cell r="DA347">
            <v>0.24842263078448967</v>
          </cell>
          <cell r="DB347">
            <v>0.35539834282142757</v>
          </cell>
          <cell r="DC347">
            <v>0.34146712387319189</v>
          </cell>
          <cell r="DD347">
            <v>-3.0265576652145021E-2</v>
          </cell>
        </row>
        <row r="349">
          <cell r="CS349" t="str">
            <v>Mass Market Revenue</v>
          </cell>
          <cell r="CT349">
            <v>812.62684792133757</v>
          </cell>
          <cell r="CU349">
            <v>743.50329546010403</v>
          </cell>
          <cell r="CV349">
            <v>680.70481053873436</v>
          </cell>
          <cell r="CW349">
            <v>662.81947826698092</v>
          </cell>
          <cell r="CX349">
            <v>551.5480923777086</v>
          </cell>
          <cell r="CY349">
            <v>636.64034915406774</v>
          </cell>
          <cell r="CZ349">
            <v>666.8908353861749</v>
          </cell>
          <cell r="DA349">
            <v>710.66439337316001</v>
          </cell>
          <cell r="DB349">
            <v>789.22213822157244</v>
          </cell>
          <cell r="DC349">
            <v>1405.5569362255396</v>
          </cell>
          <cell r="DD349">
            <v>2085.2160815156567</v>
          </cell>
        </row>
        <row r="350">
          <cell r="CS350" t="str">
            <v xml:space="preserve">  Year-over-Year growth</v>
          </cell>
          <cell r="CT350">
            <v>4.9656657911086644E-2</v>
          </cell>
          <cell r="CU350">
            <v>-8.5061861588807242E-2</v>
          </cell>
          <cell r="CV350">
            <v>-8.446295437400575E-2</v>
          </cell>
          <cell r="CW350">
            <v>-2.6274725835415125E-2</v>
          </cell>
          <cell r="CX350">
            <v>-0.16787585389042037</v>
          </cell>
          <cell r="CY350">
            <v>0.15427894312811197</v>
          </cell>
          <cell r="CZ350">
            <v>4.7515816853742177E-2</v>
          </cell>
          <cell r="DA350">
            <v>6.5638265911447391E-2</v>
          </cell>
          <cell r="DB350">
            <v>0.11054127036749239</v>
          </cell>
          <cell r="DC350">
            <v>0.78093957094616173</v>
          </cell>
          <cell r="DD350">
            <v>0.48355148608583787</v>
          </cell>
        </row>
        <row r="352">
          <cell r="CS352" t="str">
            <v>VIP Share of Total</v>
          </cell>
          <cell r="CT352">
            <v>0.62822838231901657</v>
          </cell>
          <cell r="CU352">
            <v>0.6382233641883287</v>
          </cell>
          <cell r="CV352">
            <v>0.69401851923815261</v>
          </cell>
          <cell r="CW352">
            <v>0.63480919505798827</v>
          </cell>
          <cell r="CX352">
            <v>0.6599068812528105</v>
          </cell>
          <cell r="CY352">
            <v>0.6795566192215643</v>
          </cell>
          <cell r="CZ352">
            <v>0.70438480229732703</v>
          </cell>
          <cell r="DA352">
            <v>0.73625098621617857</v>
          </cell>
          <cell r="DB352">
            <v>0.77308631337067357</v>
          </cell>
          <cell r="DC352">
            <v>0.71959302966741678</v>
          </cell>
          <cell r="DD352">
            <v>0.6265096245535553</v>
          </cell>
        </row>
        <row r="353">
          <cell r="CS353" t="str">
            <v>Mass Market Share of Total</v>
          </cell>
          <cell r="CT353">
            <v>0.37177161768098338</v>
          </cell>
          <cell r="CU353">
            <v>0.36177663581167124</v>
          </cell>
          <cell r="CV353">
            <v>0.30598148076184734</v>
          </cell>
          <cell r="CW353">
            <v>0.36519080494201173</v>
          </cell>
          <cell r="CX353">
            <v>0.34009311874718956</v>
          </cell>
          <cell r="CY353">
            <v>0.32044338077843559</v>
          </cell>
          <cell r="CZ353">
            <v>0.29561519770267281</v>
          </cell>
          <cell r="DA353">
            <v>0.26374901378382143</v>
          </cell>
          <cell r="DB353">
            <v>0.22691368662932634</v>
          </cell>
          <cell r="DC353">
            <v>0.28040697033258322</v>
          </cell>
          <cell r="DD353">
            <v>0.37349037544644492</v>
          </cell>
        </row>
        <row r="376">
          <cell r="DE376" t="str">
            <v>Non-gaming shares</v>
          </cell>
        </row>
        <row r="377">
          <cell r="DF377" t="str">
            <v>2007E</v>
          </cell>
          <cell r="DG377" t="str">
            <v>2008E</v>
          </cell>
          <cell r="DH377" t="str">
            <v>2009E</v>
          </cell>
          <cell r="DI377" t="str">
            <v>2010E</v>
          </cell>
          <cell r="DJ377" t="str">
            <v>2011E</v>
          </cell>
          <cell r="DK377" t="str">
            <v>2012E</v>
          </cell>
        </row>
        <row r="378">
          <cell r="DE378" t="str">
            <v>Venetian</v>
          </cell>
        </row>
        <row r="379">
          <cell r="DE379" t="str">
            <v xml:space="preserve">  Gaming Revenue</v>
          </cell>
          <cell r="DF379">
            <v>675.26604458739473</v>
          </cell>
          <cell r="DG379">
            <v>1131.185381629107</v>
          </cell>
          <cell r="DH379">
            <v>1122.3258353710896</v>
          </cell>
          <cell r="DI379">
            <v>1261.1466103435439</v>
          </cell>
          <cell r="DJ379">
            <v>1353.8487799700065</v>
          </cell>
          <cell r="DK379">
            <v>1508.7577601373475</v>
          </cell>
        </row>
        <row r="380">
          <cell r="DE380" t="str">
            <v xml:space="preserve">  Net Revenue</v>
          </cell>
          <cell r="DF380">
            <v>793.21570761013243</v>
          </cell>
          <cell r="DG380">
            <v>1406.0387470550534</v>
          </cell>
          <cell r="DH380">
            <v>1425.9170625738727</v>
          </cell>
          <cell r="DI380">
            <v>1575.9252026818071</v>
          </cell>
          <cell r="DJ380">
            <v>1683.3584112717938</v>
          </cell>
          <cell r="DK380">
            <v>1850.8382742813437</v>
          </cell>
        </row>
        <row r="381">
          <cell r="DE381" t="str">
            <v xml:space="preserve">  Retail</v>
          </cell>
          <cell r="DF381">
            <v>75</v>
          </cell>
          <cell r="DG381">
            <v>157.5</v>
          </cell>
          <cell r="DH381">
            <v>162.22499999999999</v>
          </cell>
          <cell r="DI381">
            <v>167.09174999999999</v>
          </cell>
          <cell r="DJ381">
            <v>172.1045025</v>
          </cell>
          <cell r="DK381">
            <v>177.26763757500001</v>
          </cell>
        </row>
        <row r="383">
          <cell r="DE383" t="str">
            <v>FS</v>
          </cell>
        </row>
        <row r="384">
          <cell r="DE384" t="str">
            <v xml:space="preserve">  Gaming Revenue</v>
          </cell>
          <cell r="DG384">
            <v>138.12597872539345</v>
          </cell>
          <cell r="DH384">
            <v>140.87975896322413</v>
          </cell>
          <cell r="DI384">
            <v>153.94577497057816</v>
          </cell>
          <cell r="DJ384">
            <v>162.64232470154889</v>
          </cell>
          <cell r="DK384">
            <v>174.38824050930393</v>
          </cell>
        </row>
        <row r="385">
          <cell r="DE385" t="str">
            <v xml:space="preserve">  Net Revenue</v>
          </cell>
          <cell r="DG385">
            <v>195.33745701318315</v>
          </cell>
          <cell r="DH385">
            <v>202.53351942926253</v>
          </cell>
          <cell r="DI385">
            <v>218.10229728887015</v>
          </cell>
          <cell r="DJ385">
            <v>229.70762618621711</v>
          </cell>
          <cell r="DK385">
            <v>244.38348984342576</v>
          </cell>
        </row>
        <row r="386">
          <cell r="DE386" t="str">
            <v xml:space="preserve">  Retail</v>
          </cell>
          <cell r="DG386">
            <v>38.475000000000001</v>
          </cell>
          <cell r="DH386">
            <v>39.629249999999999</v>
          </cell>
          <cell r="DI386">
            <v>40.818127500000003</v>
          </cell>
          <cell r="DJ386">
            <v>42.042671325000001</v>
          </cell>
          <cell r="DK386">
            <v>43.303951464750007</v>
          </cell>
        </row>
        <row r="388">
          <cell r="DE388" t="str">
            <v>5&amp;6</v>
          </cell>
        </row>
        <row r="389">
          <cell r="DE389" t="str">
            <v xml:space="preserve">  Gaming Revenue</v>
          </cell>
          <cell r="DG389">
            <v>334.0140610646614</v>
          </cell>
          <cell r="DH389">
            <v>414.68764677020408</v>
          </cell>
          <cell r="DI389">
            <v>477.56434830699123</v>
          </cell>
          <cell r="DJ389">
            <v>540.46500438401461</v>
          </cell>
          <cell r="DK389">
            <v>614.59600973406191</v>
          </cell>
        </row>
        <row r="390">
          <cell r="DE390" t="str">
            <v xml:space="preserve">  Net Revenue</v>
          </cell>
          <cell r="DG390">
            <v>484.23391082366749</v>
          </cell>
          <cell r="DH390">
            <v>637.96140182206864</v>
          </cell>
          <cell r="DI390">
            <v>719.26077338140271</v>
          </cell>
          <cell r="DJ390">
            <v>850.96190881908728</v>
          </cell>
          <cell r="DK390">
            <v>1017.8251892094318</v>
          </cell>
        </row>
        <row r="391">
          <cell r="DE391" t="str">
            <v xml:space="preserve">  Retail</v>
          </cell>
          <cell r="DG391">
            <v>75.9375</v>
          </cell>
          <cell r="DH391">
            <v>106.3125</v>
          </cell>
          <cell r="DI391">
            <v>109.501875</v>
          </cell>
          <cell r="DJ391">
            <v>112.78693124999999</v>
          </cell>
          <cell r="DK391">
            <v>116.17053918750001</v>
          </cell>
        </row>
        <row r="393">
          <cell r="DE393" t="str">
            <v>7&amp;8</v>
          </cell>
        </row>
        <row r="394">
          <cell r="DE394" t="str">
            <v xml:space="preserve">  Gaming Revenue</v>
          </cell>
          <cell r="DG394">
            <v>111.33802035488718</v>
          </cell>
          <cell r="DH394">
            <v>414.68764677020408</v>
          </cell>
          <cell r="DI394">
            <v>477.56434830699123</v>
          </cell>
          <cell r="DJ394">
            <v>540.46500438401461</v>
          </cell>
          <cell r="DK394">
            <v>614.59600973406191</v>
          </cell>
        </row>
        <row r="395">
          <cell r="DE395" t="str">
            <v xml:space="preserve">  Net Revenue</v>
          </cell>
          <cell r="DG395">
            <v>159.53630360788921</v>
          </cell>
          <cell r="DH395">
            <v>630.08640182206864</v>
          </cell>
          <cell r="DI395">
            <v>711.14952338140267</v>
          </cell>
          <cell r="DJ395">
            <v>842.6073213190873</v>
          </cell>
          <cell r="DK395">
            <v>1009.2199640844317</v>
          </cell>
        </row>
        <row r="396">
          <cell r="DE396" t="str">
            <v xml:space="preserve">  Retail</v>
          </cell>
          <cell r="DG396">
            <v>23.4375</v>
          </cell>
          <cell r="DH396">
            <v>98.4375</v>
          </cell>
          <cell r="DI396">
            <v>101.390625</v>
          </cell>
          <cell r="DJ396">
            <v>104.43234375</v>
          </cell>
          <cell r="DK396">
            <v>107.56531406249998</v>
          </cell>
        </row>
        <row r="398">
          <cell r="DE398" t="str">
            <v>Far East</v>
          </cell>
        </row>
        <row r="399">
          <cell r="DE399" t="str">
            <v xml:space="preserve">  Gaming Revenue</v>
          </cell>
          <cell r="DG399">
            <v>55.669010177443589</v>
          </cell>
          <cell r="DH399">
            <v>207.34382338510204</v>
          </cell>
          <cell r="DI399">
            <v>238.78217415349562</v>
          </cell>
          <cell r="DJ399">
            <v>258.50460988625264</v>
          </cell>
          <cell r="DK399">
            <v>293.77034941164044</v>
          </cell>
        </row>
        <row r="400">
          <cell r="DE400" t="str">
            <v xml:space="preserve">  Net Revenue</v>
          </cell>
          <cell r="DG400">
            <v>70.393151803944605</v>
          </cell>
          <cell r="DH400">
            <v>305.19945091103432</v>
          </cell>
          <cell r="DI400">
            <v>345.43569919070131</v>
          </cell>
          <cell r="DJ400">
            <v>399.75753783901683</v>
          </cell>
          <cell r="DK400">
            <v>481.04671217563532</v>
          </cell>
        </row>
        <row r="401">
          <cell r="DE401" t="str">
            <v xml:space="preserve">  Retail</v>
          </cell>
          <cell r="DG401">
            <v>2.34375</v>
          </cell>
          <cell r="DH401">
            <v>39.375</v>
          </cell>
          <cell r="DI401">
            <v>40.556249999999999</v>
          </cell>
          <cell r="DJ401">
            <v>41.772937499999998</v>
          </cell>
          <cell r="DK401">
            <v>43.026125624999992</v>
          </cell>
        </row>
        <row r="403">
          <cell r="DE403" t="str">
            <v>Sands</v>
          </cell>
        </row>
        <row r="404">
          <cell r="DE404" t="str">
            <v xml:space="preserve">  Gaming Revenue</v>
          </cell>
          <cell r="DF404">
            <v>955.47842204483641</v>
          </cell>
          <cell r="DG404">
            <v>886.37105393025058</v>
          </cell>
          <cell r="DH404">
            <v>848.40778024303279</v>
          </cell>
          <cell r="DI404">
            <v>927.01330162231625</v>
          </cell>
          <cell r="DJ404">
            <v>1027.7150945205597</v>
          </cell>
          <cell r="DK404">
            <v>1160.7307601833147</v>
          </cell>
        </row>
        <row r="405">
          <cell r="DE405" t="str">
            <v xml:space="preserve">  Net Revenue</v>
          </cell>
          <cell r="DF405">
            <v>965.84525402872896</v>
          </cell>
          <cell r="DG405">
            <v>895.98807884622454</v>
          </cell>
          <cell r="DH405">
            <v>857.61290796615162</v>
          </cell>
          <cell r="DI405">
            <v>937.07129029377688</v>
          </cell>
          <cell r="DJ405">
            <v>1038.865686168044</v>
          </cell>
          <cell r="DK405">
            <v>1173.3245566435257</v>
          </cell>
        </row>
        <row r="407">
          <cell r="DE407" t="str">
            <v>Wynn Macau</v>
          </cell>
        </row>
        <row r="408">
          <cell r="DE408" t="str">
            <v xml:space="preserve">  Gaming Revenue</v>
          </cell>
          <cell r="DF408">
            <v>745.42999651018567</v>
          </cell>
          <cell r="DG408">
            <v>995.86963108554619</v>
          </cell>
          <cell r="DH408">
            <v>972.84174899949767</v>
          </cell>
          <cell r="DI408">
            <v>1064.7873752616485</v>
          </cell>
          <cell r="DJ408">
            <v>1146.6622959639712</v>
          </cell>
          <cell r="DK408">
            <v>1287.3147311859273</v>
          </cell>
        </row>
        <row r="409">
          <cell r="DE409" t="str">
            <v xml:space="preserve">  Net Revenue</v>
          </cell>
          <cell r="DF409">
            <v>747.96696996957451</v>
          </cell>
          <cell r="DG409">
            <v>986.61376658406334</v>
          </cell>
          <cell r="DH409">
            <v>968.38496187258056</v>
          </cell>
          <cell r="DI409">
            <v>1057.8551372048669</v>
          </cell>
          <cell r="DJ409">
            <v>1136.5262127988174</v>
          </cell>
          <cell r="DK409">
            <v>1270.4994115452369</v>
          </cell>
        </row>
        <row r="411">
          <cell r="DE411" t="str">
            <v>Wynn Cotai</v>
          </cell>
        </row>
        <row r="412">
          <cell r="DE412" t="str">
            <v xml:space="preserve">  Gaming Revenue</v>
          </cell>
          <cell r="DI412">
            <v>787.30447279356304</v>
          </cell>
          <cell r="DJ412">
            <v>998.72983700127429</v>
          </cell>
          <cell r="DK412">
            <v>1112.2662422025619</v>
          </cell>
        </row>
        <row r="413">
          <cell r="DE413" t="str">
            <v xml:space="preserve">  Net Revenue</v>
          </cell>
          <cell r="DI413">
            <v>1000.829472793563</v>
          </cell>
          <cell r="DJ413">
            <v>1239.5593463762746</v>
          </cell>
          <cell r="DK413">
            <v>1382.6930256759993</v>
          </cell>
        </row>
        <row r="414">
          <cell r="DE414" t="str">
            <v xml:space="preserve">  Retail</v>
          </cell>
          <cell r="DI414">
            <v>60.498750000000001</v>
          </cell>
          <cell r="DJ414">
            <v>66.699871875000014</v>
          </cell>
          <cell r="DK414">
            <v>72.135911432812506</v>
          </cell>
        </row>
        <row r="416">
          <cell r="DE416" t="str">
            <v>MGM Grand</v>
          </cell>
        </row>
        <row r="417">
          <cell r="DE417" t="str">
            <v xml:space="preserve">  Gaming Revenue</v>
          </cell>
          <cell r="DF417">
            <v>182.14759156347085</v>
          </cell>
          <cell r="DG417">
            <v>687.5663531603393</v>
          </cell>
          <cell r="DH417">
            <v>754.23809840063927</v>
          </cell>
          <cell r="DI417">
            <v>819.682934468957</v>
          </cell>
          <cell r="DJ417">
            <v>876.09351650982046</v>
          </cell>
          <cell r="DK417">
            <v>966.27178049792565</v>
          </cell>
        </row>
        <row r="418">
          <cell r="DE418" t="str">
            <v xml:space="preserve">  Net Revenue</v>
          </cell>
          <cell r="DF418">
            <v>192.70459156347087</v>
          </cell>
          <cell r="DG418">
            <v>730.70661566033925</v>
          </cell>
          <cell r="DH418">
            <v>798.67256877563921</v>
          </cell>
          <cell r="DI418">
            <v>865.45043895520701</v>
          </cell>
          <cell r="DJ418">
            <v>923.23404613065793</v>
          </cell>
          <cell r="DK418">
            <v>1014.8265260073883</v>
          </cell>
        </row>
        <row r="420">
          <cell r="DE420" t="str">
            <v>Total Non-Gaming</v>
          </cell>
        </row>
        <row r="421">
          <cell r="DE421" t="str">
            <v>Venetian</v>
          </cell>
          <cell r="DF421">
            <v>0.14869809295394121</v>
          </cell>
          <cell r="DG421">
            <v>0.19548064802739351</v>
          </cell>
          <cell r="DH421">
            <v>0.2129094567777885</v>
          </cell>
          <cell r="DI421">
            <v>0.1997420891566386</v>
          </cell>
          <cell r="DJ421">
            <v>0.19574537965021932</v>
          </cell>
          <cell r="DK421">
            <v>0.18482463805586768</v>
          </cell>
        </row>
        <row r="422">
          <cell r="DE422" t="str">
            <v>FS</v>
          </cell>
          <cell r="DG422">
            <v>0.29288534397132315</v>
          </cell>
          <cell r="DH422">
            <v>0.30441262582005235</v>
          </cell>
          <cell r="DI422">
            <v>0.29415793925966105</v>
          </cell>
          <cell r="DJ422">
            <v>0.29195940334301473</v>
          </cell>
          <cell r="DK422">
            <v>0.28641562234407547</v>
          </cell>
        </row>
        <row r="423">
          <cell r="DE423" t="str">
            <v>5&amp;6</v>
          </cell>
          <cell r="DG423">
            <v>0.31022166436771559</v>
          </cell>
          <cell r="DH423">
            <v>0.34998003705894576</v>
          </cell>
          <cell r="DI423">
            <v>0.33603448710005912</v>
          </cell>
          <cell r="DJ423">
            <v>0.36487755940328892</v>
          </cell>
          <cell r="DK423">
            <v>0.39616742025078711</v>
          </cell>
        </row>
        <row r="424">
          <cell r="DE424" t="str">
            <v>7&amp;8</v>
          </cell>
          <cell r="DG424">
            <v>0.30211483006065198</v>
          </cell>
          <cell r="DH424">
            <v>0.3418559017128121</v>
          </cell>
          <cell r="DI424">
            <v>0.32846140986462469</v>
          </cell>
          <cell r="DJ424">
            <v>0.35858021796211559</v>
          </cell>
          <cell r="DK424">
            <v>0.39101877528589535</v>
          </cell>
        </row>
        <row r="425">
          <cell r="DE425" t="str">
            <v>Far East</v>
          </cell>
          <cell r="DG425">
            <v>0.20917008614005439</v>
          </cell>
          <cell r="DH425">
            <v>0.32062845209527324</v>
          </cell>
          <cell r="DI425">
            <v>0.30875073215384874</v>
          </cell>
          <cell r="DJ425">
            <v>0.35334650277350621</v>
          </cell>
          <cell r="DK425">
            <v>0.38931013979286544</v>
          </cell>
        </row>
        <row r="426">
          <cell r="DE426" t="str">
            <v>Sands</v>
          </cell>
          <cell r="DF426">
            <v>1.0733429543346107E-2</v>
          </cell>
          <cell r="DG426">
            <v>1.0733429543346107E-2</v>
          </cell>
          <cell r="DH426">
            <v>1.0733429543346107E-2</v>
          </cell>
          <cell r="DI426">
            <v>1.0733429543346107E-2</v>
          </cell>
          <cell r="DJ426">
            <v>1.0733429543345885E-2</v>
          </cell>
          <cell r="DK426">
            <v>1.0733429543345996E-2</v>
          </cell>
        </row>
        <row r="427">
          <cell r="DE427" t="str">
            <v>Wynn Macau</v>
          </cell>
          <cell r="DF427">
            <v>3.3918255233811312E-3</v>
          </cell>
          <cell r="DG427">
            <v>-9.3814467372872468E-3</v>
          </cell>
          <cell r="DH427">
            <v>-4.6022886583234612E-3</v>
          </cell>
          <cell r="DI427">
            <v>-6.5531071438555966E-3</v>
          </cell>
          <cell r="DJ427">
            <v>-8.9184772432064907E-3</v>
          </cell>
          <cell r="DK427">
            <v>-1.3235204587965121E-2</v>
          </cell>
        </row>
        <row r="428">
          <cell r="DE428" t="str">
            <v>Wynn Cotai</v>
          </cell>
          <cell r="DI428">
            <v>0.21334803361055987</v>
          </cell>
          <cell r="DJ428">
            <v>0.19428638901319306</v>
          </cell>
          <cell r="DK428">
            <v>0.19557976966089463</v>
          </cell>
        </row>
        <row r="429">
          <cell r="DE429" t="str">
            <v>MGM Grand</v>
          </cell>
          <cell r="DF429">
            <v>5.4783333984664617E-2</v>
          </cell>
          <cell r="DG429">
            <v>5.9039102117631859E-2</v>
          </cell>
          <cell r="DH429">
            <v>5.5635403182956122E-2</v>
          </cell>
          <cell r="DI429">
            <v>5.2882871654096886E-2</v>
          </cell>
          <cell r="DJ429">
            <v>5.1060215790792118E-2</v>
          </cell>
          <cell r="DK429">
            <v>4.7845364961527581E-2</v>
          </cell>
        </row>
        <row r="431">
          <cell r="DE431" t="str">
            <v>Non-Gaming ex Retail</v>
          </cell>
        </row>
        <row r="432">
          <cell r="DE432" t="str">
            <v>Wynn Macau</v>
          </cell>
          <cell r="DF432">
            <v>3.3918255233811312E-3</v>
          </cell>
          <cell r="DG432">
            <v>-9.3814467372872468E-3</v>
          </cell>
          <cell r="DH432">
            <v>-4.6022886583234612E-3</v>
          </cell>
          <cell r="DI432">
            <v>-6.5531071438555966E-3</v>
          </cell>
          <cell r="DJ432">
            <v>-8.9184772432064907E-3</v>
          </cell>
          <cell r="DK432">
            <v>-1.3235204587965121E-2</v>
          </cell>
        </row>
        <row r="433">
          <cell r="DE433" t="str">
            <v>Sands</v>
          </cell>
          <cell r="DF433">
            <v>1.0733429543346107E-2</v>
          </cell>
          <cell r="DG433">
            <v>1.0733429543346107E-2</v>
          </cell>
          <cell r="DH433">
            <v>1.0733429543346107E-2</v>
          </cell>
          <cell r="DI433">
            <v>1.0733429543346107E-2</v>
          </cell>
          <cell r="DJ433">
            <v>1.0733429543345885E-2</v>
          </cell>
          <cell r="DK433">
            <v>1.0733429543345996E-2</v>
          </cell>
        </row>
        <row r="434">
          <cell r="DE434" t="str">
            <v>MGM Grand</v>
          </cell>
          <cell r="DF434">
            <v>5.4783333984664617E-2</v>
          </cell>
          <cell r="DG434">
            <v>5.9039102117631859E-2</v>
          </cell>
          <cell r="DH434">
            <v>5.5635403182956122E-2</v>
          </cell>
          <cell r="DI434">
            <v>5.2882871654096886E-2</v>
          </cell>
          <cell r="DJ434">
            <v>5.1060215790792118E-2</v>
          </cell>
          <cell r="DK434">
            <v>4.7845364961527581E-2</v>
          </cell>
        </row>
        <row r="435">
          <cell r="DE435" t="str">
            <v>Venetian</v>
          </cell>
          <cell r="DF435">
            <v>5.9800506404479759E-2</v>
          </cell>
          <cell r="DG435">
            <v>9.3992569876385046E-2</v>
          </cell>
          <cell r="DH435">
            <v>0.11186762296729957</v>
          </cell>
          <cell r="DI435">
            <v>0.10482917058587127</v>
          </cell>
          <cell r="DJ435">
            <v>0.1041553162497435</v>
          </cell>
          <cell r="DK435">
            <v>9.8479785050097912E-2</v>
          </cell>
        </row>
        <row r="436">
          <cell r="DE436" t="str">
            <v>Four Seasons</v>
          </cell>
          <cell r="DG436">
            <v>0.11944526845078707</v>
          </cell>
          <cell r="DH436">
            <v>0.13519909909790317</v>
          </cell>
          <cell r="DI436">
            <v>0.13164398629661045</v>
          </cell>
          <cell r="DJ436">
            <v>0.13333672330123159</v>
          </cell>
          <cell r="DK436">
            <v>0.13273999972640882</v>
          </cell>
        </row>
        <row r="437">
          <cell r="DE437" t="str">
            <v>Wynn Cotai</v>
          </cell>
          <cell r="DI437">
            <v>0.1627366269022722</v>
          </cell>
          <cell r="DJ437">
            <v>0.14846590003806204</v>
          </cell>
          <cell r="DK437">
            <v>0.15130273216298007</v>
          </cell>
        </row>
        <row r="438">
          <cell r="DE438" t="str">
            <v>Plots 5&amp;6</v>
          </cell>
          <cell r="DG438">
            <v>0.181932409371795</v>
          </cell>
          <cell r="DH438">
            <v>0.21999717228986015</v>
          </cell>
          <cell r="DI438">
            <v>0.21679806629361242</v>
          </cell>
          <cell r="DJ438">
            <v>0.26783618951181343</v>
          </cell>
          <cell r="DK438">
            <v>0.31836872385772919</v>
          </cell>
        </row>
        <row r="439">
          <cell r="DE439" t="str">
            <v>Plots 7&amp;8</v>
          </cell>
          <cell r="DG439">
            <v>0.181932409371795</v>
          </cell>
          <cell r="DH439">
            <v>0.21999717228986015</v>
          </cell>
          <cell r="DI439">
            <v>0.21679806629361242</v>
          </cell>
          <cell r="DJ439">
            <v>0.26783618951181343</v>
          </cell>
          <cell r="DK439">
            <v>0.31836872385772919</v>
          </cell>
        </row>
        <row r="440">
          <cell r="DE440" t="str">
            <v>Far East</v>
          </cell>
          <cell r="DG440">
            <v>0.181932409371795</v>
          </cell>
          <cell r="DH440">
            <v>0.21999717228986015</v>
          </cell>
          <cell r="DI440">
            <v>0.21679806629361242</v>
          </cell>
          <cell r="DJ440">
            <v>0.27788902192595755</v>
          </cell>
          <cell r="DK440">
            <v>0.32932296236336722</v>
          </cell>
        </row>
      </sheetData>
      <sheetData sheetId="13" refreshError="1">
        <row r="2">
          <cell r="C2">
            <v>1847</v>
          </cell>
          <cell r="D2">
            <v>1937</v>
          </cell>
          <cell r="E2">
            <v>1962</v>
          </cell>
          <cell r="F2">
            <v>1986</v>
          </cell>
          <cell r="G2">
            <v>1996</v>
          </cell>
          <cell r="H2">
            <v>1997</v>
          </cell>
          <cell r="I2">
            <v>1998</v>
          </cell>
          <cell r="J2">
            <v>1999</v>
          </cell>
          <cell r="K2">
            <v>2000</v>
          </cell>
          <cell r="L2">
            <v>2001</v>
          </cell>
          <cell r="M2">
            <v>2002</v>
          </cell>
          <cell r="N2">
            <v>2003</v>
          </cell>
          <cell r="O2">
            <v>2004</v>
          </cell>
          <cell r="P2">
            <v>2005</v>
          </cell>
          <cell r="Q2" t="str">
            <v>2006E</v>
          </cell>
          <cell r="R2" t="str">
            <v>2007E</v>
          </cell>
          <cell r="S2" t="str">
            <v>2008E</v>
          </cell>
          <cell r="T2" t="str">
            <v>2009E</v>
          </cell>
          <cell r="U2" t="str">
            <v>2010E</v>
          </cell>
        </row>
        <row r="3">
          <cell r="B3" t="str">
            <v>Actual</v>
          </cell>
          <cell r="G3">
            <v>2055.1445888483158</v>
          </cell>
          <cell r="H3">
            <v>2224.660161928372</v>
          </cell>
          <cell r="I3">
            <v>1814.9949815199464</v>
          </cell>
          <cell r="J3">
            <v>1621.756107296324</v>
          </cell>
          <cell r="K3">
            <v>1986.748322301157</v>
          </cell>
          <cell r="L3">
            <v>2255.9423215342531</v>
          </cell>
          <cell r="M3">
            <v>2694.4722301621464</v>
          </cell>
          <cell r="N3">
            <v>3478.0719926815259</v>
          </cell>
          <cell r="O3">
            <v>5012.5606170147839</v>
          </cell>
          <cell r="P3">
            <v>5583.0517159194042</v>
          </cell>
          <cell r="Q3">
            <v>6872.4190251586988</v>
          </cell>
        </row>
        <row r="4">
          <cell r="B4" t="str">
            <v>Forecast</v>
          </cell>
          <cell r="Q4">
            <v>6872.4190251586988</v>
          </cell>
          <cell r="R4">
            <v>8711.3099488232911</v>
          </cell>
          <cell r="S4">
            <v>9975.4970811944731</v>
          </cell>
          <cell r="T4">
            <v>11495.287373279902</v>
          </cell>
          <cell r="U4">
            <v>12937.576081668471</v>
          </cell>
        </row>
        <row r="5">
          <cell r="B5" t="str">
            <v>Tables</v>
          </cell>
          <cell r="G5">
            <v>0</v>
          </cell>
          <cell r="H5">
            <v>0</v>
          </cell>
          <cell r="I5">
            <v>0</v>
          </cell>
          <cell r="J5">
            <v>0</v>
          </cell>
          <cell r="K5">
            <v>0</v>
          </cell>
          <cell r="L5">
            <v>0</v>
          </cell>
          <cell r="M5">
            <v>0</v>
          </cell>
          <cell r="N5">
            <v>441</v>
          </cell>
          <cell r="O5">
            <v>660.54586717630195</v>
          </cell>
          <cell r="P5">
            <v>1251.75</v>
          </cell>
          <cell r="Q5">
            <v>2064.4426328502418</v>
          </cell>
          <cell r="R5">
            <v>3839.166666666667</v>
          </cell>
          <cell r="S5">
            <v>5581</v>
          </cell>
          <cell r="T5">
            <v>8198.5</v>
          </cell>
          <cell r="U5">
            <v>9966</v>
          </cell>
        </row>
        <row r="6">
          <cell r="B6" t="str">
            <v>Slots</v>
          </cell>
          <cell r="G6">
            <v>0</v>
          </cell>
          <cell r="H6">
            <v>0</v>
          </cell>
          <cell r="I6">
            <v>0</v>
          </cell>
          <cell r="J6">
            <v>0</v>
          </cell>
          <cell r="K6">
            <v>0</v>
          </cell>
          <cell r="L6">
            <v>0</v>
          </cell>
          <cell r="M6">
            <v>0</v>
          </cell>
          <cell r="N6">
            <v>824.25</v>
          </cell>
          <cell r="O6">
            <v>1548.6654323936932</v>
          </cell>
          <cell r="P6">
            <v>2918.5</v>
          </cell>
          <cell r="Q6">
            <v>4767.75</v>
          </cell>
          <cell r="R6">
            <v>11066.615942028986</v>
          </cell>
          <cell r="S6">
            <v>17875.782608695652</v>
          </cell>
          <cell r="T6">
            <v>27650.782608695652</v>
          </cell>
          <cell r="U6">
            <v>38425.782608695648</v>
          </cell>
        </row>
      </sheetData>
      <sheetData sheetId="14" refreshError="1"/>
      <sheetData sheetId="15" refreshError="1"/>
      <sheetData sheetId="16" refreshError="1"/>
      <sheetData sheetId="17" refreshError="1">
        <row r="1">
          <cell r="A1" t="str">
            <v>Macau Gaming Market</v>
          </cell>
        </row>
        <row r="2">
          <cell r="A2" t="str">
            <v>Days in Quarter</v>
          </cell>
          <cell r="B2">
            <v>365</v>
          </cell>
          <cell r="C2">
            <v>365</v>
          </cell>
          <cell r="D2">
            <v>366</v>
          </cell>
          <cell r="E2">
            <v>365</v>
          </cell>
          <cell r="F2">
            <v>365</v>
          </cell>
          <cell r="G2">
            <v>365</v>
          </cell>
          <cell r="H2">
            <v>366</v>
          </cell>
          <cell r="I2">
            <v>365</v>
          </cell>
          <cell r="J2">
            <v>365</v>
          </cell>
          <cell r="K2">
            <v>365</v>
          </cell>
          <cell r="L2">
            <v>366</v>
          </cell>
          <cell r="M2">
            <v>90</v>
          </cell>
          <cell r="N2">
            <v>91</v>
          </cell>
          <cell r="O2">
            <v>92</v>
          </cell>
          <cell r="P2">
            <v>92</v>
          </cell>
          <cell r="Q2">
            <v>365</v>
          </cell>
          <cell r="R2">
            <v>89</v>
          </cell>
          <cell r="S2">
            <v>181</v>
          </cell>
          <cell r="T2">
            <v>184</v>
          </cell>
          <cell r="U2">
            <v>184</v>
          </cell>
          <cell r="V2">
            <v>638</v>
          </cell>
        </row>
        <row r="3">
          <cell r="B3">
            <v>34699</v>
          </cell>
          <cell r="C3">
            <v>35064</v>
          </cell>
          <cell r="D3">
            <v>35430</v>
          </cell>
          <cell r="E3">
            <v>35795</v>
          </cell>
          <cell r="F3">
            <v>36160</v>
          </cell>
          <cell r="G3">
            <v>36525</v>
          </cell>
          <cell r="H3">
            <v>36891</v>
          </cell>
          <cell r="I3">
            <v>37256</v>
          </cell>
          <cell r="J3">
            <v>37621</v>
          </cell>
          <cell r="K3">
            <v>37986</v>
          </cell>
          <cell r="L3">
            <v>38352</v>
          </cell>
          <cell r="M3">
            <v>38442</v>
          </cell>
          <cell r="N3">
            <v>38533</v>
          </cell>
          <cell r="O3">
            <v>38625</v>
          </cell>
          <cell r="P3">
            <v>38717</v>
          </cell>
          <cell r="Q3">
            <v>38717</v>
          </cell>
          <cell r="R3">
            <v>38806</v>
          </cell>
          <cell r="S3">
            <v>38898</v>
          </cell>
          <cell r="T3">
            <v>38990</v>
          </cell>
          <cell r="U3">
            <v>39082</v>
          </cell>
          <cell r="V3">
            <v>39082</v>
          </cell>
        </row>
        <row r="5">
          <cell r="B5">
            <v>1994</v>
          </cell>
          <cell r="C5">
            <v>1995</v>
          </cell>
          <cell r="D5">
            <v>1996</v>
          </cell>
          <cell r="E5">
            <v>1997</v>
          </cell>
          <cell r="F5">
            <v>1998</v>
          </cell>
          <cell r="G5">
            <v>1999</v>
          </cell>
          <cell r="H5">
            <v>2000</v>
          </cell>
          <cell r="I5">
            <v>2001</v>
          </cell>
          <cell r="J5">
            <v>2002</v>
          </cell>
          <cell r="K5">
            <v>2003</v>
          </cell>
          <cell r="L5">
            <v>2004</v>
          </cell>
          <cell r="M5" t="str">
            <v>1Q05</v>
          </cell>
          <cell r="N5" t="str">
            <v>2Q05</v>
          </cell>
          <cell r="O5" t="str">
            <v>3Q05</v>
          </cell>
          <cell r="P5" t="str">
            <v>4Q05</v>
          </cell>
          <cell r="Q5">
            <v>2005</v>
          </cell>
          <cell r="R5" t="str">
            <v>1Q06</v>
          </cell>
          <cell r="S5" t="str">
            <v>2Q06</v>
          </cell>
          <cell r="T5" t="str">
            <v>3Q06</v>
          </cell>
          <cell r="U5" t="str">
            <v>4Q06</v>
          </cell>
          <cell r="V5">
            <v>2006</v>
          </cell>
        </row>
        <row r="7">
          <cell r="A7" t="str">
            <v>Gross Revenue (millions MOP)</v>
          </cell>
        </row>
        <row r="8">
          <cell r="A8" t="str">
            <v>VIP Baccarat</v>
          </cell>
          <cell r="B8">
            <v>9239.1136999999999</v>
          </cell>
          <cell r="C8">
            <v>10981.3902</v>
          </cell>
          <cell r="D8">
            <v>10474.283789999999</v>
          </cell>
          <cell r="E8">
            <v>12342.522059000001</v>
          </cell>
          <cell r="F8">
            <v>9246.3685659999992</v>
          </cell>
          <cell r="G8">
            <v>8603.4069400000008</v>
          </cell>
          <cell r="H8">
            <v>10790</v>
          </cell>
          <cell r="I8">
            <v>12755</v>
          </cell>
          <cell r="J8">
            <v>15864</v>
          </cell>
          <cell r="K8">
            <v>21532</v>
          </cell>
          <cell r="L8">
            <v>28916</v>
          </cell>
          <cell r="M8">
            <v>6998.2630949999993</v>
          </cell>
          <cell r="N8">
            <v>7433.2344050000002</v>
          </cell>
          <cell r="O8">
            <v>6992</v>
          </cell>
          <cell r="P8">
            <v>6600</v>
          </cell>
          <cell r="Q8">
            <v>28023.497499999998</v>
          </cell>
          <cell r="R8">
            <v>7777</v>
          </cell>
          <cell r="S8">
            <v>8097</v>
          </cell>
          <cell r="T8">
            <v>8849</v>
          </cell>
          <cell r="U8">
            <v>10988</v>
          </cell>
          <cell r="V8">
            <v>35711</v>
          </cell>
        </row>
        <row r="9">
          <cell r="A9" t="str">
            <v>Baccarat</v>
          </cell>
          <cell r="B9">
            <v>3020.9284699999998</v>
          </cell>
          <cell r="C9">
            <v>3163.5934200000002</v>
          </cell>
          <cell r="D9">
            <v>2744.5644000000002</v>
          </cell>
          <cell r="E9">
            <v>2582.4481500000002</v>
          </cell>
          <cell r="F9">
            <v>2612.9144900000001</v>
          </cell>
          <cell r="G9">
            <v>1976.75098</v>
          </cell>
          <cell r="H9">
            <v>2387</v>
          </cell>
          <cell r="I9">
            <v>2494</v>
          </cell>
          <cell r="J9">
            <v>2642</v>
          </cell>
          <cell r="K9">
            <v>3016</v>
          </cell>
          <cell r="L9">
            <v>5458</v>
          </cell>
          <cell r="M9">
            <v>1899.3174990000002</v>
          </cell>
          <cell r="N9">
            <v>2204.879238</v>
          </cell>
          <cell r="O9">
            <v>2596</v>
          </cell>
          <cell r="P9">
            <v>2948</v>
          </cell>
          <cell r="Q9">
            <v>9648.1967370000002</v>
          </cell>
          <cell r="R9">
            <v>2575</v>
          </cell>
          <cell r="S9">
            <v>2693</v>
          </cell>
          <cell r="T9">
            <v>2798</v>
          </cell>
          <cell r="U9">
            <v>3136</v>
          </cell>
          <cell r="V9">
            <v>11202</v>
          </cell>
        </row>
        <row r="10">
          <cell r="A10" t="str">
            <v>Other Table Games</v>
          </cell>
          <cell r="B10">
            <v>2860.811451</v>
          </cell>
          <cell r="C10">
            <v>3002.2017969999993</v>
          </cell>
          <cell r="D10">
            <v>2897.5868799999994</v>
          </cell>
          <cell r="E10">
            <v>2616.3740000000003</v>
          </cell>
          <cell r="F10">
            <v>2490.158308</v>
          </cell>
          <cell r="G10">
            <v>2283.9596200000001</v>
          </cell>
          <cell r="H10">
            <v>2484</v>
          </cell>
          <cell r="I10">
            <v>2639</v>
          </cell>
          <cell r="J10">
            <v>2816</v>
          </cell>
          <cell r="K10">
            <v>3074</v>
          </cell>
          <cell r="L10">
            <v>5190</v>
          </cell>
          <cell r="M10">
            <v>1458.6115065000001</v>
          </cell>
          <cell r="N10">
            <v>1407.146107</v>
          </cell>
          <cell r="O10">
            <v>1483.4</v>
          </cell>
          <cell r="P10">
            <v>1490.5</v>
          </cell>
          <cell r="Q10">
            <v>5839.6576134999996</v>
          </cell>
          <cell r="R10">
            <v>1574.5</v>
          </cell>
          <cell r="S10">
            <v>1426.5</v>
          </cell>
          <cell r="T10">
            <v>1382.5</v>
          </cell>
          <cell r="U10">
            <v>1703.6999999999998</v>
          </cell>
          <cell r="V10">
            <v>6087.2</v>
          </cell>
        </row>
        <row r="11">
          <cell r="B11" t="str">
            <v>______</v>
          </cell>
          <cell r="C11" t="str">
            <v>______</v>
          </cell>
          <cell r="D11" t="str">
            <v>______</v>
          </cell>
          <cell r="E11" t="str">
            <v>______</v>
          </cell>
          <cell r="F11" t="str">
            <v>______</v>
          </cell>
          <cell r="G11" t="str">
            <v>______</v>
          </cell>
          <cell r="H11" t="str">
            <v>______</v>
          </cell>
          <cell r="I11" t="str">
            <v>______</v>
          </cell>
          <cell r="J11" t="str">
            <v>______</v>
          </cell>
          <cell r="K11" t="str">
            <v>______</v>
          </cell>
          <cell r="L11" t="str">
            <v>______</v>
          </cell>
          <cell r="M11" t="str">
            <v>______</v>
          </cell>
          <cell r="N11" t="str">
            <v>______</v>
          </cell>
          <cell r="O11" t="str">
            <v>______</v>
          </cell>
          <cell r="P11" t="str">
            <v>______</v>
          </cell>
          <cell r="Q11" t="str">
            <v>______</v>
          </cell>
          <cell r="R11" t="str">
            <v>______</v>
          </cell>
          <cell r="S11" t="str">
            <v>______</v>
          </cell>
          <cell r="T11" t="str">
            <v>______</v>
          </cell>
          <cell r="U11" t="str">
            <v>______</v>
          </cell>
          <cell r="V11" t="str">
            <v>______</v>
          </cell>
        </row>
        <row r="12">
          <cell r="A12" t="str">
            <v>Total Table Games</v>
          </cell>
          <cell r="B12">
            <v>15120.853621</v>
          </cell>
          <cell r="C12">
            <v>17147.185416999997</v>
          </cell>
          <cell r="D12">
            <v>16116.43507</v>
          </cell>
          <cell r="E12">
            <v>17541.344209000003</v>
          </cell>
          <cell r="F12">
            <v>14349.441364</v>
          </cell>
          <cell r="G12">
            <v>12864.117540000001</v>
          </cell>
          <cell r="H12">
            <v>15661</v>
          </cell>
          <cell r="I12">
            <v>17888</v>
          </cell>
          <cell r="J12">
            <v>21322</v>
          </cell>
          <cell r="K12">
            <v>27622</v>
          </cell>
          <cell r="L12">
            <v>39564</v>
          </cell>
          <cell r="M12">
            <v>10356.192100499999</v>
          </cell>
          <cell r="N12">
            <v>11045.259750000001</v>
          </cell>
          <cell r="O12">
            <v>11071.4</v>
          </cell>
          <cell r="P12">
            <v>11038.5</v>
          </cell>
          <cell r="Q12">
            <v>43511.351850499996</v>
          </cell>
          <cell r="R12">
            <v>11926.5</v>
          </cell>
          <cell r="S12">
            <v>12216.5</v>
          </cell>
          <cell r="T12">
            <v>13029.5</v>
          </cell>
          <cell r="U12">
            <v>15827.7</v>
          </cell>
          <cell r="V12">
            <v>53000.2</v>
          </cell>
        </row>
        <row r="13">
          <cell r="A13" t="str">
            <v>Slot Machines</v>
          </cell>
          <cell r="B13">
            <v>292.82445200000001</v>
          </cell>
          <cell r="C13">
            <v>332.74785100000003</v>
          </cell>
          <cell r="D13">
            <v>295.19192099999998</v>
          </cell>
          <cell r="E13">
            <v>242.795143</v>
          </cell>
          <cell r="F13">
            <v>216.145647</v>
          </cell>
          <cell r="G13">
            <v>173.18694099999999</v>
          </cell>
          <cell r="H13">
            <v>217</v>
          </cell>
          <cell r="I13">
            <v>220</v>
          </cell>
          <cell r="J13">
            <v>225</v>
          </cell>
          <cell r="K13">
            <v>230</v>
          </cell>
          <cell r="L13">
            <v>622</v>
          </cell>
          <cell r="M13">
            <v>243.84791546000005</v>
          </cell>
          <cell r="N13">
            <v>295.16821077000003</v>
          </cell>
          <cell r="O13">
            <v>326</v>
          </cell>
          <cell r="P13">
            <v>349</v>
          </cell>
          <cell r="Q13">
            <v>1214.0161262300001</v>
          </cell>
          <cell r="R13">
            <v>425</v>
          </cell>
          <cell r="S13">
            <v>444</v>
          </cell>
          <cell r="T13">
            <v>519</v>
          </cell>
          <cell r="U13">
            <v>608</v>
          </cell>
          <cell r="V13">
            <v>1996</v>
          </cell>
        </row>
        <row r="14">
          <cell r="B14" t="str">
            <v>______</v>
          </cell>
          <cell r="C14" t="str">
            <v>______</v>
          </cell>
          <cell r="D14" t="str">
            <v>______</v>
          </cell>
          <cell r="E14" t="str">
            <v>______</v>
          </cell>
          <cell r="F14" t="str">
            <v>______</v>
          </cell>
          <cell r="G14" t="str">
            <v>______</v>
          </cell>
          <cell r="H14" t="str">
            <v>______</v>
          </cell>
          <cell r="I14" t="str">
            <v>______</v>
          </cell>
          <cell r="J14" t="str">
            <v>______</v>
          </cell>
          <cell r="K14" t="str">
            <v>______</v>
          </cell>
          <cell r="L14" t="str">
            <v>______</v>
          </cell>
          <cell r="M14" t="str">
            <v>______</v>
          </cell>
          <cell r="N14" t="str">
            <v>______</v>
          </cell>
          <cell r="O14" t="str">
            <v>______</v>
          </cell>
          <cell r="P14" t="str">
            <v>______</v>
          </cell>
          <cell r="Q14" t="str">
            <v>______</v>
          </cell>
          <cell r="R14" t="str">
            <v>______</v>
          </cell>
          <cell r="S14" t="str">
            <v>______</v>
          </cell>
          <cell r="T14" t="str">
            <v>______</v>
          </cell>
          <cell r="U14" t="str">
            <v>______</v>
          </cell>
          <cell r="V14" t="str">
            <v>______</v>
          </cell>
        </row>
        <row r="15">
          <cell r="A15" t="str">
            <v>Total Games of Fortune</v>
          </cell>
          <cell r="B15">
            <v>15413.678073000001</v>
          </cell>
          <cell r="C15">
            <v>17479.933267999997</v>
          </cell>
          <cell r="D15">
            <v>16411.626991000001</v>
          </cell>
          <cell r="E15">
            <v>17784.139352000002</v>
          </cell>
          <cell r="F15">
            <v>14565.587011</v>
          </cell>
          <cell r="G15">
            <v>13037.304481000001</v>
          </cell>
          <cell r="H15">
            <v>15878</v>
          </cell>
          <cell r="I15">
            <v>18108</v>
          </cell>
          <cell r="J15">
            <v>21547</v>
          </cell>
          <cell r="K15">
            <v>27852</v>
          </cell>
          <cell r="L15">
            <v>40186</v>
          </cell>
          <cell r="M15">
            <v>10600.040015959999</v>
          </cell>
          <cell r="N15">
            <v>11340.427960770001</v>
          </cell>
          <cell r="O15">
            <v>11397.4</v>
          </cell>
          <cell r="P15">
            <v>11387.5</v>
          </cell>
          <cell r="Q15">
            <v>44725.367976729998</v>
          </cell>
          <cell r="R15">
            <v>12351.5</v>
          </cell>
          <cell r="S15">
            <v>12660.5</v>
          </cell>
          <cell r="T15">
            <v>13548.5</v>
          </cell>
          <cell r="U15">
            <v>16435.7</v>
          </cell>
          <cell r="V15">
            <v>54996.2</v>
          </cell>
        </row>
        <row r="16">
          <cell r="A16" t="str">
            <v xml:space="preserve">  Year-over-Year Growth</v>
          </cell>
          <cell r="C16">
            <v>0.13405335087537851</v>
          </cell>
          <cell r="D16">
            <v>-6.1116153055098543E-2</v>
          </cell>
          <cell r="E16">
            <v>8.363048719987809E-2</v>
          </cell>
          <cell r="F16">
            <v>-0.18097880798701926</v>
          </cell>
          <cell r="G16">
            <v>-0.10492419762044825</v>
          </cell>
          <cell r="H16">
            <v>0.2178897887320117</v>
          </cell>
          <cell r="I16">
            <v>0.14044589998740387</v>
          </cell>
          <cell r="J16">
            <v>0.18991605920035348</v>
          </cell>
          <cell r="K16">
            <v>0.29261614145820758</v>
          </cell>
          <cell r="L16">
            <v>0.4428407295705874</v>
          </cell>
          <cell r="Q16">
            <v>0.1129589403456428</v>
          </cell>
          <cell r="R16">
            <v>0.16523145020234886</v>
          </cell>
          <cell r="S16">
            <v>0.11640407608923842</v>
          </cell>
          <cell r="T16">
            <v>0.18873602751504737</v>
          </cell>
          <cell r="U16">
            <v>0.4433106476399562</v>
          </cell>
          <cell r="V16">
            <v>0.22964220280118819</v>
          </cell>
        </row>
        <row r="17">
          <cell r="A17" t="str">
            <v xml:space="preserve">  % Slots</v>
          </cell>
          <cell r="B17">
            <v>1.8997701302256854E-2</v>
          </cell>
          <cell r="C17">
            <v>1.9035990921610197E-2</v>
          </cell>
          <cell r="D17">
            <v>1.7986755436367203E-2</v>
          </cell>
          <cell r="E17">
            <v>1.3652341459677962E-2</v>
          </cell>
          <cell r="F17">
            <v>1.4839473811578331E-2</v>
          </cell>
          <cell r="G17">
            <v>1.328395307882815E-2</v>
          </cell>
          <cell r="H17">
            <v>1.3666708653482806E-2</v>
          </cell>
          <cell r="I17">
            <v>1.2149326264634415E-2</v>
          </cell>
          <cell r="J17">
            <v>1.0442288949737782E-2</v>
          </cell>
          <cell r="K17">
            <v>8.2579347982191589E-3</v>
          </cell>
          <cell r="L17">
            <v>1.5478027173642562E-2</v>
          </cell>
          <cell r="M17">
            <v>2.3004433482595284E-2</v>
          </cell>
          <cell r="N17">
            <v>2.6027960478306189E-2</v>
          </cell>
          <cell r="O17">
            <v>2.8603014722656046E-2</v>
          </cell>
          <cell r="P17">
            <v>3.0647639956092206E-2</v>
          </cell>
          <cell r="Q17">
            <v>2.7143792911030629E-2</v>
          </cell>
          <cell r="R17">
            <v>3.4408776261992471E-2</v>
          </cell>
          <cell r="S17">
            <v>3.5069704987954663E-2</v>
          </cell>
          <cell r="T17">
            <v>3.8306823633612576E-2</v>
          </cell>
          <cell r="U17">
            <v>3.6992644061402923E-2</v>
          </cell>
          <cell r="V17">
            <v>3.6293416636058493E-2</v>
          </cell>
        </row>
        <row r="18">
          <cell r="A18" t="str">
            <v xml:space="preserve">  % VIP Baccarat</v>
          </cell>
          <cell r="B18">
            <v>0.59941006009357822</v>
          </cell>
          <cell r="C18">
            <v>0.62822838231901668</v>
          </cell>
          <cell r="D18">
            <v>0.6382233641883287</v>
          </cell>
          <cell r="E18">
            <v>0.69401851923815261</v>
          </cell>
          <cell r="F18">
            <v>0.63480919505798827</v>
          </cell>
          <cell r="G18">
            <v>0.65990688125281038</v>
          </cell>
          <cell r="H18">
            <v>0.67955661922156441</v>
          </cell>
          <cell r="I18">
            <v>0.70438480229732714</v>
          </cell>
          <cell r="J18">
            <v>0.73625098621617857</v>
          </cell>
          <cell r="K18">
            <v>0.77308631337067357</v>
          </cell>
          <cell r="L18">
            <v>0.71955407355795553</v>
          </cell>
          <cell r="M18">
            <v>0.66021100717195713</v>
          </cell>
          <cell r="N18">
            <v>0.65546330620976778</v>
          </cell>
          <cell r="O18">
            <v>0.61347324828469652</v>
          </cell>
          <cell r="P18">
            <v>0.57958287596048297</v>
          </cell>
          <cell r="Q18">
            <v>0.62656829373835987</v>
          </cell>
          <cell r="R18">
            <v>0.62964012468121278</v>
          </cell>
          <cell r="S18">
            <v>0.63954820109790289</v>
          </cell>
          <cell r="T18">
            <v>0.65313503339853118</v>
          </cell>
          <cell r="U18">
            <v>0.66854469234653835</v>
          </cell>
          <cell r="V18">
            <v>0.64933577228972184</v>
          </cell>
        </row>
        <row r="19">
          <cell r="A19" t="str">
            <v xml:space="preserve">  % Baccarat</v>
          </cell>
          <cell r="B19">
            <v>0.79540017067540836</v>
          </cell>
          <cell r="C19">
            <v>0.80921267851146816</v>
          </cell>
          <cell r="D19">
            <v>0.80545629005881658</v>
          </cell>
          <cell r="E19">
            <v>0.83922926567270406</v>
          </cell>
          <cell r="F19">
            <v>0.81419877187536716</v>
          </cell>
          <cell r="G19">
            <v>0.81152955623756906</v>
          </cell>
          <cell r="H19">
            <v>0.82989041440987532</v>
          </cell>
          <cell r="I19">
            <v>0.84211398277004634</v>
          </cell>
          <cell r="J19">
            <v>0.85886666357265518</v>
          </cell>
          <cell r="K19">
            <v>0.88137297142036475</v>
          </cell>
          <cell r="L19">
            <v>0.85537251779226597</v>
          </cell>
          <cell r="M19">
            <v>0.83939122688247547</v>
          </cell>
          <cell r="N19">
            <v>0.84988976397902927</v>
          </cell>
          <cell r="O19">
            <v>0.84124449435836246</v>
          </cell>
          <cell r="P19">
            <v>0.83846322722283206</v>
          </cell>
          <cell r="Q19">
            <v>0.84228919606877395</v>
          </cell>
          <cell r="R19">
            <v>0.8381168279156378</v>
          </cell>
          <cell r="S19">
            <v>0.8522570198649343</v>
          </cell>
          <cell r="T19">
            <v>0.85965236003985679</v>
          </cell>
          <cell r="U19">
            <v>0.85934885645272174</v>
          </cell>
          <cell r="V19">
            <v>0.85302257246864333</v>
          </cell>
        </row>
        <row r="21">
          <cell r="A21" t="str">
            <v>Racing Lottery, etc.</v>
          </cell>
          <cell r="B21">
            <v>379.63710399999997</v>
          </cell>
          <cell r="C21">
            <v>431.90696300000002</v>
          </cell>
          <cell r="D21">
            <v>549.1798389999999</v>
          </cell>
          <cell r="E21">
            <v>643.25811390000001</v>
          </cell>
          <cell r="F21">
            <v>968.56400000000008</v>
          </cell>
          <cell r="G21">
            <v>909.49300000000005</v>
          </cell>
          <cell r="H21">
            <v>1198.19</v>
          </cell>
          <cell r="I21">
            <v>1432.44</v>
          </cell>
          <cell r="J21">
            <v>1295.83</v>
          </cell>
          <cell r="K21">
            <v>1626.07</v>
          </cell>
          <cell r="L21">
            <v>2119.0299999999997</v>
          </cell>
          <cell r="M21">
            <v>353.34253695000001</v>
          </cell>
          <cell r="N21">
            <v>279.18853559999997</v>
          </cell>
          <cell r="O21">
            <v>209.01</v>
          </cell>
          <cell r="P21">
            <v>234.01</v>
          </cell>
          <cell r="Q21">
            <v>1075.5510725499998</v>
          </cell>
          <cell r="R21">
            <v>237.01</v>
          </cell>
          <cell r="S21">
            <v>240.01</v>
          </cell>
          <cell r="T21">
            <v>214</v>
          </cell>
          <cell r="U21">
            <v>195.01</v>
          </cell>
          <cell r="V21">
            <v>886.03</v>
          </cell>
        </row>
        <row r="22">
          <cell r="B22" t="str">
            <v>______</v>
          </cell>
          <cell r="C22" t="str">
            <v>______</v>
          </cell>
          <cell r="D22" t="str">
            <v>______</v>
          </cell>
          <cell r="E22" t="str">
            <v>______</v>
          </cell>
          <cell r="F22" t="str">
            <v>______</v>
          </cell>
          <cell r="G22" t="str">
            <v>______</v>
          </cell>
          <cell r="H22" t="str">
            <v>______</v>
          </cell>
          <cell r="I22" t="str">
            <v>______</v>
          </cell>
          <cell r="J22" t="str">
            <v>______</v>
          </cell>
          <cell r="K22" t="str">
            <v>______</v>
          </cell>
          <cell r="L22" t="str">
            <v>______</v>
          </cell>
          <cell r="M22" t="str">
            <v>______</v>
          </cell>
          <cell r="N22" t="str">
            <v>______</v>
          </cell>
          <cell r="O22" t="str">
            <v>______</v>
          </cell>
          <cell r="P22" t="str">
            <v>______</v>
          </cell>
          <cell r="Q22" t="str">
            <v>______</v>
          </cell>
          <cell r="R22" t="str">
            <v>______</v>
          </cell>
          <cell r="S22" t="str">
            <v>______</v>
          </cell>
          <cell r="T22" t="str">
            <v>______</v>
          </cell>
          <cell r="U22" t="str">
            <v>______</v>
          </cell>
          <cell r="V22" t="str">
            <v>______</v>
          </cell>
        </row>
        <row r="23">
          <cell r="A23" t="str">
            <v>Total Gaming Revenues</v>
          </cell>
          <cell r="B23">
            <v>15793.315177</v>
          </cell>
          <cell r="C23">
            <v>17911.840230999998</v>
          </cell>
          <cell r="D23">
            <v>16960.806830000001</v>
          </cell>
          <cell r="E23">
            <v>18427.397465900001</v>
          </cell>
          <cell r="F23">
            <v>15534.151011</v>
          </cell>
          <cell r="G23">
            <v>13946.797481000001</v>
          </cell>
          <cell r="H23">
            <v>17076.189999999999</v>
          </cell>
          <cell r="I23">
            <v>19540.439999999999</v>
          </cell>
          <cell r="J23">
            <v>22842.83</v>
          </cell>
          <cell r="K23">
            <v>29478.07</v>
          </cell>
          <cell r="L23">
            <v>42305.03</v>
          </cell>
          <cell r="M23">
            <v>10953.38255291</v>
          </cell>
          <cell r="N23">
            <v>11619.616496370001</v>
          </cell>
          <cell r="O23">
            <v>11606.41</v>
          </cell>
          <cell r="P23">
            <v>11621.51</v>
          </cell>
          <cell r="Q23">
            <v>45800.919049279997</v>
          </cell>
          <cell r="R23">
            <v>12588.51</v>
          </cell>
          <cell r="S23">
            <v>12900.51</v>
          </cell>
          <cell r="T23">
            <v>13762.5</v>
          </cell>
          <cell r="U23">
            <v>16630.71</v>
          </cell>
          <cell r="V23">
            <v>55882.229999999996</v>
          </cell>
        </row>
        <row r="24">
          <cell r="A24" t="str">
            <v xml:space="preserve">  Year-over-Year Growth</v>
          </cell>
          <cell r="C24">
            <v>0.13414061773966446</v>
          </cell>
          <cell r="D24">
            <v>-5.3095236934619594E-2</v>
          </cell>
          <cell r="E24">
            <v>8.6469390908097576E-2</v>
          </cell>
          <cell r="F24">
            <v>-0.15700787158110474</v>
          </cell>
          <cell r="G24">
            <v>-0.10218476239068142</v>
          </cell>
          <cell r="H24">
            <v>0.22438072419587574</v>
          </cell>
          <cell r="I24">
            <v>0.14430912281955166</v>
          </cell>
          <cell r="J24">
            <v>0.16900284742820548</v>
          </cell>
          <cell r="K24">
            <v>0.29047364096305039</v>
          </cell>
          <cell r="L24">
            <v>0.4351356788283629</v>
          </cell>
        </row>
        <row r="27">
          <cell r="A27" t="str">
            <v>Year-over-Year Growth</v>
          </cell>
        </row>
        <row r="28">
          <cell r="A28" t="str">
            <v xml:space="preserve">  VIP Baccarat</v>
          </cell>
          <cell r="C28">
            <v>0.18857615097863767</v>
          </cell>
          <cell r="D28">
            <v>-4.6178707865239144E-2</v>
          </cell>
          <cell r="E28">
            <v>0.17836429740271553</v>
          </cell>
          <cell r="F28">
            <v>-0.25085257925403737</v>
          </cell>
          <cell r="G28">
            <v>-6.9536664195308573E-2</v>
          </cell>
          <cell r="H28">
            <v>0.25415432226433765</v>
          </cell>
          <cell r="I28">
            <v>0.18211306765523627</v>
          </cell>
          <cell r="J28">
            <v>0.24374754998039982</v>
          </cell>
          <cell r="K28">
            <v>0.35728693898134134</v>
          </cell>
          <cell r="L28">
            <v>0.34293145086383059</v>
          </cell>
          <cell r="Q28">
            <v>-3.0865351362567517E-2</v>
          </cell>
          <cell r="U28">
            <v>0.6648484848484848</v>
          </cell>
          <cell r="V28">
            <v>0.27432344945522957</v>
          </cell>
        </row>
        <row r="29">
          <cell r="A29" t="str">
            <v xml:space="preserve">  Baccarat</v>
          </cell>
          <cell r="C29">
            <v>4.7225530632971413E-2</v>
          </cell>
          <cell r="D29">
            <v>-0.13245349966621178</v>
          </cell>
          <cell r="E29">
            <v>-5.9068116601672771E-2</v>
          </cell>
          <cell r="F29">
            <v>1.1797464355673526E-2</v>
          </cell>
          <cell r="G29">
            <v>-0.24346893571706596</v>
          </cell>
          <cell r="H29">
            <v>0.20753702623686054</v>
          </cell>
          <cell r="I29">
            <v>4.4826141600335045E-2</v>
          </cell>
          <cell r="J29">
            <v>5.9342421812349722E-2</v>
          </cell>
          <cell r="K29">
            <v>0.14155942467827409</v>
          </cell>
          <cell r="L29">
            <v>0.80968169761273212</v>
          </cell>
          <cell r="Q29">
            <v>0.76771651465738366</v>
          </cell>
          <cell r="U29">
            <v>6.3772048846675755E-2</v>
          </cell>
          <cell r="V29">
            <v>0.16104597629537332</v>
          </cell>
        </row>
        <row r="30">
          <cell r="A30" t="str">
            <v xml:space="preserve">  Other Table Games</v>
          </cell>
          <cell r="C30">
            <v>4.9423161372825097E-2</v>
          </cell>
          <cell r="D30">
            <v>-3.4846064346686467E-2</v>
          </cell>
          <cell r="E30">
            <v>-9.7050715525050735E-2</v>
          </cell>
          <cell r="F30">
            <v>-4.8240691888850828E-2</v>
          </cell>
          <cell r="G30">
            <v>-8.2805453507737381E-2</v>
          </cell>
          <cell r="H30">
            <v>8.7584902223446504E-2</v>
          </cell>
          <cell r="I30">
            <v>6.2399355877616802E-2</v>
          </cell>
          <cell r="J30">
            <v>6.7070860174308411E-2</v>
          </cell>
          <cell r="K30">
            <v>9.1619318181818121E-2</v>
          </cell>
          <cell r="L30">
            <v>0.68835393623942753</v>
          </cell>
          <cell r="Q30">
            <v>0.1251748773603083</v>
          </cell>
          <cell r="U30">
            <v>0.14303924857430372</v>
          </cell>
          <cell r="V30">
            <v>4.2389880175121464E-2</v>
          </cell>
        </row>
        <row r="31">
          <cell r="C31" t="str">
            <v>______</v>
          </cell>
          <cell r="D31" t="str">
            <v>______</v>
          </cell>
          <cell r="E31" t="str">
            <v>______</v>
          </cell>
          <cell r="F31" t="str">
            <v>______</v>
          </cell>
          <cell r="G31" t="str">
            <v>______</v>
          </cell>
          <cell r="H31" t="str">
            <v>______</v>
          </cell>
          <cell r="I31" t="str">
            <v>______</v>
          </cell>
          <cell r="J31" t="str">
            <v>______</v>
          </cell>
          <cell r="K31" t="str">
            <v>______</v>
          </cell>
          <cell r="L31" t="str">
            <v>______</v>
          </cell>
          <cell r="Q31" t="str">
            <v>______</v>
          </cell>
          <cell r="V31" t="str">
            <v>______</v>
          </cell>
        </row>
        <row r="32">
          <cell r="A32" t="str">
            <v>Total Table Games</v>
          </cell>
          <cell r="C32">
            <v>0.1340090875018991</v>
          </cell>
          <cell r="D32">
            <v>-6.0111926356035905E-2</v>
          </cell>
          <cell r="E32">
            <v>8.8413419767527035E-2</v>
          </cell>
          <cell r="F32">
            <v>-0.18196455225833386</v>
          </cell>
          <cell r="G32">
            <v>-0.10351091630134068</v>
          </cell>
          <cell r="H32">
            <v>0.21741735889020797</v>
          </cell>
          <cell r="I32">
            <v>0.14220037034672117</v>
          </cell>
          <cell r="J32">
            <v>0.19197227191413235</v>
          </cell>
          <cell r="K32">
            <v>0.29546946815495723</v>
          </cell>
          <cell r="L32">
            <v>0.4323365433350228</v>
          </cell>
          <cell r="Q32">
            <v>9.9771303470326478E-2</v>
          </cell>
          <cell r="V32">
            <v>0.21807753025239474</v>
          </cell>
        </row>
        <row r="33">
          <cell r="A33" t="str">
            <v xml:space="preserve">  Slot Machines</v>
          </cell>
          <cell r="C33">
            <v>0.13633902062249925</v>
          </cell>
          <cell r="D33">
            <v>-0.11286603320542565</v>
          </cell>
          <cell r="E33">
            <v>-0.17750071825305813</v>
          </cell>
          <cell r="F33">
            <v>-0.10976124015792199</v>
          </cell>
          <cell r="G33">
            <v>-0.19874888343229047</v>
          </cell>
          <cell r="H33">
            <v>0.25298130879279168</v>
          </cell>
          <cell r="I33">
            <v>1.3824884792626779E-2</v>
          </cell>
          <cell r="J33">
            <v>2.2727272727272707E-2</v>
          </cell>
          <cell r="K33">
            <v>2.2222222222222143E-2</v>
          </cell>
          <cell r="L33">
            <v>1.7043478260869565</v>
          </cell>
          <cell r="Q33">
            <v>0.95179441516077179</v>
          </cell>
          <cell r="V33">
            <v>0.64412972519431766</v>
          </cell>
        </row>
        <row r="34">
          <cell r="C34" t="str">
            <v>______</v>
          </cell>
          <cell r="D34" t="str">
            <v>______</v>
          </cell>
          <cell r="E34" t="str">
            <v>______</v>
          </cell>
          <cell r="F34" t="str">
            <v>______</v>
          </cell>
          <cell r="G34" t="str">
            <v>______</v>
          </cell>
          <cell r="H34" t="str">
            <v>______</v>
          </cell>
          <cell r="I34" t="str">
            <v>______</v>
          </cell>
          <cell r="J34" t="str">
            <v>______</v>
          </cell>
          <cell r="K34" t="str">
            <v>______</v>
          </cell>
          <cell r="L34" t="str">
            <v>______</v>
          </cell>
          <cell r="Q34" t="str">
            <v>______</v>
          </cell>
          <cell r="V34" t="str">
            <v>______</v>
          </cell>
        </row>
        <row r="35">
          <cell r="A35" t="str">
            <v>Total Games of Fortune</v>
          </cell>
          <cell r="C35">
            <v>0.13405335087537851</v>
          </cell>
          <cell r="D35">
            <v>-6.1116153055098543E-2</v>
          </cell>
          <cell r="E35">
            <v>8.363048719987809E-2</v>
          </cell>
          <cell r="F35">
            <v>-0.18097880798701926</v>
          </cell>
          <cell r="G35">
            <v>-0.10492419762044825</v>
          </cell>
          <cell r="H35">
            <v>0.2178897887320117</v>
          </cell>
          <cell r="I35">
            <v>0.14044589998740387</v>
          </cell>
          <cell r="J35">
            <v>0.18991605920035348</v>
          </cell>
          <cell r="K35">
            <v>0.29261614145820758</v>
          </cell>
          <cell r="L35">
            <v>0.4428407295705874</v>
          </cell>
          <cell r="Q35">
            <v>0.1129589403456428</v>
          </cell>
          <cell r="V35">
            <v>0.22964220280118819</v>
          </cell>
        </row>
        <row r="36">
          <cell r="A36" t="str">
            <v xml:space="preserve">  Racing Lottery, etc.</v>
          </cell>
          <cell r="C36">
            <v>0.13768374705545128</v>
          </cell>
          <cell r="D36">
            <v>0.27152346696480523</v>
          </cell>
          <cell r="E36">
            <v>0.17130686201319234</v>
          </cell>
          <cell r="F36">
            <v>0.50571594678799747</v>
          </cell>
          <cell r="G36">
            <v>-6.0988225868399026E-2</v>
          </cell>
          <cell r="H36">
            <v>0.31742630234647207</v>
          </cell>
          <cell r="I36">
            <v>0.1955032173528406</v>
          </cell>
          <cell r="J36">
            <v>-9.5368741448158434E-2</v>
          </cell>
          <cell r="K36">
            <v>0.25484824398262118</v>
          </cell>
          <cell r="L36">
            <v>0.30316038054942274</v>
          </cell>
          <cell r="Q36">
            <v>-0.49243235227910886</v>
          </cell>
          <cell r="V36">
            <v>-0.17620834322694567</v>
          </cell>
        </row>
        <row r="37">
          <cell r="C37" t="str">
            <v>______</v>
          </cell>
          <cell r="D37" t="str">
            <v>______</v>
          </cell>
          <cell r="E37" t="str">
            <v>______</v>
          </cell>
          <cell r="F37" t="str">
            <v>______</v>
          </cell>
          <cell r="G37" t="str">
            <v>______</v>
          </cell>
          <cell r="H37" t="str">
            <v>______</v>
          </cell>
          <cell r="I37" t="str">
            <v>______</v>
          </cell>
          <cell r="J37" t="str">
            <v>______</v>
          </cell>
          <cell r="K37" t="str">
            <v>______</v>
          </cell>
          <cell r="L37" t="str">
            <v>______</v>
          </cell>
          <cell r="Q37" t="str">
            <v>______</v>
          </cell>
          <cell r="V37" t="str">
            <v>______</v>
          </cell>
        </row>
        <row r="38">
          <cell r="A38" t="str">
            <v>Total Gaming Revenues</v>
          </cell>
          <cell r="C38">
            <v>0.13414061773966446</v>
          </cell>
          <cell r="D38">
            <v>-5.3095236934619594E-2</v>
          </cell>
          <cell r="E38">
            <v>8.6469390908097576E-2</v>
          </cell>
          <cell r="F38">
            <v>-0.15700787158110474</v>
          </cell>
          <cell r="G38">
            <v>-0.10218476239068142</v>
          </cell>
          <cell r="H38">
            <v>0.22438072419587574</v>
          </cell>
          <cell r="I38">
            <v>0.14430912281955166</v>
          </cell>
          <cell r="J38">
            <v>0.16900284742820548</v>
          </cell>
          <cell r="K38">
            <v>0.29047364096305039</v>
          </cell>
          <cell r="L38">
            <v>0.4351356788283629</v>
          </cell>
          <cell r="Q38">
            <v>8.2635304815526611E-2</v>
          </cell>
          <cell r="V38">
            <v>0.22011154273722977</v>
          </cell>
        </row>
        <row r="40">
          <cell r="A40" t="str">
            <v>Positions</v>
          </cell>
        </row>
        <row r="41">
          <cell r="A41" t="str">
            <v>Average Tables</v>
          </cell>
          <cell r="B41">
            <v>341</v>
          </cell>
          <cell r="C41">
            <v>341</v>
          </cell>
          <cell r="D41">
            <v>341</v>
          </cell>
          <cell r="E41">
            <v>341</v>
          </cell>
          <cell r="F41">
            <v>341</v>
          </cell>
          <cell r="G41">
            <v>341</v>
          </cell>
          <cell r="H41">
            <v>341</v>
          </cell>
          <cell r="I41">
            <v>341</v>
          </cell>
          <cell r="J41">
            <v>341</v>
          </cell>
          <cell r="K41">
            <v>441</v>
          </cell>
          <cell r="L41">
            <v>660.54586717630195</v>
          </cell>
          <cell r="M41">
            <v>1159</v>
          </cell>
          <cell r="N41">
            <v>1235.5</v>
          </cell>
          <cell r="O41">
            <v>1270.5</v>
          </cell>
          <cell r="P41">
            <v>1342</v>
          </cell>
          <cell r="Q41">
            <v>1251.75</v>
          </cell>
          <cell r="R41">
            <v>1251.75</v>
          </cell>
          <cell r="S41">
            <v>1561</v>
          </cell>
          <cell r="T41">
            <v>1890</v>
          </cell>
          <cell r="U41">
            <v>2182.5</v>
          </cell>
          <cell r="V41">
            <v>2064.4426328502418</v>
          </cell>
        </row>
        <row r="43">
          <cell r="A43" t="str">
            <v>Daily Win / Table</v>
          </cell>
          <cell r="B43">
            <v>121486.79243964166</v>
          </cell>
          <cell r="C43">
            <v>137767.12663801067</v>
          </cell>
          <cell r="D43">
            <v>129131.89325833693</v>
          </cell>
          <cell r="E43">
            <v>140933.95098220385</v>
          </cell>
          <cell r="F43">
            <v>115288.96769372917</v>
          </cell>
          <cell r="G43">
            <v>103355.30100831561</v>
          </cell>
          <cell r="H43">
            <v>125482.74922680001</v>
          </cell>
          <cell r="I43">
            <v>143719.11782428794</v>
          </cell>
          <cell r="J43">
            <v>171309.20339051139</v>
          </cell>
          <cell r="K43">
            <v>171602.52228745379</v>
          </cell>
          <cell r="L43">
            <v>163650.04464842996</v>
          </cell>
          <cell r="M43">
            <v>99282.830989358627</v>
          </cell>
          <cell r="N43">
            <v>98240.777635961786</v>
          </cell>
          <cell r="O43">
            <v>94719.641359957575</v>
          </cell>
          <cell r="P43">
            <v>89406.628652886662</v>
          </cell>
          <cell r="Q43">
            <v>95234.018895190544</v>
          </cell>
          <cell r="R43">
            <v>107054.61791693875</v>
          </cell>
          <cell r="S43">
            <v>43237.972542038151</v>
          </cell>
          <cell r="T43">
            <v>37466.931216931218</v>
          </cell>
          <cell r="U43">
            <v>39413.566412669956</v>
          </cell>
          <cell r="V43">
            <v>40239.632950425344</v>
          </cell>
        </row>
        <row r="44">
          <cell r="A44" t="str">
            <v xml:space="preserve">  Year-over-Year Growth</v>
          </cell>
          <cell r="C44">
            <v>0.1340090875018991</v>
          </cell>
          <cell r="D44">
            <v>-6.2679926557249077E-2</v>
          </cell>
          <cell r="E44">
            <v>9.139537434223266E-2</v>
          </cell>
          <cell r="F44">
            <v>-0.18196455225833374</v>
          </cell>
          <cell r="G44">
            <v>-0.10351091630134057</v>
          </cell>
          <cell r="H44">
            <v>0.21409108195334947</v>
          </cell>
          <cell r="I44">
            <v>0.14532968642986255</v>
          </cell>
          <cell r="J44">
            <v>0.19197227191413258</v>
          </cell>
          <cell r="K44">
            <v>1.7122191402276776E-3</v>
          </cell>
          <cell r="L44">
            <v>-4.6342428613622144E-2</v>
          </cell>
          <cell r="Q44">
            <v>-0.41806298250769092</v>
          </cell>
          <cell r="V44">
            <v>-0.57746576887917622</v>
          </cell>
        </row>
        <row r="46">
          <cell r="A46" t="str">
            <v>Average Slots</v>
          </cell>
          <cell r="B46">
            <v>700</v>
          </cell>
          <cell r="C46">
            <v>700</v>
          </cell>
          <cell r="D46">
            <v>700</v>
          </cell>
          <cell r="E46">
            <v>700</v>
          </cell>
          <cell r="F46">
            <v>700</v>
          </cell>
          <cell r="G46">
            <v>700</v>
          </cell>
          <cell r="H46">
            <v>700</v>
          </cell>
          <cell r="I46">
            <v>700</v>
          </cell>
          <cell r="J46">
            <v>700</v>
          </cell>
          <cell r="K46">
            <v>824.25</v>
          </cell>
          <cell r="L46">
            <v>1548.6654323936932</v>
          </cell>
          <cell r="M46">
            <v>2721</v>
          </cell>
          <cell r="N46">
            <v>2774.5</v>
          </cell>
          <cell r="O46">
            <v>2927</v>
          </cell>
          <cell r="P46">
            <v>3251.5</v>
          </cell>
          <cell r="Q46">
            <v>2918.5</v>
          </cell>
          <cell r="R46">
            <v>2918.5</v>
          </cell>
          <cell r="S46">
            <v>3988.5</v>
          </cell>
          <cell r="T46">
            <v>4378</v>
          </cell>
          <cell r="U46">
            <v>4849</v>
          </cell>
          <cell r="V46">
            <v>4767.75</v>
          </cell>
        </row>
        <row r="48">
          <cell r="A48" t="str">
            <v>Daily Win / Slot</v>
          </cell>
          <cell r="B48">
            <v>1146.0839608610568</v>
          </cell>
          <cell r="C48">
            <v>1302.339925636008</v>
          </cell>
          <cell r="D48">
            <v>1152.1932903981262</v>
          </cell>
          <cell r="E48">
            <v>950.27453228962816</v>
          </cell>
          <cell r="F48">
            <v>845.97122113502928</v>
          </cell>
          <cell r="G48">
            <v>677.8353855185909</v>
          </cell>
          <cell r="H48">
            <v>846.99453551912563</v>
          </cell>
          <cell r="I48">
            <v>861.05675146771034</v>
          </cell>
          <cell r="J48">
            <v>880.6262230919765</v>
          </cell>
          <cell r="K48">
            <v>764.49740527918698</v>
          </cell>
          <cell r="L48">
            <v>1097.3664914091933</v>
          </cell>
          <cell r="M48">
            <v>995.74468316386969</v>
          </cell>
          <cell r="N48">
            <v>1169.0779281882294</v>
          </cell>
          <cell r="O48">
            <v>1210.6177864262265</v>
          </cell>
          <cell r="P48">
            <v>1166.6856099860265</v>
          </cell>
          <cell r="Q48">
            <v>1139.6510463293914</v>
          </cell>
          <cell r="R48">
            <v>1636.2106900381716</v>
          </cell>
          <cell r="S48">
            <v>615.02787364501671</v>
          </cell>
          <cell r="T48">
            <v>644.27870578187378</v>
          </cell>
          <cell r="U48">
            <v>681.44933513857643</v>
          </cell>
          <cell r="V48">
            <v>656.18512836621574</v>
          </cell>
        </row>
        <row r="49">
          <cell r="A49" t="str">
            <v xml:space="preserve">  Year-over-Year Growth</v>
          </cell>
          <cell r="C49">
            <v>0.13633902062249925</v>
          </cell>
          <cell r="D49">
            <v>-0.11528989650267885</v>
          </cell>
          <cell r="E49">
            <v>-0.1752472955633404</v>
          </cell>
          <cell r="F49">
            <v>-0.10976124015792199</v>
          </cell>
          <cell r="G49">
            <v>-0.19874888343229047</v>
          </cell>
          <cell r="H49">
            <v>0.24955786259390433</v>
          </cell>
          <cell r="I49">
            <v>1.6602487216716089E-2</v>
          </cell>
          <cell r="J49">
            <v>2.2727272727272707E-2</v>
          </cell>
          <cell r="K49">
            <v>-0.13187072422741208</v>
          </cell>
          <cell r="L49">
            <v>0.4354090462981306</v>
          </cell>
          <cell r="Q49">
            <v>3.8532755693950538E-2</v>
          </cell>
          <cell r="V49">
            <v>-0.42422276495979305</v>
          </cell>
        </row>
        <row r="52">
          <cell r="A52" t="str">
            <v>Gaming Revenue Details (millions MOP)</v>
          </cell>
        </row>
        <row r="54">
          <cell r="A54" t="str">
            <v>Gross revenue from Different Gaming Activities</v>
          </cell>
        </row>
        <row r="55">
          <cell r="A55" t="str">
            <v>Games of Fortune</v>
          </cell>
          <cell r="B55">
            <v>15414.038073</v>
          </cell>
          <cell r="C55">
            <v>17479.870634999999</v>
          </cell>
          <cell r="D55">
            <v>16411.627327999999</v>
          </cell>
          <cell r="E55">
            <v>17784.139304</v>
          </cell>
          <cell r="F55">
            <v>14565.585999999999</v>
          </cell>
          <cell r="G55">
            <v>13037.304</v>
          </cell>
          <cell r="H55">
            <v>15878</v>
          </cell>
          <cell r="I55">
            <v>18109</v>
          </cell>
          <cell r="J55">
            <v>21546</v>
          </cell>
          <cell r="K55">
            <v>27849</v>
          </cell>
          <cell r="L55">
            <v>40187</v>
          </cell>
          <cell r="M55">
            <v>10600.040015959999</v>
          </cell>
          <cell r="N55">
            <v>11340.427959770001</v>
          </cell>
          <cell r="O55">
            <v>11396</v>
          </cell>
          <cell r="P55">
            <v>11388</v>
          </cell>
          <cell r="Q55">
            <v>44724.467975730004</v>
          </cell>
          <cell r="R55">
            <v>12352</v>
          </cell>
          <cell r="S55">
            <v>12660</v>
          </cell>
          <cell r="T55">
            <v>13549</v>
          </cell>
          <cell r="U55">
            <v>16437</v>
          </cell>
          <cell r="V55">
            <v>54998</v>
          </cell>
        </row>
        <row r="56">
          <cell r="A56" t="str">
            <v>Greyhound Racing</v>
          </cell>
          <cell r="B56">
            <v>103.246269</v>
          </cell>
          <cell r="C56">
            <v>103.437545</v>
          </cell>
          <cell r="D56">
            <v>94.963158000000007</v>
          </cell>
          <cell r="E56">
            <v>80.415359899999999</v>
          </cell>
          <cell r="F56">
            <v>73.572000000000003</v>
          </cell>
          <cell r="G56">
            <v>82.878</v>
          </cell>
          <cell r="H56">
            <v>92</v>
          </cell>
          <cell r="I56">
            <v>94</v>
          </cell>
          <cell r="J56">
            <v>76</v>
          </cell>
          <cell r="K56">
            <v>74</v>
          </cell>
          <cell r="L56">
            <v>84</v>
          </cell>
          <cell r="M56">
            <v>16.964230000000001</v>
          </cell>
          <cell r="N56">
            <v>16.809089</v>
          </cell>
          <cell r="O56">
            <v>16</v>
          </cell>
          <cell r="P56">
            <v>17</v>
          </cell>
          <cell r="Q56">
            <v>66.773319000000001</v>
          </cell>
          <cell r="R56">
            <v>18</v>
          </cell>
          <cell r="S56">
            <v>17</v>
          </cell>
          <cell r="T56">
            <v>14</v>
          </cell>
          <cell r="U56">
            <v>17</v>
          </cell>
          <cell r="V56">
            <v>66</v>
          </cell>
        </row>
        <row r="57">
          <cell r="A57" t="str">
            <v>Horse Racing</v>
          </cell>
          <cell r="B57">
            <v>262.66829999999999</v>
          </cell>
          <cell r="C57">
            <v>314.14199100000002</v>
          </cell>
          <cell r="D57">
            <v>441.95364000000001</v>
          </cell>
          <cell r="E57">
            <v>554.70159200000001</v>
          </cell>
          <cell r="F57">
            <v>777.202</v>
          </cell>
          <cell r="G57">
            <v>648.88900000000001</v>
          </cell>
          <cell r="H57">
            <v>758</v>
          </cell>
          <cell r="I57">
            <v>823</v>
          </cell>
          <cell r="J57">
            <v>539</v>
          </cell>
          <cell r="K57">
            <v>1003</v>
          </cell>
          <cell r="L57">
            <v>1566</v>
          </cell>
          <cell r="M57">
            <v>248.41574299999999</v>
          </cell>
          <cell r="N57">
            <v>150.86894899999999</v>
          </cell>
          <cell r="O57">
            <v>108</v>
          </cell>
          <cell r="P57">
            <v>129</v>
          </cell>
          <cell r="Q57">
            <v>636.28469199999995</v>
          </cell>
          <cell r="R57">
            <v>119</v>
          </cell>
          <cell r="S57">
            <v>116</v>
          </cell>
          <cell r="T57">
            <v>97</v>
          </cell>
          <cell r="U57">
            <v>104</v>
          </cell>
          <cell r="V57">
            <v>436</v>
          </cell>
        </row>
        <row r="58">
          <cell r="A58" t="str">
            <v>Chinese Lottery</v>
          </cell>
          <cell r="B58">
            <v>9.0780799999999999</v>
          </cell>
          <cell r="C58">
            <v>10.283067000000001</v>
          </cell>
          <cell r="D58">
            <v>9.0239309999999993</v>
          </cell>
          <cell r="E58">
            <v>6.8172569999999997</v>
          </cell>
          <cell r="F58">
            <v>6.8780000000000001</v>
          </cell>
          <cell r="G58">
            <v>5.3119999999999994</v>
          </cell>
          <cell r="H58">
            <v>5</v>
          </cell>
          <cell r="I58">
            <v>4</v>
          </cell>
          <cell r="J58">
            <v>4</v>
          </cell>
          <cell r="K58">
            <v>3</v>
          </cell>
          <cell r="L58">
            <v>5</v>
          </cell>
          <cell r="M58">
            <v>1.9022275</v>
          </cell>
          <cell r="N58">
            <v>1.68655925</v>
          </cell>
          <cell r="O58">
            <v>2</v>
          </cell>
          <cell r="P58">
            <v>1</v>
          </cell>
          <cell r="Q58">
            <v>6.5887867499999997</v>
          </cell>
          <cell r="R58">
            <v>2</v>
          </cell>
          <cell r="S58">
            <v>2</v>
          </cell>
          <cell r="T58">
            <v>2</v>
          </cell>
          <cell r="U58">
            <v>2</v>
          </cell>
          <cell r="V58">
            <v>8</v>
          </cell>
        </row>
        <row r="59">
          <cell r="A59" t="str">
            <v>Instant Lottery</v>
          </cell>
          <cell r="B59">
            <v>4.6444549999999998</v>
          </cell>
          <cell r="C59">
            <v>4.0443600000000002</v>
          </cell>
          <cell r="D59">
            <v>3.2391100000000002</v>
          </cell>
          <cell r="E59">
            <v>1.3239050000000001</v>
          </cell>
          <cell r="F59">
            <v>1.1739999999999999</v>
          </cell>
          <cell r="G59">
            <v>1.1869999999999998</v>
          </cell>
          <cell r="H59">
            <v>1.19</v>
          </cell>
          <cell r="I59">
            <v>1.44</v>
          </cell>
          <cell r="J59">
            <v>0.83</v>
          </cell>
          <cell r="K59">
            <v>7.0000000000000007E-2</v>
          </cell>
          <cell r="L59">
            <v>0.03</v>
          </cell>
          <cell r="M59">
            <v>5.2300000000000003E-3</v>
          </cell>
          <cell r="N59">
            <v>5.1399999999999996E-3</v>
          </cell>
          <cell r="O59">
            <v>0.01</v>
          </cell>
          <cell r="P59">
            <v>0.01</v>
          </cell>
          <cell r="Q59">
            <v>3.0370000000000001E-2</v>
          </cell>
          <cell r="R59">
            <v>0.01</v>
          </cell>
          <cell r="S59">
            <v>0.01</v>
          </cell>
          <cell r="T59">
            <v>0</v>
          </cell>
          <cell r="U59">
            <v>0.01</v>
          </cell>
          <cell r="V59">
            <v>0.03</v>
          </cell>
        </row>
        <row r="60">
          <cell r="A60" t="str">
            <v>Sports Lottery - Football</v>
          </cell>
          <cell r="B60">
            <v>0</v>
          </cell>
          <cell r="C60">
            <v>0</v>
          </cell>
          <cell r="D60">
            <v>0</v>
          </cell>
          <cell r="E60">
            <v>0</v>
          </cell>
          <cell r="F60">
            <v>109.73800000000001</v>
          </cell>
          <cell r="G60">
            <v>171.227</v>
          </cell>
          <cell r="H60">
            <v>342</v>
          </cell>
          <cell r="I60">
            <v>486</v>
          </cell>
          <cell r="J60">
            <v>622</v>
          </cell>
          <cell r="K60">
            <v>496</v>
          </cell>
          <cell r="L60">
            <v>429</v>
          </cell>
          <cell r="M60">
            <v>65.20258917000001</v>
          </cell>
          <cell r="N60">
            <v>98.774498149999971</v>
          </cell>
          <cell r="O60">
            <v>81</v>
          </cell>
          <cell r="P60">
            <v>78</v>
          </cell>
          <cell r="Q60">
            <v>322.97708732000001</v>
          </cell>
          <cell r="R60">
            <v>71</v>
          </cell>
          <cell r="S60">
            <v>94</v>
          </cell>
          <cell r="T60">
            <v>93</v>
          </cell>
          <cell r="U60">
            <v>59</v>
          </cell>
          <cell r="V60">
            <v>317</v>
          </cell>
        </row>
        <row r="61">
          <cell r="A61" t="str">
            <v>Sports Lottery - Basketball</v>
          </cell>
          <cell r="B61">
            <v>0</v>
          </cell>
          <cell r="C61">
            <v>0</v>
          </cell>
          <cell r="D61">
            <v>0</v>
          </cell>
          <cell r="E61">
            <v>0</v>
          </cell>
          <cell r="F61">
            <v>0</v>
          </cell>
          <cell r="G61">
            <v>0</v>
          </cell>
          <cell r="H61">
            <v>0</v>
          </cell>
          <cell r="I61">
            <v>24</v>
          </cell>
          <cell r="J61">
            <v>54</v>
          </cell>
          <cell r="K61">
            <v>50</v>
          </cell>
          <cell r="L61">
            <v>35</v>
          </cell>
          <cell r="M61">
            <v>20.852517280000015</v>
          </cell>
          <cell r="N61">
            <v>11.044300199999995</v>
          </cell>
          <cell r="O61">
            <v>2</v>
          </cell>
          <cell r="P61">
            <v>9</v>
          </cell>
          <cell r="Q61">
            <v>42.89681748000001</v>
          </cell>
          <cell r="R61">
            <v>27</v>
          </cell>
          <cell r="S61">
            <v>11</v>
          </cell>
          <cell r="T61">
            <v>8</v>
          </cell>
          <cell r="U61">
            <v>13</v>
          </cell>
          <cell r="V61">
            <v>59</v>
          </cell>
        </row>
        <row r="63">
          <cell r="A63" t="str">
            <v>Betting amount from Pari-Mutuels and Lotteries</v>
          </cell>
        </row>
        <row r="64">
          <cell r="A64" t="str">
            <v>Greyhound Racing</v>
          </cell>
          <cell r="B64">
            <v>550.52965200000006</v>
          </cell>
          <cell r="C64">
            <v>551.99609950000001</v>
          </cell>
          <cell r="D64">
            <v>506.08776999999998</v>
          </cell>
          <cell r="E64">
            <v>358.97035599999998</v>
          </cell>
          <cell r="F64">
            <v>320.24492900000001</v>
          </cell>
          <cell r="G64">
            <v>362.27925499999998</v>
          </cell>
          <cell r="H64">
            <v>401</v>
          </cell>
          <cell r="I64">
            <v>415</v>
          </cell>
          <cell r="J64">
            <v>334</v>
          </cell>
          <cell r="K64">
            <v>328</v>
          </cell>
          <cell r="L64">
            <v>376</v>
          </cell>
          <cell r="M64">
            <v>76.277507</v>
          </cell>
          <cell r="N64">
            <v>76.270222000000004</v>
          </cell>
          <cell r="O64">
            <v>74</v>
          </cell>
          <cell r="P64">
            <v>77</v>
          </cell>
          <cell r="Q64">
            <v>303.547729</v>
          </cell>
          <cell r="R64">
            <v>81</v>
          </cell>
          <cell r="S64">
            <v>78</v>
          </cell>
          <cell r="T64">
            <v>65</v>
          </cell>
          <cell r="U64">
            <v>78</v>
          </cell>
          <cell r="V64">
            <v>302</v>
          </cell>
        </row>
        <row r="65">
          <cell r="A65" t="str">
            <v>Horse Racing</v>
          </cell>
          <cell r="B65">
            <v>1364.1008939999999</v>
          </cell>
          <cell r="C65">
            <v>1624.7835070000001</v>
          </cell>
          <cell r="D65">
            <v>2238.271236</v>
          </cell>
          <cell r="E65">
            <v>2777.8784609999998</v>
          </cell>
          <cell r="F65">
            <v>3904.017175</v>
          </cell>
          <cell r="G65">
            <v>3269.517163</v>
          </cell>
          <cell r="H65">
            <v>3799</v>
          </cell>
          <cell r="I65">
            <v>4130</v>
          </cell>
          <cell r="J65">
            <v>2723</v>
          </cell>
          <cell r="K65">
            <v>5207</v>
          </cell>
          <cell r="L65">
            <v>8172</v>
          </cell>
          <cell r="M65">
            <v>1289.7429569999999</v>
          </cell>
          <cell r="N65">
            <v>779.04902500000003</v>
          </cell>
          <cell r="O65">
            <v>552</v>
          </cell>
          <cell r="P65">
            <v>665</v>
          </cell>
          <cell r="Q65">
            <v>3285.7919819999997</v>
          </cell>
          <cell r="R65">
            <v>616</v>
          </cell>
          <cell r="S65">
            <v>600</v>
          </cell>
          <cell r="T65">
            <v>499</v>
          </cell>
          <cell r="U65">
            <v>538</v>
          </cell>
          <cell r="V65">
            <v>2253</v>
          </cell>
        </row>
        <row r="66">
          <cell r="A66" t="str">
            <v>Chinese Lottery</v>
          </cell>
          <cell r="B66">
            <v>22.994900000000001</v>
          </cell>
          <cell r="C66">
            <v>23.673475</v>
          </cell>
          <cell r="D66">
            <v>22.069095000000001</v>
          </cell>
          <cell r="E66">
            <v>16.574525000000001</v>
          </cell>
          <cell r="F66">
            <v>14.95759</v>
          </cell>
          <cell r="G66">
            <v>12.949125</v>
          </cell>
          <cell r="H66">
            <v>12</v>
          </cell>
          <cell r="I66">
            <v>10</v>
          </cell>
          <cell r="J66">
            <v>9</v>
          </cell>
          <cell r="K66">
            <v>8</v>
          </cell>
          <cell r="L66">
            <v>20</v>
          </cell>
          <cell r="M66">
            <v>8.6151250000000008</v>
          </cell>
          <cell r="N66">
            <v>8.0336499999999997</v>
          </cell>
          <cell r="O66">
            <v>8</v>
          </cell>
          <cell r="P66">
            <v>7</v>
          </cell>
          <cell r="Q66">
            <v>31.648775000000001</v>
          </cell>
          <cell r="R66">
            <v>8</v>
          </cell>
          <cell r="S66">
            <v>7</v>
          </cell>
          <cell r="T66">
            <v>8</v>
          </cell>
          <cell r="U66">
            <v>8</v>
          </cell>
          <cell r="V66">
            <v>31</v>
          </cell>
        </row>
        <row r="67">
          <cell r="A67" t="str">
            <v>Instant Lottery</v>
          </cell>
          <cell r="B67">
            <v>8.3965599999999991</v>
          </cell>
          <cell r="C67">
            <v>7.2491599999999998</v>
          </cell>
          <cell r="D67">
            <v>5.9154749999999998</v>
          </cell>
          <cell r="E67">
            <v>2.459225</v>
          </cell>
          <cell r="F67">
            <v>2.19042</v>
          </cell>
          <cell r="G67">
            <v>2.1422500000000002</v>
          </cell>
          <cell r="H67">
            <v>2.11</v>
          </cell>
          <cell r="I67">
            <v>2.57</v>
          </cell>
          <cell r="J67">
            <v>1.53</v>
          </cell>
          <cell r="K67">
            <v>0.11</v>
          </cell>
          <cell r="L67">
            <v>7.0000000000000007E-2</v>
          </cell>
          <cell r="M67">
            <v>9.1599999999999997E-3</v>
          </cell>
          <cell r="N67">
            <v>7.7099999999999998E-3</v>
          </cell>
          <cell r="O67">
            <v>0.01</v>
          </cell>
          <cell r="P67">
            <v>0.01</v>
          </cell>
          <cell r="Q67">
            <v>3.687E-2</v>
          </cell>
          <cell r="R67">
            <v>0.01</v>
          </cell>
          <cell r="S67">
            <v>0.02</v>
          </cell>
          <cell r="T67">
            <v>0.01</v>
          </cell>
          <cell r="U67">
            <v>0.01</v>
          </cell>
          <cell r="V67">
            <v>0.05</v>
          </cell>
        </row>
        <row r="68">
          <cell r="A68" t="str">
            <v>Sports Lottery - Football</v>
          </cell>
          <cell r="B68">
            <v>0</v>
          </cell>
          <cell r="C68">
            <v>0</v>
          </cell>
          <cell r="D68">
            <v>0</v>
          </cell>
          <cell r="E68">
            <v>0</v>
          </cell>
          <cell r="F68">
            <v>1707.12260853</v>
          </cell>
          <cell r="G68">
            <v>3487.3826166200001</v>
          </cell>
          <cell r="H68">
            <v>6523</v>
          </cell>
          <cell r="I68">
            <v>7872</v>
          </cell>
          <cell r="J68">
            <v>9670</v>
          </cell>
          <cell r="K68">
            <v>9883</v>
          </cell>
          <cell r="L68">
            <v>8593</v>
          </cell>
          <cell r="M68">
            <v>1644.4183855300003</v>
          </cell>
          <cell r="N68">
            <v>1624.3166911100002</v>
          </cell>
          <cell r="O68">
            <v>1441</v>
          </cell>
          <cell r="P68">
            <v>1654</v>
          </cell>
          <cell r="Q68">
            <v>6363.7350766400004</v>
          </cell>
          <cell r="R68">
            <v>1419</v>
          </cell>
          <cell r="S68">
            <v>1841</v>
          </cell>
          <cell r="T68">
            <v>1225</v>
          </cell>
          <cell r="U68">
            <v>1195</v>
          </cell>
          <cell r="V68">
            <v>5680</v>
          </cell>
        </row>
        <row r="69">
          <cell r="A69" t="str">
            <v>Sports Lottery - Baketball</v>
          </cell>
          <cell r="B69">
            <v>0</v>
          </cell>
          <cell r="C69">
            <v>0</v>
          </cell>
          <cell r="D69">
            <v>0</v>
          </cell>
          <cell r="E69">
            <v>0</v>
          </cell>
          <cell r="F69">
            <v>0</v>
          </cell>
          <cell r="G69">
            <v>0</v>
          </cell>
          <cell r="H69">
            <v>1.6</v>
          </cell>
          <cell r="I69">
            <v>462</v>
          </cell>
          <cell r="J69">
            <v>661</v>
          </cell>
          <cell r="K69">
            <v>589</v>
          </cell>
          <cell r="L69">
            <v>654</v>
          </cell>
          <cell r="M69">
            <v>295.19138844999998</v>
          </cell>
          <cell r="N69">
            <v>201.88244124000002</v>
          </cell>
          <cell r="O69">
            <v>61</v>
          </cell>
          <cell r="P69">
            <v>213</v>
          </cell>
          <cell r="Q69">
            <v>771.07382969000003</v>
          </cell>
          <cell r="R69">
            <v>293</v>
          </cell>
          <cell r="S69">
            <v>194</v>
          </cell>
          <cell r="T69">
            <v>90</v>
          </cell>
          <cell r="U69">
            <v>187</v>
          </cell>
          <cell r="V69">
            <v>764</v>
          </cell>
        </row>
        <row r="71">
          <cell r="A71" t="str">
            <v xml:space="preserve">Gross Revenue from Different Games of Fortune </v>
          </cell>
        </row>
        <row r="72">
          <cell r="A72" t="str">
            <v>Roulette</v>
          </cell>
          <cell r="B72">
            <v>90.769450000000006</v>
          </cell>
          <cell r="C72">
            <v>96.566919999999996</v>
          </cell>
          <cell r="D72">
            <v>61.403799999999997</v>
          </cell>
          <cell r="E72">
            <v>57.496290000000002</v>
          </cell>
          <cell r="F72">
            <v>43.511989999999997</v>
          </cell>
          <cell r="G72">
            <v>42.732990000000001</v>
          </cell>
          <cell r="H72">
            <v>41</v>
          </cell>
          <cell r="I72">
            <v>43</v>
          </cell>
          <cell r="J72">
            <v>48</v>
          </cell>
          <cell r="K72">
            <v>46</v>
          </cell>
          <cell r="L72">
            <v>124</v>
          </cell>
          <cell r="M72">
            <v>42.015459999999997</v>
          </cell>
          <cell r="N72">
            <v>41.775561000000003</v>
          </cell>
          <cell r="O72">
            <v>51</v>
          </cell>
          <cell r="P72">
            <v>46</v>
          </cell>
          <cell r="Q72">
            <v>180.791021</v>
          </cell>
          <cell r="R72">
            <v>45</v>
          </cell>
          <cell r="S72">
            <v>58</v>
          </cell>
          <cell r="T72">
            <v>59</v>
          </cell>
          <cell r="U72">
            <v>79</v>
          </cell>
          <cell r="V72">
            <v>241</v>
          </cell>
          <cell r="X72">
            <v>79</v>
          </cell>
        </row>
        <row r="73">
          <cell r="A73" t="str">
            <v>Black Jack</v>
          </cell>
          <cell r="B73">
            <v>541.56880999999998</v>
          </cell>
          <cell r="C73">
            <v>599.01314000000002</v>
          </cell>
          <cell r="D73">
            <v>597.51099999999997</v>
          </cell>
          <cell r="E73">
            <v>616.18097</v>
          </cell>
          <cell r="F73">
            <v>580.40067999999997</v>
          </cell>
          <cell r="G73">
            <v>485.77318000000002</v>
          </cell>
          <cell r="H73">
            <v>418</v>
          </cell>
          <cell r="I73">
            <v>509</v>
          </cell>
          <cell r="J73">
            <v>573</v>
          </cell>
          <cell r="K73">
            <v>620</v>
          </cell>
          <cell r="L73">
            <v>1176</v>
          </cell>
          <cell r="M73">
            <v>343.27547999999996</v>
          </cell>
          <cell r="N73">
            <v>345.90821699999998</v>
          </cell>
          <cell r="O73">
            <v>365</v>
          </cell>
          <cell r="P73">
            <v>364</v>
          </cell>
          <cell r="Q73">
            <v>1418.1836969999999</v>
          </cell>
          <cell r="R73">
            <v>407</v>
          </cell>
          <cell r="S73">
            <v>355</v>
          </cell>
          <cell r="T73">
            <v>360</v>
          </cell>
          <cell r="U73">
            <v>452</v>
          </cell>
          <cell r="V73">
            <v>1574</v>
          </cell>
          <cell r="X73">
            <v>452</v>
          </cell>
        </row>
        <row r="74">
          <cell r="A74" t="str">
            <v>VIP Baccarat</v>
          </cell>
          <cell r="B74">
            <v>9239.1136999999999</v>
          </cell>
          <cell r="C74">
            <v>10981.3902</v>
          </cell>
          <cell r="D74">
            <v>10474.283789999999</v>
          </cell>
          <cell r="E74">
            <v>12342.522059000001</v>
          </cell>
          <cell r="F74">
            <v>9246.3685659999992</v>
          </cell>
          <cell r="G74">
            <v>8603.4069400000008</v>
          </cell>
          <cell r="H74">
            <v>10790</v>
          </cell>
          <cell r="I74">
            <v>12755</v>
          </cell>
          <cell r="J74">
            <v>15864</v>
          </cell>
          <cell r="K74">
            <v>21532</v>
          </cell>
          <cell r="L74">
            <v>28916</v>
          </cell>
          <cell r="M74">
            <v>6998.2630949999993</v>
          </cell>
          <cell r="N74">
            <v>7433.2344050000002</v>
          </cell>
          <cell r="O74">
            <v>6992</v>
          </cell>
          <cell r="P74">
            <v>6600</v>
          </cell>
          <cell r="Q74">
            <v>28023.497499999998</v>
          </cell>
          <cell r="R74">
            <v>7777</v>
          </cell>
          <cell r="S74">
            <v>8097</v>
          </cell>
          <cell r="T74">
            <v>8849</v>
          </cell>
          <cell r="U74">
            <v>10988</v>
          </cell>
          <cell r="V74">
            <v>35711</v>
          </cell>
          <cell r="X74">
            <v>10659</v>
          </cell>
        </row>
        <row r="75">
          <cell r="A75" t="str">
            <v>Baccarat</v>
          </cell>
          <cell r="B75">
            <v>3020.9284699999998</v>
          </cell>
          <cell r="C75">
            <v>3163.5934200000002</v>
          </cell>
          <cell r="D75">
            <v>2744.5644000000002</v>
          </cell>
          <cell r="E75">
            <v>2582.4481500000002</v>
          </cell>
          <cell r="F75">
            <v>2612.9144900000001</v>
          </cell>
          <cell r="G75">
            <v>1976.75098</v>
          </cell>
          <cell r="H75">
            <v>2387</v>
          </cell>
          <cell r="I75">
            <v>2494</v>
          </cell>
          <cell r="J75">
            <v>2642</v>
          </cell>
          <cell r="K75">
            <v>3016</v>
          </cell>
          <cell r="L75">
            <v>5458</v>
          </cell>
          <cell r="M75">
            <v>1899.3174990000002</v>
          </cell>
          <cell r="N75">
            <v>2204.879238</v>
          </cell>
          <cell r="O75">
            <v>2596</v>
          </cell>
          <cell r="P75">
            <v>2948</v>
          </cell>
          <cell r="Q75">
            <v>9648.1967370000002</v>
          </cell>
          <cell r="R75">
            <v>2575</v>
          </cell>
          <cell r="S75">
            <v>2693</v>
          </cell>
          <cell r="T75">
            <v>2798</v>
          </cell>
          <cell r="U75">
            <v>3136</v>
          </cell>
          <cell r="V75">
            <v>11202</v>
          </cell>
          <cell r="X75">
            <v>3464</v>
          </cell>
        </row>
        <row r="76">
          <cell r="A76" t="str">
            <v>Mini Baccarat</v>
          </cell>
          <cell r="B76">
            <v>30.61</v>
          </cell>
          <cell r="C76">
            <v>40.965000000000003</v>
          </cell>
          <cell r="D76">
            <v>36.311999999999998</v>
          </cell>
          <cell r="E76">
            <v>2.5529999999999999</v>
          </cell>
          <cell r="F76">
            <v>0</v>
          </cell>
          <cell r="G76">
            <v>0</v>
          </cell>
          <cell r="H76">
            <v>0</v>
          </cell>
          <cell r="I76">
            <v>0</v>
          </cell>
          <cell r="J76">
            <v>0</v>
          </cell>
          <cell r="K76">
            <v>0</v>
          </cell>
          <cell r="L76">
            <v>353</v>
          </cell>
          <cell r="M76">
            <v>135.036146</v>
          </cell>
          <cell r="N76">
            <v>106.23892499999999</v>
          </cell>
          <cell r="O76">
            <v>132</v>
          </cell>
          <cell r="P76">
            <v>131</v>
          </cell>
          <cell r="Q76">
            <v>504.27507100000003</v>
          </cell>
          <cell r="R76">
            <v>101</v>
          </cell>
          <cell r="S76">
            <v>93</v>
          </cell>
          <cell r="T76">
            <v>70</v>
          </cell>
          <cell r="U76">
            <v>109</v>
          </cell>
          <cell r="V76">
            <v>373</v>
          </cell>
          <cell r="X76">
            <v>111</v>
          </cell>
        </row>
        <row r="77">
          <cell r="A77" t="str">
            <v>Fantan</v>
          </cell>
          <cell r="B77">
            <v>175.46276</v>
          </cell>
          <cell r="C77">
            <v>183.58168000000001</v>
          </cell>
          <cell r="D77">
            <v>158.52176</v>
          </cell>
          <cell r="E77">
            <v>111.31638</v>
          </cell>
          <cell r="F77">
            <v>127.88188</v>
          </cell>
          <cell r="G77">
            <v>72.850049999999996</v>
          </cell>
          <cell r="H77">
            <v>135</v>
          </cell>
          <cell r="I77">
            <v>142</v>
          </cell>
          <cell r="J77">
            <v>147</v>
          </cell>
          <cell r="K77">
            <v>134</v>
          </cell>
          <cell r="L77">
            <v>144</v>
          </cell>
          <cell r="M77">
            <v>31.649409999999996</v>
          </cell>
          <cell r="N77">
            <v>41.008322</v>
          </cell>
          <cell r="O77">
            <v>32</v>
          </cell>
          <cell r="P77">
            <v>36</v>
          </cell>
          <cell r="Q77">
            <v>140.65773200000001</v>
          </cell>
          <cell r="R77">
            <v>45</v>
          </cell>
          <cell r="S77">
            <v>36</v>
          </cell>
          <cell r="T77">
            <v>31</v>
          </cell>
          <cell r="U77">
            <v>30</v>
          </cell>
          <cell r="V77">
            <v>142</v>
          </cell>
          <cell r="X77">
            <v>30</v>
          </cell>
        </row>
        <row r="78">
          <cell r="A78" t="str">
            <v>Cussec</v>
          </cell>
          <cell r="B78">
            <v>1162.9651899999999</v>
          </cell>
          <cell r="C78">
            <v>1231.8126</v>
          </cell>
          <cell r="D78">
            <v>1021.88512</v>
          </cell>
          <cell r="E78">
            <v>801.6069</v>
          </cell>
          <cell r="F78">
            <v>539.37118999999996</v>
          </cell>
          <cell r="G78">
            <v>466.86399999999998</v>
          </cell>
          <cell r="H78">
            <v>550</v>
          </cell>
          <cell r="I78">
            <v>578</v>
          </cell>
          <cell r="J78">
            <v>623</v>
          </cell>
          <cell r="K78">
            <v>664</v>
          </cell>
          <cell r="L78">
            <v>1180</v>
          </cell>
          <cell r="M78">
            <v>351.92583300000001</v>
          </cell>
          <cell r="N78">
            <v>354.79086000000001</v>
          </cell>
          <cell r="O78">
            <v>377</v>
          </cell>
          <cell r="P78">
            <v>400</v>
          </cell>
          <cell r="Q78">
            <v>1483.7166930000001</v>
          </cell>
          <cell r="R78">
            <v>457</v>
          </cell>
          <cell r="S78">
            <v>428</v>
          </cell>
          <cell r="T78">
            <v>451</v>
          </cell>
          <cell r="U78">
            <v>536</v>
          </cell>
          <cell r="V78">
            <v>1872</v>
          </cell>
          <cell r="X78">
            <v>536</v>
          </cell>
        </row>
        <row r="79">
          <cell r="A79" t="str">
            <v>Paikao</v>
          </cell>
          <cell r="B79">
            <v>418.05205000000001</v>
          </cell>
          <cell r="C79">
            <v>429.5256</v>
          </cell>
          <cell r="D79">
            <v>388.85861999999997</v>
          </cell>
          <cell r="E79">
            <v>284.50403</v>
          </cell>
          <cell r="F79">
            <v>242.435</v>
          </cell>
          <cell r="G79">
            <v>184.29990000000001</v>
          </cell>
          <cell r="H79">
            <v>204</v>
          </cell>
          <cell r="I79">
            <v>189</v>
          </cell>
          <cell r="J79">
            <v>160</v>
          </cell>
          <cell r="K79">
            <v>145</v>
          </cell>
          <cell r="L79">
            <v>132</v>
          </cell>
          <cell r="M79">
            <v>28.23732</v>
          </cell>
          <cell r="N79">
            <v>24.637160000000002</v>
          </cell>
          <cell r="O79">
            <v>19</v>
          </cell>
          <cell r="P79">
            <v>21</v>
          </cell>
          <cell r="Q79">
            <v>92.874480000000005</v>
          </cell>
          <cell r="R79">
            <v>22</v>
          </cell>
          <cell r="S79">
            <v>18</v>
          </cell>
          <cell r="T79">
            <v>18</v>
          </cell>
          <cell r="U79">
            <v>16</v>
          </cell>
          <cell r="V79">
            <v>74</v>
          </cell>
          <cell r="X79">
            <v>16</v>
          </cell>
        </row>
        <row r="80">
          <cell r="A80" t="str">
            <v>Boule</v>
          </cell>
          <cell r="B80">
            <v>44.889000000000003</v>
          </cell>
          <cell r="C80">
            <v>42.902999999999999</v>
          </cell>
          <cell r="D80">
            <v>35.441000000000003</v>
          </cell>
          <cell r="E80">
            <v>28.248999999999999</v>
          </cell>
          <cell r="F80">
            <v>12.46824</v>
          </cell>
          <cell r="G80">
            <v>7.5485300000000004</v>
          </cell>
          <cell r="H80">
            <v>3</v>
          </cell>
          <cell r="I80">
            <v>3</v>
          </cell>
          <cell r="J80">
            <v>4</v>
          </cell>
          <cell r="K80">
            <v>4</v>
          </cell>
          <cell r="L80">
            <v>5</v>
          </cell>
          <cell r="M80">
            <v>0.12589</v>
          </cell>
          <cell r="N80">
            <v>0.11267000000000001</v>
          </cell>
          <cell r="O80">
            <v>0</v>
          </cell>
          <cell r="P80">
            <v>0</v>
          </cell>
          <cell r="Q80">
            <v>0.23855999999999999</v>
          </cell>
          <cell r="R80">
            <v>0</v>
          </cell>
          <cell r="S80">
            <v>0</v>
          </cell>
          <cell r="T80">
            <v>0</v>
          </cell>
          <cell r="U80">
            <v>0</v>
          </cell>
          <cell r="V80">
            <v>0</v>
          </cell>
          <cell r="X80">
            <v>0</v>
          </cell>
        </row>
        <row r="81">
          <cell r="A81" t="str">
            <v>Mahjong</v>
          </cell>
          <cell r="B81">
            <v>11.50094</v>
          </cell>
          <cell r="C81">
            <v>11.77711</v>
          </cell>
          <cell r="D81">
            <v>11.028029999999999</v>
          </cell>
          <cell r="E81">
            <v>10.085559999999999</v>
          </cell>
          <cell r="F81">
            <v>8.8136399999999995</v>
          </cell>
          <cell r="G81">
            <v>8.2141599999999997</v>
          </cell>
          <cell r="H81">
            <v>7</v>
          </cell>
          <cell r="I81">
            <v>2</v>
          </cell>
          <cell r="J81">
            <v>0</v>
          </cell>
          <cell r="K81">
            <v>0</v>
          </cell>
          <cell r="L81">
            <v>0</v>
          </cell>
          <cell r="M81">
            <v>0</v>
          </cell>
          <cell r="N81">
            <v>0</v>
          </cell>
          <cell r="O81">
            <v>0</v>
          </cell>
          <cell r="P81">
            <v>0</v>
          </cell>
          <cell r="Q81">
            <v>0</v>
          </cell>
          <cell r="R81">
            <v>0</v>
          </cell>
          <cell r="S81">
            <v>0</v>
          </cell>
          <cell r="T81">
            <v>0</v>
          </cell>
          <cell r="U81">
            <v>0</v>
          </cell>
          <cell r="V81">
            <v>0</v>
          </cell>
          <cell r="X81">
            <v>0</v>
          </cell>
        </row>
        <row r="82">
          <cell r="A82" t="str">
            <v>Slot Machines</v>
          </cell>
          <cell r="B82">
            <v>292.82445200000001</v>
          </cell>
          <cell r="C82">
            <v>332.74785100000003</v>
          </cell>
          <cell r="D82">
            <v>295.19192099999998</v>
          </cell>
          <cell r="E82">
            <v>242.795143</v>
          </cell>
          <cell r="F82">
            <v>216.145647</v>
          </cell>
          <cell r="G82">
            <v>173.18694099999999</v>
          </cell>
          <cell r="H82">
            <v>217</v>
          </cell>
          <cell r="I82">
            <v>220</v>
          </cell>
          <cell r="J82">
            <v>225</v>
          </cell>
          <cell r="K82">
            <v>230</v>
          </cell>
          <cell r="L82">
            <v>622</v>
          </cell>
          <cell r="M82">
            <v>243.84791546000005</v>
          </cell>
          <cell r="N82">
            <v>295.16821077000003</v>
          </cell>
          <cell r="O82">
            <v>326</v>
          </cell>
          <cell r="P82">
            <v>349</v>
          </cell>
          <cell r="Q82">
            <v>1214.0161262300001</v>
          </cell>
          <cell r="R82">
            <v>425</v>
          </cell>
          <cell r="S82">
            <v>444</v>
          </cell>
          <cell r="T82">
            <v>519</v>
          </cell>
          <cell r="U82">
            <v>608</v>
          </cell>
          <cell r="V82">
            <v>1996</v>
          </cell>
          <cell r="X82">
            <v>608</v>
          </cell>
        </row>
        <row r="83">
          <cell r="A83" t="str">
            <v>Mahjong Paikao</v>
          </cell>
          <cell r="B83">
            <v>313.20218999999997</v>
          </cell>
          <cell r="C83">
            <v>299.0376</v>
          </cell>
          <cell r="D83">
            <v>231.39268999999999</v>
          </cell>
          <cell r="E83">
            <v>122.54004</v>
          </cell>
          <cell r="F83">
            <v>83.96602</v>
          </cell>
          <cell r="G83">
            <v>75.593010000000007</v>
          </cell>
          <cell r="H83">
            <v>80</v>
          </cell>
          <cell r="I83">
            <v>73</v>
          </cell>
          <cell r="J83">
            <v>62</v>
          </cell>
          <cell r="K83">
            <v>53</v>
          </cell>
          <cell r="L83">
            <v>34</v>
          </cell>
          <cell r="M83">
            <v>1.85605</v>
          </cell>
          <cell r="N83">
            <v>1.70651</v>
          </cell>
          <cell r="O83">
            <v>1</v>
          </cell>
          <cell r="P83">
            <v>1</v>
          </cell>
          <cell r="Q83">
            <v>5.5625599999999995</v>
          </cell>
          <cell r="R83">
            <v>1</v>
          </cell>
          <cell r="S83">
            <v>1</v>
          </cell>
          <cell r="T83">
            <v>1</v>
          </cell>
          <cell r="U83">
            <v>0</v>
          </cell>
          <cell r="V83">
            <v>3</v>
          </cell>
          <cell r="X83">
            <v>0</v>
          </cell>
        </row>
        <row r="84">
          <cell r="A84" t="str">
            <v>Super Pan 9</v>
          </cell>
          <cell r="B84">
            <v>18.787759999999999</v>
          </cell>
          <cell r="C84">
            <v>18.844909999999999</v>
          </cell>
          <cell r="D84">
            <v>12.31</v>
          </cell>
          <cell r="E84">
            <v>7.6135000000000002</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X84">
            <v>0</v>
          </cell>
        </row>
        <row r="85">
          <cell r="A85" t="str">
            <v>Paikao II</v>
          </cell>
          <cell r="B85">
            <v>49.632300000000001</v>
          </cell>
          <cell r="C85">
            <v>44.689900000000002</v>
          </cell>
          <cell r="D85">
            <v>30.6965</v>
          </cell>
          <cell r="E85">
            <v>2.0091000000000001</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X85">
            <v>0</v>
          </cell>
        </row>
        <row r="86">
          <cell r="A86" t="str">
            <v>3-Card Poker</v>
          </cell>
          <cell r="B86">
            <v>0</v>
          </cell>
          <cell r="C86">
            <v>0</v>
          </cell>
          <cell r="D86">
            <v>104.59577</v>
          </cell>
          <cell r="E86">
            <v>177.94281000000001</v>
          </cell>
          <cell r="F86">
            <v>188.59272000000001</v>
          </cell>
          <cell r="G86">
            <v>176.21997999999999</v>
          </cell>
          <cell r="H86">
            <v>182</v>
          </cell>
          <cell r="I86">
            <v>187</v>
          </cell>
          <cell r="J86">
            <v>179</v>
          </cell>
          <cell r="K86">
            <v>179</v>
          </cell>
          <cell r="L86">
            <v>194</v>
          </cell>
          <cell r="M86">
            <v>46.857120000000002</v>
          </cell>
          <cell r="N86">
            <v>42.012740000000001</v>
          </cell>
          <cell r="O86">
            <v>40</v>
          </cell>
          <cell r="P86">
            <v>38</v>
          </cell>
          <cell r="Q86">
            <v>166.86986000000002</v>
          </cell>
          <cell r="R86">
            <v>37</v>
          </cell>
          <cell r="S86">
            <v>29</v>
          </cell>
          <cell r="T86">
            <v>28</v>
          </cell>
          <cell r="U86">
            <v>31</v>
          </cell>
          <cell r="V86">
            <v>125</v>
          </cell>
          <cell r="X86">
            <v>31</v>
          </cell>
        </row>
        <row r="87">
          <cell r="A87" t="str">
            <v>Fish-Prawn-Crab</v>
          </cell>
          <cell r="B87">
            <v>0</v>
          </cell>
          <cell r="C87">
            <v>0</v>
          </cell>
          <cell r="D87">
            <v>149.16498000000001</v>
          </cell>
          <cell r="E87">
            <v>282.16962000000001</v>
          </cell>
          <cell r="F87">
            <v>504.71276999999998</v>
          </cell>
          <cell r="G87">
            <v>629.00999000000002</v>
          </cell>
          <cell r="H87">
            <v>724</v>
          </cell>
          <cell r="I87">
            <v>775</v>
          </cell>
          <cell r="J87">
            <v>876</v>
          </cell>
          <cell r="K87">
            <v>1044</v>
          </cell>
          <cell r="L87">
            <v>1261</v>
          </cell>
          <cell r="M87">
            <v>268.28909499999997</v>
          </cell>
          <cell r="N87">
            <v>249.79626999999999</v>
          </cell>
          <cell r="O87">
            <v>255</v>
          </cell>
          <cell r="P87">
            <v>253</v>
          </cell>
          <cell r="Q87">
            <v>1026.0853649999999</v>
          </cell>
          <cell r="R87">
            <v>246</v>
          </cell>
          <cell r="S87">
            <v>200</v>
          </cell>
          <cell r="T87">
            <v>183</v>
          </cell>
          <cell r="U87">
            <v>224</v>
          </cell>
          <cell r="V87">
            <v>853</v>
          </cell>
          <cell r="X87">
            <v>224</v>
          </cell>
        </row>
        <row r="88">
          <cell r="A88" t="str">
            <v>Mahjong Baccarat</v>
          </cell>
          <cell r="B88">
            <v>0</v>
          </cell>
          <cell r="C88">
            <v>0</v>
          </cell>
          <cell r="D88">
            <v>15.99089</v>
          </cell>
          <cell r="E88">
            <v>13.477180000000001</v>
          </cell>
          <cell r="F88">
            <v>25.643660000000001</v>
          </cell>
          <cell r="G88">
            <v>8.5906400000000005</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X88">
            <v>0</v>
          </cell>
        </row>
        <row r="89">
          <cell r="A89" t="str">
            <v>3-Card Baccarat</v>
          </cell>
          <cell r="B89">
            <v>0</v>
          </cell>
          <cell r="C89">
            <v>0</v>
          </cell>
          <cell r="D89">
            <v>38.990720000000003</v>
          </cell>
          <cell r="E89">
            <v>95.209620000000001</v>
          </cell>
          <cell r="F89">
            <v>130.62496999999999</v>
          </cell>
          <cell r="G89">
            <v>116.48183</v>
          </cell>
          <cell r="H89">
            <v>130</v>
          </cell>
          <cell r="I89">
            <v>126</v>
          </cell>
          <cell r="J89">
            <v>133</v>
          </cell>
          <cell r="K89">
            <v>149</v>
          </cell>
          <cell r="L89">
            <v>218</v>
          </cell>
          <cell r="M89">
            <v>60.483826999999998</v>
          </cell>
          <cell r="N89">
            <v>60.356791999999999</v>
          </cell>
          <cell r="O89">
            <v>67</v>
          </cell>
          <cell r="P89">
            <v>61</v>
          </cell>
          <cell r="Q89">
            <v>248.840619</v>
          </cell>
          <cell r="R89">
            <v>73</v>
          </cell>
          <cell r="S89">
            <v>63</v>
          </cell>
          <cell r="T89">
            <v>53</v>
          </cell>
          <cell r="U89">
            <v>51</v>
          </cell>
          <cell r="V89">
            <v>240</v>
          </cell>
          <cell r="X89">
            <v>51</v>
          </cell>
        </row>
        <row r="90">
          <cell r="A90" t="str">
            <v>Pachinko</v>
          </cell>
          <cell r="B90">
            <v>0</v>
          </cell>
          <cell r="C90">
            <v>0</v>
          </cell>
          <cell r="D90">
            <v>0</v>
          </cell>
          <cell r="E90">
            <v>0</v>
          </cell>
          <cell r="F90">
            <v>-0.68845199999999995</v>
          </cell>
          <cell r="G90">
            <v>7.8533600000000003</v>
          </cell>
          <cell r="H90">
            <v>8</v>
          </cell>
          <cell r="I90">
            <v>10</v>
          </cell>
          <cell r="J90">
            <v>9</v>
          </cell>
          <cell r="K90">
            <v>8</v>
          </cell>
          <cell r="L90">
            <v>8</v>
          </cell>
          <cell r="M90">
            <v>1.882134</v>
          </cell>
          <cell r="N90">
            <v>0</v>
          </cell>
          <cell r="O90">
            <v>0</v>
          </cell>
          <cell r="P90">
            <v>0</v>
          </cell>
          <cell r="Q90">
            <v>1.882134</v>
          </cell>
          <cell r="R90">
            <v>0</v>
          </cell>
          <cell r="S90">
            <v>0</v>
          </cell>
          <cell r="T90">
            <v>0</v>
          </cell>
          <cell r="U90">
            <v>0</v>
          </cell>
          <cell r="V90">
            <v>0</v>
          </cell>
          <cell r="X90">
            <v>0</v>
          </cell>
        </row>
        <row r="91">
          <cell r="A91" t="str">
            <v>Tombola</v>
          </cell>
          <cell r="B91">
            <v>3.3710010000000001</v>
          </cell>
          <cell r="C91">
            <v>3.484337</v>
          </cell>
          <cell r="D91">
            <v>3.484</v>
          </cell>
          <cell r="E91">
            <v>3.42</v>
          </cell>
          <cell r="F91">
            <v>2.4239999999999999</v>
          </cell>
          <cell r="G91">
            <v>1.9279999999999999</v>
          </cell>
          <cell r="H91">
            <v>2</v>
          </cell>
          <cell r="I91">
            <v>2</v>
          </cell>
          <cell r="J91">
            <v>2</v>
          </cell>
          <cell r="K91">
            <v>2</v>
          </cell>
          <cell r="L91">
            <v>1</v>
          </cell>
          <cell r="M91">
            <v>0.2731905</v>
          </cell>
          <cell r="N91">
            <v>0</v>
          </cell>
          <cell r="O91">
            <v>0.4</v>
          </cell>
          <cell r="P91">
            <v>0.5</v>
          </cell>
          <cell r="Q91">
            <v>1.1731905</v>
          </cell>
          <cell r="R91">
            <v>0.5</v>
          </cell>
          <cell r="S91">
            <v>0.5</v>
          </cell>
          <cell r="T91">
            <v>0.5</v>
          </cell>
          <cell r="U91">
            <v>0.6</v>
          </cell>
          <cell r="V91">
            <v>2.1</v>
          </cell>
          <cell r="X91">
            <v>0.6</v>
          </cell>
        </row>
        <row r="92">
          <cell r="A92" t="str">
            <v>Lucky Wheel</v>
          </cell>
          <cell r="B92">
            <v>0</v>
          </cell>
          <cell r="C92">
            <v>0</v>
          </cell>
          <cell r="D92">
            <v>0</v>
          </cell>
          <cell r="E92">
            <v>0</v>
          </cell>
          <cell r="F92">
            <v>0</v>
          </cell>
          <cell r="G92">
            <v>0</v>
          </cell>
          <cell r="H92">
            <v>0</v>
          </cell>
          <cell r="I92">
            <v>0</v>
          </cell>
          <cell r="J92">
            <v>0</v>
          </cell>
          <cell r="K92">
            <v>7</v>
          </cell>
          <cell r="L92">
            <v>31</v>
          </cell>
          <cell r="M92">
            <v>9.2730149999999991</v>
          </cell>
          <cell r="N92">
            <v>10.028420000000001</v>
          </cell>
          <cell r="O92">
            <v>10</v>
          </cell>
          <cell r="P92">
            <v>8</v>
          </cell>
          <cell r="Q92">
            <v>37.301434999999998</v>
          </cell>
          <cell r="R92">
            <v>9</v>
          </cell>
          <cell r="S92">
            <v>6</v>
          </cell>
          <cell r="T92">
            <v>5</v>
          </cell>
          <cell r="U92">
            <v>6</v>
          </cell>
          <cell r="V92">
            <v>26</v>
          </cell>
          <cell r="X92">
            <v>6</v>
          </cell>
        </row>
        <row r="93">
          <cell r="A93" t="str">
            <v>Football Poker</v>
          </cell>
          <cell r="B93">
            <v>0</v>
          </cell>
          <cell r="C93">
            <v>0</v>
          </cell>
          <cell r="D93">
            <v>0</v>
          </cell>
          <cell r="E93">
            <v>0</v>
          </cell>
          <cell r="F93">
            <v>0</v>
          </cell>
          <cell r="G93">
            <v>0</v>
          </cell>
          <cell r="H93">
            <v>0</v>
          </cell>
          <cell r="I93">
            <v>0</v>
          </cell>
          <cell r="J93">
            <v>0</v>
          </cell>
          <cell r="K93">
            <v>4</v>
          </cell>
          <cell r="L93">
            <v>2</v>
          </cell>
          <cell r="M93">
            <v>0</v>
          </cell>
          <cell r="N93">
            <v>0</v>
          </cell>
          <cell r="O93">
            <v>0</v>
          </cell>
          <cell r="P93">
            <v>0</v>
          </cell>
          <cell r="Q93">
            <v>0</v>
          </cell>
          <cell r="R93">
            <v>0</v>
          </cell>
          <cell r="S93">
            <v>0</v>
          </cell>
          <cell r="T93">
            <v>0</v>
          </cell>
          <cell r="U93">
            <v>0</v>
          </cell>
          <cell r="V93">
            <v>0</v>
          </cell>
          <cell r="X93">
            <v>0</v>
          </cell>
        </row>
        <row r="94">
          <cell r="A94" t="str">
            <v>Stud Poker</v>
          </cell>
          <cell r="B94">
            <v>0</v>
          </cell>
          <cell r="C94">
            <v>0</v>
          </cell>
          <cell r="D94">
            <v>0</v>
          </cell>
          <cell r="E94">
            <v>0</v>
          </cell>
          <cell r="F94">
            <v>0</v>
          </cell>
          <cell r="G94">
            <v>0</v>
          </cell>
          <cell r="H94">
            <v>0</v>
          </cell>
          <cell r="I94">
            <v>0</v>
          </cell>
          <cell r="J94">
            <v>0</v>
          </cell>
          <cell r="K94">
            <v>15</v>
          </cell>
          <cell r="L94">
            <v>327</v>
          </cell>
          <cell r="M94">
            <v>133.351136</v>
          </cell>
          <cell r="N94">
            <v>122.72178</v>
          </cell>
          <cell r="O94">
            <v>127</v>
          </cell>
          <cell r="P94">
            <v>124</v>
          </cell>
          <cell r="Q94">
            <v>507.07291599999996</v>
          </cell>
          <cell r="R94">
            <v>124</v>
          </cell>
          <cell r="S94">
            <v>132</v>
          </cell>
          <cell r="T94">
            <v>119</v>
          </cell>
          <cell r="U94">
            <v>164</v>
          </cell>
          <cell r="V94">
            <v>539</v>
          </cell>
          <cell r="X94">
            <v>164</v>
          </cell>
        </row>
        <row r="95">
          <cell r="A95" t="str">
            <v>Q Poker</v>
          </cell>
          <cell r="B95">
            <v>0</v>
          </cell>
          <cell r="C95">
            <v>0</v>
          </cell>
          <cell r="D95">
            <v>0</v>
          </cell>
          <cell r="E95">
            <v>0</v>
          </cell>
          <cell r="F95">
            <v>0</v>
          </cell>
          <cell r="G95">
            <v>0</v>
          </cell>
          <cell r="H95">
            <v>0</v>
          </cell>
          <cell r="I95">
            <v>0</v>
          </cell>
          <cell r="J95">
            <v>0</v>
          </cell>
          <cell r="K95">
            <v>0</v>
          </cell>
          <cell r="L95">
            <v>0</v>
          </cell>
          <cell r="M95">
            <v>4.0804</v>
          </cell>
          <cell r="N95">
            <v>6.0518799999999997</v>
          </cell>
          <cell r="O95">
            <v>7</v>
          </cell>
          <cell r="P95">
            <v>7</v>
          </cell>
          <cell r="Q95">
            <v>24.132280000000002</v>
          </cell>
          <cell r="R95">
            <v>7</v>
          </cell>
          <cell r="S95">
            <v>7</v>
          </cell>
          <cell r="T95">
            <v>4</v>
          </cell>
          <cell r="U95">
            <v>5</v>
          </cell>
          <cell r="V95">
            <v>23</v>
          </cell>
          <cell r="X95">
            <v>5</v>
          </cell>
        </row>
        <row r="96">
          <cell r="A96" t="str">
            <v>Casino War</v>
          </cell>
          <cell r="B96">
            <v>0</v>
          </cell>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0.1</v>
          </cell>
          <cell r="V96">
            <v>0.1</v>
          </cell>
          <cell r="X96">
            <v>0.1</v>
          </cell>
        </row>
        <row r="97">
          <cell r="B97" t="str">
            <v>______</v>
          </cell>
          <cell r="C97" t="str">
            <v>______</v>
          </cell>
          <cell r="D97" t="str">
            <v>______</v>
          </cell>
          <cell r="E97" t="str">
            <v>______</v>
          </cell>
          <cell r="F97" t="str">
            <v>______</v>
          </cell>
          <cell r="G97" t="str">
            <v>______</v>
          </cell>
          <cell r="H97" t="str">
            <v>______</v>
          </cell>
          <cell r="I97" t="str">
            <v>______</v>
          </cell>
          <cell r="J97" t="str">
            <v>______</v>
          </cell>
          <cell r="K97" t="str">
            <v>______</v>
          </cell>
          <cell r="L97" t="str">
            <v>______</v>
          </cell>
          <cell r="M97" t="str">
            <v>______</v>
          </cell>
          <cell r="N97" t="str">
            <v>______</v>
          </cell>
          <cell r="O97" t="str">
            <v>______</v>
          </cell>
          <cell r="P97" t="str">
            <v>______</v>
          </cell>
          <cell r="Q97" t="str">
            <v>______</v>
          </cell>
          <cell r="R97" t="str">
            <v>______</v>
          </cell>
          <cell r="S97" t="str">
            <v>______</v>
          </cell>
          <cell r="T97" t="str">
            <v>______</v>
          </cell>
          <cell r="U97" t="str">
            <v>______</v>
          </cell>
          <cell r="V97" t="str">
            <v>______</v>
          </cell>
          <cell r="X97" t="str">
            <v>______</v>
          </cell>
        </row>
        <row r="98">
          <cell r="A98" t="str">
            <v>Total</v>
          </cell>
          <cell r="B98">
            <v>15413.678073000001</v>
          </cell>
          <cell r="C98">
            <v>17479.933267999997</v>
          </cell>
          <cell r="D98">
            <v>16411.626990999997</v>
          </cell>
          <cell r="E98">
            <v>17784.139352000002</v>
          </cell>
          <cell r="F98">
            <v>14565.587011</v>
          </cell>
          <cell r="G98">
            <v>13037.304481000001</v>
          </cell>
          <cell r="H98">
            <v>15878</v>
          </cell>
          <cell r="I98">
            <v>18108</v>
          </cell>
          <cell r="J98">
            <v>21547</v>
          </cell>
          <cell r="K98">
            <v>27852</v>
          </cell>
          <cell r="L98">
            <v>40186</v>
          </cell>
          <cell r="M98">
            <v>10600.040015960001</v>
          </cell>
          <cell r="N98">
            <v>11340.427960770001</v>
          </cell>
          <cell r="O98">
            <v>11397.4</v>
          </cell>
          <cell r="P98">
            <v>11387.5</v>
          </cell>
          <cell r="Q98">
            <v>44725.367976729991</v>
          </cell>
          <cell r="R98">
            <v>12351.5</v>
          </cell>
          <cell r="S98">
            <v>12660.5</v>
          </cell>
          <cell r="T98">
            <v>13548.5</v>
          </cell>
          <cell r="U98">
            <v>16435.699999999997</v>
          </cell>
          <cell r="V98">
            <v>54996.2</v>
          </cell>
          <cell r="X98">
            <v>16436.7</v>
          </cell>
        </row>
        <row r="100">
          <cell r="A100" t="str">
            <v>Gaming Tables</v>
          </cell>
          <cell r="J100">
            <v>339</v>
          </cell>
          <cell r="K100">
            <v>424</v>
          </cell>
          <cell r="L100">
            <v>1092</v>
          </cell>
          <cell r="M100">
            <v>1226</v>
          </cell>
          <cell r="N100">
            <v>1245</v>
          </cell>
          <cell r="O100">
            <v>1296</v>
          </cell>
          <cell r="P100">
            <v>1388</v>
          </cell>
          <cell r="Q100">
            <v>1388</v>
          </cell>
          <cell r="R100">
            <v>1648</v>
          </cell>
          <cell r="S100">
            <v>1925</v>
          </cell>
          <cell r="T100">
            <v>2440</v>
          </cell>
          <cell r="U100">
            <v>2762</v>
          </cell>
          <cell r="V100">
            <v>2762</v>
          </cell>
        </row>
        <row r="101">
          <cell r="A101" t="str">
            <v xml:space="preserve">  Mass Market</v>
          </cell>
          <cell r="K101">
            <v>258</v>
          </cell>
          <cell r="L101">
            <v>826</v>
          </cell>
          <cell r="M101">
            <v>940</v>
          </cell>
          <cell r="N101">
            <v>959</v>
          </cell>
          <cell r="O101">
            <v>1006</v>
          </cell>
          <cell r="P101">
            <v>1089</v>
          </cell>
          <cell r="Q101">
            <v>1089</v>
          </cell>
          <cell r="R101">
            <v>1285</v>
          </cell>
          <cell r="S101">
            <v>1497</v>
          </cell>
          <cell r="V101">
            <v>0</v>
          </cell>
        </row>
        <row r="102">
          <cell r="A102" t="str">
            <v xml:space="preserve">  VIP</v>
          </cell>
          <cell r="K102">
            <v>166</v>
          </cell>
          <cell r="L102">
            <v>266</v>
          </cell>
          <cell r="M102">
            <v>286</v>
          </cell>
          <cell r="N102">
            <v>286</v>
          </cell>
          <cell r="O102">
            <v>290</v>
          </cell>
          <cell r="P102">
            <v>299</v>
          </cell>
          <cell r="Q102">
            <v>299</v>
          </cell>
          <cell r="R102">
            <v>363</v>
          </cell>
          <cell r="S102">
            <v>428</v>
          </cell>
          <cell r="V102">
            <v>0</v>
          </cell>
        </row>
        <row r="103">
          <cell r="A103" t="str">
            <v>Slot Machines</v>
          </cell>
          <cell r="J103">
            <v>808</v>
          </cell>
          <cell r="K103">
            <v>814</v>
          </cell>
          <cell r="L103">
            <v>2254</v>
          </cell>
          <cell r="M103">
            <v>2777</v>
          </cell>
          <cell r="N103">
            <v>2772</v>
          </cell>
          <cell r="O103">
            <v>3082</v>
          </cell>
          <cell r="P103">
            <v>3421</v>
          </cell>
          <cell r="Q103">
            <v>3421</v>
          </cell>
          <cell r="R103">
            <v>4223</v>
          </cell>
          <cell r="S103">
            <v>4533</v>
          </cell>
          <cell r="T103">
            <v>5165</v>
          </cell>
          <cell r="U103">
            <v>5165</v>
          </cell>
          <cell r="V103">
            <v>5165</v>
          </cell>
        </row>
        <row r="104">
          <cell r="A104" t="str">
            <v>Pachinkos</v>
          </cell>
          <cell r="J104">
            <v>188</v>
          </cell>
          <cell r="K104">
            <v>188</v>
          </cell>
          <cell r="L104">
            <v>188</v>
          </cell>
        </row>
        <row r="106">
          <cell r="A106" t="str">
            <v>Total Casinos</v>
          </cell>
          <cell r="J106">
            <v>11</v>
          </cell>
          <cell r="K106">
            <v>11</v>
          </cell>
          <cell r="L106">
            <v>15</v>
          </cell>
          <cell r="M106">
            <v>17</v>
          </cell>
          <cell r="N106">
            <v>17</v>
          </cell>
          <cell r="O106">
            <v>16</v>
          </cell>
          <cell r="P106">
            <v>17</v>
          </cell>
          <cell r="Q106">
            <v>17</v>
          </cell>
          <cell r="R106">
            <v>19</v>
          </cell>
          <cell r="S106">
            <v>21</v>
          </cell>
          <cell r="T106">
            <v>22</v>
          </cell>
          <cell r="U106">
            <v>24</v>
          </cell>
          <cell r="V106">
            <v>24</v>
          </cell>
        </row>
        <row r="108">
          <cell r="A108" t="str">
            <v>Sources:</v>
          </cell>
        </row>
        <row r="109">
          <cell r="A109" t="str">
            <v>All</v>
          </cell>
          <cell r="B109" t="str">
            <v>DICJ</v>
          </cell>
        </row>
        <row r="110">
          <cell r="A110" t="str">
            <v>Mass market tables</v>
          </cell>
          <cell r="B110" t="str">
            <v>LVS</v>
          </cell>
        </row>
      </sheetData>
      <sheetData sheetId="18" refreshError="1"/>
      <sheetData sheetId="19" refreshError="1">
        <row r="1">
          <cell r="A1" t="str">
            <v>Province</v>
          </cell>
          <cell r="B1" t="str">
            <v>City</v>
          </cell>
          <cell r="C1" t="str">
            <v>Pop.</v>
          </cell>
          <cell r="D1" t="str">
            <v>Date</v>
          </cell>
        </row>
        <row r="2">
          <cell r="A2" t="str">
            <v>Municipalities</v>
          </cell>
          <cell r="B2" t="str">
            <v>Beijing</v>
          </cell>
          <cell r="C2">
            <v>13820000</v>
          </cell>
          <cell r="D2">
            <v>37865</v>
          </cell>
        </row>
        <row r="3">
          <cell r="A3" t="str">
            <v>Municipalities</v>
          </cell>
          <cell r="B3" t="str">
            <v>Shanghai</v>
          </cell>
          <cell r="C3">
            <v>17110000</v>
          </cell>
          <cell r="D3">
            <v>37865</v>
          </cell>
          <cell r="H3" t="str">
            <v>Date</v>
          </cell>
        </row>
        <row r="4">
          <cell r="A4" t="str">
            <v>Municipalities</v>
          </cell>
          <cell r="B4" t="str">
            <v>Tianjin</v>
          </cell>
          <cell r="C4">
            <v>10113000</v>
          </cell>
          <cell r="D4">
            <v>38412</v>
          </cell>
          <cell r="F4" t="str">
            <v>Province</v>
          </cell>
          <cell r="G4" t="str">
            <v>Category</v>
          </cell>
          <cell r="H4">
            <v>37803</v>
          </cell>
          <cell r="I4">
            <v>37865</v>
          </cell>
          <cell r="J4">
            <v>38108</v>
          </cell>
          <cell r="K4">
            <v>38169</v>
          </cell>
          <cell r="L4">
            <v>38412</v>
          </cell>
          <cell r="M4">
            <v>38657</v>
          </cell>
          <cell r="N4">
            <v>38838</v>
          </cell>
          <cell r="O4">
            <v>39089</v>
          </cell>
          <cell r="P4" t="str">
            <v>Total</v>
          </cell>
        </row>
        <row r="5">
          <cell r="A5" t="str">
            <v>Municipalities</v>
          </cell>
          <cell r="B5" t="str">
            <v>Chongging</v>
          </cell>
          <cell r="C5">
            <v>31300000</v>
          </cell>
          <cell r="D5">
            <v>38412</v>
          </cell>
          <cell r="F5" t="str">
            <v>Guangdong</v>
          </cell>
          <cell r="G5" t="str">
            <v>Population</v>
          </cell>
          <cell r="H5">
            <v>10170000</v>
          </cell>
          <cell r="I5">
            <v>12890000</v>
          </cell>
          <cell r="J5">
            <v>53910000</v>
          </cell>
          <cell r="P5">
            <v>76970000</v>
          </cell>
        </row>
        <row r="6">
          <cell r="A6" t="str">
            <v>Guangdong</v>
          </cell>
          <cell r="B6" t="str">
            <v>Zhongshan</v>
          </cell>
          <cell r="C6">
            <v>1380000</v>
          </cell>
          <cell r="D6">
            <v>37803</v>
          </cell>
          <cell r="G6" t="str">
            <v># of Cities</v>
          </cell>
          <cell r="H6">
            <v>4</v>
          </cell>
          <cell r="I6">
            <v>4</v>
          </cell>
          <cell r="J6">
            <v>13</v>
          </cell>
          <cell r="P6">
            <v>21</v>
          </cell>
        </row>
        <row r="7">
          <cell r="A7" t="str">
            <v>Guangdong</v>
          </cell>
          <cell r="B7" t="str">
            <v>Dongguan</v>
          </cell>
          <cell r="C7">
            <v>1590000</v>
          </cell>
          <cell r="D7">
            <v>37803</v>
          </cell>
          <cell r="F7" t="str">
            <v>Jiangsu</v>
          </cell>
          <cell r="G7" t="str">
            <v>Population</v>
          </cell>
          <cell r="K7">
            <v>16549700</v>
          </cell>
          <cell r="P7">
            <v>16549700</v>
          </cell>
        </row>
        <row r="8">
          <cell r="A8" t="str">
            <v>Guangdong</v>
          </cell>
          <cell r="B8" t="str">
            <v>Jiangmen</v>
          </cell>
          <cell r="C8">
            <v>3810000</v>
          </cell>
          <cell r="D8">
            <v>37803</v>
          </cell>
          <cell r="G8" t="str">
            <v># of Cities</v>
          </cell>
          <cell r="K8">
            <v>3</v>
          </cell>
          <cell r="P8">
            <v>3</v>
          </cell>
        </row>
        <row r="9">
          <cell r="A9" t="str">
            <v>Guangdong</v>
          </cell>
          <cell r="B9" t="str">
            <v>Foshan</v>
          </cell>
          <cell r="C9">
            <v>3390000</v>
          </cell>
          <cell r="D9">
            <v>37803</v>
          </cell>
          <cell r="F9" t="str">
            <v>Zhejiang</v>
          </cell>
          <cell r="G9" t="str">
            <v>Population</v>
          </cell>
          <cell r="K9">
            <v>17330000</v>
          </cell>
          <cell r="P9">
            <v>17330000</v>
          </cell>
        </row>
        <row r="10">
          <cell r="A10" t="str">
            <v>Guangdong</v>
          </cell>
          <cell r="B10" t="str">
            <v>Guangzhou</v>
          </cell>
          <cell r="C10">
            <v>7250000</v>
          </cell>
          <cell r="D10">
            <v>37865</v>
          </cell>
          <cell r="G10" t="str">
            <v># of Cities</v>
          </cell>
          <cell r="K10">
            <v>3</v>
          </cell>
          <cell r="P10">
            <v>3</v>
          </cell>
        </row>
        <row r="11">
          <cell r="A11" t="str">
            <v>Guangdong</v>
          </cell>
          <cell r="B11" t="str">
            <v>Huizhou</v>
          </cell>
          <cell r="C11">
            <v>2860000</v>
          </cell>
          <cell r="D11">
            <v>37865</v>
          </cell>
          <cell r="F11" t="str">
            <v>Fujian</v>
          </cell>
          <cell r="G11" t="str">
            <v>Population</v>
          </cell>
          <cell r="K11">
            <v>15722123</v>
          </cell>
          <cell r="P11">
            <v>15722123</v>
          </cell>
        </row>
        <row r="12">
          <cell r="A12" t="str">
            <v>Guangdong</v>
          </cell>
          <cell r="B12" t="str">
            <v>Shenzhen</v>
          </cell>
          <cell r="C12">
            <v>1500000</v>
          </cell>
          <cell r="D12">
            <v>37865</v>
          </cell>
          <cell r="G12" t="str">
            <v># of Cities</v>
          </cell>
          <cell r="K12">
            <v>3</v>
          </cell>
          <cell r="P12">
            <v>3</v>
          </cell>
        </row>
        <row r="13">
          <cell r="A13" t="str">
            <v>Guangdong</v>
          </cell>
          <cell r="B13" t="str">
            <v>Zhuhai</v>
          </cell>
          <cell r="C13">
            <v>1280000</v>
          </cell>
          <cell r="D13">
            <v>37865</v>
          </cell>
          <cell r="F13" t="str">
            <v>Municipalities</v>
          </cell>
          <cell r="G13" t="str">
            <v>Population</v>
          </cell>
          <cell r="I13">
            <v>30930000</v>
          </cell>
          <cell r="L13">
            <v>41413000</v>
          </cell>
          <cell r="P13">
            <v>72343000</v>
          </cell>
        </row>
        <row r="14">
          <cell r="A14" t="str">
            <v>Guangdong</v>
          </cell>
          <cell r="B14" t="str">
            <v>Chaozhou</v>
          </cell>
          <cell r="C14">
            <v>2490000</v>
          </cell>
          <cell r="D14">
            <v>38108</v>
          </cell>
          <cell r="G14" t="str">
            <v># of Cities</v>
          </cell>
          <cell r="I14">
            <v>2</v>
          </cell>
          <cell r="L14">
            <v>2</v>
          </cell>
          <cell r="P14">
            <v>4</v>
          </cell>
        </row>
        <row r="15">
          <cell r="A15" t="str">
            <v>Guangdong</v>
          </cell>
          <cell r="B15" t="str">
            <v>Heyuan</v>
          </cell>
          <cell r="C15">
            <v>3340000</v>
          </cell>
          <cell r="D15">
            <v>38108</v>
          </cell>
          <cell r="F15" t="str">
            <v>Liaoning</v>
          </cell>
          <cell r="G15" t="str">
            <v>Population</v>
          </cell>
          <cell r="M15">
            <v>13100000</v>
          </cell>
          <cell r="P15">
            <v>13100000</v>
          </cell>
        </row>
        <row r="16">
          <cell r="A16" t="str">
            <v>Guangdong</v>
          </cell>
          <cell r="B16" t="str">
            <v>Jieyang</v>
          </cell>
          <cell r="C16">
            <v>5900000</v>
          </cell>
          <cell r="D16">
            <v>38108</v>
          </cell>
          <cell r="G16" t="str">
            <v># of Cities</v>
          </cell>
          <cell r="M16">
            <v>2</v>
          </cell>
          <cell r="P16">
            <v>2</v>
          </cell>
        </row>
        <row r="17">
          <cell r="A17" t="str">
            <v>Guangdong</v>
          </cell>
          <cell r="B17" t="str">
            <v>Maoming</v>
          </cell>
          <cell r="C17">
            <v>6680000</v>
          </cell>
          <cell r="D17">
            <v>38108</v>
          </cell>
          <cell r="F17" t="str">
            <v>Shandong</v>
          </cell>
          <cell r="G17" t="str">
            <v>Population</v>
          </cell>
          <cell r="M17">
            <v>5900000</v>
          </cell>
          <cell r="P17">
            <v>5900000</v>
          </cell>
        </row>
        <row r="18">
          <cell r="A18" t="str">
            <v>Guangdong</v>
          </cell>
          <cell r="B18" t="str">
            <v>Meizhou</v>
          </cell>
          <cell r="C18">
            <v>4880000</v>
          </cell>
          <cell r="D18">
            <v>38108</v>
          </cell>
          <cell r="G18" t="str">
            <v># of Cities</v>
          </cell>
          <cell r="M18">
            <v>1</v>
          </cell>
          <cell r="P18">
            <v>1</v>
          </cell>
        </row>
        <row r="19">
          <cell r="A19" t="str">
            <v>Guangdong</v>
          </cell>
          <cell r="B19" t="str">
            <v>Qingyuan</v>
          </cell>
          <cell r="C19">
            <v>3870000</v>
          </cell>
          <cell r="D19">
            <v>38108</v>
          </cell>
          <cell r="F19" t="str">
            <v>Sichuan</v>
          </cell>
          <cell r="G19" t="str">
            <v>Population</v>
          </cell>
          <cell r="M19">
            <v>11200000</v>
          </cell>
          <cell r="P19">
            <v>11200000</v>
          </cell>
        </row>
        <row r="20">
          <cell r="A20" t="str">
            <v>Guangdong</v>
          </cell>
          <cell r="B20" t="str">
            <v>Shantou</v>
          </cell>
          <cell r="C20">
            <v>4850000</v>
          </cell>
          <cell r="D20">
            <v>38108</v>
          </cell>
          <cell r="G20" t="str">
            <v># of Cities</v>
          </cell>
          <cell r="M20">
            <v>1</v>
          </cell>
          <cell r="P20">
            <v>1</v>
          </cell>
        </row>
        <row r="21">
          <cell r="A21" t="str">
            <v>Guangdong</v>
          </cell>
          <cell r="B21" t="str">
            <v>Shanwei</v>
          </cell>
          <cell r="C21">
            <v>3060000</v>
          </cell>
          <cell r="D21">
            <v>38108</v>
          </cell>
          <cell r="F21" t="str">
            <v>Hunan</v>
          </cell>
          <cell r="G21" t="str">
            <v>Population</v>
          </cell>
          <cell r="N21">
            <v>2100000</v>
          </cell>
          <cell r="P21">
            <v>2100000</v>
          </cell>
        </row>
        <row r="22">
          <cell r="A22" t="str">
            <v>Guangdong</v>
          </cell>
          <cell r="B22" t="str">
            <v>Shaoguan</v>
          </cell>
          <cell r="C22">
            <v>3150000</v>
          </cell>
          <cell r="D22">
            <v>38108</v>
          </cell>
          <cell r="G22" t="str">
            <v># of Cities</v>
          </cell>
          <cell r="N22">
            <v>1</v>
          </cell>
          <cell r="P22">
            <v>1</v>
          </cell>
        </row>
        <row r="23">
          <cell r="A23" t="str">
            <v>Guangdong</v>
          </cell>
          <cell r="B23" t="str">
            <v>Yangjiang</v>
          </cell>
          <cell r="C23">
            <v>2580000</v>
          </cell>
          <cell r="D23">
            <v>38108</v>
          </cell>
          <cell r="F23" t="str">
            <v>Guangxi</v>
          </cell>
          <cell r="G23" t="str">
            <v>Population</v>
          </cell>
          <cell r="N23">
            <v>1400000</v>
          </cell>
          <cell r="P23">
            <v>1400000</v>
          </cell>
        </row>
        <row r="24">
          <cell r="A24" t="str">
            <v>Guangdong</v>
          </cell>
          <cell r="B24" t="str">
            <v>Yunfu</v>
          </cell>
          <cell r="C24">
            <v>2610000</v>
          </cell>
          <cell r="D24">
            <v>38108</v>
          </cell>
          <cell r="G24" t="str">
            <v># of Cities</v>
          </cell>
          <cell r="N24">
            <v>1</v>
          </cell>
          <cell r="P24">
            <v>1</v>
          </cell>
        </row>
        <row r="25">
          <cell r="A25" t="str">
            <v>Guangdong</v>
          </cell>
          <cell r="B25" t="str">
            <v>Zhanjiang</v>
          </cell>
          <cell r="C25">
            <v>6570000</v>
          </cell>
          <cell r="D25">
            <v>38108</v>
          </cell>
          <cell r="F25" t="str">
            <v>Hainan</v>
          </cell>
          <cell r="G25" t="str">
            <v>Population</v>
          </cell>
          <cell r="N25">
            <v>630000</v>
          </cell>
          <cell r="P25">
            <v>630000</v>
          </cell>
        </row>
        <row r="26">
          <cell r="A26" t="str">
            <v>Guangdong</v>
          </cell>
          <cell r="B26" t="str">
            <v>Zhaoqiang</v>
          </cell>
          <cell r="C26">
            <v>3930000</v>
          </cell>
          <cell r="D26">
            <v>38108</v>
          </cell>
          <cell r="G26" t="str">
            <v># of Cities</v>
          </cell>
          <cell r="N26">
            <v>1</v>
          </cell>
          <cell r="P26">
            <v>1</v>
          </cell>
        </row>
        <row r="27">
          <cell r="A27" t="str">
            <v>Jiangsu</v>
          </cell>
          <cell r="B27" t="str">
            <v>Nanjing</v>
          </cell>
          <cell r="C27">
            <v>6240000</v>
          </cell>
          <cell r="D27">
            <v>38169</v>
          </cell>
          <cell r="F27" t="str">
            <v>Yunnan</v>
          </cell>
          <cell r="G27" t="str">
            <v>Population</v>
          </cell>
          <cell r="N27">
            <v>5780000</v>
          </cell>
          <cell r="P27">
            <v>5780000</v>
          </cell>
        </row>
        <row r="28">
          <cell r="A28" t="str">
            <v>Jiangsu</v>
          </cell>
          <cell r="B28" t="str">
            <v>Suzhou</v>
          </cell>
          <cell r="C28">
            <v>5909700</v>
          </cell>
          <cell r="D28">
            <v>38169</v>
          </cell>
          <cell r="G28" t="str">
            <v># of Cities</v>
          </cell>
          <cell r="N28">
            <v>1</v>
          </cell>
          <cell r="P28">
            <v>1</v>
          </cell>
        </row>
        <row r="29">
          <cell r="A29" t="str">
            <v>Jiangsu</v>
          </cell>
          <cell r="B29" t="str">
            <v>Wuxi</v>
          </cell>
          <cell r="C29">
            <v>4400000</v>
          </cell>
          <cell r="D29">
            <v>38169</v>
          </cell>
          <cell r="F29" t="str">
            <v>Guizhou</v>
          </cell>
          <cell r="G29" t="str">
            <v>Population</v>
          </cell>
          <cell r="N29">
            <v>3300000</v>
          </cell>
          <cell r="P29">
            <v>3300000</v>
          </cell>
        </row>
        <row r="30">
          <cell r="A30" t="str">
            <v>Zhejiang</v>
          </cell>
          <cell r="B30" t="str">
            <v>Hangzhou</v>
          </cell>
          <cell r="C30">
            <v>6370000</v>
          </cell>
          <cell r="D30">
            <v>38169</v>
          </cell>
          <cell r="G30" t="str">
            <v># of Cities</v>
          </cell>
          <cell r="N30">
            <v>1</v>
          </cell>
          <cell r="P30">
            <v>1</v>
          </cell>
        </row>
        <row r="31">
          <cell r="A31" t="str">
            <v>Zhejiang</v>
          </cell>
          <cell r="B31" t="str">
            <v>Ningbo</v>
          </cell>
          <cell r="C31">
            <v>5490000</v>
          </cell>
          <cell r="D31">
            <v>38169</v>
          </cell>
          <cell r="F31" t="str">
            <v>Jiangxi</v>
          </cell>
          <cell r="G31" t="str">
            <v>Population</v>
          </cell>
          <cell r="N31">
            <v>2000000</v>
          </cell>
          <cell r="P31">
            <v>2000000</v>
          </cell>
        </row>
        <row r="32">
          <cell r="A32" t="str">
            <v>Zhejiang</v>
          </cell>
          <cell r="B32" t="str">
            <v>Taizhou</v>
          </cell>
          <cell r="C32">
            <v>5470000</v>
          </cell>
          <cell r="D32">
            <v>38169</v>
          </cell>
          <cell r="G32" t="str">
            <v># of Cities</v>
          </cell>
          <cell r="N32">
            <v>1</v>
          </cell>
          <cell r="P32">
            <v>1</v>
          </cell>
        </row>
        <row r="33">
          <cell r="A33" t="str">
            <v>Fujian</v>
          </cell>
          <cell r="B33" t="str">
            <v>Fuzhou</v>
          </cell>
          <cell r="C33">
            <v>6386013</v>
          </cell>
          <cell r="D33">
            <v>38169</v>
          </cell>
          <cell r="F33" t="str">
            <v>Hebei</v>
          </cell>
          <cell r="G33" t="str">
            <v>Population</v>
          </cell>
          <cell r="O33">
            <v>9000000</v>
          </cell>
          <cell r="P33">
            <v>9000000</v>
          </cell>
        </row>
        <row r="34">
          <cell r="A34" t="str">
            <v>Fujian</v>
          </cell>
          <cell r="B34" t="str">
            <v>Xiamen</v>
          </cell>
          <cell r="C34">
            <v>2053070</v>
          </cell>
          <cell r="D34">
            <v>38169</v>
          </cell>
          <cell r="G34" t="str">
            <v># of Cities</v>
          </cell>
          <cell r="O34">
            <v>1</v>
          </cell>
          <cell r="P34">
            <v>1</v>
          </cell>
        </row>
        <row r="35">
          <cell r="A35" t="str">
            <v>Fujian</v>
          </cell>
          <cell r="B35" t="str">
            <v>Quanzhou</v>
          </cell>
          <cell r="C35">
            <v>7283040</v>
          </cell>
          <cell r="D35">
            <v>38169</v>
          </cell>
          <cell r="F35" t="str">
            <v>Henan</v>
          </cell>
          <cell r="G35" t="str">
            <v>Population</v>
          </cell>
          <cell r="O35">
            <v>7082000</v>
          </cell>
          <cell r="P35">
            <v>7082000</v>
          </cell>
        </row>
        <row r="36">
          <cell r="A36" t="str">
            <v>Liaoning</v>
          </cell>
          <cell r="B36" t="str">
            <v>Shenyang</v>
          </cell>
          <cell r="C36">
            <v>7200000</v>
          </cell>
          <cell r="D36">
            <v>38657</v>
          </cell>
          <cell r="G36" t="str">
            <v># of Cities</v>
          </cell>
          <cell r="O36">
            <v>1</v>
          </cell>
          <cell r="P36">
            <v>1</v>
          </cell>
        </row>
        <row r="37">
          <cell r="A37" t="str">
            <v>Liaoning</v>
          </cell>
          <cell r="B37" t="str">
            <v>Dalian</v>
          </cell>
          <cell r="C37">
            <v>5900000</v>
          </cell>
          <cell r="D37">
            <v>38657</v>
          </cell>
          <cell r="F37" t="str">
            <v>Jilin</v>
          </cell>
          <cell r="G37" t="str">
            <v>Population</v>
          </cell>
          <cell r="O37">
            <v>6830000</v>
          </cell>
          <cell r="P37">
            <v>6830000</v>
          </cell>
        </row>
        <row r="38">
          <cell r="A38" t="str">
            <v>Shandong</v>
          </cell>
          <cell r="B38" t="str">
            <v>Jinan</v>
          </cell>
          <cell r="C38">
            <v>5900000</v>
          </cell>
          <cell r="D38">
            <v>38657</v>
          </cell>
          <cell r="G38" t="str">
            <v># of Cities</v>
          </cell>
          <cell r="O38">
            <v>1</v>
          </cell>
          <cell r="P38">
            <v>1</v>
          </cell>
        </row>
        <row r="39">
          <cell r="A39" t="str">
            <v>Sichuan</v>
          </cell>
          <cell r="B39" t="str">
            <v>Chengdu</v>
          </cell>
          <cell r="C39">
            <v>11200000</v>
          </cell>
          <cell r="D39">
            <v>38657</v>
          </cell>
          <cell r="F39" t="str">
            <v>Anhui</v>
          </cell>
          <cell r="G39" t="str">
            <v>Population</v>
          </cell>
          <cell r="O39">
            <v>4446800</v>
          </cell>
          <cell r="P39">
            <v>4446800</v>
          </cell>
        </row>
        <row r="40">
          <cell r="A40" t="str">
            <v>Jiangxi</v>
          </cell>
          <cell r="B40" t="str">
            <v>Nanchang</v>
          </cell>
          <cell r="C40">
            <v>2000000</v>
          </cell>
          <cell r="D40">
            <v>38838</v>
          </cell>
          <cell r="G40" t="str">
            <v># of Cities</v>
          </cell>
          <cell r="O40">
            <v>1</v>
          </cell>
          <cell r="P40">
            <v>1</v>
          </cell>
        </row>
        <row r="41">
          <cell r="A41" t="str">
            <v>Hunan</v>
          </cell>
          <cell r="B41" t="str">
            <v>Changsha</v>
          </cell>
          <cell r="C41">
            <v>2100000</v>
          </cell>
          <cell r="D41">
            <v>38838</v>
          </cell>
          <cell r="E41" t="str">
            <v>http://www.world-gazetteer.com/wg.php?x=&amp;men=gcis&amp;lng=en&amp;dat=32&amp;srt=npan&amp;col=aohdq&amp;geo=-54</v>
          </cell>
          <cell r="F41" t="str">
            <v>Hubei</v>
          </cell>
          <cell r="G41" t="str">
            <v>Population</v>
          </cell>
          <cell r="O41">
            <v>9100000</v>
          </cell>
          <cell r="P41">
            <v>9100000</v>
          </cell>
        </row>
        <row r="42">
          <cell r="A42" t="str">
            <v>Guangxi</v>
          </cell>
          <cell r="B42" t="str">
            <v>Nanning</v>
          </cell>
          <cell r="C42">
            <v>1400000</v>
          </cell>
          <cell r="D42">
            <v>38838</v>
          </cell>
          <cell r="G42" t="str">
            <v># of Cities</v>
          </cell>
          <cell r="O42">
            <v>1</v>
          </cell>
          <cell r="P42">
            <v>1</v>
          </cell>
        </row>
        <row r="43">
          <cell r="A43" t="str">
            <v>Hainan</v>
          </cell>
          <cell r="B43" t="str">
            <v>Haikou</v>
          </cell>
          <cell r="C43">
            <v>630000</v>
          </cell>
          <cell r="D43">
            <v>38838</v>
          </cell>
          <cell r="F43" t="str">
            <v>Total Population</v>
          </cell>
          <cell r="H43">
            <v>10170000</v>
          </cell>
          <cell r="I43">
            <v>43820000</v>
          </cell>
          <cell r="J43">
            <v>53910000</v>
          </cell>
          <cell r="K43">
            <v>49601823</v>
          </cell>
          <cell r="L43">
            <v>41413000</v>
          </cell>
          <cell r="M43">
            <v>30200000</v>
          </cell>
          <cell r="N43">
            <v>15210000</v>
          </cell>
          <cell r="O43">
            <v>36458800</v>
          </cell>
          <cell r="P43">
            <v>280783623</v>
          </cell>
        </row>
        <row r="44">
          <cell r="A44" t="str">
            <v>Yunnan</v>
          </cell>
          <cell r="B44" t="str">
            <v>Kunming</v>
          </cell>
          <cell r="C44">
            <v>5780000</v>
          </cell>
          <cell r="D44">
            <v>38838</v>
          </cell>
          <cell r="F44" t="str">
            <v>Total # of Cities</v>
          </cell>
          <cell r="H44">
            <v>4</v>
          </cell>
          <cell r="I44">
            <v>6</v>
          </cell>
          <cell r="J44">
            <v>13</v>
          </cell>
          <cell r="K44">
            <v>9</v>
          </cell>
          <cell r="L44">
            <v>2</v>
          </cell>
          <cell r="M44">
            <v>4</v>
          </cell>
          <cell r="N44">
            <v>6</v>
          </cell>
          <cell r="O44">
            <v>5</v>
          </cell>
          <cell r="P44">
            <v>49</v>
          </cell>
        </row>
        <row r="45">
          <cell r="A45" t="str">
            <v>Guizhou</v>
          </cell>
          <cell r="B45" t="str">
            <v xml:space="preserve">Guiyang </v>
          </cell>
          <cell r="C45">
            <v>3300000</v>
          </cell>
          <cell r="D45">
            <v>38838</v>
          </cell>
        </row>
        <row r="46">
          <cell r="A46" t="str">
            <v>Hebei</v>
          </cell>
          <cell r="B46" t="str">
            <v>Shijiazhuang</v>
          </cell>
          <cell r="C46">
            <v>9000000</v>
          </cell>
          <cell r="D46">
            <v>39089</v>
          </cell>
          <cell r="E46" t="str">
            <v>http://en.wikipedia.org</v>
          </cell>
        </row>
        <row r="47">
          <cell r="A47" t="str">
            <v>Henan</v>
          </cell>
          <cell r="B47" t="str">
            <v>Zhengzhou</v>
          </cell>
          <cell r="C47">
            <v>7082000</v>
          </cell>
          <cell r="D47">
            <v>39089</v>
          </cell>
          <cell r="E47" t="str">
            <v>http://en.wikipedia.org</v>
          </cell>
        </row>
        <row r="48">
          <cell r="A48" t="str">
            <v>Jilin</v>
          </cell>
          <cell r="B48" t="str">
            <v>Changchun</v>
          </cell>
          <cell r="C48">
            <v>6830000</v>
          </cell>
          <cell r="D48">
            <v>39089</v>
          </cell>
          <cell r="E48" t="str">
            <v>http://en.wikipedia.org</v>
          </cell>
        </row>
        <row r="49">
          <cell r="A49" t="str">
            <v>Anhui</v>
          </cell>
          <cell r="B49" t="str">
            <v>Hefei</v>
          </cell>
          <cell r="C49">
            <v>4446800</v>
          </cell>
          <cell r="D49">
            <v>39089</v>
          </cell>
          <cell r="E49" t="str">
            <v>http://en.wikipedia.org</v>
          </cell>
        </row>
        <row r="50">
          <cell r="A50" t="str">
            <v>Hubei</v>
          </cell>
          <cell r="B50" t="str">
            <v>Wuhan</v>
          </cell>
          <cell r="C50">
            <v>9100000</v>
          </cell>
          <cell r="D50">
            <v>39089</v>
          </cell>
          <cell r="E50" t="str">
            <v>http://en.wikipedia.org</v>
          </cell>
          <cell r="F50" t="str">
            <v>Cummulative Population</v>
          </cell>
          <cell r="H50">
            <v>10170</v>
          </cell>
          <cell r="I50">
            <v>53990</v>
          </cell>
          <cell r="J50">
            <v>107900</v>
          </cell>
          <cell r="K50">
            <v>157501.823</v>
          </cell>
          <cell r="L50">
            <v>198914.823</v>
          </cell>
          <cell r="M50">
            <v>229114.823</v>
          </cell>
          <cell r="N50">
            <v>244324.823</v>
          </cell>
          <cell r="O50">
            <v>280783.62300000002</v>
          </cell>
        </row>
        <row r="51">
          <cell r="F51" t="str">
            <v>Growth in Covered Population</v>
          </cell>
          <cell r="I51">
            <v>4.3087512291052112</v>
          </cell>
          <cell r="J51">
            <v>0.99851824411928125</v>
          </cell>
          <cell r="K51">
            <v>0.45970178869323441</v>
          </cell>
          <cell r="L51">
            <v>0.26293663915242438</v>
          </cell>
          <cell r="M51">
            <v>0.15182377836165584</v>
          </cell>
          <cell r="N51">
            <v>6.6385927374066123E-2</v>
          </cell>
          <cell r="O51">
            <v>0.14922266003237827</v>
          </cell>
        </row>
        <row r="53">
          <cell r="A53" t="str">
            <v>2 hour  flight</v>
          </cell>
        </row>
        <row r="54">
          <cell r="A54" t="str">
            <v>Guangxi</v>
          </cell>
          <cell r="B54">
            <v>48.57</v>
          </cell>
        </row>
        <row r="55">
          <cell r="A55" t="str">
            <v>Guangdong</v>
          </cell>
          <cell r="B55">
            <v>79.540000000000006</v>
          </cell>
        </row>
        <row r="56">
          <cell r="A56" t="str">
            <v>Fujian</v>
          </cell>
          <cell r="B56">
            <v>34.880000000000003</v>
          </cell>
          <cell r="G56">
            <v>37803</v>
          </cell>
          <cell r="H56">
            <v>37865</v>
          </cell>
          <cell r="I56">
            <v>38108</v>
          </cell>
          <cell r="J56">
            <v>38169</v>
          </cell>
          <cell r="K56">
            <v>38412</v>
          </cell>
          <cell r="L56">
            <v>38657</v>
          </cell>
          <cell r="M56">
            <v>38838</v>
          </cell>
        </row>
        <row r="57">
          <cell r="A57" t="str">
            <v>Zhejiang</v>
          </cell>
          <cell r="B57">
            <v>46.8</v>
          </cell>
          <cell r="F57" t="str">
            <v>Guangdong</v>
          </cell>
          <cell r="G57">
            <v>10170000</v>
          </cell>
          <cell r="H57">
            <v>23060000</v>
          </cell>
          <cell r="I57">
            <v>76970000</v>
          </cell>
          <cell r="J57">
            <v>76970000</v>
          </cell>
          <cell r="K57">
            <v>76970000</v>
          </cell>
          <cell r="L57">
            <v>76970000</v>
          </cell>
          <cell r="M57">
            <v>76970000</v>
          </cell>
          <cell r="N57">
            <v>76.97</v>
          </cell>
          <cell r="O57">
            <v>0</v>
          </cell>
        </row>
        <row r="58">
          <cell r="A58" t="str">
            <v>Jiangxi</v>
          </cell>
          <cell r="B58">
            <v>42.54</v>
          </cell>
          <cell r="F58" t="str">
            <v>Jiangsu</v>
          </cell>
          <cell r="G58">
            <v>0</v>
          </cell>
          <cell r="H58">
            <v>0</v>
          </cell>
          <cell r="I58">
            <v>0</v>
          </cell>
          <cell r="J58">
            <v>16549700</v>
          </cell>
          <cell r="K58">
            <v>16549700</v>
          </cell>
          <cell r="L58">
            <v>16549700</v>
          </cell>
          <cell r="M58">
            <v>16549700</v>
          </cell>
          <cell r="N58">
            <v>16.549700000000001</v>
          </cell>
          <cell r="O58">
            <v>10</v>
          </cell>
          <cell r="P58" t="e">
            <v>#REF!</v>
          </cell>
        </row>
        <row r="59">
          <cell r="A59" t="str">
            <v>Hunan</v>
          </cell>
          <cell r="B59">
            <v>66.63</v>
          </cell>
          <cell r="F59" t="str">
            <v>Zhejiang</v>
          </cell>
          <cell r="G59">
            <v>0</v>
          </cell>
          <cell r="H59">
            <v>0</v>
          </cell>
          <cell r="I59">
            <v>0</v>
          </cell>
          <cell r="J59">
            <v>17330000</v>
          </cell>
          <cell r="K59">
            <v>17330000</v>
          </cell>
          <cell r="L59">
            <v>17330000</v>
          </cell>
          <cell r="M59">
            <v>17330000</v>
          </cell>
          <cell r="N59">
            <v>17.329999999999998</v>
          </cell>
          <cell r="O59">
            <v>20</v>
          </cell>
          <cell r="P59" t="e">
            <v>#REF!</v>
          </cell>
        </row>
        <row r="60">
          <cell r="A60" t="str">
            <v>Guizhou</v>
          </cell>
          <cell r="B60">
            <v>38.700000000000003</v>
          </cell>
          <cell r="F60" t="str">
            <v>Fujian</v>
          </cell>
          <cell r="G60">
            <v>0</v>
          </cell>
          <cell r="H60">
            <v>0</v>
          </cell>
          <cell r="I60">
            <v>0</v>
          </cell>
          <cell r="J60">
            <v>15722123</v>
          </cell>
          <cell r="K60">
            <v>15722123</v>
          </cell>
          <cell r="L60">
            <v>15722123</v>
          </cell>
          <cell r="M60">
            <v>15722123</v>
          </cell>
          <cell r="N60">
            <v>15.722123</v>
          </cell>
          <cell r="P60" t="e">
            <v>#REF!</v>
          </cell>
        </row>
        <row r="61">
          <cell r="A61" t="str">
            <v>Hainan</v>
          </cell>
          <cell r="B61">
            <v>8.11</v>
          </cell>
          <cell r="F61" t="str">
            <v>Municipalities</v>
          </cell>
          <cell r="G61">
            <v>0</v>
          </cell>
          <cell r="H61">
            <v>30930000</v>
          </cell>
          <cell r="I61">
            <v>30930000</v>
          </cell>
          <cell r="J61">
            <v>30930000</v>
          </cell>
          <cell r="K61">
            <v>72343000</v>
          </cell>
          <cell r="L61">
            <v>72343000</v>
          </cell>
          <cell r="M61">
            <v>72343000</v>
          </cell>
          <cell r="N61">
            <v>72.343000000000004</v>
          </cell>
        </row>
        <row r="62">
          <cell r="A62" t="str">
            <v>Hubei</v>
          </cell>
          <cell r="B62">
            <v>60.02</v>
          </cell>
          <cell r="F62" t="str">
            <v>Liaoning</v>
          </cell>
          <cell r="G62">
            <v>0</v>
          </cell>
          <cell r="H62">
            <v>0</v>
          </cell>
          <cell r="I62">
            <v>0</v>
          </cell>
          <cell r="J62">
            <v>0</v>
          </cell>
          <cell r="K62">
            <v>0</v>
          </cell>
          <cell r="L62">
            <v>13100000</v>
          </cell>
          <cell r="M62">
            <v>13100000</v>
          </cell>
          <cell r="N62">
            <v>13.1</v>
          </cell>
        </row>
        <row r="63">
          <cell r="A63" t="str">
            <v>Chongqing</v>
          </cell>
          <cell r="B63">
            <v>31.3</v>
          </cell>
          <cell r="F63" t="str">
            <v>Sichuan</v>
          </cell>
          <cell r="G63">
            <v>0</v>
          </cell>
          <cell r="H63">
            <v>0</v>
          </cell>
          <cell r="I63">
            <v>0</v>
          </cell>
          <cell r="J63">
            <v>0</v>
          </cell>
          <cell r="K63">
            <v>0</v>
          </cell>
          <cell r="L63">
            <v>11200000</v>
          </cell>
          <cell r="M63">
            <v>11200000</v>
          </cell>
          <cell r="N63">
            <v>11.2</v>
          </cell>
        </row>
        <row r="64">
          <cell r="F64" t="str">
            <v>Shandong</v>
          </cell>
          <cell r="G64">
            <v>0</v>
          </cell>
          <cell r="H64">
            <v>0</v>
          </cell>
          <cell r="I64">
            <v>0</v>
          </cell>
          <cell r="J64">
            <v>0</v>
          </cell>
          <cell r="K64">
            <v>0</v>
          </cell>
          <cell r="L64">
            <v>5900000</v>
          </cell>
          <cell r="M64">
            <v>5900000</v>
          </cell>
          <cell r="N64">
            <v>5.9</v>
          </cell>
        </row>
        <row r="65">
          <cell r="A65" t="str">
            <v>3 hour flight</v>
          </cell>
          <cell r="F65" t="str">
            <v xml:space="preserve">Jiangxi </v>
          </cell>
          <cell r="G65" t="e">
            <v>#REF!</v>
          </cell>
          <cell r="H65" t="e">
            <v>#REF!</v>
          </cell>
          <cell r="I65" t="e">
            <v>#REF!</v>
          </cell>
          <cell r="J65" t="e">
            <v>#REF!</v>
          </cell>
          <cell r="K65" t="e">
            <v>#REF!</v>
          </cell>
          <cell r="L65" t="e">
            <v>#REF!</v>
          </cell>
          <cell r="M65" t="e">
            <v>#REF!</v>
          </cell>
          <cell r="N65" t="e">
            <v>#REF!</v>
          </cell>
        </row>
        <row r="66">
          <cell r="A66" t="str">
            <v>Shanghai</v>
          </cell>
          <cell r="B66">
            <v>17.11</v>
          </cell>
          <cell r="F66" t="str">
            <v>Hunan</v>
          </cell>
          <cell r="G66">
            <v>0</v>
          </cell>
          <cell r="H66">
            <v>0</v>
          </cell>
          <cell r="I66">
            <v>0</v>
          </cell>
          <cell r="J66">
            <v>0</v>
          </cell>
          <cell r="K66">
            <v>0</v>
          </cell>
          <cell r="L66">
            <v>0</v>
          </cell>
          <cell r="M66">
            <v>2100000</v>
          </cell>
          <cell r="N66">
            <v>2.1</v>
          </cell>
        </row>
        <row r="67">
          <cell r="A67" t="str">
            <v>Jiangsu</v>
          </cell>
          <cell r="B67">
            <v>74.06</v>
          </cell>
          <cell r="F67" t="str">
            <v>Guangxi</v>
          </cell>
          <cell r="G67">
            <v>0</v>
          </cell>
          <cell r="H67">
            <v>0</v>
          </cell>
          <cell r="I67">
            <v>0</v>
          </cell>
          <cell r="J67">
            <v>0</v>
          </cell>
          <cell r="K67">
            <v>0</v>
          </cell>
          <cell r="L67">
            <v>0</v>
          </cell>
          <cell r="M67">
            <v>1400000</v>
          </cell>
          <cell r="N67">
            <v>1.4</v>
          </cell>
        </row>
        <row r="68">
          <cell r="A68" t="str">
            <v>Anhui</v>
          </cell>
          <cell r="B68">
            <v>64.099999999999994</v>
          </cell>
          <cell r="F68" t="str">
            <v>Hainan</v>
          </cell>
          <cell r="G68">
            <v>0</v>
          </cell>
          <cell r="H68">
            <v>0</v>
          </cell>
          <cell r="I68">
            <v>0</v>
          </cell>
          <cell r="J68">
            <v>0</v>
          </cell>
          <cell r="K68">
            <v>0</v>
          </cell>
          <cell r="L68">
            <v>0</v>
          </cell>
          <cell r="M68">
            <v>630000</v>
          </cell>
          <cell r="N68">
            <v>0.63</v>
          </cell>
        </row>
        <row r="69">
          <cell r="A69" t="str">
            <v>Henan</v>
          </cell>
          <cell r="B69">
            <v>96.67</v>
          </cell>
          <cell r="F69" t="str">
            <v>Yunnan</v>
          </cell>
          <cell r="G69">
            <v>0</v>
          </cell>
          <cell r="H69">
            <v>0</v>
          </cell>
          <cell r="I69">
            <v>0</v>
          </cell>
          <cell r="J69">
            <v>0</v>
          </cell>
          <cell r="K69">
            <v>0</v>
          </cell>
          <cell r="L69">
            <v>0</v>
          </cell>
          <cell r="M69">
            <v>5780000</v>
          </cell>
          <cell r="N69">
            <v>5.78</v>
          </cell>
        </row>
        <row r="70">
          <cell r="A70" t="str">
            <v>Shangdong</v>
          </cell>
          <cell r="B70">
            <v>91.25</v>
          </cell>
          <cell r="F70" t="str">
            <v>Guizhou</v>
          </cell>
          <cell r="G70">
            <v>0</v>
          </cell>
          <cell r="H70">
            <v>0</v>
          </cell>
          <cell r="I70">
            <v>0</v>
          </cell>
          <cell r="J70">
            <v>0</v>
          </cell>
          <cell r="K70">
            <v>0</v>
          </cell>
          <cell r="L70">
            <v>0</v>
          </cell>
          <cell r="M70">
            <v>3300000</v>
          </cell>
          <cell r="N70">
            <v>3.3</v>
          </cell>
        </row>
        <row r="71">
          <cell r="A71" t="str">
            <v>Tianjin</v>
          </cell>
          <cell r="B71">
            <v>10.11</v>
          </cell>
          <cell r="F71" t="str">
            <v>Other</v>
          </cell>
          <cell r="G71" t="e">
            <v>#REF!</v>
          </cell>
          <cell r="H71" t="e">
            <v>#REF!</v>
          </cell>
          <cell r="I71" t="e">
            <v>#REF!</v>
          </cell>
          <cell r="J71" t="e">
            <v>#REF!</v>
          </cell>
          <cell r="K71" t="e">
            <v>#REF!</v>
          </cell>
          <cell r="L71" t="e">
            <v>#REF!</v>
          </cell>
          <cell r="M71" t="e">
            <v>#REF!</v>
          </cell>
        </row>
        <row r="72">
          <cell r="A72" t="str">
            <v>Shanxi</v>
          </cell>
          <cell r="B72">
            <v>33.14</v>
          </cell>
        </row>
        <row r="73">
          <cell r="A73" t="str">
            <v>Shaanxi</v>
          </cell>
          <cell r="B73">
            <v>36.9</v>
          </cell>
        </row>
        <row r="74">
          <cell r="A74" t="str">
            <v>Ningxia</v>
          </cell>
          <cell r="B74">
            <v>5.8</v>
          </cell>
        </row>
        <row r="75">
          <cell r="A75" t="str">
            <v>Sichuan</v>
          </cell>
          <cell r="B75">
            <v>87</v>
          </cell>
        </row>
        <row r="76">
          <cell r="A76" t="str">
            <v>Yunnan</v>
          </cell>
          <cell r="B76">
            <v>43.76</v>
          </cell>
        </row>
        <row r="77">
          <cell r="A77" t="str">
            <v>Hebei</v>
          </cell>
          <cell r="B77">
            <v>67.69</v>
          </cell>
        </row>
        <row r="78">
          <cell r="A78" t="str">
            <v>Beijing</v>
          </cell>
          <cell r="B78">
            <v>14.56</v>
          </cell>
        </row>
        <row r="80">
          <cell r="A80" t="str">
            <v>Other</v>
          </cell>
        </row>
        <row r="81">
          <cell r="A81" t="str">
            <v>Inner Mongolia</v>
          </cell>
          <cell r="B81">
            <v>23.8</v>
          </cell>
        </row>
        <row r="82">
          <cell r="A82" t="str">
            <v>Liaoning</v>
          </cell>
          <cell r="B82">
            <v>42.1</v>
          </cell>
        </row>
        <row r="83">
          <cell r="A83" t="str">
            <v>Jilin</v>
          </cell>
          <cell r="B83">
            <v>27.04</v>
          </cell>
        </row>
        <row r="84">
          <cell r="A84" t="str">
            <v>Heilongjiang</v>
          </cell>
          <cell r="B84">
            <v>38.15</v>
          </cell>
        </row>
        <row r="85">
          <cell r="A85" t="str">
            <v>Tibet</v>
          </cell>
          <cell r="B85">
            <v>2.7</v>
          </cell>
        </row>
        <row r="86">
          <cell r="A86" t="str">
            <v>Gansu</v>
          </cell>
          <cell r="B86">
            <v>26.03</v>
          </cell>
        </row>
        <row r="87">
          <cell r="A87" t="str">
            <v>Qinghai</v>
          </cell>
          <cell r="B87">
            <v>5.34</v>
          </cell>
        </row>
        <row r="88">
          <cell r="A88" t="str">
            <v>Xinjiang</v>
          </cell>
          <cell r="B88">
            <v>19.34</v>
          </cell>
        </row>
        <row r="89">
          <cell r="A89" t="str">
            <v>Other</v>
          </cell>
          <cell r="B89">
            <v>57.100000000000364</v>
          </cell>
        </row>
      </sheetData>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TSI"/>
      <sheetName val="Interface"/>
      <sheetName val="Page Sizes"/>
      <sheetName val="Sample Layout"/>
      <sheetName val="Rate hike"/>
    </sheetNames>
    <sheetDataSet>
      <sheetData sheetId="0" refreshError="1"/>
      <sheetData sheetId="1" refreshError="1"/>
      <sheetData sheetId="2" refreshError="1"/>
      <sheetData sheetId="3" refreshError="1"/>
      <sheetData sheetId="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alpr"/>
      <sheetName val="PE1_S"/>
      <sheetName val="BALSHT_S"/>
    </sheetNames>
    <sheetDataSet>
      <sheetData sheetId="0" refreshError="1"/>
      <sheetData sheetId="1" refreshError="1"/>
      <sheetData sheetId="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UST_TPLATE"/>
      <sheetName val="TPLATE_VALID"/>
      <sheetName val="WES"/>
      <sheetName val="Output"/>
      <sheetName val="Model"/>
      <sheetName val="Rail"/>
      <sheetName val="Bunnings"/>
      <sheetName val="Fert. &amp; Chem."/>
      <sheetName val="Energy"/>
      <sheetName val="Rural"/>
      <sheetName val="Div_Val"/>
      <sheetName val="DCF"/>
      <sheetName val="EVA"/>
      <sheetName val="WACC"/>
      <sheetName val="AVA"/>
    </sheetNames>
    <sheetDataSet>
      <sheetData sheetId="0" refreshError="1"/>
      <sheetData sheetId="1" refreshError="1"/>
      <sheetData sheetId="2" refreshError="1"/>
      <sheetData sheetId="3" refreshError="1"/>
      <sheetData sheetId="4" refreshError="1"/>
      <sheetData sheetId="5" refreshError="1"/>
      <sheetData sheetId="6" refreshError="1">
        <row r="102">
          <cell r="G102">
            <v>3</v>
          </cell>
        </row>
      </sheetData>
      <sheetData sheetId="7" refreshError="1">
        <row r="8">
          <cell r="J8">
            <v>407.40000000000003</v>
          </cell>
        </row>
        <row r="35">
          <cell r="A35" t="str">
            <v>Chemical Sales</v>
          </cell>
        </row>
      </sheetData>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01"/>
      <sheetName val="ch01i"/>
      <sheetName val="ch9801i"/>
      <sheetName val="ch0001i"/>
      <sheetName val="Sheet1"/>
      <sheetName val="ch98-01"/>
      <sheetName val="ch98-01i"/>
      <sheetName val="ch00-01i"/>
      <sheetName val="ch_DIESELi"/>
      <sheetName val="ch_daily (ptte)"/>
      <sheetName val="working"/>
      <sheetName val="bloomberg"/>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35796</v>
          </cell>
          <cell r="D3">
            <v>35796</v>
          </cell>
          <cell r="G3">
            <v>35796</v>
          </cell>
          <cell r="J3">
            <v>35796</v>
          </cell>
          <cell r="M3">
            <v>35796</v>
          </cell>
          <cell r="P3">
            <v>35796</v>
          </cell>
        </row>
      </sheetData>
      <sheetData sheetId="1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ystal_Reports"/>
      <sheetName val="Tonnage_and_Liability"/>
      <sheetName val="Graphs"/>
      <sheetName val="RTG"/>
      <sheetName val="Graph-Data"/>
      <sheetName val="0"/>
      <sheetName val="1"/>
      <sheetName val="2"/>
      <sheetName val="3"/>
      <sheetName val="4"/>
      <sheetName val="5"/>
      <sheetName val="6"/>
      <sheetName val="7"/>
      <sheetName val="Notes_(Ross)"/>
      <sheetName val="Rev4"/>
      <sheetName val="Stats4"/>
      <sheetName val="Old_Comments"/>
      <sheetName val="#REF"/>
      <sheetName val="Notes_(Ross)1"/>
      <sheetName val="Old_Comments1"/>
      <sheetName val="Notes (Ross)"/>
      <sheetName val="Old Comme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sheetData sheetId="17" refreshError="1"/>
      <sheetData sheetId="18"/>
      <sheetData sheetId="19"/>
      <sheetData sheetId="20" refreshError="1"/>
      <sheetData sheetId="2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ATE_FUNCS"/>
      <sheetName val="INDUST_TPLATE"/>
      <sheetName val="TPLATE_VALID"/>
      <sheetName val="C_flow_EPS"/>
      <sheetName val="P&amp;L"/>
      <sheetName val="Bunnings"/>
      <sheetName val="B_Sheet"/>
      <sheetName val="Int_Rec"/>
      <sheetName val="Div_Charts"/>
      <sheetName val="DIVIS"/>
      <sheetName val="EVA"/>
      <sheetName val="Div_Value"/>
      <sheetName val="DCF"/>
      <sheetName val="WACC"/>
      <sheetName val="EVA_Macro"/>
      <sheetName val="Div_Details"/>
      <sheetName val="Fert. &amp; Chem."/>
      <sheetName val="Energy"/>
      <sheetName val="H_Ware_C1"/>
      <sheetName val="Chip"/>
      <sheetName val="Rural"/>
      <sheetName val="WESAMP"/>
      <sheetName val="WES"/>
      <sheetName val="FIF"/>
      <sheetName val="EVA_Chart"/>
      <sheetName val="EVA_D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7">
          <cell r="A17" t="str">
            <v>Price ($/t)</v>
          </cell>
        </row>
        <row r="18">
          <cell r="A18" t="str">
            <v>SSP + trace</v>
          </cell>
          <cell r="B18">
            <v>165</v>
          </cell>
          <cell r="C18">
            <v>170</v>
          </cell>
          <cell r="D18">
            <v>155</v>
          </cell>
          <cell r="E18">
            <v>147</v>
          </cell>
          <cell r="F18">
            <v>147</v>
          </cell>
          <cell r="G18">
            <v>150</v>
          </cell>
          <cell r="H18">
            <v>150</v>
          </cell>
          <cell r="I18">
            <v>165</v>
          </cell>
          <cell r="J18">
            <v>160</v>
          </cell>
          <cell r="K18">
            <v>155</v>
          </cell>
          <cell r="L18">
            <v>155</v>
          </cell>
          <cell r="M18">
            <v>155</v>
          </cell>
          <cell r="N18">
            <v>155</v>
          </cell>
        </row>
        <row r="19">
          <cell r="A19" t="str">
            <v>Dbl/Trp + SSP/potash</v>
          </cell>
          <cell r="B19">
            <v>211.00371747211921</v>
          </cell>
          <cell r="C19">
            <v>210.18181818181856</v>
          </cell>
          <cell r="D19">
            <v>230.41984732824326</v>
          </cell>
          <cell r="E19">
            <v>220.57142857142844</v>
          </cell>
          <cell r="F19">
            <v>220</v>
          </cell>
          <cell r="G19">
            <v>230</v>
          </cell>
          <cell r="H19">
            <v>230</v>
          </cell>
          <cell r="I19">
            <v>250</v>
          </cell>
          <cell r="J19">
            <v>240</v>
          </cell>
          <cell r="K19">
            <v>230</v>
          </cell>
          <cell r="L19">
            <v>230</v>
          </cell>
          <cell r="M19">
            <v>230</v>
          </cell>
          <cell r="N19">
            <v>230</v>
          </cell>
        </row>
        <row r="20">
          <cell r="A20" t="str">
            <v>DAP</v>
          </cell>
          <cell r="B20">
            <v>420</v>
          </cell>
          <cell r="C20">
            <v>390</v>
          </cell>
          <cell r="D20">
            <v>350</v>
          </cell>
          <cell r="E20">
            <v>340</v>
          </cell>
          <cell r="F20">
            <v>340</v>
          </cell>
          <cell r="G20">
            <v>340</v>
          </cell>
          <cell r="H20">
            <v>350</v>
          </cell>
          <cell r="I20">
            <v>360</v>
          </cell>
          <cell r="J20">
            <v>360</v>
          </cell>
          <cell r="K20">
            <v>340</v>
          </cell>
          <cell r="L20">
            <v>340</v>
          </cell>
          <cell r="M20">
            <v>340</v>
          </cell>
          <cell r="N20">
            <v>340</v>
          </cell>
        </row>
        <row r="21">
          <cell r="A21" t="str">
            <v>Agras</v>
          </cell>
          <cell r="B21">
            <v>310</v>
          </cell>
          <cell r="C21">
            <v>310</v>
          </cell>
          <cell r="D21">
            <v>280</v>
          </cell>
          <cell r="E21">
            <v>270</v>
          </cell>
          <cell r="F21">
            <v>270</v>
          </cell>
          <cell r="G21">
            <v>290</v>
          </cell>
          <cell r="H21">
            <v>340</v>
          </cell>
          <cell r="I21">
            <v>380</v>
          </cell>
          <cell r="J21">
            <v>365</v>
          </cell>
          <cell r="K21">
            <v>320</v>
          </cell>
          <cell r="L21">
            <v>320</v>
          </cell>
          <cell r="M21">
            <v>320</v>
          </cell>
          <cell r="N21">
            <v>320</v>
          </cell>
        </row>
        <row r="22">
          <cell r="A22" t="str">
            <v>UREA</v>
          </cell>
          <cell r="B22">
            <v>295</v>
          </cell>
          <cell r="C22">
            <v>345</v>
          </cell>
          <cell r="D22">
            <v>300</v>
          </cell>
          <cell r="E22">
            <v>280</v>
          </cell>
          <cell r="F22">
            <v>285</v>
          </cell>
          <cell r="G22">
            <v>305</v>
          </cell>
          <cell r="H22">
            <v>350</v>
          </cell>
          <cell r="I22">
            <v>380</v>
          </cell>
          <cell r="J22">
            <v>370</v>
          </cell>
          <cell r="K22">
            <v>310</v>
          </cell>
          <cell r="L22">
            <v>310</v>
          </cell>
          <cell r="M22">
            <v>310</v>
          </cell>
          <cell r="N22">
            <v>310</v>
          </cell>
        </row>
        <row r="23">
          <cell r="A23" t="str">
            <v>Other (domestic)</v>
          </cell>
          <cell r="B23">
            <v>300</v>
          </cell>
          <cell r="C23">
            <v>300</v>
          </cell>
          <cell r="D23">
            <v>300</v>
          </cell>
          <cell r="E23">
            <v>300</v>
          </cell>
          <cell r="F23">
            <v>275</v>
          </cell>
          <cell r="G23">
            <v>280</v>
          </cell>
          <cell r="H23">
            <v>280</v>
          </cell>
          <cell r="I23">
            <v>280</v>
          </cell>
          <cell r="J23">
            <v>300</v>
          </cell>
          <cell r="K23">
            <v>280</v>
          </cell>
          <cell r="L23">
            <v>280</v>
          </cell>
          <cell r="M23">
            <v>280</v>
          </cell>
          <cell r="N23">
            <v>280</v>
          </cell>
        </row>
        <row r="47">
          <cell r="A47" t="str">
            <v>Price ($/t)</v>
          </cell>
        </row>
        <row r="48">
          <cell r="A48" t="str">
            <v>Ammonium Nitrate</v>
          </cell>
          <cell r="C48">
            <v>315</v>
          </cell>
          <cell r="D48">
            <v>320</v>
          </cell>
          <cell r="E48">
            <v>305</v>
          </cell>
          <cell r="F48">
            <v>315</v>
          </cell>
          <cell r="G48">
            <v>320</v>
          </cell>
          <cell r="H48">
            <v>370</v>
          </cell>
          <cell r="I48">
            <v>400</v>
          </cell>
          <cell r="J48">
            <v>370</v>
          </cell>
          <cell r="K48">
            <v>370</v>
          </cell>
          <cell r="L48">
            <v>370</v>
          </cell>
          <cell r="M48">
            <v>370</v>
          </cell>
          <cell r="N48">
            <v>370</v>
          </cell>
        </row>
        <row r="49">
          <cell r="A49" t="str">
            <v>Sodium Cyanide</v>
          </cell>
          <cell r="C49">
            <v>1350</v>
          </cell>
          <cell r="D49">
            <v>1350</v>
          </cell>
          <cell r="E49">
            <v>1350</v>
          </cell>
          <cell r="F49">
            <v>1560</v>
          </cell>
          <cell r="G49">
            <v>1559.52194969536</v>
          </cell>
          <cell r="H49">
            <v>1701.2611665790855</v>
          </cell>
          <cell r="I49">
            <v>1714.2500935045505</v>
          </cell>
          <cell r="J49">
            <v>1600</v>
          </cell>
          <cell r="K49">
            <v>1600</v>
          </cell>
          <cell r="L49">
            <v>1600</v>
          </cell>
          <cell r="M49">
            <v>1600</v>
          </cell>
          <cell r="N49">
            <v>1600</v>
          </cell>
        </row>
        <row r="50">
          <cell r="A50" t="str">
            <v>Chlorine</v>
          </cell>
          <cell r="C50">
            <v>600</v>
          </cell>
          <cell r="D50">
            <v>600</v>
          </cell>
          <cell r="E50">
            <v>600</v>
          </cell>
          <cell r="F50">
            <v>700</v>
          </cell>
          <cell r="G50">
            <v>320</v>
          </cell>
          <cell r="H50">
            <v>350</v>
          </cell>
          <cell r="I50">
            <v>450</v>
          </cell>
          <cell r="J50">
            <v>450</v>
          </cell>
          <cell r="K50">
            <v>450</v>
          </cell>
          <cell r="L50">
            <v>450</v>
          </cell>
          <cell r="M50">
            <v>450</v>
          </cell>
          <cell r="N50">
            <v>450</v>
          </cell>
        </row>
        <row r="51">
          <cell r="A51" t="str">
            <v>Caustic Soda</v>
          </cell>
          <cell r="C51">
            <v>450</v>
          </cell>
          <cell r="D51">
            <v>450</v>
          </cell>
          <cell r="E51">
            <v>350</v>
          </cell>
          <cell r="F51">
            <v>100</v>
          </cell>
          <cell r="G51">
            <v>250</v>
          </cell>
          <cell r="H51">
            <v>250</v>
          </cell>
          <cell r="I51">
            <v>250</v>
          </cell>
          <cell r="J51">
            <v>250</v>
          </cell>
          <cell r="K51">
            <v>250</v>
          </cell>
          <cell r="L51">
            <v>250</v>
          </cell>
          <cell r="M51">
            <v>250</v>
          </cell>
          <cell r="N51">
            <v>250</v>
          </cell>
        </row>
        <row r="52">
          <cell r="A52" t="str">
            <v>Acid - H2SO4</v>
          </cell>
          <cell r="C52">
            <v>200</v>
          </cell>
          <cell r="D52">
            <v>200</v>
          </cell>
          <cell r="E52">
            <v>200</v>
          </cell>
          <cell r="F52">
            <v>200</v>
          </cell>
          <cell r="G52">
            <v>100</v>
          </cell>
          <cell r="H52">
            <v>110</v>
          </cell>
          <cell r="I52">
            <v>110</v>
          </cell>
          <cell r="J52">
            <v>110</v>
          </cell>
          <cell r="K52">
            <v>110</v>
          </cell>
          <cell r="L52">
            <v>110</v>
          </cell>
          <cell r="M52">
            <v>110</v>
          </cell>
          <cell r="N52">
            <v>110</v>
          </cell>
        </row>
        <row r="53">
          <cell r="A53" t="str">
            <v>Acid - HCl</v>
          </cell>
          <cell r="C53">
            <v>250</v>
          </cell>
          <cell r="D53">
            <v>200</v>
          </cell>
          <cell r="E53">
            <v>200</v>
          </cell>
          <cell r="F53">
            <v>200</v>
          </cell>
          <cell r="G53">
            <v>100</v>
          </cell>
          <cell r="H53">
            <v>100</v>
          </cell>
          <cell r="I53">
            <v>110</v>
          </cell>
          <cell r="J53">
            <v>110</v>
          </cell>
          <cell r="K53">
            <v>110</v>
          </cell>
          <cell r="L53">
            <v>110</v>
          </cell>
          <cell r="M53">
            <v>110</v>
          </cell>
          <cell r="N53">
            <v>110</v>
          </cell>
        </row>
        <row r="54">
          <cell r="A54" t="str">
            <v>Ammonia/Other</v>
          </cell>
          <cell r="C54">
            <v>300</v>
          </cell>
          <cell r="D54">
            <v>300</v>
          </cell>
          <cell r="E54">
            <v>250</v>
          </cell>
          <cell r="F54">
            <v>200</v>
          </cell>
          <cell r="G54">
            <v>210</v>
          </cell>
          <cell r="H54">
            <v>250</v>
          </cell>
          <cell r="I54">
            <v>230</v>
          </cell>
          <cell r="J54">
            <v>200</v>
          </cell>
          <cell r="K54">
            <v>230</v>
          </cell>
          <cell r="L54">
            <v>240</v>
          </cell>
          <cell r="M54">
            <v>240</v>
          </cell>
          <cell r="N54">
            <v>240</v>
          </cell>
        </row>
        <row r="67">
          <cell r="A67" t="str">
            <v>Summary</v>
          </cell>
        </row>
        <row r="69">
          <cell r="A69" t="str">
            <v>Sales ($m)</v>
          </cell>
        </row>
        <row r="70">
          <cell r="A70" t="str">
            <v>Fertilisers</v>
          </cell>
          <cell r="C70">
            <v>194.56000000000003</v>
          </cell>
          <cell r="D70">
            <v>215.44999999999985</v>
          </cell>
          <cell r="E70">
            <v>216.82499999999999</v>
          </cell>
          <cell r="F70">
            <v>233.25800000000001</v>
          </cell>
          <cell r="G70">
            <v>268.64087499999999</v>
          </cell>
          <cell r="H70">
            <v>302.40323999999998</v>
          </cell>
          <cell r="I70">
            <v>352.25399999999996</v>
          </cell>
          <cell r="J70">
            <v>348.30210000000005</v>
          </cell>
          <cell r="K70">
            <v>319.47909599999997</v>
          </cell>
          <cell r="L70">
            <v>325.8686779200001</v>
          </cell>
          <cell r="M70">
            <v>332.38605147840002</v>
          </cell>
          <cell r="N70">
            <v>339.03377250796802</v>
          </cell>
        </row>
        <row r="71">
          <cell r="A71" t="str">
            <v>Chemicals</v>
          </cell>
        </row>
        <row r="72">
          <cell r="A72" t="str">
            <v>Ammonium Nitrate</v>
          </cell>
          <cell r="C72">
            <v>36.225000000000001</v>
          </cell>
          <cell r="D72">
            <v>35.200000000000003</v>
          </cell>
          <cell r="E72">
            <v>35.075000000000003</v>
          </cell>
          <cell r="F72">
            <v>37.799999999999997</v>
          </cell>
          <cell r="G72">
            <v>34.335999999999999</v>
          </cell>
          <cell r="H72">
            <v>41.271279999999997</v>
          </cell>
          <cell r="I72">
            <v>69.2</v>
          </cell>
          <cell r="J72">
            <v>66.599999999999994</v>
          </cell>
          <cell r="K72">
            <v>74</v>
          </cell>
          <cell r="L72">
            <v>77.7</v>
          </cell>
          <cell r="M72">
            <v>81.584999999999994</v>
          </cell>
          <cell r="N72">
            <v>85.664249999999996</v>
          </cell>
        </row>
        <row r="73">
          <cell r="A73" t="str">
            <v>Sodium Cyanide</v>
          </cell>
          <cell r="C73">
            <v>20.25</v>
          </cell>
          <cell r="D73">
            <v>27</v>
          </cell>
          <cell r="E73">
            <v>29.7</v>
          </cell>
          <cell r="F73">
            <v>39</v>
          </cell>
          <cell r="G73">
            <v>39.93</v>
          </cell>
          <cell r="H73">
            <v>51.8</v>
          </cell>
          <cell r="I73">
            <v>55</v>
          </cell>
          <cell r="J73">
            <v>51.2</v>
          </cell>
          <cell r="K73">
            <v>64</v>
          </cell>
          <cell r="L73">
            <v>64</v>
          </cell>
          <cell r="M73">
            <v>67.2</v>
          </cell>
          <cell r="N73">
            <v>67.2</v>
          </cell>
        </row>
        <row r="74">
          <cell r="A74" t="str">
            <v>Other</v>
          </cell>
          <cell r="C74">
            <v>32.700000000000003</v>
          </cell>
          <cell r="D74">
            <v>34.299999999999997</v>
          </cell>
          <cell r="E74">
            <v>29.55</v>
          </cell>
          <cell r="F74">
            <v>25.23</v>
          </cell>
          <cell r="G74">
            <v>21.366280000000003</v>
          </cell>
          <cell r="H74">
            <v>17.748799999999999</v>
          </cell>
          <cell r="I74">
            <v>14.809999999999999</v>
          </cell>
          <cell r="J74">
            <v>13.149999999999999</v>
          </cell>
          <cell r="K74">
            <v>16.799999999999997</v>
          </cell>
          <cell r="L74">
            <v>66.25</v>
          </cell>
          <cell r="M74">
            <v>71.05</v>
          </cell>
          <cell r="N74">
            <v>71.05</v>
          </cell>
        </row>
        <row r="75">
          <cell r="A75" t="str">
            <v>Total</v>
          </cell>
          <cell r="C75">
            <v>283.73500000000001</v>
          </cell>
          <cell r="D75">
            <v>311.94999999999987</v>
          </cell>
          <cell r="E75">
            <v>311.14999999999998</v>
          </cell>
          <cell r="F75">
            <v>335.28800000000001</v>
          </cell>
          <cell r="G75">
            <v>364.27315500000003</v>
          </cell>
          <cell r="H75">
            <v>413.22332</v>
          </cell>
          <cell r="I75">
            <v>491.26399999999995</v>
          </cell>
          <cell r="J75">
            <v>479.25209999999998</v>
          </cell>
          <cell r="K75">
            <v>474.27909599999998</v>
          </cell>
          <cell r="L75">
            <v>533.81867792000003</v>
          </cell>
          <cell r="M75">
            <v>552.2210514784</v>
          </cell>
          <cell r="N75">
            <v>562.94802250796795</v>
          </cell>
        </row>
        <row r="76">
          <cell r="A76" t="str">
            <v>Actual/Forecast</v>
          </cell>
          <cell r="C76">
            <v>267</v>
          </cell>
          <cell r="D76">
            <v>288.3</v>
          </cell>
          <cell r="E76">
            <v>297.56</v>
          </cell>
          <cell r="F76">
            <v>325.01900000000001</v>
          </cell>
          <cell r="G76">
            <v>365.75599999999997</v>
          </cell>
          <cell r="H76">
            <v>415.4</v>
          </cell>
          <cell r="I76">
            <v>489.69399999999996</v>
          </cell>
          <cell r="J76">
            <v>467.59199999999998</v>
          </cell>
          <cell r="K76">
            <v>434.86055999999996</v>
          </cell>
          <cell r="L76">
            <v>478.34661599999998</v>
          </cell>
          <cell r="M76">
            <v>492.69701448000001</v>
          </cell>
          <cell r="N76">
            <v>502.55095476960003</v>
          </cell>
        </row>
        <row r="78">
          <cell r="A78" t="str">
            <v>EBIT ($m)</v>
          </cell>
        </row>
        <row r="79">
          <cell r="A79" t="str">
            <v>Fertilisers</v>
          </cell>
          <cell r="E79">
            <v>22</v>
          </cell>
          <cell r="F79">
            <v>28.5</v>
          </cell>
          <cell r="G79">
            <v>21</v>
          </cell>
          <cell r="H79">
            <v>31</v>
          </cell>
          <cell r="I79">
            <v>40.509209999999996</v>
          </cell>
          <cell r="J79">
            <v>41.796252000000003</v>
          </cell>
          <cell r="K79">
            <v>31.947909599999999</v>
          </cell>
          <cell r="L79">
            <v>32.586867792000014</v>
          </cell>
          <cell r="M79">
            <v>36.562465662624</v>
          </cell>
          <cell r="N79">
            <v>37.293714975876483</v>
          </cell>
        </row>
        <row r="80">
          <cell r="A80" t="str">
            <v>Chemicals</v>
          </cell>
        </row>
        <row r="81">
          <cell r="A81" t="str">
            <v>Ammonium Nitrate</v>
          </cell>
          <cell r="E81">
            <v>5</v>
          </cell>
          <cell r="F81">
            <v>6.5</v>
          </cell>
          <cell r="G81">
            <v>6.5</v>
          </cell>
          <cell r="H81">
            <v>6</v>
          </cell>
          <cell r="I81">
            <v>13.840000000000002</v>
          </cell>
          <cell r="J81">
            <v>14.651999999999999</v>
          </cell>
          <cell r="K81">
            <v>14.8</v>
          </cell>
          <cell r="L81">
            <v>13.986000000000001</v>
          </cell>
          <cell r="M81">
            <v>13.053599999999999</v>
          </cell>
          <cell r="N81">
            <v>12.849637499999998</v>
          </cell>
        </row>
        <row r="82">
          <cell r="A82" t="str">
            <v>Ammonium Nitrate (Moura)</v>
          </cell>
          <cell r="M82">
            <v>2.5</v>
          </cell>
          <cell r="N82">
            <v>5.5</v>
          </cell>
        </row>
        <row r="83">
          <cell r="A83" t="str">
            <v>Sodium Cyanide</v>
          </cell>
          <cell r="E83">
            <v>8.8671875</v>
          </cell>
          <cell r="F83">
            <v>15.8046875</v>
          </cell>
          <cell r="G83">
            <v>14.6875</v>
          </cell>
          <cell r="H83">
            <v>16.482291666666665</v>
          </cell>
          <cell r="I83">
            <v>24.75</v>
          </cell>
          <cell r="J83">
            <v>20.992000000000001</v>
          </cell>
          <cell r="K83">
            <v>22.4</v>
          </cell>
          <cell r="L83">
            <v>19.2</v>
          </cell>
          <cell r="M83">
            <v>20.16</v>
          </cell>
          <cell r="N83">
            <v>20.16</v>
          </cell>
        </row>
        <row r="84">
          <cell r="A84" t="str">
            <v>Other</v>
          </cell>
          <cell r="E84">
            <v>3</v>
          </cell>
          <cell r="F84">
            <v>2.75</v>
          </cell>
          <cell r="G84">
            <v>2.4</v>
          </cell>
          <cell r="H84">
            <v>2</v>
          </cell>
          <cell r="I84">
            <v>1.6290999999999998</v>
          </cell>
          <cell r="J84">
            <v>1.4464999999999999</v>
          </cell>
          <cell r="K84">
            <v>1.8479999999999996</v>
          </cell>
          <cell r="L84">
            <v>7.9499999999999993</v>
          </cell>
          <cell r="M84">
            <v>8.5259999999999998</v>
          </cell>
          <cell r="N84">
            <v>8.5259999999999998</v>
          </cell>
        </row>
        <row r="85">
          <cell r="A85" t="str">
            <v>Total</v>
          </cell>
          <cell r="E85">
            <v>38.8671875</v>
          </cell>
          <cell r="F85">
            <v>53.5546875</v>
          </cell>
          <cell r="G85">
            <v>44.587499999999999</v>
          </cell>
          <cell r="H85">
            <v>55.482291666666669</v>
          </cell>
          <cell r="I85">
            <v>80.728309999999993</v>
          </cell>
          <cell r="J85">
            <v>78.886752000000001</v>
          </cell>
          <cell r="K85">
            <v>70.99590959999999</v>
          </cell>
          <cell r="L85">
            <v>73.722867792000017</v>
          </cell>
          <cell r="M85">
            <v>80.802065662623988</v>
          </cell>
          <cell r="N85">
            <v>84.329352475876476</v>
          </cell>
        </row>
        <row r="86">
          <cell r="A86" t="str">
            <v>Actual/Forecast</v>
          </cell>
          <cell r="C86">
            <v>36.545999999999999</v>
          </cell>
          <cell r="D86">
            <v>48.591000000000001</v>
          </cell>
          <cell r="E86">
            <v>39.082000000000001</v>
          </cell>
          <cell r="F86">
            <v>53.901000000000003</v>
          </cell>
          <cell r="G86">
            <v>44.9</v>
          </cell>
          <cell r="H86">
            <v>55.253999999999998</v>
          </cell>
          <cell r="I86">
            <v>80.760000000000005</v>
          </cell>
          <cell r="J86">
            <v>78.692999999999998</v>
          </cell>
          <cell r="K86">
            <v>60.880478400000001</v>
          </cell>
          <cell r="L86">
            <v>71.751992399999992</v>
          </cell>
          <cell r="M86">
            <v>78.831522316800005</v>
          </cell>
          <cell r="N86">
            <v>80.408152763136002</v>
          </cell>
        </row>
        <row r="88">
          <cell r="A88" t="str">
            <v>Capital Employed</v>
          </cell>
          <cell r="F88">
            <v>242.1</v>
          </cell>
          <cell r="G88">
            <v>273.7</v>
          </cell>
          <cell r="H88">
            <v>342.1</v>
          </cell>
          <cell r="I88">
            <v>325.89999999999998</v>
          </cell>
          <cell r="J88">
            <v>353.1</v>
          </cell>
        </row>
        <row r="89">
          <cell r="A89" t="str">
            <v>Capital Expenditure</v>
          </cell>
          <cell r="F89">
            <v>18.399999999999999</v>
          </cell>
          <cell r="G89">
            <v>65.900000000000006</v>
          </cell>
          <cell r="H89">
            <v>61.8</v>
          </cell>
          <cell r="I89">
            <v>23.9</v>
          </cell>
          <cell r="J89">
            <v>105.8</v>
          </cell>
        </row>
        <row r="92">
          <cell r="A92" t="str">
            <v>Sales Growth (%)</v>
          </cell>
        </row>
        <row r="93">
          <cell r="A93" t="str">
            <v>Fertilisers</v>
          </cell>
          <cell r="D93">
            <v>0.10737047697368318</v>
          </cell>
          <cell r="E93">
            <v>6.3819911812492691E-3</v>
          </cell>
          <cell r="F93">
            <v>7.5789230946615938E-2</v>
          </cell>
          <cell r="G93">
            <v>0.15168986701420728</v>
          </cell>
          <cell r="H93">
            <v>0.12567843594166361</v>
          </cell>
          <cell r="I93">
            <v>0.16484863059006893</v>
          </cell>
          <cell r="J93">
            <v>-1.1218893185030998E-2</v>
          </cell>
          <cell r="K93">
            <v>-8.2752886072177234E-2</v>
          </cell>
          <cell r="L93">
            <v>2.0000000000000462E-2</v>
          </cell>
          <cell r="M93">
            <v>1.9999999999999796E-2</v>
          </cell>
          <cell r="N93">
            <v>2.0000000000000018E-2</v>
          </cell>
        </row>
        <row r="94">
          <cell r="A94" t="str">
            <v>Chemicals</v>
          </cell>
        </row>
        <row r="95">
          <cell r="A95" t="str">
            <v>Ammonium Nitrate</v>
          </cell>
          <cell r="D95">
            <v>-2.8295376121463045E-2</v>
          </cell>
          <cell r="E95">
            <v>-3.5511363636363535E-3</v>
          </cell>
          <cell r="F95">
            <v>7.7690662865288473E-2</v>
          </cell>
          <cell r="G95">
            <v>-9.1640211640211633E-2</v>
          </cell>
          <cell r="H95">
            <v>0.20198275862068971</v>
          </cell>
          <cell r="I95">
            <v>0.67671077805195301</v>
          </cell>
          <cell r="J95">
            <v>-3.7572254335260236E-2</v>
          </cell>
          <cell r="K95">
            <v>0.11111111111111116</v>
          </cell>
          <cell r="L95">
            <v>5.0000000000000044E-2</v>
          </cell>
          <cell r="M95">
            <v>4.9999999999999822E-2</v>
          </cell>
          <cell r="N95">
            <v>5.0000000000000044E-2</v>
          </cell>
        </row>
        <row r="96">
          <cell r="A96" t="str">
            <v>Sodium Cyanide</v>
          </cell>
          <cell r="D96">
            <v>0.33333333333333326</v>
          </cell>
          <cell r="E96">
            <v>9.9999999999999867E-2</v>
          </cell>
          <cell r="F96">
            <v>0.31313131313131315</v>
          </cell>
          <cell r="G96">
            <v>2.384615384615385E-2</v>
          </cell>
          <cell r="H96">
            <v>0.29727022289005745</v>
          </cell>
          <cell r="I96">
            <v>6.1776061776061875E-2</v>
          </cell>
          <cell r="J96">
            <v>-6.9090909090909092E-2</v>
          </cell>
          <cell r="K96">
            <v>0.25</v>
          </cell>
          <cell r="L96">
            <v>0</v>
          </cell>
          <cell r="M96">
            <v>5.0000000000000044E-2</v>
          </cell>
          <cell r="N96">
            <v>0</v>
          </cell>
        </row>
        <row r="97">
          <cell r="A97" t="str">
            <v>Other</v>
          </cell>
          <cell r="D97">
            <v>4.8929663608562546E-2</v>
          </cell>
          <cell r="E97">
            <v>-0.13848396501457716</v>
          </cell>
          <cell r="F97">
            <v>-0.14619289340101527</v>
          </cell>
          <cell r="G97">
            <v>-0.1531399128022195</v>
          </cell>
          <cell r="H97">
            <v>-0.16930790011176511</v>
          </cell>
          <cell r="I97">
            <v>-0.16557739114757053</v>
          </cell>
          <cell r="J97">
            <v>-0.11208642808912894</v>
          </cell>
          <cell r="K97">
            <v>0.27756653992395419</v>
          </cell>
          <cell r="L97">
            <v>2.9434523809523818</v>
          </cell>
          <cell r="M97">
            <v>7.2452830188679096E-2</v>
          </cell>
          <cell r="N97">
            <v>0</v>
          </cell>
        </row>
        <row r="98">
          <cell r="A98" t="str">
            <v>Total</v>
          </cell>
          <cell r="D98">
            <v>9.9441380161065185E-2</v>
          </cell>
          <cell r="E98">
            <v>-2.5645135438367994E-3</v>
          </cell>
          <cell r="F98">
            <v>7.7576731479993777E-2</v>
          </cell>
          <cell r="G98">
            <v>8.6448530815299129E-2</v>
          </cell>
          <cell r="H98">
            <v>0.13437763482735909</v>
          </cell>
          <cell r="I98">
            <v>0.1888583635599268</v>
          </cell>
          <cell r="J98">
            <v>-2.4451008011985298E-2</v>
          </cell>
          <cell r="K98">
            <v>-1.0376593029013392E-2</v>
          </cell>
          <cell r="L98">
            <v>0.12553701485506763</v>
          </cell>
          <cell r="M98">
            <v>3.4473079192552714E-2</v>
          </cell>
          <cell r="N98">
            <v>1.94251396263323E-2</v>
          </cell>
        </row>
        <row r="100">
          <cell r="A100" t="str">
            <v>EBIT Margin (%)</v>
          </cell>
        </row>
        <row r="101">
          <cell r="A101" t="str">
            <v>Fertilisers</v>
          </cell>
          <cell r="E101">
            <v>0.10146431453937507</v>
          </cell>
          <cell r="F101">
            <v>0.12218230457261915</v>
          </cell>
          <cell r="G101">
            <v>7.8171276057673655E-2</v>
          </cell>
          <cell r="H101">
            <v>0.10251212916898643</v>
          </cell>
          <cell r="I101">
            <v>0.115</v>
          </cell>
          <cell r="J101">
            <v>0.12</v>
          </cell>
          <cell r="K101">
            <v>0.1</v>
          </cell>
          <cell r="L101">
            <v>0.1</v>
          </cell>
          <cell r="M101">
            <v>0.11</v>
          </cell>
          <cell r="N101">
            <v>0.11</v>
          </cell>
        </row>
        <row r="102">
          <cell r="A102" t="str">
            <v>Chemicals</v>
          </cell>
        </row>
        <row r="103">
          <cell r="A103" t="str">
            <v>Ammonium Nitrate</v>
          </cell>
          <cell r="E103">
            <v>0.14255167498218102</v>
          </cell>
          <cell r="F103">
            <v>0.17195767195767198</v>
          </cell>
          <cell r="G103">
            <v>0.18930568499534017</v>
          </cell>
          <cell r="H103">
            <v>0.14537954722993812</v>
          </cell>
          <cell r="I103">
            <v>0.2</v>
          </cell>
          <cell r="J103">
            <v>0.22</v>
          </cell>
          <cell r="K103">
            <v>0.2</v>
          </cell>
          <cell r="L103">
            <v>0.18</v>
          </cell>
          <cell r="M103">
            <v>0.16</v>
          </cell>
          <cell r="N103">
            <v>0.15</v>
          </cell>
        </row>
        <row r="104">
          <cell r="A104" t="str">
            <v>Sodium Cyanide</v>
          </cell>
          <cell r="E104">
            <v>0.29855850168350168</v>
          </cell>
          <cell r="F104">
            <v>0.40524839743589741</v>
          </cell>
          <cell r="G104">
            <v>0.36783120460806412</v>
          </cell>
          <cell r="H104">
            <v>0.31819095881595882</v>
          </cell>
          <cell r="I104">
            <v>0.45</v>
          </cell>
          <cell r="J104">
            <v>0.41</v>
          </cell>
          <cell r="K104">
            <v>0.35</v>
          </cell>
          <cell r="L104">
            <v>0.3</v>
          </cell>
          <cell r="M104">
            <v>0.3</v>
          </cell>
          <cell r="N104">
            <v>0.3</v>
          </cell>
        </row>
        <row r="105">
          <cell r="A105" t="str">
            <v>Other</v>
          </cell>
          <cell r="E105">
            <v>0.10152284263959391</v>
          </cell>
          <cell r="F105">
            <v>0.10899722552516845</v>
          </cell>
          <cell r="G105">
            <v>0.11232652572183831</v>
          </cell>
          <cell r="H105">
            <v>0.11268367438925449</v>
          </cell>
          <cell r="I105">
            <v>0.11</v>
          </cell>
          <cell r="J105">
            <v>0.11</v>
          </cell>
          <cell r="K105">
            <v>0.11</v>
          </cell>
          <cell r="L105">
            <v>0.12</v>
          </cell>
          <cell r="M105">
            <v>0.12</v>
          </cell>
          <cell r="N105">
            <v>0.12</v>
          </cell>
        </row>
        <row r="106">
          <cell r="A106" t="str">
            <v>Total</v>
          </cell>
          <cell r="E106">
            <v>0.12491463120681344</v>
          </cell>
          <cell r="F106">
            <v>0.15972742090382</v>
          </cell>
          <cell r="G106">
            <v>0.12240127878761749</v>
          </cell>
          <cell r="H106">
            <v>0.13426708750771052</v>
          </cell>
          <cell r="I106">
            <v>0.16432775452709744</v>
          </cell>
          <cell r="J106">
            <v>0.16460387341025737</v>
          </cell>
          <cell r="K106">
            <v>0.14969225968162847</v>
          </cell>
          <cell r="L106">
            <v>0.13810469891997371</v>
          </cell>
          <cell r="M106">
            <v>0.14632195829242947</v>
          </cell>
          <cell r="N106">
            <v>0.1497995358437961</v>
          </cell>
        </row>
        <row r="109">
          <cell r="A109" t="str">
            <v>% of Fertiliser Sales</v>
          </cell>
        </row>
        <row r="110">
          <cell r="A110" t="str">
            <v>SSP + trace</v>
          </cell>
          <cell r="B110">
            <v>0.38500942264862076</v>
          </cell>
          <cell r="C110">
            <v>0.26125616776315785</v>
          </cell>
          <cell r="D110">
            <v>0.26546762589928075</v>
          </cell>
          <cell r="E110">
            <v>0.22305084745762713</v>
          </cell>
          <cell r="F110">
            <v>0.24514914815354671</v>
          </cell>
          <cell r="G110">
            <v>0.23094698451976084</v>
          </cell>
          <cell r="H110">
            <v>0.202000811896063</v>
          </cell>
          <cell r="I110">
            <v>0.18174385528624232</v>
          </cell>
          <cell r="J110">
            <v>0.18714788110666</v>
          </cell>
          <cell r="K110">
            <v>0.20160924707261602</v>
          </cell>
          <cell r="L110">
            <v>0.20160924707261596</v>
          </cell>
          <cell r="M110">
            <v>0.20160924707261604</v>
          </cell>
          <cell r="N110">
            <v>0.20160924707261602</v>
          </cell>
        </row>
        <row r="111">
          <cell r="A111" t="str">
            <v>Dbl/Trp + SSP/potash</v>
          </cell>
          <cell r="B111">
            <v>0.19448346753469264</v>
          </cell>
          <cell r="C111">
            <v>0.17824835526315816</v>
          </cell>
          <cell r="D111">
            <v>0.14010211185889945</v>
          </cell>
          <cell r="E111">
            <v>0.16378185172374027</v>
          </cell>
          <cell r="F111">
            <v>0.1443037323478723</v>
          </cell>
          <cell r="G111">
            <v>0.14437452975091747</v>
          </cell>
          <cell r="H111">
            <v>0.1148945692513083</v>
          </cell>
          <cell r="I111">
            <v>0.1171029995401046</v>
          </cell>
          <cell r="J111">
            <v>0.1159682930421608</v>
          </cell>
          <cell r="K111">
            <v>0.12358611406612972</v>
          </cell>
          <cell r="L111">
            <v>0.12358611406612968</v>
          </cell>
          <cell r="M111">
            <v>0.1235861140661297</v>
          </cell>
          <cell r="N111">
            <v>0.12358611406612974</v>
          </cell>
        </row>
        <row r="112">
          <cell r="A112" t="str">
            <v>DAP</v>
          </cell>
          <cell r="B112">
            <v>0.1223231111872537</v>
          </cell>
          <cell r="C112">
            <v>0.16036184210526314</v>
          </cell>
          <cell r="D112">
            <v>0.16082617776746355</v>
          </cell>
          <cell r="E112">
            <v>0.1646489104116223</v>
          </cell>
          <cell r="F112">
            <v>6.5592605612669233E-2</v>
          </cell>
          <cell r="G112">
            <v>5.1452929491835525E-2</v>
          </cell>
          <cell r="H112">
            <v>2.4495107922785489E-2</v>
          </cell>
          <cell r="I112">
            <v>1.7782622766526427E-2</v>
          </cell>
          <cell r="J112">
            <v>1.7984387691030283E-2</v>
          </cell>
          <cell r="K112">
            <v>1.8887996352662771E-2</v>
          </cell>
          <cell r="L112">
            <v>1.8887996352662768E-2</v>
          </cell>
          <cell r="M112">
            <v>1.8887996352662775E-2</v>
          </cell>
          <cell r="N112">
            <v>1.8887996352662771E-2</v>
          </cell>
        </row>
        <row r="113">
          <cell r="A113" t="str">
            <v>Agras</v>
          </cell>
          <cell r="B113">
            <v>0.1911941065615898</v>
          </cell>
          <cell r="C113">
            <v>0.23900082236842102</v>
          </cell>
          <cell r="D113">
            <v>0.26511951728939448</v>
          </cell>
          <cell r="E113">
            <v>0.26772742995503285</v>
          </cell>
          <cell r="F113">
            <v>0.35535758687804919</v>
          </cell>
          <cell r="G113">
            <v>0.35082178019260851</v>
          </cell>
          <cell r="H113">
            <v>0.46467293141435917</v>
          </cell>
          <cell r="I113">
            <v>0.46063352013036052</v>
          </cell>
          <cell r="J113">
            <v>0.45642015939611041</v>
          </cell>
          <cell r="K113">
            <v>0.44497514165997271</v>
          </cell>
          <cell r="L113">
            <v>0.4449751416599726</v>
          </cell>
          <cell r="M113">
            <v>0.44497514165997265</v>
          </cell>
          <cell r="N113">
            <v>0.44497514165997265</v>
          </cell>
        </row>
        <row r="114">
          <cell r="A114" t="str">
            <v>UREA</v>
          </cell>
          <cell r="B114">
            <v>5.5593626863114601E-2</v>
          </cell>
          <cell r="C114">
            <v>8.8661595394736822E-2</v>
          </cell>
          <cell r="D114">
            <v>9.6077976328614589E-2</v>
          </cell>
          <cell r="E114">
            <v>0.1033091202582728</v>
          </cell>
          <cell r="F114">
            <v>0.12829141980125011</v>
          </cell>
          <cell r="G114">
            <v>0.15986675519873883</v>
          </cell>
          <cell r="H114">
            <v>0.13190020715386513</v>
          </cell>
          <cell r="I114">
            <v>0.190941763613756</v>
          </cell>
          <cell r="J114">
            <v>0.18802642878122178</v>
          </cell>
          <cell r="K114">
            <v>0.17518329274351019</v>
          </cell>
          <cell r="L114">
            <v>0.17518329274351016</v>
          </cell>
          <cell r="M114">
            <v>0.17518329274351019</v>
          </cell>
          <cell r="N114">
            <v>0.17518329274351022</v>
          </cell>
        </row>
        <row r="115">
          <cell r="A115" t="str">
            <v>Other (domestic)</v>
          </cell>
          <cell r="B115">
            <v>5.1396265204728439E-2</v>
          </cell>
          <cell r="C115">
            <v>7.247121710526315E-2</v>
          </cell>
          <cell r="D115">
            <v>7.2406590856347236E-2</v>
          </cell>
          <cell r="E115">
            <v>7.7481840193704604E-2</v>
          </cell>
          <cell r="F115">
            <v>6.1305507206612424E-2</v>
          </cell>
          <cell r="G115">
            <v>6.2537020846138922E-2</v>
          </cell>
          <cell r="H115">
            <v>6.2036372361618887E-2</v>
          </cell>
          <cell r="I115">
            <v>3.1795238663010213E-2</v>
          </cell>
          <cell r="J115">
            <v>3.4452849982816634E-2</v>
          </cell>
          <cell r="K115">
            <v>3.5758208105108699E-2</v>
          </cell>
          <cell r="L115">
            <v>3.5758208105108685E-2</v>
          </cell>
          <cell r="M115">
            <v>3.5758208105108699E-2</v>
          </cell>
          <cell r="N115">
            <v>3.5758208105108699E-2</v>
          </cell>
        </row>
        <row r="116">
          <cell r="A116" t="str">
            <v>Total</v>
          </cell>
          <cell r="B116">
            <v>1</v>
          </cell>
          <cell r="C116">
            <v>1</v>
          </cell>
          <cell r="D116">
            <v>1</v>
          </cell>
          <cell r="E116">
            <v>1</v>
          </cell>
          <cell r="F116">
            <v>1</v>
          </cell>
          <cell r="G116">
            <v>1</v>
          </cell>
          <cell r="H116">
            <v>1</v>
          </cell>
          <cell r="I116">
            <v>1</v>
          </cell>
          <cell r="J116">
            <v>1</v>
          </cell>
          <cell r="K116">
            <v>1</v>
          </cell>
          <cell r="L116">
            <v>1</v>
          </cell>
          <cell r="M116">
            <v>1</v>
          </cell>
          <cell r="N116">
            <v>1</v>
          </cell>
        </row>
        <row r="117">
          <cell r="A117" t="str">
            <v>Total - Rural</v>
          </cell>
          <cell r="B117">
            <v>0.9486037347952716</v>
          </cell>
          <cell r="C117">
            <v>0.92752878289473684</v>
          </cell>
          <cell r="D117">
            <v>0.92759340914365285</v>
          </cell>
          <cell r="E117">
            <v>0.92251815980629537</v>
          </cell>
          <cell r="F117">
            <v>0.93869449279338757</v>
          </cell>
          <cell r="G117">
            <v>0.93746297915386112</v>
          </cell>
          <cell r="H117">
            <v>0.93796362763838115</v>
          </cell>
          <cell r="I117">
            <v>0.96820476133698985</v>
          </cell>
          <cell r="J117">
            <v>0.96554715001718339</v>
          </cell>
          <cell r="K117">
            <v>0.96424179189489134</v>
          </cell>
          <cell r="L117">
            <v>0.96424179189489123</v>
          </cell>
          <cell r="M117">
            <v>0.96424179189489134</v>
          </cell>
          <cell r="N117">
            <v>0.96424179189489123</v>
          </cell>
        </row>
        <row r="119">
          <cell r="A119" t="str">
            <v>% of Chemical Sales</v>
          </cell>
        </row>
        <row r="120">
          <cell r="A120" t="str">
            <v>Ammonium Nitrate</v>
          </cell>
          <cell r="C120">
            <v>0.4062237174095879</v>
          </cell>
          <cell r="D120">
            <v>0.36476683937823839</v>
          </cell>
          <cell r="E120">
            <v>0.3718526371587596</v>
          </cell>
          <cell r="F120">
            <v>0.3704792708027051</v>
          </cell>
          <cell r="G120">
            <v>0.35904194692419761</v>
          </cell>
          <cell r="H120">
            <v>0.37241698435879128</v>
          </cell>
          <cell r="I120">
            <v>0.49780591324365159</v>
          </cell>
          <cell r="J120">
            <v>0.50859106529209619</v>
          </cell>
          <cell r="K120">
            <v>0.47803617571059437</v>
          </cell>
          <cell r="L120">
            <v>0.4444317336841504</v>
          </cell>
          <cell r="M120">
            <v>0.44379470721027009</v>
          </cell>
          <cell r="N120">
            <v>0.45586883378988025</v>
          </cell>
        </row>
        <row r="121">
          <cell r="A121" t="str">
            <v>Sodium Cyanide</v>
          </cell>
          <cell r="C121">
            <v>0.2270815811606392</v>
          </cell>
          <cell r="D121">
            <v>0.27979274611398963</v>
          </cell>
          <cell r="E121">
            <v>0.314868804664723</v>
          </cell>
          <cell r="F121">
            <v>0.38224051749485449</v>
          </cell>
          <cell r="G121">
            <v>0.41753684007115599</v>
          </cell>
          <cell r="H121">
            <v>0.46742431516021288</v>
          </cell>
          <cell r="I121">
            <v>0.39565498884972305</v>
          </cell>
          <cell r="J121">
            <v>0.39098892707140137</v>
          </cell>
          <cell r="K121">
            <v>0.41343669250645998</v>
          </cell>
          <cell r="L121">
            <v>0.36606989647085741</v>
          </cell>
          <cell r="M121">
            <v>0.36554518998014529</v>
          </cell>
          <cell r="N121">
            <v>0.35760992048234774</v>
          </cell>
        </row>
        <row r="122">
          <cell r="A122" t="str">
            <v>Chlorine</v>
          </cell>
          <cell r="C122">
            <v>5.3826745164003362E-2</v>
          </cell>
          <cell r="D122">
            <v>4.9740932642487044E-2</v>
          </cell>
          <cell r="E122">
            <v>5.08878876225815E-2</v>
          </cell>
          <cell r="F122">
            <v>4.1164363422522797E-2</v>
          </cell>
          <cell r="G122">
            <v>9.8176055198098428E-3</v>
          </cell>
          <cell r="H122">
            <v>9.2505798588125888E-3</v>
          </cell>
          <cell r="I122">
            <v>9.7115315444932029E-3</v>
          </cell>
          <cell r="J122">
            <v>1.0309278350515465E-2</v>
          </cell>
          <cell r="K122">
            <v>8.7209302325581411E-3</v>
          </cell>
          <cell r="L122">
            <v>7.7217868786821492E-3</v>
          </cell>
          <cell r="M122">
            <v>7.3435417629939903E-3</v>
          </cell>
          <cell r="N122">
            <v>7.1841278668328783E-3</v>
          </cell>
        </row>
        <row r="123">
          <cell r="A123" t="str">
            <v>Caustic Soda</v>
          </cell>
          <cell r="C123">
            <v>6.0555088309503791E-2</v>
          </cell>
          <cell r="D123">
            <v>4.6632124352331605E-2</v>
          </cell>
          <cell r="E123">
            <v>3.7105751391465679E-2</v>
          </cell>
          <cell r="F123">
            <v>8.3308830736058027E-3</v>
          </cell>
          <cell r="G123">
            <v>2.1875458788601511E-2</v>
          </cell>
          <cell r="H123">
            <v>2.374118481055058E-2</v>
          </cell>
          <cell r="I123">
            <v>1.7984317674987413E-2</v>
          </cell>
          <cell r="J123">
            <v>1.5273004963726614E-2</v>
          </cell>
          <cell r="K123">
            <v>1.2919896640826874E-2</v>
          </cell>
          <cell r="L123">
            <v>1.1439684264714294E-2</v>
          </cell>
          <cell r="M123">
            <v>1.0879321130361467E-2</v>
          </cell>
          <cell r="N123">
            <v>1.0643152395307968E-2</v>
          </cell>
        </row>
        <row r="124">
          <cell r="A124" t="str">
            <v>Acid - H2SO4</v>
          </cell>
          <cell r="C124">
            <v>8.9711241940005612E-2</v>
          </cell>
          <cell r="D124">
            <v>8.2901554404145081E-2</v>
          </cell>
          <cell r="E124">
            <v>8.4813146037635831E-2</v>
          </cell>
          <cell r="F124">
            <v>8.1936685288640607E-2</v>
          </cell>
          <cell r="G124">
            <v>5.7198259834440851E-2</v>
          </cell>
          <cell r="H124">
            <v>8.2882091404373665E-2</v>
          </cell>
          <cell r="I124">
            <v>4.1148118840371201E-2</v>
          </cell>
          <cell r="J124">
            <v>4.2000763650248192E-2</v>
          </cell>
          <cell r="K124">
            <v>4.2635658914728682E-2</v>
          </cell>
          <cell r="L124">
            <v>3.7750958073557168E-2</v>
          </cell>
          <cell r="M124">
            <v>3.5901759730192835E-2</v>
          </cell>
          <cell r="N124">
            <v>3.5122402904516292E-2</v>
          </cell>
        </row>
        <row r="125">
          <cell r="A125" t="str">
            <v>Acid - HCl</v>
          </cell>
          <cell r="C125">
            <v>2.8034763106251755E-2</v>
          </cell>
          <cell r="D125">
            <v>2.072538860103627E-2</v>
          </cell>
          <cell r="E125">
            <v>2.1203286509408958E-2</v>
          </cell>
          <cell r="F125">
            <v>1.7837890816426543E-2</v>
          </cell>
          <cell r="G125">
            <v>9.3629473228077405E-3</v>
          </cell>
          <cell r="H125">
            <v>8.1068340683385174E-3</v>
          </cell>
          <cell r="I125">
            <v>7.9130997769944617E-3</v>
          </cell>
          <cell r="J125">
            <v>8.4001527300496381E-3</v>
          </cell>
          <cell r="K125">
            <v>7.1059431524547814E-3</v>
          </cell>
          <cell r="L125">
            <v>6.2918263455928628E-3</v>
          </cell>
          <cell r="M125">
            <v>5.9836266216988067E-3</v>
          </cell>
          <cell r="N125">
            <v>5.8537338174193829E-3</v>
          </cell>
        </row>
        <row r="126">
          <cell r="A126" t="str">
            <v>Urea/Other</v>
          </cell>
          <cell r="C126">
            <v>0.13456686291000841</v>
          </cell>
          <cell r="D126">
            <v>0.15544041450777202</v>
          </cell>
          <cell r="E126">
            <v>0.11926848661542538</v>
          </cell>
          <cell r="F126">
            <v>9.8010389101244738E-2</v>
          </cell>
          <cell r="G126">
            <v>0.12516694153898666</v>
          </cell>
          <cell r="H126">
            <v>3.6178010338920527E-2</v>
          </cell>
          <cell r="I126">
            <v>2.9782030069779152E-2</v>
          </cell>
          <cell r="J126">
            <v>2.4436807941962586E-2</v>
          </cell>
          <cell r="K126">
            <v>3.7144702842377267E-2</v>
          </cell>
          <cell r="L126">
            <v>0.31573528570611453</v>
          </cell>
          <cell r="M126">
            <v>0.32637963391084401</v>
          </cell>
          <cell r="N126">
            <v>0.31929457185923904</v>
          </cell>
        </row>
        <row r="127">
          <cell r="A127" t="str">
            <v>Total</v>
          </cell>
          <cell r="C127">
            <v>1</v>
          </cell>
          <cell r="D127">
            <v>1</v>
          </cell>
          <cell r="E127">
            <v>1</v>
          </cell>
          <cell r="F127">
            <v>1</v>
          </cell>
          <cell r="G127">
            <v>1</v>
          </cell>
          <cell r="H127">
            <v>1</v>
          </cell>
          <cell r="I127">
            <v>1</v>
          </cell>
          <cell r="J127">
            <v>1</v>
          </cell>
          <cell r="K127">
            <v>1</v>
          </cell>
          <cell r="L127">
            <v>1</v>
          </cell>
          <cell r="M127">
            <v>1</v>
          </cell>
          <cell r="N127">
            <v>1</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Y_A"/>
      <sheetName val="Back"/>
      <sheetName val="CEY Summary"/>
      <sheetName val="Financial Statements"/>
      <sheetName val="Production"/>
      <sheetName val="ER"/>
      <sheetName val="NPV"/>
      <sheetName val="Sensitivity"/>
      <sheetName val="Charts"/>
      <sheetName val="Resources"/>
      <sheetName val="Quants"/>
      <sheetName val="RBCCM_Key_Information"/>
      <sheetName val="RBCCM_Valuation_Measures"/>
      <sheetName val="RBCCM_Income_Statement"/>
      <sheetName val="RBCCM_Cash_Flow"/>
      <sheetName val="RBCCM_Balance_Sheet"/>
      <sheetName val="RBCCM_Industry_Specif"/>
      <sheetName val="RBCCM_Quarterly_Estimates_Data"/>
      <sheetName val="Cey_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
          <cell r="D1">
            <v>2005</v>
          </cell>
          <cell r="E1">
            <v>2006</v>
          </cell>
          <cell r="F1">
            <v>2007</v>
          </cell>
          <cell r="G1" t="str">
            <v>2008E</v>
          </cell>
        </row>
      </sheetData>
      <sheetData sheetId="13" refreshError="1"/>
      <sheetData sheetId="14" refreshError="1"/>
      <sheetData sheetId="15" refreshError="1"/>
      <sheetData sheetId="16" refreshError="1">
        <row r="1">
          <cell r="B1">
            <v>2003</v>
          </cell>
          <cell r="C1">
            <v>2004</v>
          </cell>
          <cell r="D1">
            <v>2005</v>
          </cell>
          <cell r="E1">
            <v>2006</v>
          </cell>
          <cell r="F1">
            <v>2007</v>
          </cell>
          <cell r="G1" t="str">
            <v>2008E</v>
          </cell>
        </row>
      </sheetData>
      <sheetData sheetId="17" refreshError="1"/>
      <sheetData sheetId="1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CC_A"/>
      <sheetName val="Summary"/>
      <sheetName val="Financials"/>
      <sheetName val="Coppabella"/>
      <sheetName val="Moorvale"/>
      <sheetName val="Middlemount"/>
      <sheetName val="Price Target"/>
      <sheetName val="Resources"/>
      <sheetName val="Sensitivity"/>
      <sheetName val="QLD Port Expansions"/>
      <sheetName val="Charts"/>
      <sheetName val="Broker Numbers"/>
      <sheetName val="Growth Projects"/>
      <sheetName val="RBCCM_Key_Information"/>
      <sheetName val="RBCCM_Valuation_Measures"/>
      <sheetName val="RBCCM_Income_Statement"/>
      <sheetName val="RBCCM_Cash_Flow"/>
      <sheetName val="RBCCM_Balance_Sheet"/>
      <sheetName val="RBCCM_Quarterly_Estimates_Data"/>
      <sheetName val="RBCCM_Industry_Speci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es"/>
      <sheetName val="Stock Prices"/>
      <sheetName val="Misc Stock prices "/>
      <sheetName val="97PE"/>
      <sheetName val="98PE"/>
      <sheetName val="99PE"/>
      <sheetName val="00PE"/>
      <sheetName val="01PE"/>
      <sheetName val="Relative"/>
      <sheetName val="Relative (2)"/>
      <sheetName val="RelCharts"/>
      <sheetName val="RelCharts (2)"/>
      <sheetName val="Exchange rates"/>
      <sheetName val="No Shares"/>
      <sheetName val="Prices"/>
      <sheetName val="USA_misc Stock prices "/>
      <sheetName val="Forecasts_VDF"/>
      <sheetName val="MODEL"/>
      <sheetName val="02PE"/>
      <sheetName val="Template"/>
      <sheetName val="DataPage"/>
      <sheetName val="Output"/>
      <sheetName val="DCF"/>
      <sheetName val="Template1"/>
      <sheetName val="DPage"/>
      <sheetName val="Qs"/>
      <sheetName val="Sheet3"/>
      <sheetName val="MTH"/>
      <sheetName val="USA_misc Stock prices"/>
      <sheetName val="Sheet2"/>
      <sheetName val="USA Stock prices "/>
      <sheetName val="TEMPLATE_1"/>
      <sheetName val="EURO"/>
      <sheetName val="CABEQ.XLS"/>
      <sheetName val="#REF"/>
      <sheetName val="actualrelative"/>
      <sheetName val="Financials"/>
      <sheetName val="Marketing"/>
      <sheetName val="MARKETS"/>
      <sheetName val="ASSUMPTIONS"/>
      <sheetName val="TELE+"/>
      <sheetName val="MSDW ConFins"/>
      <sheetName val="Chart1"/>
      <sheetName val="WKING_DATA"/>
      <sheetName val="Consumer"/>
      <sheetName val="Val"/>
      <sheetName val="Comps"/>
      <sheetName val="Misc Stock Prices"/>
      <sheetName val=" Stock prices "/>
      <sheetName val="PXMODEL"/>
      <sheetName val="DCF Reuters"/>
      <sheetName val="Sector"/>
    </sheetNames>
    <sheetDataSet>
      <sheetData sheetId="0" refreshError="1">
        <row r="5">
          <cell r="E5" t="str">
            <v>#N/A N/P</v>
          </cell>
        </row>
        <row r="7">
          <cell r="E7">
            <v>12.1</v>
          </cell>
        </row>
        <row r="8">
          <cell r="E8" t="e">
            <v>#VALUE!</v>
          </cell>
        </row>
        <row r="9">
          <cell r="E9" t="e">
            <v>#VALUE!</v>
          </cell>
        </row>
        <row r="10">
          <cell r="E10" t="e">
            <v>#VALUE!</v>
          </cell>
        </row>
        <row r="11">
          <cell r="E11" t="e">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s"/>
      <sheetName val="Qtr"/>
      <sheetName val="S-ebitda"/>
      <sheetName val="Publish"/>
      <sheetName val="_Control"/>
      <sheetName val="AsiaDB"/>
      <sheetName val="consol"/>
      <sheetName val="main"/>
      <sheetName val="revenue"/>
      <sheetName val="broadband"/>
      <sheetName val="cost"/>
      <sheetName val="debt"/>
      <sheetName val="valuation"/>
      <sheetName val="KTF"/>
      <sheetName val="Key changes"/>
      <sheetName val="prices"/>
      <sheetName val="General"/>
      <sheetName val="country"/>
      <sheetName val="country-ncons"/>
      <sheetName val="nonconsol--&gt;"/>
      <sheetName val="KEY"/>
      <sheetName val="3GconsKT"/>
      <sheetName val="support--&gt;"/>
      <sheetName val="RR-KT"/>
      <sheetName val="intcon-uni"/>
      <sheetName val="PlanB ref"/>
      <sheetName val="Subsidiary"/>
      <sheetName val="Affiliates"/>
      <sheetName val="Info"/>
      <sheetName val="KT HiTelold"/>
    </sheetNames>
    <sheetDataSet>
      <sheetData sheetId="0" refreshError="1"/>
      <sheetData sheetId="1" refreshError="1"/>
      <sheetData sheetId="2" refreshError="1"/>
      <sheetData sheetId="3" refreshError="1"/>
      <sheetData sheetId="4"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37.0.610887672</v>
          </cell>
        </row>
        <row r="18">
          <cell r="D18" t="str">
            <v>C:\JairamR\GLOSS\telcos\ktel-lcwip(oct27).xls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0</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ddenLinks"/>
      <sheetName val="Summary"/>
      <sheetName val="Financials"/>
      <sheetName val="ResearchWise"/>
      <sheetName val="Database"/>
      <sheetName val="Con &amp; Min"/>
      <sheetName val="Cement JVs"/>
      <sheetName val="Building Prod"/>
      <sheetName val="Assumptions"/>
      <sheetName val="Valuation"/>
      <sheetName val="Sensitivities"/>
      <sheetName val="LT History"/>
      <sheetName val="Half Years"/>
    </sheetNames>
    <sheetDataSet>
      <sheetData sheetId="0"/>
      <sheetData sheetId="1"/>
      <sheetData sheetId="2"/>
      <sheetData sheetId="3"/>
      <sheetData sheetId="4">
        <row r="12">
          <cell r="C12">
            <v>5.3193361549935592</v>
          </cell>
        </row>
      </sheetData>
      <sheetData sheetId="5"/>
      <sheetData sheetId="6"/>
      <sheetData sheetId="7"/>
      <sheetData sheetId="8"/>
      <sheetData sheetId="9">
        <row r="18">
          <cell r="B18">
            <v>8.6399999999999991E-2</v>
          </cell>
        </row>
      </sheetData>
      <sheetData sheetId="10"/>
      <sheetData sheetId="11"/>
      <sheetData sheetId="12"/>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ld"/>
      <sheetName val="Interface"/>
      <sheetName val="Page Details"/>
      <sheetName val="DCF"/>
      <sheetName val="REGION"/>
      <sheetName val="Summary"/>
      <sheetName val="QTRLY"/>
      <sheetName val="TABLES"/>
      <sheetName val="Check Sums"/>
      <sheetName val="master"/>
      <sheetName val="Page Sizes"/>
      <sheetName val="Sample Layout"/>
      <sheetName val="VALUATION"/>
      <sheetName val="NEW"/>
      <sheetName val="DATA"/>
      <sheetName val="Dep policy"/>
      <sheetName val="Interim"/>
      <sheetName val="brief"/>
      <sheetName val="Co. data"/>
      <sheetName val="Forex"/>
      <sheetName val="Write-off"/>
      <sheetName val="Post Philcom book"/>
      <sheetName val="PLTL"/>
      <sheetName val="ID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PT"/>
      <sheetName val="CITI"/>
      <sheetName val="CLSA"/>
      <sheetName val="CS"/>
      <sheetName val="DB"/>
      <sheetName val="GS"/>
      <sheetName val="JPM"/>
      <sheetName val="MQG"/>
      <sheetName val="MS"/>
      <sheetName val="MST"/>
      <sheetName val="UB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Default - Old">
  <a:themeElements>
    <a:clrScheme name="EAP boie">
      <a:dk1>
        <a:sysClr val="windowText" lastClr="000000"/>
      </a:dk1>
      <a:lt1>
        <a:sysClr val="window" lastClr="FFFFFF"/>
      </a:lt1>
      <a:dk2>
        <a:srgbClr val="950427"/>
      </a:dk2>
      <a:lt2>
        <a:srgbClr val="6D6E70"/>
      </a:lt2>
      <a:accent1>
        <a:srgbClr val="27446E"/>
      </a:accent1>
      <a:accent2>
        <a:srgbClr val="B78754"/>
      </a:accent2>
      <a:accent3>
        <a:srgbClr val="583B1C"/>
      </a:accent3>
      <a:accent4>
        <a:srgbClr val="828246"/>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77BD8F4-6D4E-4277-94A2-DCC85CD1D8F0}">
  <we:reference id="29673e3c-d826-4f00-92ee-162334a52b1a" version="1.0.0.8" store="EXCatalog" storeType="EXCatalog"/>
  <we:alternateReferences>
    <we:reference id="WA200009404" version="1.0.0.8" store="en-US" storeType="OMEX"/>
  </we:alternateReferences>
  <we:properties>
    <we:property name="claude.fileId" value="&quot;5d3fa961-2ea7-4225-abe5-c41a46a7ec7c&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hyperlink" Target="https://www.acnc.gov.au/charity/charities/588cf203-39af-e811-a963-000d3ad24077/documents/" TargetMode="External"/><Relationship Id="rId3" Type="http://schemas.openxmlformats.org/officeDocument/2006/relationships/hyperlink" Target="https://www.acnc.gov.au/charity/charities/cdc7f13e-39af-e811-a961-000d3ad24182/documents/" TargetMode="External"/><Relationship Id="rId7" Type="http://schemas.openxmlformats.org/officeDocument/2006/relationships/hyperlink" Target="https://www.acnc.gov.au/charity/charities/96418be4-38af-e811-a95e-000d3ad24c60/documents/" TargetMode="External"/><Relationship Id="rId12" Type="http://schemas.openxmlformats.org/officeDocument/2006/relationships/comments" Target="../comments1.xml"/><Relationship Id="rId2" Type="http://schemas.openxmlformats.org/officeDocument/2006/relationships/hyperlink" Target="https://www.endeavour.com.au/about-us/publications/annual-reports" TargetMode="External"/><Relationship Id="rId1" Type="http://schemas.openxmlformats.org/officeDocument/2006/relationships/hyperlink" Target="https://www.acnc.gov.au/charity/charities/d127a517-39af-e811-a962-000d3ad24a0d/documents/" TargetMode="External"/><Relationship Id="rId6" Type="http://schemas.openxmlformats.org/officeDocument/2006/relationships/hyperlink" Target="https://www.acnc.gov.au/charity/charities/8281a15d-39af-e811-a960-000d3ad24282/documents/" TargetMode="External"/><Relationship Id="rId11" Type="http://schemas.openxmlformats.org/officeDocument/2006/relationships/vmlDrawing" Target="../drawings/vmlDrawing1.vml"/><Relationship Id="rId5" Type="http://schemas.openxmlformats.org/officeDocument/2006/relationships/hyperlink" Target="https://www.acnc.gov.au/charity/charities/60f80f2a-39af-e811-a963-000d3ad244fd/documents/" TargetMode="External"/><Relationship Id="rId10" Type="http://schemas.openxmlformats.org/officeDocument/2006/relationships/printerSettings" Target="../printerSettings/printerSettings1.bin"/><Relationship Id="rId4" Type="http://schemas.openxmlformats.org/officeDocument/2006/relationships/hyperlink" Target="https://www.acnc.gov.au/charity/charities/875a1656-3aaf-e811-a962-000d3ad24a0d/documents/" TargetMode="External"/><Relationship Id="rId9" Type="http://schemas.openxmlformats.org/officeDocument/2006/relationships/hyperlink" Target="https://www.acnc.gov.au/charity/charities/21bdce49-39af-e811-a962-000d3ad24a0d/documents/"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8" Type="http://schemas.openxmlformats.org/officeDocument/2006/relationships/hyperlink" Target="https://www.prizelink.com.au/homes/mater/" TargetMode="External"/><Relationship Id="rId3" Type="http://schemas.openxmlformats.org/officeDocument/2006/relationships/hyperlink" Target="https://www.ozlotteries.com/endeavour-foundation/winners" TargetMode="External"/><Relationship Id="rId7" Type="http://schemas.openxmlformats.org/officeDocument/2006/relationships/hyperlink" Target="https://www.prizelink.com.au/homes/surf-life-saving/" TargetMode="External"/><Relationship Id="rId12" Type="http://schemas.openxmlformats.org/officeDocument/2006/relationships/comments" Target="../comments3.xml"/><Relationship Id="rId2" Type="http://schemas.openxmlformats.org/officeDocument/2006/relationships/hyperlink" Target="https://www.deaflottery.com.au/deaf-lottery/winners?page=1" TargetMode="External"/><Relationship Id="rId1" Type="http://schemas.openxmlformats.org/officeDocument/2006/relationships/hyperlink" Target="https://www.prizelink.com.au/homes/rsl-art-union/" TargetMode="External"/><Relationship Id="rId6" Type="http://schemas.openxmlformats.org/officeDocument/2006/relationships/hyperlink" Target="https://www.materlotteries.com.au/mater-prize-home/vip-club" TargetMode="External"/><Relationship Id="rId11" Type="http://schemas.openxmlformats.org/officeDocument/2006/relationships/vmlDrawing" Target="../drawings/vmlDrawing3.vml"/><Relationship Id="rId5" Type="http://schemas.openxmlformats.org/officeDocument/2006/relationships/hyperlink" Target="https://www.yourtown.com.au/sites/default/files/draw_terms_conditions/504-Web-Terms-Conditions-KT-V1.pdf" TargetMode="External"/><Relationship Id="rId10" Type="http://schemas.openxmlformats.org/officeDocument/2006/relationships/printerSettings" Target="../printerSettings/printerSettings3.bin"/><Relationship Id="rId4" Type="http://schemas.openxmlformats.org/officeDocument/2006/relationships/hyperlink" Target="https://www.prizelink.com.au/homes/yourtown/" TargetMode="External"/><Relationship Id="rId9" Type="http://schemas.openxmlformats.org/officeDocument/2006/relationships/hyperlink" Target="https://www.prizelink.com.au/homes/surf-life-saving/"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FB00F-99C0-4F4D-92FA-5DAA8B6F8183}">
  <sheetPr>
    <tabColor theme="4" tint="0.79998168889431442"/>
  </sheetPr>
  <dimension ref="A1:Y60"/>
  <sheetViews>
    <sheetView showGridLines="0" topLeftCell="B19" zoomScale="70" zoomScaleNormal="70" workbookViewId="0">
      <selection activeCell="R32" sqref="R32"/>
    </sheetView>
  </sheetViews>
  <sheetFormatPr defaultRowHeight="15"/>
  <cols>
    <col min="1" max="1" width="2.7109375" customWidth="1"/>
    <col min="2" max="2" width="21.42578125" style="2" bestFit="1" customWidth="1"/>
    <col min="3" max="3" width="9.140625" style="2"/>
    <col min="4" max="4" width="11.140625" style="2" bestFit="1" customWidth="1"/>
    <col min="5" max="6" width="9.140625" style="2"/>
    <col min="7" max="7" width="10.140625" style="2" bestFit="1" customWidth="1"/>
    <col min="8" max="8" width="11.140625" style="2" bestFit="1" customWidth="1"/>
    <col min="9" max="10" width="9.140625" style="2"/>
    <col min="11" max="19" width="9.7109375" style="2" customWidth="1"/>
    <col min="20" max="20" width="9.140625" style="2"/>
    <col min="21" max="21" width="46.85546875" style="2" bestFit="1" customWidth="1"/>
    <col min="22" max="22" width="31.140625" style="1" bestFit="1" customWidth="1"/>
    <col min="23" max="23" width="2.7109375" style="1" customWidth="1"/>
    <col min="24" max="24" width="50" bestFit="1" customWidth="1"/>
    <col min="25" max="25" width="5.7109375" customWidth="1"/>
  </cols>
  <sheetData>
    <row r="1" spans="1:25">
      <c r="B1"/>
      <c r="C1"/>
      <c r="D1"/>
      <c r="E1"/>
      <c r="F1"/>
      <c r="G1"/>
      <c r="H1"/>
      <c r="I1"/>
      <c r="J1"/>
      <c r="K1"/>
      <c r="L1"/>
      <c r="M1"/>
      <c r="N1"/>
      <c r="O1"/>
      <c r="P1"/>
      <c r="Q1"/>
      <c r="R1"/>
      <c r="S1"/>
      <c r="T1" s="3"/>
      <c r="U1"/>
      <c r="V1"/>
      <c r="W1"/>
    </row>
    <row r="2" spans="1:25" s="13" customFormat="1">
      <c r="D2" s="13" t="s">
        <v>89</v>
      </c>
      <c r="E2" s="13" t="s">
        <v>88</v>
      </c>
      <c r="F2" s="13" t="s">
        <v>87</v>
      </c>
      <c r="G2" s="13" t="s">
        <v>86</v>
      </c>
      <c r="H2" s="13" t="s">
        <v>85</v>
      </c>
      <c r="I2" s="13" t="s">
        <v>84</v>
      </c>
      <c r="J2" s="13" t="s">
        <v>83</v>
      </c>
      <c r="K2" s="13" t="s">
        <v>82</v>
      </c>
      <c r="L2" s="13" t="s">
        <v>81</v>
      </c>
      <c r="M2" s="13" t="s">
        <v>80</v>
      </c>
      <c r="N2" s="13" t="s">
        <v>79</v>
      </c>
      <c r="O2" s="13" t="s">
        <v>78</v>
      </c>
      <c r="P2" s="13" t="s">
        <v>95</v>
      </c>
      <c r="T2" s="13" t="s">
        <v>77</v>
      </c>
      <c r="U2" s="13" t="s">
        <v>76</v>
      </c>
      <c r="X2" s="13" t="s">
        <v>75</v>
      </c>
      <c r="Y2" s="13" t="s">
        <v>74</v>
      </c>
    </row>
    <row r="3" spans="1:25">
      <c r="B3"/>
      <c r="C3"/>
      <c r="D3"/>
      <c r="E3"/>
      <c r="F3" s="9"/>
      <c r="G3" s="9"/>
      <c r="H3" s="9"/>
      <c r="I3" s="9"/>
      <c r="J3" s="9"/>
      <c r="K3" s="9"/>
      <c r="L3"/>
      <c r="O3"/>
      <c r="P3"/>
      <c r="Q3"/>
      <c r="R3"/>
      <c r="S3"/>
      <c r="T3" s="3"/>
      <c r="U3"/>
      <c r="V3"/>
      <c r="W3"/>
    </row>
    <row r="4" spans="1:25">
      <c r="B4" s="8" t="s">
        <v>73</v>
      </c>
      <c r="C4"/>
      <c r="D4"/>
      <c r="E4"/>
      <c r="F4" s="9"/>
      <c r="G4" s="9"/>
      <c r="H4" s="9"/>
      <c r="I4" s="9"/>
      <c r="J4" s="9"/>
      <c r="K4" s="9"/>
      <c r="L4"/>
      <c r="O4"/>
      <c r="P4"/>
      <c r="Q4"/>
      <c r="R4"/>
      <c r="S4"/>
      <c r="T4" s="3"/>
      <c r="U4"/>
      <c r="V4"/>
      <c r="W4"/>
    </row>
    <row r="5" spans="1:25">
      <c r="B5" s="6" t="s">
        <v>72</v>
      </c>
      <c r="C5" s="3" t="s">
        <v>25</v>
      </c>
      <c r="D5" s="84">
        <v>62028.190999999999</v>
      </c>
      <c r="E5" s="84">
        <v>74662.774999999994</v>
      </c>
      <c r="F5" s="84">
        <v>84130.94</v>
      </c>
      <c r="G5" s="84">
        <v>101315.249</v>
      </c>
      <c r="H5" s="84">
        <v>114540.872</v>
      </c>
      <c r="I5" s="84">
        <v>120476.325</v>
      </c>
      <c r="J5" s="84">
        <v>130777.357</v>
      </c>
      <c r="K5" s="84">
        <v>169147.185</v>
      </c>
      <c r="L5" s="84">
        <v>207360.628</v>
      </c>
      <c r="M5" s="84">
        <v>224304.35</v>
      </c>
      <c r="N5" s="84">
        <v>213633.95199999999</v>
      </c>
      <c r="O5" s="84">
        <v>199237.473</v>
      </c>
      <c r="P5" s="84">
        <v>200213.56400000001</v>
      </c>
      <c r="Q5"/>
      <c r="R5"/>
      <c r="S5" s="7"/>
      <c r="T5" s="3" t="s">
        <v>71</v>
      </c>
      <c r="U5" t="s">
        <v>70</v>
      </c>
      <c r="V5" t="s">
        <v>46</v>
      </c>
      <c r="W5"/>
      <c r="X5" t="s">
        <v>194</v>
      </c>
      <c r="Y5" s="10" t="s">
        <v>69</v>
      </c>
    </row>
    <row r="6" spans="1:25">
      <c r="B6" s="6" t="s">
        <v>68</v>
      </c>
      <c r="C6" s="3" t="s">
        <v>25</v>
      </c>
      <c r="D6" s="84">
        <v>51538</v>
      </c>
      <c r="E6" s="84">
        <v>55359</v>
      </c>
      <c r="F6" s="84">
        <v>57636</v>
      </c>
      <c r="G6" s="84">
        <v>58395</v>
      </c>
      <c r="H6" s="84">
        <v>59847</v>
      </c>
      <c r="I6" s="84">
        <v>60166</v>
      </c>
      <c r="J6" s="84">
        <v>61812</v>
      </c>
      <c r="K6" s="84">
        <v>66698</v>
      </c>
      <c r="L6" s="84">
        <v>81008</v>
      </c>
      <c r="M6" s="84">
        <v>84858</v>
      </c>
      <c r="N6" s="84">
        <v>80484</v>
      </c>
      <c r="O6" s="84">
        <v>79262</v>
      </c>
      <c r="P6" s="84">
        <v>78534</v>
      </c>
      <c r="Q6" s="9"/>
      <c r="R6" s="9"/>
      <c r="S6" s="7"/>
      <c r="T6" s="3" t="s">
        <v>34</v>
      </c>
      <c r="U6" t="s">
        <v>67</v>
      </c>
      <c r="V6" t="s">
        <v>46</v>
      </c>
      <c r="W6"/>
      <c r="Y6" s="10" t="s">
        <v>66</v>
      </c>
    </row>
    <row r="7" spans="1:25">
      <c r="B7" s="6" t="s">
        <v>65</v>
      </c>
      <c r="C7" s="3" t="s">
        <v>25</v>
      </c>
      <c r="D7" s="84"/>
      <c r="E7" s="84">
        <v>24666.891</v>
      </c>
      <c r="F7" s="84">
        <v>26656.146000000001</v>
      </c>
      <c r="G7" s="84">
        <v>25036.065999999999</v>
      </c>
      <c r="H7" s="84">
        <v>24596.278999999999</v>
      </c>
      <c r="I7" s="84">
        <v>22579.143</v>
      </c>
      <c r="J7" s="84">
        <v>22878.901999999998</v>
      </c>
      <c r="K7" s="84">
        <v>20674.172999999999</v>
      </c>
      <c r="L7" s="84">
        <v>23993.486000000001</v>
      </c>
      <c r="M7" s="84">
        <v>31362.89</v>
      </c>
      <c r="N7" s="84">
        <v>38522.864000000001</v>
      </c>
      <c r="O7" s="84">
        <v>47388.896000000001</v>
      </c>
      <c r="P7" s="84">
        <v>53154.483999999997</v>
      </c>
      <c r="Q7" s="9"/>
      <c r="R7" s="9"/>
      <c r="S7" s="7"/>
      <c r="T7" s="3" t="s">
        <v>34</v>
      </c>
      <c r="U7" t="s">
        <v>64</v>
      </c>
      <c r="V7" t="s">
        <v>63</v>
      </c>
      <c r="W7"/>
      <c r="Y7" s="10" t="s">
        <v>62</v>
      </c>
    </row>
    <row r="8" spans="1:25">
      <c r="B8" s="6" t="s">
        <v>197</v>
      </c>
      <c r="C8" s="3" t="s">
        <v>25</v>
      </c>
      <c r="D8" s="84">
        <v>14241.052</v>
      </c>
      <c r="E8" s="84">
        <v>16463.989000000001</v>
      </c>
      <c r="F8" s="84">
        <v>23615.879000000001</v>
      </c>
      <c r="G8" s="84">
        <v>29735.406999999999</v>
      </c>
      <c r="H8" s="84">
        <v>33453.987000000001</v>
      </c>
      <c r="I8" s="84">
        <v>36503.652999999998</v>
      </c>
      <c r="J8" s="84">
        <v>39219.188000000002</v>
      </c>
      <c r="K8" s="84">
        <v>44269.353000000003</v>
      </c>
      <c r="L8" s="84">
        <v>58897.675999999999</v>
      </c>
      <c r="M8" s="84">
        <v>73281.403000000006</v>
      </c>
      <c r="N8" s="84">
        <v>68279.587</v>
      </c>
      <c r="O8" s="84">
        <v>63038.192000000003</v>
      </c>
      <c r="P8" s="84">
        <v>62961.968000000001</v>
      </c>
      <c r="Q8"/>
      <c r="R8"/>
      <c r="S8" s="7"/>
      <c r="T8" s="3" t="s">
        <v>34</v>
      </c>
      <c r="U8" t="s">
        <v>196</v>
      </c>
      <c r="V8" t="s">
        <v>63</v>
      </c>
      <c r="W8"/>
      <c r="X8" t="s">
        <v>200</v>
      </c>
    </row>
    <row r="9" spans="1:25">
      <c r="B9" s="6"/>
      <c r="C9"/>
      <c r="D9" s="9"/>
      <c r="E9" s="9"/>
      <c r="F9" s="9"/>
      <c r="G9" s="9"/>
      <c r="H9" s="9" t="s">
        <v>198</v>
      </c>
      <c r="I9" s="9"/>
      <c r="J9" s="9"/>
      <c r="K9" s="9"/>
      <c r="L9" s="9"/>
      <c r="M9" s="9"/>
      <c r="N9" s="9"/>
      <c r="O9"/>
      <c r="P9"/>
      <c r="Q9"/>
      <c r="R9"/>
      <c r="S9" s="7"/>
      <c r="T9" s="3"/>
      <c r="U9"/>
      <c r="V9"/>
      <c r="W9"/>
    </row>
    <row r="10" spans="1:25">
      <c r="B10" s="8" t="s">
        <v>61</v>
      </c>
      <c r="C10"/>
      <c r="D10"/>
      <c r="E10"/>
      <c r="F10" s="9"/>
      <c r="G10" s="9"/>
      <c r="H10" s="9"/>
      <c r="I10" s="9"/>
      <c r="J10" s="9"/>
      <c r="K10" s="9"/>
      <c r="L10"/>
      <c r="M10"/>
      <c r="N10"/>
      <c r="O10"/>
      <c r="P10"/>
      <c r="Q10"/>
      <c r="R10"/>
      <c r="S10" s="7"/>
      <c r="T10" s="3"/>
      <c r="U10"/>
      <c r="V10"/>
      <c r="W10"/>
    </row>
    <row r="11" spans="1:25">
      <c r="B11" s="6" t="s">
        <v>16</v>
      </c>
      <c r="C11" s="3" t="s">
        <v>25</v>
      </c>
      <c r="D11"/>
      <c r="E11"/>
      <c r="F11" s="9"/>
      <c r="G11" s="9"/>
      <c r="H11" s="9"/>
      <c r="I11" s="9"/>
      <c r="J11" s="9"/>
      <c r="K11" s="9"/>
      <c r="L11" s="84">
        <v>13212</v>
      </c>
      <c r="M11" s="84">
        <v>13854</v>
      </c>
      <c r="N11" s="84">
        <v>13880</v>
      </c>
      <c r="O11"/>
      <c r="P11"/>
      <c r="Q11"/>
      <c r="R11"/>
      <c r="S11" s="7"/>
      <c r="T11" s="3" t="s">
        <v>34</v>
      </c>
      <c r="U11" t="s">
        <v>60</v>
      </c>
      <c r="V11"/>
      <c r="W11"/>
      <c r="Y11" s="10" t="s">
        <v>59</v>
      </c>
    </row>
    <row r="12" spans="1:25">
      <c r="B12" s="6" t="s">
        <v>58</v>
      </c>
      <c r="C12" s="3" t="s">
        <v>25</v>
      </c>
      <c r="D12"/>
      <c r="E12" s="84">
        <v>4620.5990000000002</v>
      </c>
      <c r="F12" s="84">
        <v>4875.6490000000003</v>
      </c>
      <c r="G12" s="84">
        <v>4742.1329999999998</v>
      </c>
      <c r="H12" s="84">
        <v>4358.277</v>
      </c>
      <c r="I12" s="84">
        <v>4740.6610000000001</v>
      </c>
      <c r="J12" s="84">
        <v>4784.3869999999997</v>
      </c>
      <c r="K12" s="84">
        <v>4371.2349999999997</v>
      </c>
      <c r="L12" s="84">
        <v>4126.1589999999997</v>
      </c>
      <c r="M12" s="84">
        <v>3856.1289999999999</v>
      </c>
      <c r="N12" s="84">
        <v>4404.0619999999999</v>
      </c>
      <c r="O12"/>
      <c r="P12"/>
      <c r="Q12"/>
      <c r="R12"/>
      <c r="S12" s="7"/>
      <c r="T12" s="3" t="s">
        <v>34</v>
      </c>
      <c r="U12" t="s">
        <v>56</v>
      </c>
      <c r="V12"/>
      <c r="W12"/>
    </row>
    <row r="13" spans="1:25">
      <c r="B13" s="6" t="s">
        <v>57</v>
      </c>
      <c r="C13" s="3" t="s">
        <v>25</v>
      </c>
      <c r="D13"/>
      <c r="E13"/>
      <c r="F13"/>
      <c r="G13"/>
      <c r="H13"/>
      <c r="I13"/>
      <c r="J13" s="84">
        <v>481.45699999999999</v>
      </c>
      <c r="K13" s="84">
        <v>9328.0879999999997</v>
      </c>
      <c r="L13" s="84">
        <v>12187.210999999999</v>
      </c>
      <c r="M13" s="84">
        <v>14249.387000000001</v>
      </c>
      <c r="N13" s="84">
        <v>15014.231</v>
      </c>
      <c r="O13"/>
      <c r="P13"/>
      <c r="Q13"/>
      <c r="R13"/>
      <c r="S13" s="7"/>
      <c r="T13" s="3" t="s">
        <v>34</v>
      </c>
      <c r="U13" t="s">
        <v>56</v>
      </c>
      <c r="V13"/>
      <c r="W13"/>
      <c r="X13" t="s">
        <v>55</v>
      </c>
    </row>
    <row r="14" spans="1:25">
      <c r="B14"/>
      <c r="C14"/>
      <c r="D14"/>
      <c r="E14"/>
      <c r="F14"/>
      <c r="G14"/>
      <c r="H14"/>
      <c r="I14"/>
      <c r="J14" s="9"/>
      <c r="K14" s="9"/>
      <c r="L14" s="9"/>
      <c r="M14" s="9"/>
      <c r="N14" s="9"/>
      <c r="O14"/>
      <c r="P14"/>
      <c r="Q14"/>
      <c r="R14"/>
      <c r="S14" s="7"/>
      <c r="T14" s="3"/>
      <c r="U14"/>
      <c r="V14"/>
      <c r="W14"/>
    </row>
    <row r="15" spans="1:25">
      <c r="B15" s="8" t="s">
        <v>54</v>
      </c>
      <c r="C15"/>
      <c r="D15"/>
      <c r="E15"/>
      <c r="F15" s="9"/>
      <c r="G15" s="9"/>
      <c r="H15" s="9"/>
      <c r="I15" s="9"/>
      <c r="J15" s="9"/>
      <c r="K15" s="9"/>
      <c r="L15"/>
      <c r="M15"/>
      <c r="N15"/>
      <c r="O15"/>
      <c r="P15"/>
      <c r="Q15"/>
      <c r="R15"/>
      <c r="S15" s="7"/>
      <c r="T15" s="3"/>
      <c r="U15"/>
      <c r="V15"/>
      <c r="W15"/>
    </row>
    <row r="16" spans="1:25">
      <c r="A16" s="10"/>
      <c r="B16" s="6" t="s">
        <v>53</v>
      </c>
      <c r="C16" s="3" t="s">
        <v>25</v>
      </c>
      <c r="D16" s="84">
        <v>38771.964999999997</v>
      </c>
      <c r="E16" s="84">
        <v>47044.663999999997</v>
      </c>
      <c r="F16" s="84">
        <v>52404.15</v>
      </c>
      <c r="G16" s="84">
        <v>50237.036</v>
      </c>
      <c r="H16" s="84">
        <v>50649.050999999999</v>
      </c>
      <c r="I16" s="84">
        <v>52321.082999999999</v>
      </c>
      <c r="J16" s="84">
        <v>53968.872000000003</v>
      </c>
      <c r="K16" s="84">
        <v>50594.667999999998</v>
      </c>
      <c r="L16" s="85">
        <v>52833.688999999998</v>
      </c>
      <c r="M16" s="85">
        <v>68666.562999999995</v>
      </c>
      <c r="N16" s="85">
        <v>89776.782999999996</v>
      </c>
      <c r="O16" s="85">
        <v>112481.87699999999</v>
      </c>
      <c r="P16" s="85">
        <v>134386.59400000001</v>
      </c>
      <c r="Q16"/>
      <c r="R16"/>
      <c r="S16" s="7"/>
      <c r="T16" s="12" t="s">
        <v>34</v>
      </c>
      <c r="U16" t="s">
        <v>52</v>
      </c>
      <c r="V16" t="s">
        <v>51</v>
      </c>
      <c r="W16"/>
      <c r="X16" t="s">
        <v>50</v>
      </c>
      <c r="Y16" s="10" t="s">
        <v>49</v>
      </c>
    </row>
    <row r="17" spans="1:25">
      <c r="A17" s="10"/>
      <c r="B17" s="6" t="s">
        <v>48</v>
      </c>
      <c r="C17" s="3" t="s">
        <v>25</v>
      </c>
      <c r="D17" s="9"/>
      <c r="E17" s="84">
        <v>21319</v>
      </c>
      <c r="F17" s="84">
        <v>22509</v>
      </c>
      <c r="G17" s="84">
        <v>21853</v>
      </c>
      <c r="H17" s="84">
        <v>23633</v>
      </c>
      <c r="I17" s="84">
        <v>28950</v>
      </c>
      <c r="J17" s="84">
        <v>30765</v>
      </c>
      <c r="K17" s="84">
        <v>32062</v>
      </c>
      <c r="L17" s="85">
        <v>35926</v>
      </c>
      <c r="M17" s="85">
        <v>38960</v>
      </c>
      <c r="N17" s="85">
        <v>39106</v>
      </c>
      <c r="O17" s="85">
        <v>37441</v>
      </c>
      <c r="P17" s="85">
        <v>38983</v>
      </c>
      <c r="Q17" s="9"/>
      <c r="R17" s="9"/>
      <c r="S17"/>
      <c r="T17" s="12" t="s">
        <v>34</v>
      </c>
      <c r="U17" t="s">
        <v>47</v>
      </c>
      <c r="V17" t="s">
        <v>46</v>
      </c>
      <c r="W17"/>
      <c r="Y17" s="10" t="s">
        <v>45</v>
      </c>
    </row>
    <row r="18" spans="1:25">
      <c r="A18" s="11"/>
      <c r="B18" s="6" t="s">
        <v>44</v>
      </c>
      <c r="C18" s="3" t="s">
        <v>25</v>
      </c>
      <c r="D18" s="86">
        <v>9713.7939999999999</v>
      </c>
      <c r="E18" s="86">
        <v>11014.679</v>
      </c>
      <c r="F18" s="86">
        <v>13683.436</v>
      </c>
      <c r="G18" s="84">
        <v>15264.501</v>
      </c>
      <c r="H18" s="84">
        <v>16251.745999999999</v>
      </c>
      <c r="I18" s="84">
        <v>17914.669999999998</v>
      </c>
      <c r="J18" s="84">
        <v>19194.772000000001</v>
      </c>
      <c r="K18" s="84">
        <v>20474.096000000001</v>
      </c>
      <c r="L18" s="84">
        <v>21667.058000000001</v>
      </c>
      <c r="M18" s="85">
        <v>21183.776000000002</v>
      </c>
      <c r="N18" s="85">
        <v>21517.436000000002</v>
      </c>
      <c r="O18" s="85">
        <v>24955.795999999998</v>
      </c>
      <c r="P18" s="85">
        <v>26212.562000000002</v>
      </c>
      <c r="Q18"/>
      <c r="R18"/>
      <c r="S18"/>
      <c r="T18" s="12" t="s">
        <v>34</v>
      </c>
      <c r="U18" t="s">
        <v>43</v>
      </c>
      <c r="V18" t="s">
        <v>42</v>
      </c>
      <c r="W18"/>
      <c r="X18" t="s">
        <v>41</v>
      </c>
      <c r="Y18" s="11" t="s">
        <v>40</v>
      </c>
    </row>
    <row r="19" spans="1:25">
      <c r="B19" s="6" t="s">
        <v>39</v>
      </c>
      <c r="C19" s="3" t="s">
        <v>25</v>
      </c>
      <c r="D19"/>
      <c r="E19"/>
      <c r="F19"/>
      <c r="G19"/>
      <c r="H19"/>
      <c r="I19"/>
      <c r="J19" s="9"/>
      <c r="K19" s="9"/>
      <c r="L19" s="9"/>
      <c r="M19" s="84">
        <v>3236.5070000000001</v>
      </c>
      <c r="N19" s="84">
        <v>3432.1030000000001</v>
      </c>
      <c r="O19"/>
      <c r="P19"/>
      <c r="Q19"/>
      <c r="R19"/>
      <c r="S19"/>
      <c r="T19" s="3"/>
      <c r="U19" t="s">
        <v>38</v>
      </c>
      <c r="V19"/>
      <c r="W19"/>
      <c r="X19" t="s">
        <v>37</v>
      </c>
      <c r="Y19" t="s">
        <v>36</v>
      </c>
    </row>
    <row r="20" spans="1:25">
      <c r="B20" s="6" t="s">
        <v>35</v>
      </c>
      <c r="C20" s="3" t="s">
        <v>25</v>
      </c>
      <c r="D20"/>
      <c r="E20"/>
      <c r="F20" s="9"/>
      <c r="G20" s="9"/>
      <c r="H20" s="84">
        <v>4927</v>
      </c>
      <c r="I20" s="84">
        <v>4442</v>
      </c>
      <c r="J20" s="84">
        <v>3836</v>
      </c>
      <c r="K20" s="84">
        <v>3807</v>
      </c>
      <c r="L20" s="84">
        <v>3025</v>
      </c>
      <c r="M20" s="84">
        <v>2907</v>
      </c>
      <c r="N20" s="84">
        <v>1505</v>
      </c>
      <c r="O20" s="84">
        <v>1729</v>
      </c>
      <c r="P20" s="84">
        <v>1127</v>
      </c>
      <c r="Q20"/>
      <c r="R20"/>
      <c r="S20"/>
      <c r="T20" s="3" t="s">
        <v>34</v>
      </c>
      <c r="U20" t="s">
        <v>33</v>
      </c>
      <c r="V20"/>
      <c r="W20"/>
      <c r="Y20" s="10" t="s">
        <v>32</v>
      </c>
    </row>
    <row r="21" spans="1:25">
      <c r="B21" s="6" t="s">
        <v>31</v>
      </c>
      <c r="C21" s="3" t="s">
        <v>25</v>
      </c>
      <c r="D21"/>
      <c r="E21"/>
      <c r="F21"/>
      <c r="G21"/>
      <c r="H21"/>
      <c r="I21"/>
      <c r="J21" s="9"/>
      <c r="K21" s="9"/>
      <c r="L21" s="9"/>
      <c r="M21" s="9"/>
      <c r="N21" s="9"/>
      <c r="O21"/>
      <c r="P21"/>
      <c r="Q21"/>
      <c r="R21"/>
      <c r="S21"/>
      <c r="T21" s="3"/>
      <c r="V21"/>
      <c r="W21"/>
      <c r="X21" t="s">
        <v>30</v>
      </c>
      <c r="Y21" s="10" t="s">
        <v>29</v>
      </c>
    </row>
    <row r="22" spans="1:25">
      <c r="B22" s="6" t="s">
        <v>28</v>
      </c>
      <c r="C22" s="3" t="s">
        <v>25</v>
      </c>
      <c r="D22"/>
      <c r="E22"/>
      <c r="F22" s="9"/>
      <c r="G22" s="9"/>
      <c r="H22" s="9"/>
      <c r="I22" s="9"/>
      <c r="J22" s="9"/>
      <c r="K22" s="9"/>
      <c r="L22"/>
      <c r="M22"/>
      <c r="N22"/>
      <c r="O22"/>
      <c r="P22"/>
      <c r="Q22"/>
      <c r="R22"/>
      <c r="S22"/>
      <c r="T22" s="3"/>
      <c r="U22"/>
      <c r="V22"/>
      <c r="W22"/>
      <c r="Y22" s="10" t="s">
        <v>27</v>
      </c>
    </row>
    <row r="23" spans="1:25">
      <c r="B23" s="6" t="s">
        <v>26</v>
      </c>
      <c r="C23" s="3" t="s">
        <v>25</v>
      </c>
      <c r="D23"/>
      <c r="E23"/>
      <c r="F23"/>
      <c r="G23"/>
      <c r="H23"/>
      <c r="I23"/>
      <c r="J23" s="9"/>
      <c r="K23" s="9"/>
      <c r="L23" s="9"/>
      <c r="M23" s="9"/>
      <c r="N23" s="9"/>
      <c r="O23"/>
      <c r="P23"/>
      <c r="Q23"/>
      <c r="R23"/>
      <c r="S23"/>
      <c r="T23" s="3"/>
      <c r="U23"/>
      <c r="V23"/>
      <c r="W23"/>
    </row>
    <row r="24" spans="1:25">
      <c r="B24"/>
      <c r="C24"/>
      <c r="D24"/>
      <c r="E24"/>
      <c r="F24"/>
      <c r="G24"/>
      <c r="H24"/>
      <c r="I24"/>
      <c r="J24"/>
      <c r="K24"/>
      <c r="L24"/>
      <c r="M24" s="5"/>
      <c r="N24" s="9"/>
      <c r="O24"/>
      <c r="P24"/>
      <c r="Q24"/>
      <c r="R24"/>
      <c r="S24"/>
      <c r="T24" s="3"/>
      <c r="U24"/>
      <c r="V24"/>
      <c r="W24"/>
    </row>
    <row r="25" spans="1:25">
      <c r="C25"/>
      <c r="D25"/>
      <c r="E25"/>
      <c r="F25"/>
      <c r="G25"/>
      <c r="H25"/>
      <c r="I25"/>
      <c r="J25"/>
      <c r="K25"/>
      <c r="L25"/>
      <c r="M25" s="5"/>
      <c r="N25" s="9"/>
      <c r="O25"/>
      <c r="P25"/>
      <c r="Q25"/>
      <c r="R25"/>
      <c r="S25"/>
      <c r="T25" s="3"/>
      <c r="U25"/>
      <c r="V25"/>
      <c r="W25"/>
    </row>
    <row r="26" spans="1:25">
      <c r="C26"/>
      <c r="D26"/>
      <c r="E26"/>
      <c r="F26"/>
      <c r="G26"/>
      <c r="H26"/>
      <c r="I26"/>
      <c r="J26"/>
      <c r="K26"/>
      <c r="L26"/>
      <c r="M26" s="5"/>
      <c r="N26"/>
      <c r="O26"/>
      <c r="P26"/>
      <c r="Q26"/>
      <c r="R26"/>
      <c r="S26"/>
      <c r="T26" s="3"/>
      <c r="U26"/>
      <c r="V26"/>
      <c r="W26"/>
    </row>
    <row r="27" spans="1:25">
      <c r="D27"/>
      <c r="E27"/>
      <c r="F27"/>
      <c r="G27"/>
      <c r="H27"/>
      <c r="I27"/>
      <c r="J27"/>
      <c r="K27"/>
      <c r="L27" s="9"/>
      <c r="M27" s="5"/>
      <c r="N27" s="9"/>
      <c r="O27"/>
      <c r="P27"/>
      <c r="Q27"/>
      <c r="R27"/>
      <c r="S27"/>
      <c r="T27" s="3"/>
      <c r="U27"/>
      <c r="V27"/>
      <c r="W27"/>
    </row>
    <row r="28" spans="1:25">
      <c r="B28" s="8" t="s">
        <v>24</v>
      </c>
      <c r="D28"/>
      <c r="E28"/>
      <c r="F28"/>
      <c r="G28"/>
      <c r="H28"/>
      <c r="I28"/>
      <c r="J28"/>
      <c r="K28"/>
      <c r="L28" s="9"/>
      <c r="M28" s="5"/>
      <c r="N28" s="9"/>
      <c r="O28"/>
      <c r="P28"/>
      <c r="Q28"/>
      <c r="R28"/>
      <c r="S28"/>
      <c r="T28" s="3"/>
      <c r="U28"/>
      <c r="V28"/>
      <c r="W28"/>
    </row>
    <row r="29" spans="1:25">
      <c r="B29" s="6" t="s">
        <v>23</v>
      </c>
      <c r="C29"/>
      <c r="D29"/>
      <c r="E29"/>
      <c r="F29"/>
      <c r="G29"/>
      <c r="H29"/>
      <c r="I29"/>
      <c r="J29"/>
      <c r="K29"/>
      <c r="L29"/>
      <c r="M29" s="5"/>
      <c r="N29"/>
      <c r="O29"/>
      <c r="P29"/>
      <c r="Q29"/>
      <c r="R29"/>
      <c r="S29"/>
      <c r="T29" s="3"/>
      <c r="U29"/>
      <c r="V29"/>
      <c r="W29"/>
    </row>
    <row r="30" spans="1:25">
      <c r="B30" s="6" t="s">
        <v>22</v>
      </c>
      <c r="C30"/>
      <c r="D30"/>
      <c r="E30"/>
      <c r="F30"/>
      <c r="G30"/>
      <c r="H30"/>
      <c r="I30"/>
      <c r="J30"/>
      <c r="K30"/>
      <c r="L30"/>
      <c r="M30" s="5"/>
      <c r="N30"/>
      <c r="O30"/>
      <c r="P30"/>
      <c r="Q30"/>
      <c r="R30"/>
      <c r="S30"/>
      <c r="T30" s="3"/>
      <c r="U30"/>
      <c r="V30"/>
      <c r="W30"/>
    </row>
    <row r="31" spans="1:25">
      <c r="B31" s="6" t="s">
        <v>21</v>
      </c>
      <c r="C31"/>
      <c r="D31"/>
      <c r="E31"/>
      <c r="F31"/>
      <c r="G31"/>
      <c r="H31"/>
      <c r="I31"/>
      <c r="J31"/>
      <c r="K31"/>
      <c r="L31"/>
      <c r="M31"/>
      <c r="N31" s="5"/>
      <c r="O31"/>
      <c r="P31"/>
      <c r="Q31"/>
      <c r="R31"/>
      <c r="S31"/>
      <c r="T31"/>
      <c r="U31"/>
      <c r="V31" s="3"/>
      <c r="W31" s="3"/>
    </row>
    <row r="32" spans="1:25">
      <c r="B32" s="6" t="s">
        <v>20</v>
      </c>
      <c r="C32"/>
      <c r="D32"/>
      <c r="E32"/>
      <c r="F32"/>
      <c r="G32"/>
      <c r="H32"/>
      <c r="I32"/>
      <c r="J32"/>
      <c r="K32"/>
      <c r="L32"/>
      <c r="M32"/>
      <c r="N32" s="5"/>
      <c r="O32"/>
      <c r="P32"/>
      <c r="Q32"/>
      <c r="R32"/>
      <c r="S32"/>
      <c r="T32"/>
      <c r="U32"/>
      <c r="V32" s="3"/>
      <c r="W32" s="3"/>
    </row>
    <row r="33" spans="2:23">
      <c r="B33" s="6" t="s">
        <v>19</v>
      </c>
      <c r="C33"/>
      <c r="D33"/>
      <c r="E33"/>
      <c r="F33"/>
      <c r="G33"/>
      <c r="H33"/>
      <c r="I33"/>
      <c r="J33"/>
      <c r="K33"/>
      <c r="L33"/>
      <c r="M33"/>
      <c r="N33" s="5"/>
      <c r="O33"/>
      <c r="P33"/>
      <c r="Q33"/>
      <c r="R33"/>
      <c r="S33"/>
      <c r="T33"/>
      <c r="U33"/>
      <c r="V33" s="3"/>
      <c r="W33" s="3"/>
    </row>
    <row r="34" spans="2:23">
      <c r="B34"/>
      <c r="C34"/>
      <c r="D34"/>
      <c r="E34"/>
      <c r="F34"/>
      <c r="G34"/>
      <c r="H34"/>
      <c r="I34"/>
      <c r="J34"/>
      <c r="K34"/>
      <c r="L34"/>
      <c r="M34"/>
      <c r="N34" s="5"/>
      <c r="O34"/>
      <c r="P34"/>
      <c r="Q34"/>
      <c r="R34"/>
      <c r="S34"/>
      <c r="T34"/>
      <c r="U34"/>
      <c r="V34" s="3"/>
      <c r="W34" s="3"/>
    </row>
    <row r="35" spans="2:23">
      <c r="B35" s="8" t="s">
        <v>18</v>
      </c>
      <c r="C35"/>
      <c r="D35"/>
      <c r="E35"/>
      <c r="F35"/>
      <c r="G35"/>
      <c r="H35"/>
      <c r="I35"/>
      <c r="J35"/>
      <c r="K35"/>
      <c r="L35"/>
      <c r="M35"/>
      <c r="N35" s="5"/>
      <c r="O35"/>
      <c r="P35"/>
      <c r="Q35"/>
      <c r="R35"/>
      <c r="S35"/>
      <c r="T35"/>
      <c r="U35"/>
      <c r="V35" s="3"/>
      <c r="W35" s="3"/>
    </row>
    <row r="36" spans="2:23">
      <c r="B36" s="6" t="s">
        <v>17</v>
      </c>
      <c r="C36"/>
      <c r="D36"/>
      <c r="E36"/>
      <c r="F36"/>
      <c r="G36"/>
      <c r="H36"/>
      <c r="I36"/>
      <c r="J36"/>
      <c r="K36"/>
      <c r="L36"/>
      <c r="M36"/>
      <c r="N36" s="5"/>
      <c r="O36"/>
      <c r="P36"/>
      <c r="Q36"/>
      <c r="R36"/>
      <c r="S36"/>
      <c r="T36"/>
      <c r="U36"/>
      <c r="V36" s="3"/>
      <c r="W36" s="3"/>
    </row>
    <row r="37" spans="2:23">
      <c r="B37" s="6" t="s">
        <v>16</v>
      </c>
      <c r="C37"/>
      <c r="D37"/>
      <c r="E37"/>
      <c r="F37"/>
      <c r="G37"/>
      <c r="H37"/>
      <c r="I37"/>
      <c r="J37"/>
      <c r="K37"/>
      <c r="L37"/>
      <c r="M37"/>
      <c r="N37" s="5"/>
      <c r="O37"/>
      <c r="P37"/>
      <c r="Q37"/>
      <c r="R37"/>
      <c r="S37"/>
      <c r="T37"/>
      <c r="U37"/>
      <c r="V37" s="3"/>
      <c r="W37" s="3"/>
    </row>
    <row r="38" spans="2:23">
      <c r="B38" s="6" t="s">
        <v>1</v>
      </c>
      <c r="C38"/>
      <c r="D38"/>
      <c r="E38"/>
      <c r="F38"/>
      <c r="G38"/>
      <c r="H38"/>
      <c r="I38"/>
      <c r="J38"/>
      <c r="K38"/>
      <c r="L38" s="7"/>
      <c r="M38"/>
      <c r="N38" s="5"/>
      <c r="O38"/>
      <c r="P38"/>
      <c r="Q38"/>
      <c r="R38"/>
      <c r="S38"/>
      <c r="T38"/>
      <c r="U38"/>
      <c r="V38" s="3"/>
      <c r="W38" s="3"/>
    </row>
    <row r="39" spans="2:23">
      <c r="B39" s="6" t="s">
        <v>15</v>
      </c>
      <c r="C39"/>
      <c r="D39"/>
      <c r="E39"/>
      <c r="F39"/>
      <c r="G39"/>
      <c r="H39"/>
      <c r="I39"/>
      <c r="J39"/>
      <c r="K39"/>
      <c r="L39" s="7"/>
      <c r="M39"/>
      <c r="N39" s="5"/>
      <c r="O39"/>
      <c r="P39"/>
      <c r="Q39"/>
      <c r="R39"/>
      <c r="S39"/>
      <c r="T39"/>
      <c r="U39"/>
      <c r="V39" s="3"/>
      <c r="W39" s="3"/>
    </row>
    <row r="40" spans="2:23">
      <c r="B40" s="6" t="s">
        <v>14</v>
      </c>
      <c r="C40"/>
      <c r="D40"/>
      <c r="E40"/>
      <c r="F40"/>
      <c r="G40"/>
      <c r="H40"/>
      <c r="I40"/>
      <c r="J40"/>
      <c r="K40"/>
      <c r="L40" s="7"/>
      <c r="M40"/>
      <c r="N40" s="5"/>
      <c r="O40"/>
      <c r="P40"/>
      <c r="Q40"/>
      <c r="R40"/>
      <c r="S40"/>
      <c r="T40"/>
      <c r="U40"/>
      <c r="V40" s="3"/>
      <c r="W40" s="3"/>
    </row>
    <row r="41" spans="2:23">
      <c r="B41" s="6" t="s">
        <v>13</v>
      </c>
      <c r="C41"/>
      <c r="D41"/>
      <c r="E41"/>
      <c r="F41"/>
      <c r="G41"/>
      <c r="H41"/>
      <c r="I41"/>
      <c r="J41"/>
      <c r="K41"/>
      <c r="L41" s="7"/>
      <c r="M41"/>
      <c r="N41" s="5"/>
      <c r="O41"/>
      <c r="P41"/>
      <c r="Q41"/>
      <c r="R41"/>
      <c r="S41"/>
      <c r="T41"/>
      <c r="U41"/>
      <c r="V41" s="3"/>
      <c r="W41" s="3"/>
    </row>
    <row r="42" spans="2:23">
      <c r="B42" s="6" t="s">
        <v>12</v>
      </c>
      <c r="C42"/>
      <c r="D42"/>
      <c r="E42"/>
      <c r="F42"/>
      <c r="G42"/>
      <c r="H42"/>
      <c r="I42"/>
      <c r="J42"/>
      <c r="K42"/>
      <c r="L42" s="7"/>
      <c r="M42"/>
      <c r="N42" s="5"/>
      <c r="O42"/>
      <c r="P42"/>
      <c r="Q42"/>
      <c r="R42"/>
      <c r="S42"/>
      <c r="T42"/>
      <c r="U42"/>
      <c r="V42" s="3"/>
      <c r="W42" s="3"/>
    </row>
    <row r="43" spans="2:23">
      <c r="B43" s="6" t="s">
        <v>11</v>
      </c>
      <c r="C43"/>
      <c r="D43"/>
      <c r="E43"/>
      <c r="F43"/>
      <c r="G43"/>
      <c r="H43"/>
      <c r="I43"/>
      <c r="J43"/>
      <c r="K43"/>
      <c r="L43"/>
      <c r="M43"/>
      <c r="N43" s="5"/>
      <c r="O43"/>
      <c r="P43"/>
      <c r="Q43"/>
      <c r="R43"/>
      <c r="S43"/>
      <c r="T43"/>
      <c r="U43"/>
      <c r="V43" s="3"/>
      <c r="W43" s="3"/>
    </row>
    <row r="44" spans="2:23">
      <c r="B44" s="6" t="s">
        <v>10</v>
      </c>
      <c r="C44"/>
      <c r="D44"/>
      <c r="E44"/>
      <c r="F44"/>
      <c r="G44"/>
      <c r="H44"/>
      <c r="I44"/>
      <c r="J44"/>
      <c r="K44"/>
      <c r="L44"/>
      <c r="M44"/>
      <c r="N44" s="5"/>
      <c r="O44"/>
      <c r="P44"/>
      <c r="Q44"/>
      <c r="R44"/>
      <c r="S44"/>
      <c r="T44"/>
      <c r="U44"/>
      <c r="V44" s="3"/>
      <c r="W44" s="3"/>
    </row>
    <row r="45" spans="2:23">
      <c r="B45" s="6" t="s">
        <v>9</v>
      </c>
      <c r="C45"/>
      <c r="D45"/>
      <c r="E45"/>
      <c r="F45"/>
      <c r="G45"/>
      <c r="H45"/>
      <c r="I45"/>
      <c r="J45"/>
      <c r="K45"/>
      <c r="L45"/>
      <c r="M45"/>
      <c r="N45" s="5"/>
      <c r="O45"/>
      <c r="P45"/>
      <c r="Q45"/>
      <c r="R45"/>
      <c r="S45"/>
      <c r="T45"/>
      <c r="U45"/>
      <c r="V45" s="3"/>
      <c r="W45" s="3"/>
    </row>
    <row r="46" spans="2:23">
      <c r="B46" s="6" t="s">
        <v>2</v>
      </c>
      <c r="C46"/>
      <c r="D46"/>
      <c r="E46"/>
      <c r="F46"/>
      <c r="G46"/>
      <c r="H46"/>
      <c r="I46"/>
      <c r="J46"/>
      <c r="K46"/>
      <c r="L46"/>
      <c r="M46"/>
      <c r="N46" s="5"/>
      <c r="O46"/>
      <c r="P46"/>
      <c r="Q46"/>
      <c r="R46"/>
      <c r="S46"/>
      <c r="T46"/>
      <c r="U46"/>
      <c r="V46" s="3"/>
      <c r="W46" s="3"/>
    </row>
    <row r="47" spans="2:23">
      <c r="B47" s="6" t="s">
        <v>8</v>
      </c>
      <c r="C47"/>
      <c r="D47"/>
      <c r="E47"/>
      <c r="F47"/>
      <c r="G47"/>
      <c r="H47"/>
      <c r="I47"/>
      <c r="J47"/>
      <c r="K47"/>
      <c r="L47"/>
      <c r="M47"/>
      <c r="N47" s="5"/>
      <c r="O47"/>
      <c r="P47"/>
      <c r="Q47"/>
      <c r="R47"/>
      <c r="S47"/>
      <c r="T47"/>
      <c r="U47"/>
      <c r="V47" s="3"/>
      <c r="W47" s="3"/>
    </row>
    <row r="48" spans="2:23">
      <c r="B48" s="6" t="s">
        <v>7</v>
      </c>
      <c r="C48"/>
      <c r="D48"/>
      <c r="E48"/>
      <c r="F48"/>
      <c r="G48"/>
      <c r="H48"/>
      <c r="I48"/>
      <c r="J48"/>
      <c r="K48"/>
      <c r="L48"/>
      <c r="M48"/>
      <c r="N48" s="5"/>
      <c r="O48"/>
      <c r="P48"/>
      <c r="Q48"/>
      <c r="R48"/>
      <c r="S48"/>
      <c r="T48"/>
      <c r="U48"/>
      <c r="V48" s="3"/>
      <c r="W48" s="3"/>
    </row>
    <row r="49" spans="2:23">
      <c r="B49" s="6" t="s">
        <v>6</v>
      </c>
      <c r="C49"/>
      <c r="D49"/>
      <c r="E49"/>
      <c r="F49"/>
      <c r="G49"/>
      <c r="H49"/>
      <c r="I49"/>
      <c r="J49"/>
      <c r="K49"/>
      <c r="L49"/>
      <c r="M49"/>
      <c r="N49" s="5"/>
      <c r="O49"/>
      <c r="P49"/>
      <c r="Q49"/>
      <c r="R49"/>
      <c r="S49"/>
      <c r="T49"/>
      <c r="U49"/>
      <c r="V49" s="3"/>
      <c r="W49" s="3"/>
    </row>
    <row r="50" spans="2:23">
      <c r="B50" s="6" t="s">
        <v>5</v>
      </c>
      <c r="C50"/>
      <c r="D50"/>
      <c r="E50"/>
      <c r="F50"/>
      <c r="G50"/>
      <c r="H50"/>
      <c r="I50"/>
      <c r="J50"/>
      <c r="K50"/>
      <c r="L50"/>
      <c r="M50"/>
      <c r="N50" s="5"/>
      <c r="O50"/>
      <c r="P50"/>
      <c r="Q50"/>
      <c r="R50"/>
      <c r="S50"/>
      <c r="T50"/>
      <c r="U50"/>
      <c r="V50" s="3"/>
      <c r="W50" s="3"/>
    </row>
    <row r="51" spans="2:23">
      <c r="B51" s="6" t="s">
        <v>4</v>
      </c>
      <c r="C51"/>
      <c r="D51"/>
      <c r="E51"/>
      <c r="F51"/>
      <c r="G51"/>
      <c r="H51"/>
      <c r="I51"/>
      <c r="J51"/>
      <c r="K51"/>
      <c r="L51"/>
      <c r="M51"/>
      <c r="N51" s="5"/>
      <c r="O51"/>
      <c r="P51"/>
      <c r="Q51"/>
      <c r="R51"/>
      <c r="S51"/>
      <c r="T51"/>
      <c r="U51"/>
      <c r="V51" s="3"/>
      <c r="W51" s="3"/>
    </row>
    <row r="52" spans="2:23">
      <c r="B52" s="6" t="s">
        <v>3</v>
      </c>
      <c r="C52"/>
      <c r="D52"/>
      <c r="E52"/>
      <c r="F52"/>
      <c r="G52"/>
      <c r="H52"/>
      <c r="I52"/>
      <c r="J52"/>
      <c r="K52"/>
      <c r="L52"/>
      <c r="M52"/>
      <c r="N52" s="5"/>
      <c r="O52"/>
      <c r="P52"/>
      <c r="Q52"/>
      <c r="R52"/>
      <c r="S52"/>
      <c r="T52"/>
      <c r="U52"/>
      <c r="V52" s="3"/>
      <c r="W52" s="3"/>
    </row>
    <row r="53" spans="2:23">
      <c r="B53" s="6" t="s">
        <v>2</v>
      </c>
      <c r="C53"/>
      <c r="D53"/>
      <c r="E53"/>
      <c r="F53"/>
      <c r="G53"/>
      <c r="H53"/>
      <c r="I53"/>
      <c r="J53"/>
      <c r="K53"/>
      <c r="L53"/>
      <c r="M53"/>
      <c r="N53" s="5"/>
      <c r="O53"/>
      <c r="P53"/>
      <c r="Q53"/>
      <c r="R53"/>
      <c r="S53"/>
      <c r="T53"/>
      <c r="U53"/>
      <c r="V53" s="3"/>
      <c r="W53" s="3"/>
    </row>
    <row r="54" spans="2:23">
      <c r="B54" s="6" t="s">
        <v>1</v>
      </c>
      <c r="C54"/>
      <c r="D54"/>
      <c r="E54"/>
      <c r="F54"/>
      <c r="G54"/>
      <c r="H54"/>
      <c r="I54"/>
      <c r="J54"/>
      <c r="K54"/>
      <c r="L54"/>
      <c r="M54"/>
      <c r="N54" s="5"/>
      <c r="O54"/>
      <c r="P54"/>
      <c r="Q54"/>
      <c r="R54"/>
      <c r="S54"/>
      <c r="T54"/>
      <c r="U54"/>
      <c r="V54" s="3"/>
      <c r="W54" s="3"/>
    </row>
    <row r="55" spans="2:23">
      <c r="B55" s="6" t="s">
        <v>0</v>
      </c>
      <c r="C55"/>
      <c r="D55"/>
      <c r="E55"/>
      <c r="F55"/>
      <c r="G55"/>
      <c r="H55"/>
      <c r="I55"/>
      <c r="J55"/>
      <c r="K55"/>
      <c r="L55"/>
      <c r="M55"/>
      <c r="N55" s="5"/>
      <c r="O55"/>
      <c r="P55"/>
      <c r="Q55"/>
      <c r="R55"/>
      <c r="S55"/>
      <c r="T55"/>
      <c r="U55"/>
      <c r="V55" s="3"/>
      <c r="W55" s="3"/>
    </row>
    <row r="56" spans="2:23">
      <c r="B56"/>
      <c r="C56"/>
      <c r="D56"/>
      <c r="E56"/>
      <c r="F56"/>
      <c r="G56"/>
      <c r="H56"/>
      <c r="I56"/>
      <c r="J56"/>
      <c r="K56"/>
      <c r="L56"/>
      <c r="M56"/>
      <c r="N56" s="5"/>
      <c r="O56"/>
      <c r="P56"/>
      <c r="Q56"/>
      <c r="R56"/>
      <c r="S56"/>
      <c r="T56"/>
      <c r="U56"/>
      <c r="V56" s="3"/>
      <c r="W56" s="3"/>
    </row>
    <row r="57" spans="2:23">
      <c r="M57"/>
      <c r="N57"/>
      <c r="O57"/>
      <c r="P57"/>
      <c r="Q57"/>
      <c r="R57"/>
      <c r="S57"/>
      <c r="T57"/>
      <c r="U57"/>
      <c r="V57" s="3"/>
      <c r="W57" s="3"/>
    </row>
    <row r="58" spans="2:23">
      <c r="M58"/>
      <c r="N58"/>
      <c r="O58"/>
      <c r="P58"/>
      <c r="Q58"/>
      <c r="R58"/>
      <c r="S58"/>
      <c r="T58"/>
      <c r="U58"/>
      <c r="V58" s="3"/>
      <c r="W58" s="3"/>
    </row>
    <row r="59" spans="2:23">
      <c r="J59" s="4"/>
      <c r="M59"/>
      <c r="N59"/>
      <c r="O59"/>
      <c r="P59"/>
      <c r="Q59"/>
      <c r="R59"/>
      <c r="S59"/>
      <c r="T59"/>
      <c r="U59"/>
      <c r="V59" s="3"/>
      <c r="W59" s="3"/>
    </row>
    <row r="60" spans="2:23">
      <c r="J60" s="4"/>
      <c r="M60"/>
      <c r="N60"/>
      <c r="O60"/>
      <c r="P60"/>
      <c r="Q60"/>
      <c r="R60"/>
      <c r="S60"/>
      <c r="T60"/>
      <c r="U60"/>
      <c r="V60" s="3"/>
      <c r="W60" s="3"/>
    </row>
  </sheetData>
  <phoneticPr fontId="17" type="noConversion"/>
  <hyperlinks>
    <hyperlink ref="Y18" r:id="rId1" xr:uid="{D875C578-B7A6-4A60-BDC0-38F360AA00E8}"/>
    <hyperlink ref="Y17" r:id="rId2" xr:uid="{D455333D-786D-4A56-8A00-F3A507954941}"/>
    <hyperlink ref="Y16" r:id="rId3" xr:uid="{41EC081D-4533-4FE0-977E-84279466E596}"/>
    <hyperlink ref="Y11" r:id="rId4" xr:uid="{86A3425B-2823-498F-86DB-67B51B6D35A6}"/>
    <hyperlink ref="Y21" r:id="rId5" xr:uid="{272A90D7-DA5D-4180-B991-7B3A14AE1F4E}"/>
    <hyperlink ref="Y20" r:id="rId6" xr:uid="{B89C209C-49D5-44EB-A971-E729E3A2253D}"/>
    <hyperlink ref="Y5" r:id="rId7" xr:uid="{C1236465-EE6B-4088-B296-4583CDA8133A}"/>
    <hyperlink ref="Y6" r:id="rId8" xr:uid="{82942D92-0116-4760-81C6-86297B46E597}"/>
    <hyperlink ref="Y7" r:id="rId9" xr:uid="{DF31CF3F-8BDF-4D51-A769-5816494BF34E}"/>
  </hyperlinks>
  <pageMargins left="0.7" right="0.7" top="0.75" bottom="0.75" header="0.3" footer="0.3"/>
  <pageSetup paperSize="9" orientation="portrait" r:id="rId10"/>
  <legacyDrawing r:id="rId1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C30A9-E341-4036-A46F-A3397369CDD3}">
  <sheetPr>
    <tabColor theme="4" tint="0.79998168889431442"/>
    <pageSetUpPr autoPageBreaks="0"/>
  </sheetPr>
  <dimension ref="B3:X121"/>
  <sheetViews>
    <sheetView showGridLines="0" tabSelected="1" topLeftCell="A85" zoomScale="115" zoomScaleNormal="115" workbookViewId="0">
      <selection activeCell="S99" sqref="S99"/>
    </sheetView>
  </sheetViews>
  <sheetFormatPr defaultColWidth="8.7109375" defaultRowHeight="11.25"/>
  <cols>
    <col min="1" max="1" width="8.7109375" style="7"/>
    <col min="2" max="2" width="18.85546875" style="7" customWidth="1"/>
    <col min="3" max="3" width="4.7109375" style="14" customWidth="1"/>
    <col min="4" max="17" width="4.7109375" style="7" customWidth="1"/>
    <col min="18" max="18" width="2.7109375" style="7" customWidth="1"/>
    <col min="19" max="22" width="8.7109375" style="7"/>
    <col min="23" max="23" width="15.28515625" style="7" bestFit="1" customWidth="1"/>
    <col min="24" max="16384" width="8.7109375" style="7"/>
  </cols>
  <sheetData>
    <row r="3" spans="2:24">
      <c r="B3" s="26"/>
      <c r="C3" s="25" t="s">
        <v>96</v>
      </c>
      <c r="D3" s="24" t="s">
        <v>88</v>
      </c>
      <c r="E3" s="24" t="s">
        <v>87</v>
      </c>
      <c r="F3" s="24" t="s">
        <v>86</v>
      </c>
      <c r="G3" s="24" t="s">
        <v>85</v>
      </c>
      <c r="H3" s="24" t="s">
        <v>84</v>
      </c>
      <c r="I3" s="24" t="s">
        <v>83</v>
      </c>
      <c r="J3" s="24" t="s">
        <v>82</v>
      </c>
      <c r="K3" s="24" t="s">
        <v>81</v>
      </c>
      <c r="L3" s="24" t="s">
        <v>80</v>
      </c>
      <c r="M3" s="24" t="s">
        <v>79</v>
      </c>
      <c r="N3" s="24" t="s">
        <v>78</v>
      </c>
      <c r="O3" s="24" t="s">
        <v>95</v>
      </c>
      <c r="P3" s="24" t="s">
        <v>190</v>
      </c>
      <c r="Q3" s="24" t="s">
        <v>191</v>
      </c>
    </row>
    <row r="4" spans="2:24">
      <c r="B4" s="23" t="s">
        <v>108</v>
      </c>
    </row>
    <row r="5" spans="2:24">
      <c r="B5" s="33" t="s">
        <v>104</v>
      </c>
      <c r="C5" s="14" t="s">
        <v>92</v>
      </c>
      <c r="D5" s="31">
        <v>47.044663999999997</v>
      </c>
      <c r="E5" s="31">
        <v>52.404150000000001</v>
      </c>
      <c r="F5" s="31">
        <v>50.237036000000003</v>
      </c>
      <c r="G5" s="31">
        <v>50.649051</v>
      </c>
      <c r="H5" s="31">
        <v>52.321083000000002</v>
      </c>
      <c r="I5" s="31">
        <v>53.968872000000005</v>
      </c>
      <c r="J5" s="31">
        <v>50.594667999999999</v>
      </c>
      <c r="K5" s="42">
        <v>52.833689</v>
      </c>
      <c r="L5" s="42">
        <v>68.666562999999996</v>
      </c>
      <c r="M5" s="42">
        <v>89.776782999999995</v>
      </c>
      <c r="N5" s="42">
        <v>112.481877</v>
      </c>
      <c r="O5" s="73">
        <v>134.386594</v>
      </c>
      <c r="P5" s="41">
        <v>176.025205058148</v>
      </c>
      <c r="Q5" s="42"/>
      <c r="S5" s="7" t="s">
        <v>52</v>
      </c>
      <c r="W5" s="19">
        <f>(O5/K5)^(1/4)-1</f>
        <v>0.26287757896367303</v>
      </c>
      <c r="X5" s="19">
        <f>(P5/K5)^(1/5)-1</f>
        <v>0.27213377927139915</v>
      </c>
    </row>
    <row r="6" spans="2:24">
      <c r="B6" s="33" t="s">
        <v>48</v>
      </c>
      <c r="C6" s="14" t="s">
        <v>92</v>
      </c>
      <c r="D6" s="31">
        <v>11.014678999999999</v>
      </c>
      <c r="E6" s="31">
        <v>22.509</v>
      </c>
      <c r="F6" s="31">
        <v>21.853000000000002</v>
      </c>
      <c r="G6" s="31">
        <v>23.632999999999999</v>
      </c>
      <c r="H6" s="31">
        <v>28.95</v>
      </c>
      <c r="I6" s="31">
        <v>30.765000000000001</v>
      </c>
      <c r="J6" s="31">
        <v>32.061999999999998</v>
      </c>
      <c r="K6" s="42">
        <v>35.926000000000002</v>
      </c>
      <c r="L6" s="42">
        <v>38.96</v>
      </c>
      <c r="M6" s="42">
        <v>39.106000000000002</v>
      </c>
      <c r="N6" s="42">
        <v>37.441000000000003</v>
      </c>
      <c r="O6" s="73">
        <v>38.982999999999997</v>
      </c>
      <c r="P6" s="41">
        <v>41.422287134502902</v>
      </c>
      <c r="Q6" s="42"/>
      <c r="S6" s="7" t="s">
        <v>43</v>
      </c>
      <c r="W6" s="43"/>
    </row>
    <row r="7" spans="2:24">
      <c r="B7" s="33" t="s">
        <v>103</v>
      </c>
      <c r="C7" s="14" t="s">
        <v>92</v>
      </c>
      <c r="D7" s="31">
        <v>21.318999999999999</v>
      </c>
      <c r="E7" s="31">
        <v>13.683436</v>
      </c>
      <c r="F7" s="31">
        <v>15.264501000000001</v>
      </c>
      <c r="G7" s="31">
        <v>16.251746000000001</v>
      </c>
      <c r="H7" s="31">
        <v>17.914669999999997</v>
      </c>
      <c r="I7" s="31">
        <v>19.194772</v>
      </c>
      <c r="J7" s="31">
        <v>20.474096000000003</v>
      </c>
      <c r="K7" s="31">
        <v>21.667058000000001</v>
      </c>
      <c r="L7" s="42">
        <v>21.183776000000002</v>
      </c>
      <c r="M7" s="42">
        <v>21.517436</v>
      </c>
      <c r="N7" s="42">
        <v>24.955795999999999</v>
      </c>
      <c r="O7" s="73">
        <v>26.212561999999998</v>
      </c>
      <c r="P7" s="41">
        <v>27.334238856641502</v>
      </c>
      <c r="Q7" s="42"/>
      <c r="S7" s="7" t="s">
        <v>47</v>
      </c>
    </row>
    <row r="8" spans="2:24">
      <c r="B8" s="35" t="s">
        <v>100</v>
      </c>
      <c r="C8" s="40" t="s">
        <v>92</v>
      </c>
      <c r="D8" s="39">
        <f t="shared" ref="D8:P8" si="0">SUM(D5:D7)</f>
        <v>79.378343000000001</v>
      </c>
      <c r="E8" s="39">
        <f t="shared" si="0"/>
        <v>88.596586000000002</v>
      </c>
      <c r="F8" s="39">
        <f t="shared" si="0"/>
        <v>87.354536999999993</v>
      </c>
      <c r="G8" s="39">
        <f t="shared" si="0"/>
        <v>90.533796999999993</v>
      </c>
      <c r="H8" s="39">
        <f t="shared" si="0"/>
        <v>99.185753000000005</v>
      </c>
      <c r="I8" s="39">
        <f t="shared" si="0"/>
        <v>103.92864400000001</v>
      </c>
      <c r="J8" s="39">
        <f t="shared" si="0"/>
        <v>103.130764</v>
      </c>
      <c r="K8" s="39">
        <f t="shared" si="0"/>
        <v>110.42674700000001</v>
      </c>
      <c r="L8" s="39">
        <f t="shared" si="0"/>
        <v>128.810339</v>
      </c>
      <c r="M8" s="39">
        <f t="shared" si="0"/>
        <v>150.40021899999999</v>
      </c>
      <c r="N8" s="39">
        <f t="shared" si="0"/>
        <v>174.87867299999999</v>
      </c>
      <c r="O8" s="39">
        <f t="shared" si="0"/>
        <v>199.582156</v>
      </c>
      <c r="P8" s="39">
        <f t="shared" si="0"/>
        <v>244.7817310492924</v>
      </c>
      <c r="Q8" s="87"/>
    </row>
    <row r="9" spans="2:24">
      <c r="B9" s="23" t="s">
        <v>107</v>
      </c>
      <c r="P9" s="77"/>
    </row>
    <row r="10" spans="2:24">
      <c r="B10" s="76" t="s">
        <v>72</v>
      </c>
      <c r="C10" s="14" t="s">
        <v>92</v>
      </c>
      <c r="D10" s="31">
        <v>74.662774999999996</v>
      </c>
      <c r="E10" s="31">
        <v>84.130939999999995</v>
      </c>
      <c r="F10" s="31">
        <v>101.31524899999999</v>
      </c>
      <c r="G10" s="31">
        <v>114.54087200000001</v>
      </c>
      <c r="H10" s="31">
        <v>120.476325</v>
      </c>
      <c r="I10" s="31">
        <v>130.77735699999999</v>
      </c>
      <c r="J10" s="31">
        <v>169.14718500000001</v>
      </c>
      <c r="K10" s="31">
        <v>207.36062799999999</v>
      </c>
      <c r="L10" s="31">
        <v>224.30435</v>
      </c>
      <c r="M10" s="31">
        <v>213.63395199999999</v>
      </c>
      <c r="N10" s="31">
        <v>199.23747299999999</v>
      </c>
      <c r="O10" s="74">
        <v>200.21356399999999</v>
      </c>
      <c r="P10" s="22">
        <v>208.19509022580999</v>
      </c>
      <c r="Q10" s="31"/>
      <c r="S10" s="7" t="s">
        <v>70</v>
      </c>
    </row>
    <row r="11" spans="2:24">
      <c r="B11" s="33" t="s">
        <v>68</v>
      </c>
      <c r="C11" s="14" t="s">
        <v>92</v>
      </c>
      <c r="D11" s="31">
        <v>55.359000000000002</v>
      </c>
      <c r="E11" s="31">
        <v>57.636000000000003</v>
      </c>
      <c r="F11" s="31">
        <v>58.395000000000003</v>
      </c>
      <c r="G11" s="31">
        <v>59.847000000000001</v>
      </c>
      <c r="H11" s="31">
        <v>60.165999999999997</v>
      </c>
      <c r="I11" s="31">
        <v>61.811999999999998</v>
      </c>
      <c r="J11" s="31">
        <v>66.697999999999993</v>
      </c>
      <c r="K11" s="31">
        <v>81.007999999999996</v>
      </c>
      <c r="L11" s="31">
        <v>84.858000000000004</v>
      </c>
      <c r="M11" s="31">
        <v>80.483999999999995</v>
      </c>
      <c r="N11" s="31">
        <v>79.262</v>
      </c>
      <c r="O11" s="74">
        <v>78.534000000000006</v>
      </c>
      <c r="P11" s="22">
        <v>81.988375524897705</v>
      </c>
      <c r="Q11" s="31"/>
      <c r="S11" s="7" t="s">
        <v>67</v>
      </c>
      <c r="X11" s="7" t="s">
        <v>182</v>
      </c>
    </row>
    <row r="12" spans="2:24">
      <c r="B12" s="33" t="s">
        <v>106</v>
      </c>
      <c r="C12" s="14" t="s">
        <v>92</v>
      </c>
      <c r="D12" s="31">
        <v>24.666891</v>
      </c>
      <c r="E12" s="31">
        <v>26.656146</v>
      </c>
      <c r="F12" s="31">
        <v>25.036065999999998</v>
      </c>
      <c r="G12" s="31">
        <v>24.596278999999999</v>
      </c>
      <c r="H12" s="31">
        <v>22.579142999999998</v>
      </c>
      <c r="I12" s="31">
        <v>22.878901999999997</v>
      </c>
      <c r="J12" s="31">
        <v>20.674173</v>
      </c>
      <c r="K12" s="31">
        <v>23.993486000000001</v>
      </c>
      <c r="L12" s="31">
        <v>31.36289</v>
      </c>
      <c r="M12" s="31">
        <v>38.522863999999998</v>
      </c>
      <c r="N12" s="31">
        <v>47.388896000000003</v>
      </c>
      <c r="O12" s="74">
        <v>53.154483999999997</v>
      </c>
      <c r="P12" s="22">
        <v>64.221967393371699</v>
      </c>
      <c r="Q12" s="31"/>
      <c r="S12" s="7" t="s">
        <v>64</v>
      </c>
    </row>
    <row r="13" spans="2:24">
      <c r="B13" s="33" t="s">
        <v>199</v>
      </c>
      <c r="C13" s="14" t="s">
        <v>92</v>
      </c>
      <c r="D13" s="31">
        <v>16.463989000000002</v>
      </c>
      <c r="E13" s="31">
        <v>23.615879</v>
      </c>
      <c r="F13" s="31">
        <v>29.735406999999999</v>
      </c>
      <c r="G13" s="31">
        <v>33.453986999999998</v>
      </c>
      <c r="H13" s="31">
        <v>36.503653</v>
      </c>
      <c r="I13" s="31">
        <v>39.219188000000003</v>
      </c>
      <c r="J13" s="31">
        <v>44.269353000000002</v>
      </c>
      <c r="K13" s="31">
        <v>58.897675999999997</v>
      </c>
      <c r="L13" s="31">
        <v>73.281403000000012</v>
      </c>
      <c r="M13" s="31">
        <v>68.279587000000006</v>
      </c>
      <c r="N13" s="31">
        <v>63.038192000000002</v>
      </c>
      <c r="O13" s="74">
        <v>62.961967999999999</v>
      </c>
      <c r="P13" s="22">
        <f>O13*98%</f>
        <v>61.702728639999997</v>
      </c>
      <c r="Q13" s="31"/>
    </row>
    <row r="14" spans="2:24">
      <c r="B14" s="35" t="s">
        <v>100</v>
      </c>
      <c r="C14" s="40" t="s">
        <v>92</v>
      </c>
      <c r="D14" s="39">
        <f>SUM(D10:D13)</f>
        <v>171.15265499999998</v>
      </c>
      <c r="E14" s="39">
        <f t="shared" ref="E14:P14" si="1">SUM(E10:E13)</f>
        <v>192.03896500000002</v>
      </c>
      <c r="F14" s="39">
        <f t="shared" si="1"/>
        <v>214.48172200000002</v>
      </c>
      <c r="G14" s="39">
        <f t="shared" si="1"/>
        <v>232.43813800000004</v>
      </c>
      <c r="H14" s="39">
        <f t="shared" si="1"/>
        <v>239.725121</v>
      </c>
      <c r="I14" s="39">
        <f t="shared" si="1"/>
        <v>254.68744699999999</v>
      </c>
      <c r="J14" s="39">
        <f t="shared" si="1"/>
        <v>300.78871100000003</v>
      </c>
      <c r="K14" s="39">
        <f t="shared" si="1"/>
        <v>371.25979000000001</v>
      </c>
      <c r="L14" s="39">
        <f t="shared" si="1"/>
        <v>413.80664300000001</v>
      </c>
      <c r="M14" s="39">
        <f t="shared" si="1"/>
        <v>400.92040299999996</v>
      </c>
      <c r="N14" s="39">
        <f t="shared" si="1"/>
        <v>388.92656099999994</v>
      </c>
      <c r="O14" s="39">
        <f t="shared" si="1"/>
        <v>394.86401600000005</v>
      </c>
      <c r="P14" s="39">
        <f t="shared" si="1"/>
        <v>416.10816178407936</v>
      </c>
      <c r="Q14" s="87"/>
    </row>
    <row r="15" spans="2:24">
      <c r="B15" s="32"/>
      <c r="D15" s="38"/>
      <c r="E15" s="38"/>
      <c r="F15" s="38"/>
      <c r="G15" s="38"/>
      <c r="H15" s="38"/>
      <c r="I15" s="38"/>
      <c r="J15" s="38"/>
      <c r="K15" s="38"/>
      <c r="L15" s="38"/>
      <c r="M15" s="38"/>
      <c r="N15" s="38"/>
      <c r="O15" s="38"/>
      <c r="P15" s="38"/>
      <c r="Q15" s="38"/>
    </row>
    <row r="16" spans="2:24">
      <c r="B16" s="37"/>
      <c r="C16" s="20" t="s">
        <v>113</v>
      </c>
      <c r="I16" s="77" t="s">
        <v>183</v>
      </c>
      <c r="J16" s="7" t="s">
        <v>184</v>
      </c>
    </row>
    <row r="17" spans="2:17">
      <c r="B17" s="75"/>
      <c r="C17" s="20" t="s">
        <v>195</v>
      </c>
    </row>
    <row r="18" spans="2:17">
      <c r="C18" s="20"/>
    </row>
    <row r="19" spans="2:17">
      <c r="O19" s="19">
        <f>O8/N8-1</f>
        <v>0.14126069563668286</v>
      </c>
    </row>
    <row r="20" spans="2:17">
      <c r="B20" s="32" t="s">
        <v>100</v>
      </c>
      <c r="D20" s="38">
        <f t="shared" ref="D20:P20" si="2">D8+D14</f>
        <v>250.53099799999998</v>
      </c>
      <c r="E20" s="38">
        <f t="shared" si="2"/>
        <v>280.63555100000002</v>
      </c>
      <c r="F20" s="38">
        <f t="shared" si="2"/>
        <v>301.83625900000004</v>
      </c>
      <c r="G20" s="38">
        <f t="shared" si="2"/>
        <v>322.97193500000003</v>
      </c>
      <c r="H20" s="38">
        <f t="shared" si="2"/>
        <v>338.91087400000004</v>
      </c>
      <c r="I20" s="38">
        <f t="shared" si="2"/>
        <v>358.61609099999998</v>
      </c>
      <c r="J20" s="38">
        <f t="shared" si="2"/>
        <v>403.91947500000003</v>
      </c>
      <c r="K20" s="38">
        <f t="shared" si="2"/>
        <v>481.68653700000004</v>
      </c>
      <c r="L20" s="38">
        <f t="shared" si="2"/>
        <v>542.61698200000001</v>
      </c>
      <c r="M20" s="38">
        <f t="shared" si="2"/>
        <v>551.32062199999996</v>
      </c>
      <c r="N20" s="38">
        <f t="shared" si="2"/>
        <v>563.80523399999993</v>
      </c>
      <c r="O20" s="38">
        <f t="shared" si="2"/>
        <v>594.44617200000005</v>
      </c>
      <c r="P20" s="38">
        <f t="shared" si="2"/>
        <v>660.88989283337173</v>
      </c>
      <c r="Q20" s="38"/>
    </row>
    <row r="21" spans="2:17">
      <c r="D21" s="38"/>
      <c r="E21" s="38"/>
      <c r="F21" s="38"/>
      <c r="G21" s="38"/>
      <c r="H21" s="38"/>
      <c r="I21" s="38"/>
      <c r="J21" s="38"/>
      <c r="K21" s="38"/>
      <c r="L21" s="38"/>
      <c r="M21" s="38"/>
      <c r="N21" s="38"/>
      <c r="O21" s="38"/>
      <c r="P21" s="38"/>
      <c r="Q21" s="38"/>
    </row>
    <row r="22" spans="2:17">
      <c r="B22" s="33" t="s">
        <v>104</v>
      </c>
      <c r="D22" s="81">
        <f t="shared" ref="D22:P22" si="3">D5/D$20</f>
        <v>0.18777981317904621</v>
      </c>
      <c r="E22" s="81">
        <f t="shared" si="3"/>
        <v>0.18673382546604012</v>
      </c>
      <c r="F22" s="81">
        <f t="shared" si="3"/>
        <v>0.16643804215715513</v>
      </c>
      <c r="G22" s="81">
        <f t="shared" si="3"/>
        <v>0.15682183345125636</v>
      </c>
      <c r="H22" s="81">
        <f t="shared" si="3"/>
        <v>0.15438006571603835</v>
      </c>
      <c r="I22" s="81">
        <f t="shared" si="3"/>
        <v>0.15049205363180429</v>
      </c>
      <c r="J22" s="81">
        <f t="shared" si="3"/>
        <v>0.12525929332820607</v>
      </c>
      <c r="K22" s="81">
        <f t="shared" si="3"/>
        <v>0.10968479486483965</v>
      </c>
      <c r="L22" s="81">
        <f t="shared" si="3"/>
        <v>0.12654702170747761</v>
      </c>
      <c r="M22" s="81">
        <f t="shared" si="3"/>
        <v>0.16283951555144258</v>
      </c>
      <c r="N22" s="81">
        <f t="shared" si="3"/>
        <v>0.19950484709405875</v>
      </c>
      <c r="O22" s="81">
        <f t="shared" si="3"/>
        <v>0.22607024879621901</v>
      </c>
      <c r="P22" s="81">
        <f t="shared" si="3"/>
        <v>0.2663457362065132</v>
      </c>
      <c r="Q22" s="82">
        <f t="shared" ref="Q22:Q27" si="4">P22</f>
        <v>0.2663457362065132</v>
      </c>
    </row>
    <row r="23" spans="2:17">
      <c r="B23" s="33" t="s">
        <v>48</v>
      </c>
      <c r="D23" s="81">
        <f t="shared" ref="D23:P23" si="5">D6/D$20</f>
        <v>4.3965333982344174E-2</v>
      </c>
      <c r="E23" s="81">
        <f t="shared" si="5"/>
        <v>8.0207229339949157E-2</v>
      </c>
      <c r="F23" s="81">
        <f t="shared" si="5"/>
        <v>7.2400181715742765E-2</v>
      </c>
      <c r="G23" s="81">
        <f t="shared" si="5"/>
        <v>7.3173540605006429E-2</v>
      </c>
      <c r="H23" s="81">
        <f t="shared" si="5"/>
        <v>8.5420687918086671E-2</v>
      </c>
      <c r="I23" s="81">
        <f t="shared" si="5"/>
        <v>8.5788119306671046E-2</v>
      </c>
      <c r="J23" s="81">
        <f t="shared" si="5"/>
        <v>7.9377207548608525E-2</v>
      </c>
      <c r="K23" s="81">
        <f t="shared" si="5"/>
        <v>7.4583774385207691E-2</v>
      </c>
      <c r="L23" s="81">
        <f t="shared" si="5"/>
        <v>7.1800185568095615E-2</v>
      </c>
      <c r="M23" s="81">
        <f t="shared" si="5"/>
        <v>7.0931502359075554E-2</v>
      </c>
      <c r="N23" s="81">
        <f t="shared" si="5"/>
        <v>6.6407684324548161E-2</v>
      </c>
      <c r="O23" s="81">
        <f t="shared" si="5"/>
        <v>6.5578687921973855E-2</v>
      </c>
      <c r="P23" s="81">
        <f t="shared" si="5"/>
        <v>6.2676532934884177E-2</v>
      </c>
      <c r="Q23" s="82">
        <f t="shared" si="4"/>
        <v>6.2676532934884177E-2</v>
      </c>
    </row>
    <row r="24" spans="2:17">
      <c r="B24" s="33" t="s">
        <v>103</v>
      </c>
      <c r="D24" s="81">
        <f t="shared" ref="D24:P24" si="6">D7/D$20</f>
        <v>8.5095258352022377E-2</v>
      </c>
      <c r="E24" s="81">
        <f t="shared" si="6"/>
        <v>4.875874047760969E-2</v>
      </c>
      <c r="F24" s="81">
        <f t="shared" si="6"/>
        <v>5.0572124934797839E-2</v>
      </c>
      <c r="G24" s="81">
        <f t="shared" si="6"/>
        <v>5.0319375273272578E-2</v>
      </c>
      <c r="H24" s="81">
        <f t="shared" si="6"/>
        <v>5.2859531441295668E-2</v>
      </c>
      <c r="I24" s="81">
        <f t="shared" si="6"/>
        <v>5.3524569816361091E-2</v>
      </c>
      <c r="J24" s="81">
        <f t="shared" si="6"/>
        <v>5.068855865392477E-2</v>
      </c>
      <c r="K24" s="81">
        <f t="shared" si="6"/>
        <v>4.4981655777520724E-2</v>
      </c>
      <c r="L24" s="81">
        <f t="shared" si="6"/>
        <v>3.9040016628156322E-2</v>
      </c>
      <c r="M24" s="81">
        <f t="shared" si="6"/>
        <v>3.9028897417154845E-2</v>
      </c>
      <c r="N24" s="81">
        <f t="shared" si="6"/>
        <v>4.4263150632617224E-2</v>
      </c>
      <c r="O24" s="81">
        <f t="shared" si="6"/>
        <v>4.4095770541861604E-2</v>
      </c>
      <c r="P24" s="81">
        <f t="shared" si="6"/>
        <v>4.1359747142529241E-2</v>
      </c>
      <c r="Q24" s="82">
        <f t="shared" si="4"/>
        <v>4.1359747142529241E-2</v>
      </c>
    </row>
    <row r="25" spans="2:17">
      <c r="B25" s="33" t="s">
        <v>72</v>
      </c>
      <c r="D25" s="81">
        <f t="shared" ref="D25:P25" si="7">D10/D$20</f>
        <v>0.29801811191443861</v>
      </c>
      <c r="E25" s="81">
        <f t="shared" si="7"/>
        <v>0.29978717842487457</v>
      </c>
      <c r="F25" s="81">
        <f t="shared" si="7"/>
        <v>0.33566294962594267</v>
      </c>
      <c r="G25" s="81">
        <f t="shared" si="7"/>
        <v>0.35464651750623472</v>
      </c>
      <c r="H25" s="81">
        <f t="shared" si="7"/>
        <v>0.35548084833654525</v>
      </c>
      <c r="I25" s="81">
        <f t="shared" si="7"/>
        <v>0.36467230635225456</v>
      </c>
      <c r="J25" s="81">
        <f t="shared" si="7"/>
        <v>0.41876461886369798</v>
      </c>
      <c r="K25" s="81">
        <f t="shared" si="7"/>
        <v>0.43048873504222512</v>
      </c>
      <c r="L25" s="81">
        <f t="shared" si="7"/>
        <v>0.41337510148180362</v>
      </c>
      <c r="M25" s="81">
        <f t="shared" si="7"/>
        <v>0.38749494119231404</v>
      </c>
      <c r="N25" s="81">
        <f t="shared" si="7"/>
        <v>0.35337996347866474</v>
      </c>
      <c r="O25" s="81">
        <f t="shared" si="7"/>
        <v>0.33680688585542773</v>
      </c>
      <c r="P25" s="81">
        <f t="shared" si="7"/>
        <v>0.31502235468185869</v>
      </c>
      <c r="Q25" s="82">
        <f t="shared" si="4"/>
        <v>0.31502235468185869</v>
      </c>
    </row>
    <row r="26" spans="2:17">
      <c r="B26" s="33" t="s">
        <v>68</v>
      </c>
      <c r="D26" s="81">
        <f t="shared" ref="D26:P26" si="8">D11/D$20</f>
        <v>0.22096666856370406</v>
      </c>
      <c r="E26" s="81">
        <f t="shared" si="8"/>
        <v>0.20537668800201297</v>
      </c>
      <c r="F26" s="81">
        <f t="shared" si="8"/>
        <v>0.19346582214299177</v>
      </c>
      <c r="G26" s="81">
        <f t="shared" si="8"/>
        <v>0.18530093024955865</v>
      </c>
      <c r="H26" s="81">
        <f t="shared" si="8"/>
        <v>0.1775274994569811</v>
      </c>
      <c r="I26" s="81">
        <f t="shared" si="8"/>
        <v>0.17236259485077038</v>
      </c>
      <c r="J26" s="81">
        <f t="shared" si="8"/>
        <v>0.16512697239963484</v>
      </c>
      <c r="K26" s="81">
        <f t="shared" si="8"/>
        <v>0.16817576115896299</v>
      </c>
      <c r="L26" s="81">
        <f t="shared" si="8"/>
        <v>0.15638655407950355</v>
      </c>
      <c r="M26" s="81">
        <f t="shared" si="8"/>
        <v>0.14598401871497563</v>
      </c>
      <c r="N26" s="81">
        <f t="shared" si="8"/>
        <v>0.14058400883876862</v>
      </c>
      <c r="O26" s="81">
        <f t="shared" si="8"/>
        <v>0.13211288708576291</v>
      </c>
      <c r="P26" s="81">
        <f t="shared" si="8"/>
        <v>0.12405754182954225</v>
      </c>
      <c r="Q26" s="82">
        <f t="shared" si="4"/>
        <v>0.12405754182954225</v>
      </c>
    </row>
    <row r="27" spans="2:17">
      <c r="B27" s="33" t="s">
        <v>106</v>
      </c>
      <c r="D27" s="81">
        <f t="shared" ref="D27:P27" si="9">D12/D$20</f>
        <v>9.8458439063097494E-2</v>
      </c>
      <c r="E27" s="81">
        <f t="shared" si="9"/>
        <v>9.4984922277363201E-2</v>
      </c>
      <c r="F27" s="81">
        <f t="shared" si="9"/>
        <v>8.2945853102426623E-2</v>
      </c>
      <c r="G27" s="81">
        <f t="shared" si="9"/>
        <v>7.6156087679878429E-2</v>
      </c>
      <c r="H27" s="81">
        <f t="shared" si="9"/>
        <v>6.6622657259442192E-2</v>
      </c>
      <c r="I27" s="81">
        <f t="shared" si="9"/>
        <v>6.3797756358902474E-2</v>
      </c>
      <c r="J27" s="81">
        <f t="shared" si="9"/>
        <v>5.1183897483526877E-2</v>
      </c>
      <c r="K27" s="81">
        <f t="shared" si="9"/>
        <v>4.9811410859506744E-2</v>
      </c>
      <c r="L27" s="81">
        <f t="shared" si="9"/>
        <v>5.7799315245168646E-2</v>
      </c>
      <c r="M27" s="81">
        <f t="shared" si="9"/>
        <v>6.9873794780707474E-2</v>
      </c>
      <c r="N27" s="81">
        <f t="shared" si="9"/>
        <v>8.4051890869817653E-2</v>
      </c>
      <c r="O27" s="81">
        <f t="shared" si="9"/>
        <v>8.9418498265642785E-2</v>
      </c>
      <c r="P27" s="81">
        <f t="shared" si="9"/>
        <v>9.7174987981793512E-2</v>
      </c>
      <c r="Q27" s="82">
        <f t="shared" si="4"/>
        <v>9.7174987981793512E-2</v>
      </c>
    </row>
    <row r="28" spans="2:17">
      <c r="B28" s="32"/>
      <c r="D28" s="38"/>
      <c r="E28" s="38"/>
      <c r="F28" s="38"/>
      <c r="G28" s="38"/>
      <c r="H28" s="38"/>
      <c r="I28" s="38"/>
      <c r="J28" s="38"/>
      <c r="K28" s="38"/>
      <c r="L28" s="38"/>
      <c r="M28" s="38"/>
      <c r="N28" s="38"/>
      <c r="O28" s="38"/>
      <c r="P28" s="38"/>
      <c r="Q28" s="38"/>
    </row>
    <row r="29" spans="2:17">
      <c r="B29" s="33" t="s">
        <v>104</v>
      </c>
      <c r="D29" s="81"/>
      <c r="E29" s="81"/>
      <c r="F29" s="81"/>
      <c r="G29" s="81"/>
      <c r="H29" s="81"/>
      <c r="I29" s="81"/>
      <c r="J29" s="81"/>
      <c r="K29" s="81">
        <f t="shared" ref="K29:Q30" si="10">K22</f>
        <v>0.10968479486483965</v>
      </c>
      <c r="L29" s="81">
        <f t="shared" si="10"/>
        <v>0.12654702170747761</v>
      </c>
      <c r="M29" s="81">
        <f t="shared" si="10"/>
        <v>0.16283951555144258</v>
      </c>
      <c r="N29" s="81">
        <f t="shared" si="10"/>
        <v>0.19950484709405875</v>
      </c>
      <c r="O29" s="81">
        <f t="shared" si="10"/>
        <v>0.22607024879621901</v>
      </c>
      <c r="P29" s="81">
        <f t="shared" si="10"/>
        <v>0.2663457362065132</v>
      </c>
      <c r="Q29" s="82">
        <f t="shared" si="10"/>
        <v>0.2663457362065132</v>
      </c>
    </row>
    <row r="30" spans="2:17">
      <c r="B30" s="33" t="s">
        <v>48</v>
      </c>
      <c r="D30" s="81"/>
      <c r="E30" s="81"/>
      <c r="F30" s="81"/>
      <c r="G30" s="81"/>
      <c r="H30" s="81"/>
      <c r="I30" s="81"/>
      <c r="J30" s="81"/>
      <c r="K30" s="81">
        <f t="shared" si="10"/>
        <v>7.4583774385207691E-2</v>
      </c>
      <c r="L30" s="81">
        <f t="shared" si="10"/>
        <v>7.1800185568095615E-2</v>
      </c>
      <c r="M30" s="81">
        <f t="shared" si="10"/>
        <v>7.0931502359075554E-2</v>
      </c>
      <c r="N30" s="81">
        <f t="shared" si="10"/>
        <v>6.6407684324548161E-2</v>
      </c>
      <c r="O30" s="81">
        <f t="shared" si="10"/>
        <v>6.5578687921973855E-2</v>
      </c>
      <c r="P30" s="81">
        <f t="shared" si="10"/>
        <v>6.2676532934884177E-2</v>
      </c>
      <c r="Q30" s="82">
        <f t="shared" si="10"/>
        <v>6.2676532934884177E-2</v>
      </c>
    </row>
    <row r="31" spans="2:17">
      <c r="B31" s="33" t="s">
        <v>103</v>
      </c>
      <c r="D31" s="81"/>
      <c r="E31" s="81"/>
      <c r="F31" s="81"/>
      <c r="G31" s="81"/>
      <c r="H31" s="81"/>
      <c r="I31" s="81"/>
      <c r="J31" s="81"/>
      <c r="K31" s="81"/>
      <c r="L31" s="81">
        <f t="shared" ref="L31:Q31" si="11">L24</f>
        <v>3.9040016628156322E-2</v>
      </c>
      <c r="M31" s="81">
        <f t="shared" si="11"/>
        <v>3.9028897417154845E-2</v>
      </c>
      <c r="N31" s="81">
        <f t="shared" si="11"/>
        <v>4.4263150632617224E-2</v>
      </c>
      <c r="O31" s="81">
        <f t="shared" si="11"/>
        <v>4.4095770541861604E-2</v>
      </c>
      <c r="P31" s="81">
        <f t="shared" si="11"/>
        <v>4.1359747142529241E-2</v>
      </c>
      <c r="Q31" s="82">
        <f t="shared" si="11"/>
        <v>4.1359747142529241E-2</v>
      </c>
    </row>
    <row r="32" spans="2:17">
      <c r="B32" s="33" t="s">
        <v>72</v>
      </c>
      <c r="D32" s="81"/>
      <c r="E32" s="81"/>
      <c r="F32" s="81"/>
      <c r="G32" s="81"/>
      <c r="H32" s="81"/>
      <c r="I32" s="81"/>
      <c r="J32" s="81"/>
      <c r="K32" s="81"/>
      <c r="L32" s="81"/>
      <c r="M32" s="81"/>
      <c r="N32" s="81"/>
      <c r="O32" s="81"/>
      <c r="P32" s="82"/>
      <c r="Q32" s="82">
        <f>Q25</f>
        <v>0.31502235468185869</v>
      </c>
    </row>
    <row r="33" spans="2:17">
      <c r="C33" s="7"/>
      <c r="Q33" s="82"/>
    </row>
    <row r="34" spans="2:17">
      <c r="B34" s="33" t="s">
        <v>90</v>
      </c>
      <c r="D34" s="81">
        <v>0</v>
      </c>
      <c r="E34" s="81">
        <v>0</v>
      </c>
      <c r="F34" s="81">
        <v>0</v>
      </c>
      <c r="G34" s="81">
        <v>0</v>
      </c>
      <c r="H34" s="81">
        <v>0</v>
      </c>
      <c r="I34" s="81">
        <v>0</v>
      </c>
      <c r="J34" s="81">
        <v>0</v>
      </c>
      <c r="K34" s="81">
        <v>0</v>
      </c>
      <c r="L34" s="81">
        <v>0</v>
      </c>
      <c r="M34" s="81">
        <v>0</v>
      </c>
      <c r="N34" s="81">
        <v>0</v>
      </c>
      <c r="O34" s="81">
        <v>0</v>
      </c>
      <c r="P34" s="81">
        <v>0</v>
      </c>
      <c r="Q34" s="81">
        <v>0</v>
      </c>
    </row>
    <row r="35" spans="2:17">
      <c r="B35" s="33"/>
      <c r="D35" s="81"/>
      <c r="E35" s="81"/>
      <c r="F35" s="81"/>
      <c r="G35" s="81"/>
      <c r="H35" s="81"/>
      <c r="I35" s="81"/>
      <c r="J35" s="81">
        <f t="shared" ref="J35:P35" si="12">SUM(J29:J33)</f>
        <v>0</v>
      </c>
      <c r="K35" s="81">
        <f t="shared" si="12"/>
        <v>0.18426856925004734</v>
      </c>
      <c r="L35" s="81">
        <f t="shared" si="12"/>
        <v>0.23738722390372954</v>
      </c>
      <c r="M35" s="81">
        <f t="shared" si="12"/>
        <v>0.272799915327673</v>
      </c>
      <c r="N35" s="81">
        <f t="shared" si="12"/>
        <v>0.31017568205122414</v>
      </c>
      <c r="O35" s="81">
        <f t="shared" si="12"/>
        <v>0.33574470726005445</v>
      </c>
      <c r="P35" s="81">
        <f t="shared" si="12"/>
        <v>0.37038201628392664</v>
      </c>
      <c r="Q35" s="81">
        <f>SUM(Q29:Q33)</f>
        <v>0.68540437096578533</v>
      </c>
    </row>
    <row r="36" spans="2:17">
      <c r="B36" s="32"/>
      <c r="D36" s="38"/>
      <c r="E36" s="38"/>
      <c r="F36" s="38"/>
      <c r="G36" s="38"/>
      <c r="H36" s="38"/>
      <c r="I36" s="38"/>
      <c r="J36" s="38"/>
      <c r="K36" s="38"/>
      <c r="L36" s="38"/>
      <c r="M36" s="38"/>
      <c r="N36" s="38"/>
      <c r="O36" s="38"/>
      <c r="P36" s="38"/>
      <c r="Q36" s="38"/>
    </row>
    <row r="37" spans="2:17">
      <c r="B37" s="32"/>
      <c r="D37" s="38"/>
      <c r="E37" s="38"/>
      <c r="F37" s="38"/>
      <c r="G37" s="38"/>
      <c r="H37" s="38"/>
      <c r="I37" s="38"/>
      <c r="J37" s="38"/>
      <c r="K37" s="38"/>
      <c r="L37" s="38"/>
      <c r="M37" s="38"/>
      <c r="N37" s="38"/>
      <c r="O37" s="38"/>
      <c r="P37" s="38"/>
      <c r="Q37" s="38"/>
    </row>
    <row r="39" spans="2:17">
      <c r="B39" s="23" t="s">
        <v>112</v>
      </c>
    </row>
    <row r="40" spans="2:17">
      <c r="B40" s="20" t="s">
        <v>108</v>
      </c>
      <c r="D40" s="31">
        <f t="shared" ref="D40:O40" si="13">D8</f>
        <v>79.378343000000001</v>
      </c>
      <c r="E40" s="31">
        <f t="shared" si="13"/>
        <v>88.596586000000002</v>
      </c>
      <c r="F40" s="31">
        <f t="shared" si="13"/>
        <v>87.354536999999993</v>
      </c>
      <c r="G40" s="31">
        <f t="shared" si="13"/>
        <v>90.533796999999993</v>
      </c>
      <c r="H40" s="31">
        <f t="shared" si="13"/>
        <v>99.185753000000005</v>
      </c>
      <c r="I40" s="31">
        <f t="shared" si="13"/>
        <v>103.92864400000001</v>
      </c>
      <c r="J40" s="31">
        <f t="shared" si="13"/>
        <v>103.130764</v>
      </c>
      <c r="K40" s="31">
        <f t="shared" si="13"/>
        <v>110.42674700000001</v>
      </c>
      <c r="L40" s="31">
        <f t="shared" si="13"/>
        <v>128.810339</v>
      </c>
      <c r="M40" s="31">
        <f t="shared" si="13"/>
        <v>150.40021899999999</v>
      </c>
      <c r="N40" s="31">
        <f t="shared" si="13"/>
        <v>174.87867299999999</v>
      </c>
      <c r="O40" s="31">
        <f t="shared" si="13"/>
        <v>199.582156</v>
      </c>
      <c r="P40" s="31">
        <f t="shared" ref="P40:Q40" si="14">P8</f>
        <v>244.7817310492924</v>
      </c>
      <c r="Q40" s="31">
        <f t="shared" si="14"/>
        <v>0</v>
      </c>
    </row>
    <row r="41" spans="2:17">
      <c r="B41" s="20" t="s">
        <v>107</v>
      </c>
      <c r="D41" s="31">
        <f t="shared" ref="D41:O41" si="15">D14</f>
        <v>171.15265499999998</v>
      </c>
      <c r="E41" s="31">
        <f t="shared" si="15"/>
        <v>192.03896500000002</v>
      </c>
      <c r="F41" s="31">
        <f t="shared" si="15"/>
        <v>214.48172200000002</v>
      </c>
      <c r="G41" s="31">
        <f t="shared" si="15"/>
        <v>232.43813800000004</v>
      </c>
      <c r="H41" s="31">
        <f t="shared" si="15"/>
        <v>239.725121</v>
      </c>
      <c r="I41" s="31">
        <f t="shared" si="15"/>
        <v>254.68744699999999</v>
      </c>
      <c r="J41" s="31">
        <f t="shared" si="15"/>
        <v>300.78871100000003</v>
      </c>
      <c r="K41" s="31">
        <f t="shared" si="15"/>
        <v>371.25979000000001</v>
      </c>
      <c r="L41" s="31">
        <f t="shared" si="15"/>
        <v>413.80664300000001</v>
      </c>
      <c r="M41" s="31">
        <f t="shared" si="15"/>
        <v>400.92040299999996</v>
      </c>
      <c r="N41" s="31">
        <f t="shared" si="15"/>
        <v>388.92656099999994</v>
      </c>
      <c r="O41" s="31">
        <f t="shared" si="15"/>
        <v>394.86401600000005</v>
      </c>
      <c r="P41" s="31">
        <f t="shared" ref="P41:Q41" si="16">P14</f>
        <v>416.10816178407936</v>
      </c>
      <c r="Q41" s="31">
        <f t="shared" si="16"/>
        <v>0</v>
      </c>
    </row>
    <row r="42" spans="2:17">
      <c r="B42" s="78" t="s">
        <v>100</v>
      </c>
      <c r="C42" s="40"/>
      <c r="D42" s="39">
        <f t="shared" ref="D42:O42" si="17">SUM(D40:D41)</f>
        <v>250.53099799999998</v>
      </c>
      <c r="E42" s="39">
        <f t="shared" si="17"/>
        <v>280.63555100000002</v>
      </c>
      <c r="F42" s="39">
        <f t="shared" si="17"/>
        <v>301.83625900000004</v>
      </c>
      <c r="G42" s="39">
        <f t="shared" si="17"/>
        <v>322.97193500000003</v>
      </c>
      <c r="H42" s="39">
        <f t="shared" si="17"/>
        <v>338.91087400000004</v>
      </c>
      <c r="I42" s="39">
        <f t="shared" si="17"/>
        <v>358.61609099999998</v>
      </c>
      <c r="J42" s="39">
        <f t="shared" si="17"/>
        <v>403.91947500000003</v>
      </c>
      <c r="K42" s="39">
        <f t="shared" si="17"/>
        <v>481.68653700000004</v>
      </c>
      <c r="L42" s="39">
        <f t="shared" si="17"/>
        <v>542.61698200000001</v>
      </c>
      <c r="M42" s="39">
        <f t="shared" si="17"/>
        <v>551.32062199999996</v>
      </c>
      <c r="N42" s="39">
        <f t="shared" si="17"/>
        <v>563.80523399999993</v>
      </c>
      <c r="O42" s="39">
        <f t="shared" si="17"/>
        <v>594.44617200000005</v>
      </c>
      <c r="P42" s="39">
        <f t="shared" ref="P42:Q42" si="18">SUM(P40:P41)</f>
        <v>660.88989283337173</v>
      </c>
      <c r="Q42" s="39">
        <f t="shared" si="18"/>
        <v>0</v>
      </c>
    </row>
    <row r="43" spans="2:17">
      <c r="B43" s="20"/>
      <c r="D43" s="31"/>
      <c r="E43" s="31"/>
      <c r="F43" s="31"/>
      <c r="G43" s="31"/>
      <c r="H43" s="31"/>
      <c r="I43" s="31"/>
      <c r="J43" s="31"/>
      <c r="K43" s="31"/>
      <c r="L43" s="31"/>
      <c r="M43" s="31"/>
      <c r="N43" s="31"/>
      <c r="O43" s="31"/>
    </row>
    <row r="44" spans="2:17">
      <c r="B44" s="20" t="s">
        <v>185</v>
      </c>
      <c r="D44" s="22">
        <v>0</v>
      </c>
      <c r="E44" s="22">
        <v>0</v>
      </c>
      <c r="F44" s="22">
        <v>0</v>
      </c>
      <c r="G44" s="22">
        <v>0</v>
      </c>
      <c r="H44" s="22">
        <v>0</v>
      </c>
      <c r="I44" s="22">
        <v>0</v>
      </c>
      <c r="J44" s="22">
        <v>0</v>
      </c>
      <c r="K44" s="22">
        <f>SUM(K5:K6)</f>
        <v>88.759689000000009</v>
      </c>
      <c r="L44" s="22">
        <f>SUM(L5:L7)</f>
        <v>128.810339</v>
      </c>
      <c r="M44" s="22">
        <f>SUM(M5:M7)</f>
        <v>150.40021899999999</v>
      </c>
      <c r="N44" s="22">
        <f>SUM(N5:N7)</f>
        <v>174.87867299999999</v>
      </c>
      <c r="O44" s="22">
        <f>SUM(O5:O7)</f>
        <v>199.582156</v>
      </c>
      <c r="P44" s="22">
        <f>SUM(P5:P7)</f>
        <v>244.7817310492924</v>
      </c>
    </row>
    <row r="45" spans="2:17">
      <c r="B45" s="20" t="s">
        <v>186</v>
      </c>
      <c r="D45" s="31">
        <f t="shared" ref="D45:P45" si="19">D42-D44</f>
        <v>250.53099799999998</v>
      </c>
      <c r="E45" s="31">
        <f t="shared" si="19"/>
        <v>280.63555100000002</v>
      </c>
      <c r="F45" s="31">
        <f t="shared" si="19"/>
        <v>301.83625900000004</v>
      </c>
      <c r="G45" s="31">
        <f t="shared" si="19"/>
        <v>322.97193500000003</v>
      </c>
      <c r="H45" s="31">
        <f t="shared" si="19"/>
        <v>338.91087400000004</v>
      </c>
      <c r="I45" s="31">
        <f t="shared" si="19"/>
        <v>358.61609099999998</v>
      </c>
      <c r="J45" s="31">
        <f t="shared" si="19"/>
        <v>403.91947500000003</v>
      </c>
      <c r="K45" s="31">
        <f t="shared" si="19"/>
        <v>392.92684800000006</v>
      </c>
      <c r="L45" s="31">
        <f t="shared" si="19"/>
        <v>413.80664300000001</v>
      </c>
      <c r="M45" s="31">
        <f t="shared" si="19"/>
        <v>400.92040299999996</v>
      </c>
      <c r="N45" s="31">
        <f t="shared" si="19"/>
        <v>388.92656099999994</v>
      </c>
      <c r="O45" s="31">
        <f t="shared" si="19"/>
        <v>394.86401600000005</v>
      </c>
      <c r="P45" s="31">
        <f t="shared" si="19"/>
        <v>416.10816178407936</v>
      </c>
    </row>
    <row r="46" spans="2:17">
      <c r="B46" s="20" t="s">
        <v>188</v>
      </c>
      <c r="D46" s="81">
        <f t="shared" ref="D46:P46" si="20">D44/D42</f>
        <v>0</v>
      </c>
      <c r="E46" s="81">
        <f t="shared" si="20"/>
        <v>0</v>
      </c>
      <c r="F46" s="81">
        <f t="shared" si="20"/>
        <v>0</v>
      </c>
      <c r="G46" s="81">
        <f t="shared" si="20"/>
        <v>0</v>
      </c>
      <c r="H46" s="81">
        <f t="shared" si="20"/>
        <v>0</v>
      </c>
      <c r="I46" s="81">
        <f t="shared" si="20"/>
        <v>0</v>
      </c>
      <c r="J46" s="81">
        <f t="shared" si="20"/>
        <v>0</v>
      </c>
      <c r="K46" s="81">
        <f t="shared" si="20"/>
        <v>0.18426856925004736</v>
      </c>
      <c r="L46" s="81">
        <f t="shared" si="20"/>
        <v>0.23738722390372957</v>
      </c>
      <c r="M46" s="81">
        <f t="shared" si="20"/>
        <v>0.272799915327673</v>
      </c>
      <c r="N46" s="81">
        <f t="shared" si="20"/>
        <v>0.31017568205122414</v>
      </c>
      <c r="O46" s="81">
        <f t="shared" si="20"/>
        <v>0.33574470726005445</v>
      </c>
      <c r="P46" s="81">
        <f t="shared" si="20"/>
        <v>0.37038201628392664</v>
      </c>
    </row>
    <row r="47" spans="2:17">
      <c r="B47" s="20"/>
      <c r="D47" s="31"/>
      <c r="E47" s="31"/>
      <c r="F47" s="31"/>
      <c r="G47" s="31"/>
      <c r="H47" s="31"/>
      <c r="I47" s="31"/>
      <c r="J47" s="31"/>
      <c r="K47" s="31"/>
      <c r="L47" s="31"/>
      <c r="M47" s="31"/>
      <c r="N47" s="31"/>
      <c r="O47" s="31"/>
      <c r="P47" s="31"/>
    </row>
    <row r="48" spans="2:17">
      <c r="B48" s="20" t="s">
        <v>187</v>
      </c>
      <c r="D48" s="31"/>
      <c r="E48" s="36" t="e">
        <f t="shared" ref="E48:P48" si="21">IF(D44=0,NA(),E44/D44-1)</f>
        <v>#N/A</v>
      </c>
      <c r="F48" s="36" t="e">
        <f t="shared" si="21"/>
        <v>#N/A</v>
      </c>
      <c r="G48" s="36" t="e">
        <f t="shared" si="21"/>
        <v>#N/A</v>
      </c>
      <c r="H48" s="36" t="e">
        <f t="shared" si="21"/>
        <v>#N/A</v>
      </c>
      <c r="I48" s="36" t="e">
        <f t="shared" si="21"/>
        <v>#N/A</v>
      </c>
      <c r="J48" s="36" t="e">
        <f t="shared" si="21"/>
        <v>#N/A</v>
      </c>
      <c r="K48" s="36" t="e">
        <f t="shared" si="21"/>
        <v>#N/A</v>
      </c>
      <c r="L48" s="36">
        <f t="shared" si="21"/>
        <v>0.45122566844505263</v>
      </c>
      <c r="M48" s="36">
        <f t="shared" si="21"/>
        <v>0.16760983759230696</v>
      </c>
      <c r="N48" s="36">
        <f t="shared" si="21"/>
        <v>0.16275544120052121</v>
      </c>
      <c r="O48" s="36">
        <f t="shared" si="21"/>
        <v>0.14126069563668286</v>
      </c>
      <c r="P48" s="36">
        <f t="shared" si="21"/>
        <v>0.22647102303721178</v>
      </c>
    </row>
    <row r="49" spans="2:17">
      <c r="B49" s="20" t="s">
        <v>186</v>
      </c>
      <c r="D49" s="31"/>
      <c r="E49" s="36">
        <f t="shared" ref="E49:P49" si="22">IF(D45=0,NA(),E45/D45-1)</f>
        <v>0.12016298677738879</v>
      </c>
      <c r="F49" s="36">
        <f t="shared" si="22"/>
        <v>7.5545339585290083E-2</v>
      </c>
      <c r="G49" s="36">
        <f t="shared" si="22"/>
        <v>7.0023648152887974E-2</v>
      </c>
      <c r="H49" s="36">
        <f t="shared" si="22"/>
        <v>4.9350848394923208E-2</v>
      </c>
      <c r="I49" s="36">
        <f t="shared" si="22"/>
        <v>5.814277000743262E-2</v>
      </c>
      <c r="J49" s="36">
        <f t="shared" si="22"/>
        <v>0.12632836377662726</v>
      </c>
      <c r="K49" s="36">
        <f t="shared" si="22"/>
        <v>-2.7214897226730539E-2</v>
      </c>
      <c r="L49" s="36">
        <f t="shared" si="22"/>
        <v>5.313914054557034E-2</v>
      </c>
      <c r="M49" s="36">
        <f t="shared" si="22"/>
        <v>-3.1140727723890205E-2</v>
      </c>
      <c r="N49" s="36">
        <f t="shared" si="22"/>
        <v>-2.9915768592101433E-2</v>
      </c>
      <c r="O49" s="36">
        <f t="shared" si="22"/>
        <v>1.5266262568269573E-2</v>
      </c>
      <c r="P49" s="36">
        <f t="shared" si="22"/>
        <v>5.3801169322249098E-2</v>
      </c>
    </row>
    <row r="50" spans="2:17">
      <c r="B50" s="78" t="s">
        <v>100</v>
      </c>
      <c r="C50" s="79"/>
      <c r="D50" s="39"/>
      <c r="E50" s="80">
        <f t="shared" ref="E50:P50" si="23">E42/D42-1</f>
        <v>0.12016298677738879</v>
      </c>
      <c r="F50" s="80">
        <f t="shared" si="23"/>
        <v>7.5545339585290083E-2</v>
      </c>
      <c r="G50" s="80">
        <f t="shared" si="23"/>
        <v>7.0023648152887974E-2</v>
      </c>
      <c r="H50" s="80">
        <f t="shared" si="23"/>
        <v>4.9350848394923208E-2</v>
      </c>
      <c r="I50" s="80">
        <f t="shared" si="23"/>
        <v>5.814277000743262E-2</v>
      </c>
      <c r="J50" s="80">
        <f t="shared" si="23"/>
        <v>0.12632836377662726</v>
      </c>
      <c r="K50" s="80">
        <f t="shared" si="23"/>
        <v>0.19253110288876263</v>
      </c>
      <c r="L50" s="80">
        <f t="shared" si="23"/>
        <v>0.12649397547932706</v>
      </c>
      <c r="M50" s="80">
        <f t="shared" si="23"/>
        <v>1.6040117225818662E-2</v>
      </c>
      <c r="N50" s="80">
        <f t="shared" si="23"/>
        <v>2.2644921125406281E-2</v>
      </c>
      <c r="O50" s="80">
        <f t="shared" si="23"/>
        <v>5.4346671779921918E-2</v>
      </c>
      <c r="P50" s="80">
        <f t="shared" si="23"/>
        <v>0.11177415881041575</v>
      </c>
    </row>
    <row r="51" spans="2:17">
      <c r="B51" s="20"/>
      <c r="D51" s="31"/>
      <c r="E51" s="31"/>
      <c r="F51" s="31"/>
      <c r="G51" s="31"/>
      <c r="H51" s="31"/>
      <c r="I51" s="31"/>
      <c r="J51" s="31"/>
      <c r="K51" s="31"/>
      <c r="L51" s="31"/>
      <c r="M51" s="31"/>
      <c r="N51" s="31"/>
      <c r="O51" s="31"/>
    </row>
    <row r="52" spans="2:17">
      <c r="B52" s="20" t="s">
        <v>189</v>
      </c>
      <c r="D52" s="81"/>
      <c r="E52" s="81"/>
      <c r="F52" s="81"/>
      <c r="G52" s="81"/>
      <c r="H52" s="81"/>
      <c r="I52" s="81"/>
      <c r="J52" s="81"/>
      <c r="K52" s="81"/>
      <c r="L52" s="81"/>
      <c r="M52" s="81"/>
      <c r="N52" s="81"/>
      <c r="O52" s="81"/>
    </row>
    <row r="53" spans="2:17">
      <c r="B53" s="20" t="s">
        <v>185</v>
      </c>
      <c r="D53" s="22">
        <v>0</v>
      </c>
      <c r="E53" s="22">
        <v>0</v>
      </c>
      <c r="F53" s="22">
        <v>0</v>
      </c>
      <c r="G53" s="22">
        <v>0</v>
      </c>
      <c r="H53" s="22">
        <v>0</v>
      </c>
      <c r="I53" s="22">
        <v>0</v>
      </c>
      <c r="J53" s="22">
        <v>0</v>
      </c>
      <c r="K53" s="22">
        <f>SUM(K5:K6)</f>
        <v>88.759689000000009</v>
      </c>
      <c r="L53" s="22">
        <f>SUM(L5:L7)</f>
        <v>128.810339</v>
      </c>
      <c r="M53" s="22">
        <f>SUM(M5:M7)</f>
        <v>150.40021899999999</v>
      </c>
      <c r="N53" s="22">
        <f>SUM(N5:N7)</f>
        <v>174.87867299999999</v>
      </c>
      <c r="O53" s="22">
        <f>SUM(O5:O7)</f>
        <v>199.582156</v>
      </c>
      <c r="P53" s="22">
        <f>SUM(P5:P7)</f>
        <v>244.7817310492924</v>
      </c>
      <c r="Q53" s="22"/>
    </row>
    <row r="54" spans="2:17">
      <c r="B54" s="20" t="s">
        <v>186</v>
      </c>
      <c r="D54" s="31">
        <f t="shared" ref="D54:P54" si="24">D42-D53</f>
        <v>250.53099799999998</v>
      </c>
      <c r="E54" s="31">
        <f t="shared" si="24"/>
        <v>280.63555100000002</v>
      </c>
      <c r="F54" s="31">
        <f t="shared" si="24"/>
        <v>301.83625900000004</v>
      </c>
      <c r="G54" s="31">
        <f t="shared" si="24"/>
        <v>322.97193500000003</v>
      </c>
      <c r="H54" s="31">
        <f t="shared" si="24"/>
        <v>338.91087400000004</v>
      </c>
      <c r="I54" s="31">
        <f t="shared" si="24"/>
        <v>358.61609099999998</v>
      </c>
      <c r="J54" s="31">
        <f t="shared" si="24"/>
        <v>403.91947500000003</v>
      </c>
      <c r="K54" s="31">
        <f t="shared" si="24"/>
        <v>392.92684800000006</v>
      </c>
      <c r="L54" s="31">
        <f t="shared" si="24"/>
        <v>413.80664300000001</v>
      </c>
      <c r="M54" s="31">
        <f t="shared" si="24"/>
        <v>400.92040299999996</v>
      </c>
      <c r="N54" s="31">
        <f t="shared" si="24"/>
        <v>388.92656099999994</v>
      </c>
      <c r="O54" s="31">
        <f t="shared" si="24"/>
        <v>394.86401600000005</v>
      </c>
      <c r="P54" s="31">
        <f t="shared" si="24"/>
        <v>416.10816178407936</v>
      </c>
      <c r="Q54" s="31"/>
    </row>
    <row r="55" spans="2:17">
      <c r="B55" s="20" t="s">
        <v>188</v>
      </c>
      <c r="D55" s="81">
        <f t="shared" ref="D55:P55" si="25">D53/D42</f>
        <v>0</v>
      </c>
      <c r="E55" s="81">
        <f t="shared" si="25"/>
        <v>0</v>
      </c>
      <c r="F55" s="81">
        <f t="shared" si="25"/>
        <v>0</v>
      </c>
      <c r="G55" s="81">
        <f t="shared" si="25"/>
        <v>0</v>
      </c>
      <c r="H55" s="81">
        <f t="shared" si="25"/>
        <v>0</v>
      </c>
      <c r="I55" s="81">
        <f t="shared" si="25"/>
        <v>0</v>
      </c>
      <c r="J55" s="81">
        <f t="shared" si="25"/>
        <v>0</v>
      </c>
      <c r="K55" s="81">
        <f t="shared" si="25"/>
        <v>0.18426856925004736</v>
      </c>
      <c r="L55" s="81">
        <f t="shared" si="25"/>
        <v>0.23738722390372957</v>
      </c>
      <c r="M55" s="81">
        <f t="shared" si="25"/>
        <v>0.272799915327673</v>
      </c>
      <c r="N55" s="81">
        <f t="shared" si="25"/>
        <v>0.31017568205122414</v>
      </c>
      <c r="O55" s="81">
        <f t="shared" si="25"/>
        <v>0.33574470726005445</v>
      </c>
      <c r="P55" s="81">
        <f t="shared" si="25"/>
        <v>0.37038201628392664</v>
      </c>
      <c r="Q55" s="82"/>
    </row>
    <row r="57" spans="2:17">
      <c r="B57" s="33" t="s">
        <v>111</v>
      </c>
      <c r="D57" s="31">
        <f t="shared" ref="D57:J57" si="26">D40/$D40</f>
        <v>1</v>
      </c>
      <c r="E57" s="31">
        <f t="shared" si="26"/>
        <v>1.1161304538695145</v>
      </c>
      <c r="F57" s="31">
        <f t="shared" si="26"/>
        <v>1.1004832514581464</v>
      </c>
      <c r="G57" s="31">
        <f t="shared" si="26"/>
        <v>1.1405352338987473</v>
      </c>
      <c r="H57" s="31">
        <f t="shared" si="26"/>
        <v>1.2495316638191856</v>
      </c>
      <c r="I57" s="31">
        <f t="shared" si="26"/>
        <v>1.3092821048179351</v>
      </c>
      <c r="J57" s="31">
        <f t="shared" si="26"/>
        <v>1.2992304966607831</v>
      </c>
      <c r="K57" s="31"/>
      <c r="L57" s="31"/>
      <c r="M57" s="31"/>
    </row>
    <row r="58" spans="2:17">
      <c r="B58" s="33" t="s">
        <v>110</v>
      </c>
      <c r="D58" s="31"/>
      <c r="E58" s="31"/>
      <c r="F58" s="31"/>
      <c r="G58" s="31"/>
      <c r="H58" s="31"/>
      <c r="I58" s="31"/>
      <c r="J58" s="31">
        <f t="shared" ref="J58:P59" si="27">J40/$D40</f>
        <v>1.2992304966607831</v>
      </c>
      <c r="K58" s="31">
        <f t="shared" si="27"/>
        <v>1.3911445216234861</v>
      </c>
      <c r="L58" s="31">
        <f t="shared" si="27"/>
        <v>1.6227390763246343</v>
      </c>
      <c r="M58" s="31">
        <f t="shared" si="27"/>
        <v>1.8947261093620964</v>
      </c>
      <c r="N58" s="31">
        <f t="shared" si="27"/>
        <v>2.2031030932454709</v>
      </c>
      <c r="O58" s="31">
        <f t="shared" si="27"/>
        <v>2.5143149687566542</v>
      </c>
      <c r="P58" s="31">
        <f t="shared" si="27"/>
        <v>3.0837344519687493</v>
      </c>
    </row>
    <row r="59" spans="2:17">
      <c r="B59" s="20" t="s">
        <v>109</v>
      </c>
      <c r="D59" s="31">
        <f t="shared" ref="D59:I59" si="28">D41/$D41</f>
        <v>1</v>
      </c>
      <c r="E59" s="31">
        <f t="shared" si="28"/>
        <v>1.1220332223300891</v>
      </c>
      <c r="F59" s="31">
        <f t="shared" si="28"/>
        <v>1.2531603555901605</v>
      </c>
      <c r="G59" s="31">
        <f t="shared" si="28"/>
        <v>1.3580749769847278</v>
      </c>
      <c r="H59" s="31">
        <f t="shared" si="28"/>
        <v>1.4006509043052824</v>
      </c>
      <c r="I59" s="31">
        <f t="shared" si="28"/>
        <v>1.4880718444011285</v>
      </c>
      <c r="J59" s="31">
        <f t="shared" si="27"/>
        <v>1.7574294187840678</v>
      </c>
      <c r="K59" s="31">
        <f t="shared" si="27"/>
        <v>2.1691734200676001</v>
      </c>
      <c r="L59" s="31">
        <f t="shared" si="27"/>
        <v>2.4177635047496051</v>
      </c>
      <c r="M59" s="31">
        <f t="shared" si="27"/>
        <v>2.3424725897474392</v>
      </c>
      <c r="N59" s="31">
        <f t="shared" si="27"/>
        <v>2.2723957218192146</v>
      </c>
      <c r="O59" s="31">
        <f t="shared" si="27"/>
        <v>2.3070867115675191</v>
      </c>
      <c r="P59" s="31">
        <f t="shared" si="27"/>
        <v>2.4312106743776742</v>
      </c>
    </row>
    <row r="64" spans="2:17">
      <c r="B64" s="23" t="s">
        <v>108</v>
      </c>
    </row>
    <row r="65" spans="2:18">
      <c r="B65" s="33" t="s">
        <v>104</v>
      </c>
      <c r="O65" s="36">
        <v>0.18002290632700513</v>
      </c>
    </row>
    <row r="66" spans="2:18">
      <c r="B66" s="33" t="s">
        <v>48</v>
      </c>
      <c r="O66" s="36">
        <v>-3.3633795237454356E-3</v>
      </c>
    </row>
    <row r="67" spans="2:18">
      <c r="B67" s="33" t="s">
        <v>103</v>
      </c>
      <c r="O67" s="36">
        <v>0.20430448000562285</v>
      </c>
    </row>
    <row r="68" spans="2:18">
      <c r="B68" s="35" t="s">
        <v>100</v>
      </c>
    </row>
    <row r="69" spans="2:18">
      <c r="B69" s="23" t="s">
        <v>107</v>
      </c>
    </row>
    <row r="70" spans="2:18">
      <c r="B70" s="33" t="s">
        <v>72</v>
      </c>
      <c r="O70" s="36">
        <v>1.053746130202482E-2</v>
      </c>
    </row>
    <row r="71" spans="2:18">
      <c r="B71" s="33" t="s">
        <v>68</v>
      </c>
      <c r="O71" s="36">
        <v>-9.9383397699601694E-3</v>
      </c>
    </row>
    <row r="72" spans="2:18">
      <c r="B72" s="33" t="s">
        <v>106</v>
      </c>
      <c r="O72" s="36">
        <v>6.1351840171115946E-2</v>
      </c>
    </row>
    <row r="73" spans="2:18">
      <c r="B73" s="35" t="s">
        <v>100</v>
      </c>
    </row>
    <row r="80" spans="2:18">
      <c r="B80" s="26"/>
      <c r="C80" s="25" t="s">
        <v>96</v>
      </c>
      <c r="D80" s="24" t="s">
        <v>88</v>
      </c>
      <c r="E80" s="24" t="s">
        <v>87</v>
      </c>
      <c r="F80" s="24" t="s">
        <v>86</v>
      </c>
      <c r="G80" s="24" t="s">
        <v>85</v>
      </c>
      <c r="H80" s="24" t="s">
        <v>84</v>
      </c>
      <c r="I80" s="24" t="s">
        <v>83</v>
      </c>
      <c r="J80" s="24" t="s">
        <v>82</v>
      </c>
      <c r="K80" s="24" t="s">
        <v>81</v>
      </c>
      <c r="L80" s="24" t="s">
        <v>80</v>
      </c>
      <c r="M80" s="24" t="s">
        <v>79</v>
      </c>
      <c r="N80" s="24" t="s">
        <v>78</v>
      </c>
      <c r="O80" s="24" t="s">
        <v>95</v>
      </c>
      <c r="P80" s="24" t="s">
        <v>94</v>
      </c>
      <c r="Q80" s="24"/>
      <c r="R80" s="34"/>
    </row>
    <row r="81" spans="2:18">
      <c r="B81" s="23"/>
    </row>
    <row r="82" spans="2:18">
      <c r="B82" s="32" t="s">
        <v>105</v>
      </c>
      <c r="C82" s="14" t="s">
        <v>92</v>
      </c>
      <c r="K82" s="22">
        <v>15.233803200000001</v>
      </c>
      <c r="L82" s="22">
        <v>34.848895275000004</v>
      </c>
      <c r="M82" s="22">
        <v>38</v>
      </c>
      <c r="N82" s="22">
        <v>47.400835827000002</v>
      </c>
      <c r="O82" s="22"/>
      <c r="P82" s="22"/>
      <c r="Q82" s="22"/>
      <c r="R82" s="22"/>
    </row>
    <row r="83" spans="2:18">
      <c r="B83" s="20"/>
      <c r="C83" s="7"/>
      <c r="K83" s="31"/>
      <c r="L83" s="31"/>
      <c r="M83" s="31"/>
      <c r="N83" s="31"/>
      <c r="O83" s="31"/>
      <c r="P83" s="31"/>
      <c r="Q83" s="31"/>
      <c r="R83" s="31"/>
    </row>
    <row r="84" spans="2:18">
      <c r="B84" s="33" t="s">
        <v>104</v>
      </c>
      <c r="C84" s="14" t="s">
        <v>92</v>
      </c>
      <c r="K84" s="22">
        <v>52.833689</v>
      </c>
      <c r="L84" s="22">
        <v>68.666562999999996</v>
      </c>
      <c r="M84" s="22">
        <v>89.776782999999995</v>
      </c>
      <c r="N84" s="22">
        <v>112.481877</v>
      </c>
      <c r="O84" s="22"/>
      <c r="P84" s="22"/>
      <c r="Q84" s="22"/>
      <c r="R84" s="31"/>
    </row>
    <row r="85" spans="2:18">
      <c r="B85" s="33" t="s">
        <v>48</v>
      </c>
      <c r="C85" s="14" t="s">
        <v>92</v>
      </c>
      <c r="K85" s="22">
        <v>35.926000000000002</v>
      </c>
      <c r="L85" s="22">
        <v>38.96</v>
      </c>
      <c r="M85" s="22">
        <v>39.106000000000002</v>
      </c>
      <c r="N85" s="22">
        <v>37.441000000000003</v>
      </c>
      <c r="O85" s="22"/>
      <c r="P85" s="22"/>
      <c r="Q85" s="22"/>
      <c r="R85" s="31"/>
    </row>
    <row r="86" spans="2:18">
      <c r="B86" s="33" t="s">
        <v>103</v>
      </c>
      <c r="C86" s="14" t="s">
        <v>92</v>
      </c>
      <c r="K86" s="22"/>
      <c r="L86" s="22">
        <v>21.183776000000002</v>
      </c>
      <c r="M86" s="22">
        <v>21.517436</v>
      </c>
      <c r="N86" s="22">
        <v>24.955795999999999</v>
      </c>
      <c r="O86" s="22"/>
      <c r="P86" s="22"/>
      <c r="Q86" s="22"/>
      <c r="R86" s="31"/>
    </row>
    <row r="87" spans="2:18">
      <c r="B87" s="33" t="s">
        <v>102</v>
      </c>
      <c r="K87" s="31">
        <f>K88-SUM(K84:K86)</f>
        <v>0.85050779999998838</v>
      </c>
      <c r="L87" s="31">
        <f>L88-SUM(L84:L86)</f>
        <v>3.8057657250000148</v>
      </c>
      <c r="M87" s="31">
        <f>M88-SUM(M84:M86)</f>
        <v>7.6347810000000038</v>
      </c>
      <c r="N87" s="31">
        <f>N88-SUM(N84:N86)</f>
        <v>10.126491173000005</v>
      </c>
      <c r="O87" s="31"/>
      <c r="P87" s="31"/>
      <c r="Q87" s="31"/>
      <c r="R87" s="31"/>
    </row>
    <row r="88" spans="2:18">
      <c r="B88" s="32" t="s">
        <v>101</v>
      </c>
      <c r="C88" s="14" t="s">
        <v>92</v>
      </c>
      <c r="K88" s="31">
        <f>K89-K82</f>
        <v>89.610196799999997</v>
      </c>
      <c r="L88" s="31">
        <f>L89-L82</f>
        <v>132.61610472500001</v>
      </c>
      <c r="M88" s="31">
        <f>M89-M82</f>
        <v>158.035</v>
      </c>
      <c r="N88" s="31">
        <f>N89-N82</f>
        <v>185.005164173</v>
      </c>
      <c r="O88" s="31"/>
      <c r="P88" s="31"/>
      <c r="Q88" s="31"/>
      <c r="R88" s="31"/>
    </row>
    <row r="89" spans="2:18">
      <c r="B89" s="30" t="s">
        <v>100</v>
      </c>
      <c r="C89" s="29" t="s">
        <v>92</v>
      </c>
      <c r="D89" s="29"/>
      <c r="E89" s="29"/>
      <c r="F89" s="29"/>
      <c r="G89" s="29"/>
      <c r="H89" s="29"/>
      <c r="I89" s="29"/>
      <c r="J89" s="29"/>
      <c r="K89" s="28">
        <v>104.84399999999999</v>
      </c>
      <c r="L89" s="28">
        <v>167.465</v>
      </c>
      <c r="M89" s="28">
        <v>196.035</v>
      </c>
      <c r="N89" s="28">
        <v>232.40600000000001</v>
      </c>
      <c r="O89" s="28"/>
      <c r="P89" s="28"/>
      <c r="Q89" s="27"/>
      <c r="R89" s="27"/>
    </row>
    <row r="90" spans="2:18">
      <c r="C90" s="7"/>
    </row>
    <row r="91" spans="2:18">
      <c r="B91" s="20" t="s">
        <v>99</v>
      </c>
      <c r="C91" s="7"/>
      <c r="L91" s="19"/>
      <c r="M91" s="19">
        <f>M82/L82-1</f>
        <v>9.0421940211704355E-2</v>
      </c>
      <c r="N91" s="19">
        <f>N82/M82-1</f>
        <v>0.24739041650000004</v>
      </c>
      <c r="R91" s="19"/>
    </row>
    <row r="92" spans="2:18">
      <c r="B92" s="20" t="s">
        <v>98</v>
      </c>
      <c r="L92" s="19">
        <f t="shared" ref="L92:N93" si="29">L88/K88-1</f>
        <v>0.47992203410717216</v>
      </c>
      <c r="M92" s="19">
        <f t="shared" si="29"/>
        <v>0.19167276348306261</v>
      </c>
      <c r="N92" s="19">
        <f t="shared" si="29"/>
        <v>0.1706594372955359</v>
      </c>
      <c r="O92" s="19"/>
      <c r="P92" s="19"/>
      <c r="Q92" s="19"/>
    </row>
    <row r="93" spans="2:18">
      <c r="B93" s="7" t="s">
        <v>97</v>
      </c>
      <c r="L93" s="19">
        <f t="shared" si="29"/>
        <v>0.59727786044027331</v>
      </c>
      <c r="M93" s="19">
        <f t="shared" si="29"/>
        <v>0.17060281252799081</v>
      </c>
      <c r="N93" s="19">
        <f t="shared" si="29"/>
        <v>0.18553319560282611</v>
      </c>
    </row>
    <row r="95" spans="2:18">
      <c r="B95" s="26"/>
      <c r="C95" s="25" t="s">
        <v>96</v>
      </c>
      <c r="D95" s="24" t="s">
        <v>88</v>
      </c>
      <c r="E95" s="24" t="s">
        <v>87</v>
      </c>
      <c r="F95" s="24" t="s">
        <v>86</v>
      </c>
      <c r="G95" s="24" t="s">
        <v>85</v>
      </c>
      <c r="H95" s="24" t="s">
        <v>84</v>
      </c>
      <c r="I95" s="24" t="s">
        <v>83</v>
      </c>
      <c r="J95" s="24" t="s">
        <v>82</v>
      </c>
      <c r="K95" s="24" t="s">
        <v>81</v>
      </c>
      <c r="L95" s="24" t="s">
        <v>80</v>
      </c>
      <c r="M95" s="24" t="s">
        <v>79</v>
      </c>
      <c r="N95" s="24" t="s">
        <v>78</v>
      </c>
      <c r="O95" s="24" t="s">
        <v>95</v>
      </c>
      <c r="P95" s="24" t="s">
        <v>190</v>
      </c>
      <c r="Q95" s="24"/>
    </row>
    <row r="96" spans="2:18">
      <c r="B96" s="23"/>
    </row>
    <row r="97" spans="2:19">
      <c r="B97" s="20" t="s">
        <v>93</v>
      </c>
      <c r="C97" s="14" t="s">
        <v>92</v>
      </c>
      <c r="D97" s="16">
        <v>4520.5136790571414</v>
      </c>
      <c r="E97" s="16">
        <v>4608.0631497809982</v>
      </c>
      <c r="F97" s="16">
        <v>5185.9511107761145</v>
      </c>
      <c r="G97" s="16">
        <v>4749.2389666727049</v>
      </c>
      <c r="H97" s="16">
        <v>5036.6100676991882</v>
      </c>
      <c r="I97" s="16">
        <v>6402.7469813728567</v>
      </c>
      <c r="J97" s="16">
        <v>6448.2294454816747</v>
      </c>
      <c r="K97" s="16">
        <v>6965.2175729048522</v>
      </c>
      <c r="L97" s="16">
        <v>7787.2364264805219</v>
      </c>
      <c r="M97" s="16">
        <v>7728.1353312565698</v>
      </c>
      <c r="N97" s="16">
        <v>8815.7113581172198</v>
      </c>
      <c r="O97" s="16">
        <v>8012.9893766023297</v>
      </c>
      <c r="P97" s="16">
        <v>7716.2167205156202</v>
      </c>
      <c r="Q97" s="22"/>
    </row>
    <row r="98" spans="2:19">
      <c r="B98" s="20" t="s">
        <v>91</v>
      </c>
      <c r="D98" s="21">
        <f t="shared" ref="D98:N98" si="30">SUM(D5:D7,D10:D13)</f>
        <v>250.53099799999998</v>
      </c>
      <c r="E98" s="21">
        <f t="shared" si="30"/>
        <v>280.63555100000002</v>
      </c>
      <c r="F98" s="21">
        <f t="shared" si="30"/>
        <v>301.83625899999998</v>
      </c>
      <c r="G98" s="21">
        <f t="shared" si="30"/>
        <v>322.97193499999997</v>
      </c>
      <c r="H98" s="21">
        <f t="shared" si="30"/>
        <v>338.91087399999998</v>
      </c>
      <c r="I98" s="21">
        <f t="shared" si="30"/>
        <v>358.61609099999998</v>
      </c>
      <c r="J98" s="21">
        <f t="shared" si="30"/>
        <v>403.91947500000003</v>
      </c>
      <c r="K98" s="21">
        <f t="shared" si="30"/>
        <v>481.68653699999999</v>
      </c>
      <c r="L98" s="21">
        <f t="shared" si="30"/>
        <v>542.61698200000001</v>
      </c>
      <c r="M98" s="21">
        <f t="shared" si="30"/>
        <v>551.32062199999996</v>
      </c>
      <c r="N98" s="21">
        <f t="shared" si="30"/>
        <v>563.80523399999993</v>
      </c>
      <c r="O98" s="21">
        <f>SUM(O5:O7,O10:O13)</f>
        <v>594.44617199999993</v>
      </c>
      <c r="P98" s="21">
        <f>SUM(P5:P7,P10:P13)</f>
        <v>660.88989283337173</v>
      </c>
    </row>
    <row r="99" spans="2:19">
      <c r="B99" s="20"/>
      <c r="D99" s="21">
        <f t="shared" ref="D99:P99" si="31">SUM(D97:D98)</f>
        <v>4771.0446770571416</v>
      </c>
      <c r="E99" s="21">
        <f t="shared" si="31"/>
        <v>4888.6987007809985</v>
      </c>
      <c r="F99" s="21">
        <f t="shared" si="31"/>
        <v>5487.7873697761142</v>
      </c>
      <c r="G99" s="21">
        <f t="shared" si="31"/>
        <v>5072.2109016727045</v>
      </c>
      <c r="H99" s="21">
        <f t="shared" si="31"/>
        <v>5375.5209416991884</v>
      </c>
      <c r="I99" s="21">
        <f t="shared" si="31"/>
        <v>6761.3630723728565</v>
      </c>
      <c r="J99" s="21">
        <f t="shared" si="31"/>
        <v>6852.1489204816744</v>
      </c>
      <c r="K99" s="21">
        <f t="shared" si="31"/>
        <v>7446.9041099048518</v>
      </c>
      <c r="L99" s="21">
        <f t="shared" si="31"/>
        <v>8329.8534084805215</v>
      </c>
      <c r="M99" s="21">
        <f t="shared" si="31"/>
        <v>8279.455953256569</v>
      </c>
      <c r="N99" s="21">
        <f t="shared" si="31"/>
        <v>9379.5165921172193</v>
      </c>
      <c r="O99" s="21">
        <f t="shared" si="31"/>
        <v>8607.4355486023305</v>
      </c>
      <c r="P99" s="21">
        <f t="shared" si="31"/>
        <v>8377.1066133489912</v>
      </c>
      <c r="S99" s="90">
        <f>10/P99</f>
        <v>1.1937295848741991E-3</v>
      </c>
    </row>
    <row r="100" spans="2:19">
      <c r="B100" s="20"/>
      <c r="D100" s="21"/>
      <c r="E100" s="21"/>
      <c r="F100" s="21"/>
      <c r="G100" s="21"/>
      <c r="H100" s="21"/>
      <c r="I100" s="21"/>
      <c r="J100" s="21"/>
      <c r="K100" s="21"/>
      <c r="L100" s="21"/>
      <c r="M100" s="21"/>
      <c r="N100" s="21"/>
    </row>
    <row r="101" spans="2:19">
      <c r="B101" s="20"/>
      <c r="D101" s="19">
        <f t="shared" ref="D101:P101" si="32">D98/D99</f>
        <v>5.2510721436910039E-2</v>
      </c>
      <c r="E101" s="19">
        <f t="shared" si="32"/>
        <v>5.7404959515129625E-2</v>
      </c>
      <c r="F101" s="19">
        <f t="shared" si="32"/>
        <v>5.5001449338645571E-2</v>
      </c>
      <c r="G101" s="19">
        <f t="shared" si="32"/>
        <v>6.3674784282627295E-2</v>
      </c>
      <c r="H101" s="19">
        <f t="shared" si="32"/>
        <v>6.3047075376637104E-2</v>
      </c>
      <c r="I101" s="19">
        <f t="shared" si="32"/>
        <v>5.3039022925024791E-2</v>
      </c>
      <c r="J101" s="19">
        <f t="shared" si="32"/>
        <v>5.894785412393027E-2</v>
      </c>
      <c r="K101" s="19">
        <f t="shared" si="32"/>
        <v>6.4682790310046631E-2</v>
      </c>
      <c r="L101" s="19">
        <f t="shared" si="32"/>
        <v>6.51412402345002E-2</v>
      </c>
      <c r="M101" s="19">
        <f t="shared" si="32"/>
        <v>6.6588991488401875E-2</v>
      </c>
      <c r="N101" s="19">
        <f t="shared" si="32"/>
        <v>6.0110265647787861E-2</v>
      </c>
      <c r="O101" s="19">
        <f t="shared" si="32"/>
        <v>6.9061937047733765E-2</v>
      </c>
      <c r="P101" s="19">
        <f t="shared" si="32"/>
        <v>7.8892381741953482E-2</v>
      </c>
    </row>
    <row r="102" spans="2:19">
      <c r="B102" s="20"/>
      <c r="D102" s="21"/>
      <c r="E102" s="21"/>
      <c r="F102" s="21"/>
      <c r="G102" s="21"/>
      <c r="H102" s="21"/>
      <c r="I102" s="21"/>
      <c r="J102" s="21"/>
      <c r="K102" s="21"/>
      <c r="L102" s="21"/>
      <c r="M102" s="21"/>
      <c r="N102" s="21"/>
    </row>
    <row r="103" spans="2:19">
      <c r="B103" s="20" t="s">
        <v>90</v>
      </c>
      <c r="D103" s="7">
        <v>0</v>
      </c>
      <c r="E103" s="7">
        <v>0</v>
      </c>
      <c r="F103" s="7">
        <v>0</v>
      </c>
      <c r="G103" s="7">
        <v>0</v>
      </c>
      <c r="H103" s="7">
        <v>0</v>
      </c>
      <c r="I103" s="7">
        <v>0</v>
      </c>
      <c r="J103" s="7">
        <v>0</v>
      </c>
      <c r="K103" s="7">
        <v>0</v>
      </c>
      <c r="L103" s="7">
        <v>0</v>
      </c>
      <c r="M103" s="7">
        <v>0</v>
      </c>
      <c r="N103" s="7">
        <v>0</v>
      </c>
      <c r="O103" s="7">
        <v>0</v>
      </c>
      <c r="P103" s="7">
        <v>0</v>
      </c>
    </row>
    <row r="106" spans="2:19">
      <c r="B106" s="20" t="s">
        <v>93</v>
      </c>
      <c r="D106" s="19"/>
      <c r="E106" s="18">
        <f t="shared" ref="E106:P106" si="33">E97/D97-1</f>
        <v>1.9367150934518795E-2</v>
      </c>
      <c r="F106" s="18">
        <f t="shared" si="33"/>
        <v>0.12540799511885625</v>
      </c>
      <c r="G106" s="18">
        <f t="shared" si="33"/>
        <v>-8.4210617257063247E-2</v>
      </c>
      <c r="H106" s="18">
        <f t="shared" si="33"/>
        <v>6.0508873746526692E-2</v>
      </c>
      <c r="I106" s="18">
        <f t="shared" si="33"/>
        <v>0.27124134989821513</v>
      </c>
      <c r="J106" s="18">
        <f t="shared" si="33"/>
        <v>7.1035860453547706E-3</v>
      </c>
      <c r="K106" s="18">
        <f t="shared" si="33"/>
        <v>8.0175206511212904E-2</v>
      </c>
      <c r="L106" s="18">
        <f t="shared" si="33"/>
        <v>0.11801768501437437</v>
      </c>
      <c r="M106" s="18">
        <f t="shared" si="33"/>
        <v>-7.5894825824189827E-3</v>
      </c>
      <c r="N106" s="18">
        <f t="shared" si="33"/>
        <v>0.14072942310701153</v>
      </c>
      <c r="O106" s="18">
        <f t="shared" si="33"/>
        <v>-9.1055837572967979E-2</v>
      </c>
      <c r="P106" s="18">
        <f t="shared" si="33"/>
        <v>-3.7036446966131731E-2</v>
      </c>
    </row>
    <row r="107" spans="2:19">
      <c r="B107" s="20" t="s">
        <v>91</v>
      </c>
      <c r="D107" s="19"/>
      <c r="E107" s="18">
        <f t="shared" ref="E107:P107" si="34">E98/D98-1</f>
        <v>0.12016298677738879</v>
      </c>
      <c r="F107" s="18">
        <f t="shared" si="34"/>
        <v>7.5545339585289861E-2</v>
      </c>
      <c r="G107" s="18">
        <f t="shared" si="34"/>
        <v>7.0023648152887974E-2</v>
      </c>
      <c r="H107" s="18">
        <f t="shared" si="34"/>
        <v>4.9350848394923208E-2</v>
      </c>
      <c r="I107" s="18">
        <f t="shared" si="34"/>
        <v>5.814277000743262E-2</v>
      </c>
      <c r="J107" s="18">
        <f t="shared" si="34"/>
        <v>0.12632836377662726</v>
      </c>
      <c r="K107" s="18">
        <f t="shared" si="34"/>
        <v>0.19253110288876263</v>
      </c>
      <c r="L107" s="18">
        <f t="shared" si="34"/>
        <v>0.12649397547932728</v>
      </c>
      <c r="M107" s="18">
        <f t="shared" si="34"/>
        <v>1.6040117225818662E-2</v>
      </c>
      <c r="N107" s="18">
        <f t="shared" si="34"/>
        <v>2.2644921125406281E-2</v>
      </c>
      <c r="O107" s="18">
        <f t="shared" si="34"/>
        <v>5.4346671779921696E-2</v>
      </c>
      <c r="P107" s="18">
        <f t="shared" si="34"/>
        <v>0.11177415881041597</v>
      </c>
    </row>
    <row r="109" spans="2:19">
      <c r="D109" s="17">
        <f t="shared" ref="D109:P109" si="35">D97/$D97</f>
        <v>1</v>
      </c>
      <c r="E109" s="17">
        <f t="shared" si="35"/>
        <v>1.0193671509345188</v>
      </c>
      <c r="F109" s="17">
        <f t="shared" si="35"/>
        <v>1.1472039416232374</v>
      </c>
      <c r="G109" s="17">
        <f t="shared" si="35"/>
        <v>1.0505971895794084</v>
      </c>
      <c r="H109" s="17">
        <f t="shared" si="35"/>
        <v>1.1141676422821247</v>
      </c>
      <c r="I109" s="17">
        <f t="shared" si="35"/>
        <v>1.4163759775876397</v>
      </c>
      <c r="J109" s="17">
        <f t="shared" si="35"/>
        <v>1.4264373262170071</v>
      </c>
      <c r="K109" s="17">
        <f t="shared" si="35"/>
        <v>1.5408022334217581</v>
      </c>
      <c r="L109" s="17">
        <f t="shared" si="35"/>
        <v>1.7226441460751716</v>
      </c>
      <c r="M109" s="17">
        <f t="shared" si="35"/>
        <v>1.7095701683328282</v>
      </c>
      <c r="N109" s="17">
        <f t="shared" si="35"/>
        <v>1.9501569918832635</v>
      </c>
      <c r="O109" s="17">
        <f t="shared" si="35"/>
        <v>1.7725838135885534</v>
      </c>
      <c r="P109" s="17">
        <f t="shared" si="35"/>
        <v>1.7069336071835572</v>
      </c>
    </row>
    <row r="110" spans="2:19">
      <c r="D110" s="17">
        <f t="shared" ref="D110:P110" si="36">D98/$D98</f>
        <v>1</v>
      </c>
      <c r="E110" s="17">
        <f t="shared" si="36"/>
        <v>1.1201629867773888</v>
      </c>
      <c r="F110" s="17">
        <f t="shared" si="36"/>
        <v>1.2047860800043595</v>
      </c>
      <c r="G110" s="17">
        <f t="shared" si="36"/>
        <v>1.2891495965700819</v>
      </c>
      <c r="H110" s="17">
        <f t="shared" si="36"/>
        <v>1.3527702228687886</v>
      </c>
      <c r="I110" s="17">
        <f t="shared" si="36"/>
        <v>1.431424030809952</v>
      </c>
      <c r="J110" s="17">
        <f t="shared" si="36"/>
        <v>1.6122534864927176</v>
      </c>
      <c r="K110" s="17">
        <f t="shared" si="36"/>
        <v>1.9226624283834131</v>
      </c>
      <c r="L110" s="17">
        <f t="shared" si="36"/>
        <v>2.1658676424543684</v>
      </c>
      <c r="M110" s="17">
        <f t="shared" si="36"/>
        <v>2.2006084133349439</v>
      </c>
      <c r="N110" s="17">
        <f t="shared" si="36"/>
        <v>2.2504410172828191</v>
      </c>
      <c r="O110" s="17">
        <f t="shared" si="36"/>
        <v>2.3727449966091618</v>
      </c>
      <c r="P110" s="17">
        <f t="shared" si="36"/>
        <v>2.6379565726767744</v>
      </c>
    </row>
    <row r="115" spans="14:15">
      <c r="N115" s="16">
        <v>132731191.40665673</v>
      </c>
      <c r="O115" s="7">
        <f t="shared" ref="O115:O120" si="37">N115/1000000</f>
        <v>132.73119140665673</v>
      </c>
    </row>
    <row r="116" spans="14:15">
      <c r="N116" s="16">
        <v>24871860.186734829</v>
      </c>
      <c r="O116" s="7">
        <f t="shared" si="37"/>
        <v>24.871860186734828</v>
      </c>
    </row>
    <row r="117" spans="14:15">
      <c r="N117" s="16">
        <v>45090364.035890527</v>
      </c>
      <c r="O117" s="7">
        <f t="shared" si="37"/>
        <v>45.090364035890524</v>
      </c>
    </row>
    <row r="118" spans="14:15">
      <c r="N118" s="16">
        <v>78474267.313153416</v>
      </c>
      <c r="O118" s="7">
        <f t="shared" si="37"/>
        <v>78.474267313153419</v>
      </c>
    </row>
    <row r="119" spans="14:15" ht="15">
      <c r="N119" s="15">
        <v>216090015.38461539</v>
      </c>
      <c r="O119" s="7">
        <f t="shared" si="37"/>
        <v>216.09001538461538</v>
      </c>
    </row>
    <row r="120" spans="14:15">
      <c r="N120" s="7">
        <v>50296291.973277636</v>
      </c>
      <c r="O120" s="7">
        <f t="shared" si="37"/>
        <v>50.296291973277633</v>
      </c>
    </row>
    <row r="121" spans="14:15">
      <c r="O121" s="7">
        <f>SUM(O115:O120)</f>
        <v>547.55399030032856</v>
      </c>
    </row>
  </sheetData>
  <pageMargins left="0.7" right="0.7" top="0.75" bottom="0.75" header="0.3" footer="0.3"/>
  <pageSetup paperSize="9" scale="96"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5C0FA-3BB3-4302-B7B1-BC0FAFCB0EAA}">
  <sheetPr>
    <tabColor theme="4" tint="0.79998168889431442"/>
  </sheetPr>
  <dimension ref="B1:DI104"/>
  <sheetViews>
    <sheetView topLeftCell="CL1" zoomScale="85" zoomScaleNormal="85" workbookViewId="0">
      <selection activeCell="CV20" sqref="CV20"/>
    </sheetView>
  </sheetViews>
  <sheetFormatPr defaultRowHeight="15"/>
  <cols>
    <col min="1" max="1" width="2.7109375" customWidth="1"/>
    <col min="2" max="2" width="9.140625" style="3"/>
    <col min="3" max="3" width="9.85546875" bestFit="1" customWidth="1"/>
    <col min="5" max="5" width="12.7109375" customWidth="1"/>
    <col min="7" max="7" width="9.140625" style="3"/>
    <col min="8" max="9" width="10.7109375" customWidth="1"/>
    <col min="10" max="10" width="9.140625" style="3"/>
    <col min="11" max="15" width="12.7109375" customWidth="1"/>
    <col min="16" max="16" width="11.140625" bestFit="1" customWidth="1"/>
    <col min="17" max="17" width="2.7109375" customWidth="1"/>
    <col min="18" max="18" width="9.140625" style="3"/>
    <col min="19" max="19" width="10.140625" bestFit="1" customWidth="1"/>
    <col min="21" max="21" width="12.7109375" customWidth="1"/>
    <col min="23" max="23" width="9.140625" style="3"/>
    <col min="24" max="25" width="10.7109375" customWidth="1"/>
    <col min="26" max="26" width="9.140625" style="3"/>
    <col min="27" max="31" width="12.7109375" customWidth="1"/>
    <col min="32" max="32" width="11.140625" bestFit="1" customWidth="1"/>
    <col min="33" max="33" width="2.7109375" customWidth="1"/>
    <col min="34" max="34" width="9.140625" style="3"/>
    <col min="35" max="35" width="10.140625" bestFit="1" customWidth="1"/>
    <col min="37" max="37" width="12.7109375" customWidth="1"/>
    <col min="39" max="39" width="9.140625" style="3"/>
    <col min="40" max="41" width="10.7109375" customWidth="1"/>
    <col min="42" max="42" width="9.140625" style="3"/>
    <col min="43" max="46" width="12.7109375" customWidth="1"/>
    <col min="47" max="47" width="11.140625" bestFit="1" customWidth="1"/>
    <col min="48" max="48" width="2.7109375" customWidth="1"/>
    <col min="49" max="49" width="9.140625" style="3"/>
    <col min="50" max="50" width="10.140625" bestFit="1" customWidth="1"/>
    <col min="52" max="52" width="12.7109375" customWidth="1"/>
    <col min="54" max="54" width="9.140625" style="3"/>
    <col min="55" max="56" width="10.7109375" customWidth="1"/>
    <col min="57" max="57" width="9.140625" style="3"/>
    <col min="58" max="62" width="12.7109375" customWidth="1"/>
    <col min="63" max="63" width="11.140625" bestFit="1" customWidth="1"/>
    <col min="64" max="64" width="2.7109375" customWidth="1"/>
    <col min="65" max="65" width="9.140625" style="3"/>
    <col min="66" max="66" width="10.140625" bestFit="1" customWidth="1"/>
    <col min="68" max="68" width="12.7109375" customWidth="1"/>
    <col min="70" max="70" width="9.140625" style="3"/>
    <col min="71" max="72" width="10.7109375" customWidth="1"/>
    <col min="73" max="73" width="9.140625" style="3"/>
    <col min="74" max="78" width="12.7109375" customWidth="1"/>
    <col min="79" max="79" width="11.140625" bestFit="1" customWidth="1"/>
    <col min="80" max="80" width="2.7109375" customWidth="1"/>
    <col min="81" max="81" width="9.140625" style="3"/>
    <col min="82" max="82" width="10.140625" bestFit="1" customWidth="1"/>
    <col min="84" max="84" width="12.7109375" customWidth="1"/>
    <col min="86" max="86" width="9.140625" style="3"/>
    <col min="87" max="88" width="10.7109375" customWidth="1"/>
    <col min="89" max="89" width="9.140625" style="3"/>
    <col min="90" max="94" width="12.7109375" customWidth="1"/>
    <col min="95" max="95" width="11.140625" bestFit="1" customWidth="1"/>
    <col min="96" max="96" width="2.7109375" customWidth="1"/>
    <col min="97" max="97" width="9.140625" style="3"/>
    <col min="98" max="98" width="10.140625" bestFit="1" customWidth="1"/>
    <col min="100" max="102" width="12.7109375" customWidth="1"/>
    <col min="104" max="104" width="9.140625" style="3"/>
    <col min="105" max="106" width="10.7109375" customWidth="1"/>
    <col min="107" max="107" width="9.140625" style="3"/>
    <col min="108" max="112" width="12.7109375" customWidth="1"/>
    <col min="113" max="113" width="11.140625" bestFit="1" customWidth="1"/>
  </cols>
  <sheetData>
    <row r="1" spans="2:113">
      <c r="B1" s="72" t="s">
        <v>181</v>
      </c>
      <c r="AH1" s="65" t="s">
        <v>150</v>
      </c>
      <c r="AW1" s="66"/>
      <c r="AX1" s="10" t="s">
        <v>149</v>
      </c>
      <c r="BM1" s="66"/>
      <c r="BN1" s="10" t="s">
        <v>148</v>
      </c>
      <c r="BO1" s="10" t="s">
        <v>147</v>
      </c>
      <c r="CC1" s="65" t="s">
        <v>146</v>
      </c>
      <c r="CS1" s="65" t="s">
        <v>146</v>
      </c>
    </row>
    <row r="2" spans="2:113">
      <c r="B2" s="62" t="s">
        <v>145</v>
      </c>
      <c r="C2" s="62"/>
      <c r="D2" s="62"/>
      <c r="E2" s="62"/>
      <c r="F2" s="62"/>
      <c r="G2" s="62"/>
      <c r="H2" s="62"/>
      <c r="I2" s="62"/>
      <c r="J2" s="62"/>
      <c r="K2" s="62"/>
      <c r="L2" s="62"/>
      <c r="M2" s="62"/>
      <c r="N2" s="62"/>
      <c r="O2" s="62"/>
      <c r="P2" s="62"/>
      <c r="R2" s="61" t="s">
        <v>44</v>
      </c>
      <c r="S2" s="61"/>
      <c r="T2" s="61"/>
      <c r="U2" s="61"/>
      <c r="V2" s="61"/>
      <c r="W2" s="61"/>
      <c r="X2" s="61"/>
      <c r="Y2" s="61"/>
      <c r="Z2" s="61"/>
      <c r="AA2" s="61"/>
      <c r="AB2" s="61"/>
      <c r="AC2" s="61"/>
      <c r="AD2" s="61"/>
      <c r="AE2" s="61"/>
      <c r="AF2" s="61"/>
      <c r="AH2" s="64" t="s">
        <v>144</v>
      </c>
      <c r="AI2" s="64"/>
      <c r="AJ2" s="64"/>
      <c r="AK2" s="64"/>
      <c r="AL2" s="64"/>
      <c r="AM2" s="64"/>
      <c r="AN2" s="64"/>
      <c r="AO2" s="64"/>
      <c r="AP2" s="64"/>
      <c r="AQ2" s="64"/>
      <c r="AR2" s="64"/>
      <c r="AS2" s="64"/>
      <c r="AT2" s="64"/>
      <c r="AU2" s="64"/>
      <c r="AW2" s="63" t="s">
        <v>143</v>
      </c>
      <c r="AX2" s="63"/>
      <c r="AY2" s="63"/>
      <c r="AZ2" s="63"/>
      <c r="BA2" s="63"/>
      <c r="BB2" s="63"/>
      <c r="BC2" s="63"/>
      <c r="BD2" s="63"/>
      <c r="BE2" s="63"/>
      <c r="BF2" s="63"/>
      <c r="BG2" s="63"/>
      <c r="BH2" s="63"/>
      <c r="BI2" s="63"/>
      <c r="BJ2" s="63"/>
      <c r="BK2" s="63"/>
      <c r="BM2" s="62" t="s">
        <v>68</v>
      </c>
      <c r="BN2" s="62"/>
      <c r="BO2" s="62"/>
      <c r="BP2" s="62"/>
      <c r="BQ2" s="62"/>
      <c r="BR2" s="62"/>
      <c r="BS2" s="62"/>
      <c r="BT2" s="62"/>
      <c r="BU2" s="62"/>
      <c r="BV2" s="62"/>
      <c r="BW2" s="62"/>
      <c r="BX2" s="62"/>
      <c r="BY2" s="62"/>
      <c r="BZ2" s="62"/>
      <c r="CA2" s="62"/>
      <c r="CC2" s="61" t="s">
        <v>106</v>
      </c>
      <c r="CD2" s="61"/>
      <c r="CE2" s="61"/>
      <c r="CF2" s="61"/>
      <c r="CG2" s="61"/>
      <c r="CH2" s="61"/>
      <c r="CI2" s="61"/>
      <c r="CJ2" s="61"/>
      <c r="CK2" s="61"/>
      <c r="CL2" s="61"/>
      <c r="CM2" s="61"/>
      <c r="CN2" s="61"/>
      <c r="CO2" s="61"/>
      <c r="CP2" s="61"/>
      <c r="CQ2" s="61"/>
      <c r="CS2" s="61" t="s">
        <v>106</v>
      </c>
      <c r="CT2" s="61"/>
      <c r="CU2" s="61"/>
      <c r="CV2" s="61"/>
      <c r="CW2" s="61"/>
      <c r="CX2" s="61"/>
      <c r="CY2" s="61"/>
      <c r="CZ2" s="61"/>
      <c r="DA2" s="61"/>
      <c r="DB2" s="61"/>
      <c r="DC2" s="61"/>
      <c r="DD2" s="61"/>
      <c r="DE2" s="61"/>
      <c r="DF2" s="61"/>
      <c r="DG2" s="61"/>
      <c r="DH2" s="61"/>
      <c r="DI2" s="61"/>
    </row>
    <row r="3" spans="2:113" s="56" customFormat="1" ht="30">
      <c r="B3" s="58" t="s">
        <v>142</v>
      </c>
      <c r="C3" s="58" t="s">
        <v>141</v>
      </c>
      <c r="D3" s="58" t="s">
        <v>140</v>
      </c>
      <c r="E3" s="58" t="s">
        <v>139</v>
      </c>
      <c r="F3" s="58"/>
      <c r="G3" s="58" t="s">
        <v>138</v>
      </c>
      <c r="H3" s="58" t="s">
        <v>137</v>
      </c>
      <c r="I3" s="58" t="s">
        <v>136</v>
      </c>
      <c r="J3" s="58" t="s">
        <v>135</v>
      </c>
      <c r="K3" s="58" t="s">
        <v>134</v>
      </c>
      <c r="L3" s="58" t="s">
        <v>132</v>
      </c>
      <c r="M3" s="58" t="s">
        <v>133</v>
      </c>
      <c r="N3" s="58" t="s">
        <v>132</v>
      </c>
      <c r="O3" s="58" t="s">
        <v>131</v>
      </c>
      <c r="P3" s="58" t="s">
        <v>130</v>
      </c>
      <c r="R3" s="57" t="s">
        <v>142</v>
      </c>
      <c r="S3" s="57" t="s">
        <v>141</v>
      </c>
      <c r="T3" s="57" t="s">
        <v>140</v>
      </c>
      <c r="U3" s="57" t="s">
        <v>139</v>
      </c>
      <c r="V3" s="57"/>
      <c r="W3" s="57" t="s">
        <v>138</v>
      </c>
      <c r="X3" s="57" t="s">
        <v>137</v>
      </c>
      <c r="Y3" s="57" t="s">
        <v>136</v>
      </c>
      <c r="Z3" s="57" t="s">
        <v>135</v>
      </c>
      <c r="AA3" s="57" t="s">
        <v>134</v>
      </c>
      <c r="AB3" s="57" t="s">
        <v>132</v>
      </c>
      <c r="AC3" s="57" t="s">
        <v>133</v>
      </c>
      <c r="AD3" s="57" t="s">
        <v>132</v>
      </c>
      <c r="AE3" s="57" t="s">
        <v>131</v>
      </c>
      <c r="AF3" s="57" t="s">
        <v>130</v>
      </c>
      <c r="AH3" s="60" t="s">
        <v>142</v>
      </c>
      <c r="AI3" s="60" t="s">
        <v>141</v>
      </c>
      <c r="AJ3" s="60" t="s">
        <v>140</v>
      </c>
      <c r="AK3" s="60" t="s">
        <v>139</v>
      </c>
      <c r="AL3" s="60"/>
      <c r="AM3" s="60" t="s">
        <v>138</v>
      </c>
      <c r="AN3" s="60" t="s">
        <v>137</v>
      </c>
      <c r="AO3" s="60" t="s">
        <v>136</v>
      </c>
      <c r="AP3" s="60" t="s">
        <v>135</v>
      </c>
      <c r="AQ3" s="60" t="s">
        <v>134</v>
      </c>
      <c r="AR3" s="60" t="s">
        <v>133</v>
      </c>
      <c r="AS3" s="60" t="s">
        <v>132</v>
      </c>
      <c r="AT3" s="60" t="s">
        <v>131</v>
      </c>
      <c r="AU3" s="60" t="s">
        <v>130</v>
      </c>
      <c r="AW3" s="59" t="s">
        <v>142</v>
      </c>
      <c r="AX3" s="59" t="s">
        <v>141</v>
      </c>
      <c r="AY3" s="59" t="s">
        <v>140</v>
      </c>
      <c r="AZ3" s="59" t="s">
        <v>139</v>
      </c>
      <c r="BA3" s="59"/>
      <c r="BB3" s="59" t="s">
        <v>138</v>
      </c>
      <c r="BC3" s="59" t="s">
        <v>137</v>
      </c>
      <c r="BD3" s="59" t="s">
        <v>136</v>
      </c>
      <c r="BE3" s="59" t="s">
        <v>135</v>
      </c>
      <c r="BF3" s="59" t="s">
        <v>134</v>
      </c>
      <c r="BG3" s="59" t="s">
        <v>132</v>
      </c>
      <c r="BH3" s="59" t="s">
        <v>133</v>
      </c>
      <c r="BI3" s="59" t="s">
        <v>132</v>
      </c>
      <c r="BJ3" s="59" t="s">
        <v>131</v>
      </c>
      <c r="BK3" s="59" t="s">
        <v>130</v>
      </c>
      <c r="BM3" s="58" t="s">
        <v>142</v>
      </c>
      <c r="BN3" s="58" t="s">
        <v>141</v>
      </c>
      <c r="BO3" s="58" t="s">
        <v>140</v>
      </c>
      <c r="BP3" s="58" t="s">
        <v>139</v>
      </c>
      <c r="BQ3" s="58"/>
      <c r="BR3" s="58" t="s">
        <v>138</v>
      </c>
      <c r="BS3" s="58" t="s">
        <v>137</v>
      </c>
      <c r="BT3" s="58" t="s">
        <v>136</v>
      </c>
      <c r="BU3" s="58" t="s">
        <v>135</v>
      </c>
      <c r="BV3" s="58" t="s">
        <v>134</v>
      </c>
      <c r="BW3" s="58" t="s">
        <v>132</v>
      </c>
      <c r="BX3" s="58" t="s">
        <v>133</v>
      </c>
      <c r="BY3" s="58" t="s">
        <v>132</v>
      </c>
      <c r="BZ3" s="58" t="s">
        <v>131</v>
      </c>
      <c r="CA3" s="58" t="s">
        <v>130</v>
      </c>
      <c r="CC3" s="57" t="s">
        <v>142</v>
      </c>
      <c r="CD3" s="57" t="s">
        <v>141</v>
      </c>
      <c r="CE3" s="57" t="s">
        <v>140</v>
      </c>
      <c r="CF3" s="57" t="s">
        <v>139</v>
      </c>
      <c r="CG3" s="57"/>
      <c r="CH3" s="57" t="s">
        <v>138</v>
      </c>
      <c r="CI3" s="57" t="s">
        <v>137</v>
      </c>
      <c r="CJ3" s="57" t="s">
        <v>136</v>
      </c>
      <c r="CK3" s="57" t="s">
        <v>135</v>
      </c>
      <c r="CL3" s="57" t="s">
        <v>134</v>
      </c>
      <c r="CM3" s="57" t="s">
        <v>132</v>
      </c>
      <c r="CN3" s="57" t="s">
        <v>133</v>
      </c>
      <c r="CO3" s="57" t="s">
        <v>132</v>
      </c>
      <c r="CP3" s="57" t="s">
        <v>131</v>
      </c>
      <c r="CQ3" s="57" t="s">
        <v>130</v>
      </c>
      <c r="CS3" s="57" t="s">
        <v>142</v>
      </c>
      <c r="CT3" s="57" t="s">
        <v>141</v>
      </c>
      <c r="CU3" s="57" t="s">
        <v>140</v>
      </c>
      <c r="CV3" s="57" t="s">
        <v>139</v>
      </c>
      <c r="CW3" s="57" t="s">
        <v>204</v>
      </c>
      <c r="CX3" s="57"/>
      <c r="CY3" s="57"/>
      <c r="CZ3" s="57" t="s">
        <v>138</v>
      </c>
      <c r="DA3" s="57" t="s">
        <v>137</v>
      </c>
      <c r="DB3" s="57" t="s">
        <v>136</v>
      </c>
      <c r="DC3" s="57" t="s">
        <v>135</v>
      </c>
      <c r="DD3" s="57" t="s">
        <v>134</v>
      </c>
      <c r="DE3" s="57" t="s">
        <v>132</v>
      </c>
      <c r="DF3" s="57" t="s">
        <v>133</v>
      </c>
      <c r="DG3" s="57" t="s">
        <v>132</v>
      </c>
      <c r="DH3" s="57" t="s">
        <v>131</v>
      </c>
      <c r="DI3" s="57" t="s">
        <v>130</v>
      </c>
    </row>
    <row r="4" spans="2:113">
      <c r="B4" s="46">
        <v>271</v>
      </c>
      <c r="C4" s="45">
        <v>42916</v>
      </c>
      <c r="D4" s="3"/>
      <c r="E4" s="44">
        <v>1700000</v>
      </c>
      <c r="G4" s="3" t="s">
        <v>89</v>
      </c>
      <c r="H4" s="45">
        <v>41091</v>
      </c>
      <c r="I4" s="52">
        <f t="shared" ref="I4:I17" si="0">EOMONTH(H4,11)</f>
        <v>41455</v>
      </c>
      <c r="O4" s="44">
        <v>38771965</v>
      </c>
      <c r="P4" s="47"/>
      <c r="R4" s="46">
        <v>165</v>
      </c>
      <c r="S4" s="45"/>
      <c r="T4" s="3"/>
      <c r="U4" s="44"/>
      <c r="W4" s="3" t="s">
        <v>89</v>
      </c>
      <c r="X4" s="45">
        <v>41091</v>
      </c>
      <c r="Y4" s="52">
        <f t="shared" ref="Y4:Y17" si="1">EOMONTH(X4,11)</f>
        <v>41455</v>
      </c>
      <c r="AE4" s="44">
        <v>9713794</v>
      </c>
      <c r="AF4" s="47"/>
      <c r="AH4" s="46">
        <v>408</v>
      </c>
      <c r="AI4" s="45">
        <v>42956</v>
      </c>
      <c r="AJ4" s="3"/>
      <c r="AK4" s="44">
        <v>1278342</v>
      </c>
      <c r="AM4" s="3" t="s">
        <v>89</v>
      </c>
      <c r="AN4" s="45">
        <v>41091</v>
      </c>
      <c r="AO4" s="52">
        <f t="shared" ref="AO4:AO17" si="2">EOMONTH(AN4,11)</f>
        <v>41455</v>
      </c>
      <c r="AT4" s="44"/>
      <c r="AU4" s="47"/>
      <c r="AW4" s="46">
        <v>347</v>
      </c>
      <c r="AX4" s="45">
        <v>42942</v>
      </c>
      <c r="AY4" s="3"/>
      <c r="AZ4" s="44">
        <v>1834199</v>
      </c>
      <c r="BB4" s="3" t="s">
        <v>129</v>
      </c>
      <c r="BC4" s="55">
        <v>41275</v>
      </c>
      <c r="BD4" s="52">
        <f t="shared" ref="BD4:BD17" si="3">EOMONTH(BC4,11)</f>
        <v>41639</v>
      </c>
      <c r="BJ4" s="44">
        <v>62028191</v>
      </c>
      <c r="BK4" s="47"/>
      <c r="BM4" s="46">
        <v>468</v>
      </c>
      <c r="BN4" s="45">
        <v>42944</v>
      </c>
      <c r="BO4" s="3"/>
      <c r="BP4" s="44">
        <v>1702740</v>
      </c>
      <c r="BR4" s="3" t="s">
        <v>89</v>
      </c>
      <c r="BS4" s="45">
        <v>41091</v>
      </c>
      <c r="BT4" s="52">
        <f t="shared" ref="BT4:BT17" si="4">EOMONTH(BS4,11)</f>
        <v>41455</v>
      </c>
      <c r="BZ4" s="44">
        <v>51538000</v>
      </c>
      <c r="CA4" s="47"/>
      <c r="CC4" s="46">
        <v>166</v>
      </c>
      <c r="CD4" s="45"/>
      <c r="CE4" s="3"/>
      <c r="CF4" s="44"/>
      <c r="CH4" s="3" t="s">
        <v>89</v>
      </c>
      <c r="CI4" s="45">
        <v>41091</v>
      </c>
      <c r="CJ4" s="52">
        <f t="shared" ref="CJ4:CJ17" si="5">EOMONTH(CI4,11)</f>
        <v>41455</v>
      </c>
      <c r="CP4" s="44"/>
      <c r="CQ4" s="47"/>
      <c r="CS4" s="46"/>
      <c r="CT4" s="45"/>
      <c r="CU4" s="3"/>
      <c r="CV4" s="44"/>
      <c r="CW4" s="44"/>
      <c r="CX4" s="44"/>
      <c r="CZ4" s="3" t="s">
        <v>89</v>
      </c>
      <c r="DA4" s="45">
        <v>41091</v>
      </c>
      <c r="DB4" s="52">
        <f t="shared" ref="DB4:DB17" si="6">EOMONTH(DA4,11)</f>
        <v>41455</v>
      </c>
      <c r="DH4" s="44"/>
      <c r="DI4" s="47"/>
    </row>
    <row r="5" spans="2:113">
      <c r="B5" s="46">
        <v>272</v>
      </c>
      <c r="C5" s="45">
        <v>42972</v>
      </c>
      <c r="D5" s="3">
        <f t="shared" ref="D5:D58" si="7">C5-C4</f>
        <v>56</v>
      </c>
      <c r="E5" s="44">
        <v>1721600</v>
      </c>
      <c r="G5" s="3" t="s">
        <v>88</v>
      </c>
      <c r="H5" s="52">
        <f t="shared" ref="H5:H17" si="8">I4+1</f>
        <v>41456</v>
      </c>
      <c r="I5" s="52">
        <f t="shared" si="0"/>
        <v>41820</v>
      </c>
      <c r="O5" s="44">
        <v>47044664</v>
      </c>
      <c r="P5" s="47"/>
      <c r="R5" s="46">
        <v>166</v>
      </c>
      <c r="S5" s="45"/>
      <c r="T5" s="3"/>
      <c r="U5" s="44"/>
      <c r="W5" s="3" t="s">
        <v>88</v>
      </c>
      <c r="X5" s="52">
        <f t="shared" ref="X5:X17" si="9">Y4+1</f>
        <v>41456</v>
      </c>
      <c r="Y5" s="52">
        <f t="shared" si="1"/>
        <v>41820</v>
      </c>
      <c r="AE5" s="44">
        <v>11014679</v>
      </c>
      <c r="AF5" s="47"/>
      <c r="AH5" s="46">
        <v>409</v>
      </c>
      <c r="AI5" s="45">
        <v>43005</v>
      </c>
      <c r="AJ5" s="3">
        <f t="shared" ref="AJ5:AJ36" si="10">AI5-AI4</f>
        <v>49</v>
      </c>
      <c r="AK5" s="44">
        <v>1220715</v>
      </c>
      <c r="AM5" s="3" t="s">
        <v>88</v>
      </c>
      <c r="AN5" s="52">
        <f t="shared" ref="AN5:AN17" si="11">AO4+1</f>
        <v>41456</v>
      </c>
      <c r="AO5" s="52">
        <f t="shared" si="2"/>
        <v>41820</v>
      </c>
      <c r="AT5" s="44">
        <v>21319000</v>
      </c>
      <c r="AU5" s="47"/>
      <c r="AW5" s="46">
        <v>348</v>
      </c>
      <c r="AX5" s="45">
        <v>42977</v>
      </c>
      <c r="AY5" s="3">
        <f t="shared" ref="AY5:AY36" si="12">AX5-AX4</f>
        <v>35</v>
      </c>
      <c r="AZ5" s="44">
        <v>2073366</v>
      </c>
      <c r="BB5" s="3" t="s">
        <v>128</v>
      </c>
      <c r="BC5" s="52">
        <f t="shared" ref="BC5:BC17" si="13">BD4+1</f>
        <v>41640</v>
      </c>
      <c r="BD5" s="52">
        <f t="shared" si="3"/>
        <v>42004</v>
      </c>
      <c r="BJ5" s="44">
        <v>74662775</v>
      </c>
      <c r="BK5" s="47"/>
      <c r="BM5" s="46">
        <v>469</v>
      </c>
      <c r="BN5" s="45">
        <v>42982</v>
      </c>
      <c r="BO5" s="3">
        <f t="shared" ref="BO5:BO36" si="14">BN5-BN4</f>
        <v>38</v>
      </c>
      <c r="BP5" s="44">
        <v>1676494</v>
      </c>
      <c r="BR5" s="3" t="s">
        <v>88</v>
      </c>
      <c r="BS5" s="52">
        <f t="shared" ref="BS5:BS17" si="15">BT4+1</f>
        <v>41456</v>
      </c>
      <c r="BT5" s="52">
        <f t="shared" si="4"/>
        <v>41820</v>
      </c>
      <c r="BZ5" s="44">
        <v>55359000</v>
      </c>
      <c r="CA5" s="47"/>
      <c r="CC5" s="46">
        <v>167</v>
      </c>
      <c r="CD5" s="45"/>
      <c r="CE5" s="3"/>
      <c r="CF5" s="44"/>
      <c r="CH5" s="3" t="s">
        <v>88</v>
      </c>
      <c r="CI5" s="52">
        <f t="shared" ref="CI5:CI17" si="16">CJ4+1</f>
        <v>41456</v>
      </c>
      <c r="CJ5" s="52">
        <f t="shared" si="5"/>
        <v>41820</v>
      </c>
      <c r="CL5" s="15"/>
      <c r="CN5" s="15"/>
      <c r="CP5" s="44">
        <v>24666891</v>
      </c>
      <c r="CQ5" s="49"/>
      <c r="CS5" s="46"/>
      <c r="CT5" s="45"/>
      <c r="CU5" s="3"/>
      <c r="CV5" s="44"/>
      <c r="CW5" s="44"/>
      <c r="CX5" s="44"/>
      <c r="CZ5" s="3" t="s">
        <v>88</v>
      </c>
      <c r="DA5" s="52">
        <f t="shared" ref="DA5:DA17" si="17">DB4+1</f>
        <v>41456</v>
      </c>
      <c r="DB5" s="52">
        <f t="shared" si="6"/>
        <v>41820</v>
      </c>
      <c r="DD5" s="15"/>
      <c r="DF5" s="15"/>
      <c r="DH5" s="44">
        <v>24666891</v>
      </c>
      <c r="DI5" s="49"/>
    </row>
    <row r="6" spans="2:113">
      <c r="B6" s="46">
        <v>273</v>
      </c>
      <c r="C6" s="45">
        <v>43035</v>
      </c>
      <c r="D6" s="3">
        <f t="shared" si="7"/>
        <v>63</v>
      </c>
      <c r="E6" s="44">
        <v>1870000</v>
      </c>
      <c r="G6" s="3" t="s">
        <v>87</v>
      </c>
      <c r="H6" s="52">
        <f t="shared" si="8"/>
        <v>41821</v>
      </c>
      <c r="I6" s="52">
        <f t="shared" si="0"/>
        <v>42185</v>
      </c>
      <c r="O6" s="44">
        <v>52404150</v>
      </c>
      <c r="P6" s="47"/>
      <c r="R6" s="46">
        <v>167</v>
      </c>
      <c r="S6" s="45"/>
      <c r="T6" s="3"/>
      <c r="U6" s="44"/>
      <c r="W6" s="3" t="s">
        <v>87</v>
      </c>
      <c r="X6" s="52">
        <f t="shared" si="9"/>
        <v>41821</v>
      </c>
      <c r="Y6" s="52">
        <f t="shared" si="1"/>
        <v>42185</v>
      </c>
      <c r="AE6" s="44">
        <v>13683436</v>
      </c>
      <c r="AF6" s="47"/>
      <c r="AH6" s="46">
        <v>410</v>
      </c>
      <c r="AI6" s="45">
        <v>43054</v>
      </c>
      <c r="AJ6" s="3">
        <f t="shared" si="10"/>
        <v>49</v>
      </c>
      <c r="AK6" s="44">
        <v>1012056</v>
      </c>
      <c r="AM6" s="3" t="s">
        <v>87</v>
      </c>
      <c r="AN6" s="52">
        <f t="shared" si="11"/>
        <v>41821</v>
      </c>
      <c r="AO6" s="52">
        <f t="shared" si="2"/>
        <v>42185</v>
      </c>
      <c r="AT6" s="44">
        <v>22509000</v>
      </c>
      <c r="AU6" s="47"/>
      <c r="AW6" s="46">
        <v>349</v>
      </c>
      <c r="AX6" s="45">
        <v>43019</v>
      </c>
      <c r="AY6" s="3">
        <f t="shared" si="12"/>
        <v>42</v>
      </c>
      <c r="AZ6" s="44">
        <v>4012955</v>
      </c>
      <c r="BB6" s="3" t="s">
        <v>127</v>
      </c>
      <c r="BC6" s="52">
        <f t="shared" si="13"/>
        <v>42005</v>
      </c>
      <c r="BD6" s="52">
        <f t="shared" si="3"/>
        <v>42369</v>
      </c>
      <c r="BJ6" s="44">
        <v>84130940</v>
      </c>
      <c r="BK6" s="47"/>
      <c r="BM6" s="46">
        <v>470</v>
      </c>
      <c r="BN6" s="45">
        <v>43014</v>
      </c>
      <c r="BO6" s="3">
        <f t="shared" si="14"/>
        <v>32</v>
      </c>
      <c r="BP6" s="44">
        <v>1694474</v>
      </c>
      <c r="BR6" s="3" t="s">
        <v>87</v>
      </c>
      <c r="BS6" s="52">
        <f t="shared" si="15"/>
        <v>41821</v>
      </c>
      <c r="BT6" s="52">
        <f t="shared" si="4"/>
        <v>42185</v>
      </c>
      <c r="BZ6" s="44">
        <v>57636000</v>
      </c>
      <c r="CA6" s="47"/>
      <c r="CC6" s="46">
        <v>168</v>
      </c>
      <c r="CD6" s="45"/>
      <c r="CE6" s="3"/>
      <c r="CF6" s="44"/>
      <c r="CH6" s="3" t="s">
        <v>87</v>
      </c>
      <c r="CI6" s="52">
        <f t="shared" si="16"/>
        <v>41821</v>
      </c>
      <c r="CJ6" s="52">
        <f t="shared" si="5"/>
        <v>42185</v>
      </c>
      <c r="CL6" s="15"/>
      <c r="CN6" s="15"/>
      <c r="CP6" s="44">
        <v>26656146</v>
      </c>
      <c r="CQ6" s="49"/>
      <c r="CS6" s="46"/>
      <c r="CT6" s="45"/>
      <c r="CU6" s="3"/>
      <c r="CV6" s="44"/>
      <c r="CW6" s="44"/>
      <c r="CX6" s="89">
        <f>CX8/CX9-1</f>
        <v>-5.7624350649350675E-2</v>
      </c>
      <c r="CZ6" s="3" t="s">
        <v>87</v>
      </c>
      <c r="DA6" s="52">
        <f t="shared" si="17"/>
        <v>41821</v>
      </c>
      <c r="DB6" s="52">
        <f t="shared" si="6"/>
        <v>42185</v>
      </c>
      <c r="DD6" s="15"/>
      <c r="DF6" s="15"/>
      <c r="DH6" s="44">
        <v>26656146</v>
      </c>
      <c r="DI6" s="49"/>
    </row>
    <row r="7" spans="2:113">
      <c r="B7" s="46">
        <v>274</v>
      </c>
      <c r="C7" s="45">
        <v>43090</v>
      </c>
      <c r="D7" s="3">
        <f t="shared" si="7"/>
        <v>55</v>
      </c>
      <c r="E7" s="44">
        <v>1864000</v>
      </c>
      <c r="G7" s="3" t="s">
        <v>86</v>
      </c>
      <c r="H7" s="52">
        <f t="shared" si="8"/>
        <v>42186</v>
      </c>
      <c r="I7" s="52">
        <f t="shared" si="0"/>
        <v>42551</v>
      </c>
      <c r="O7" s="44">
        <v>50237036</v>
      </c>
      <c r="P7" s="47"/>
      <c r="R7" s="46">
        <v>168</v>
      </c>
      <c r="S7" s="45"/>
      <c r="T7" s="3"/>
      <c r="U7" s="44"/>
      <c r="W7" s="3" t="s">
        <v>86</v>
      </c>
      <c r="X7" s="52">
        <f t="shared" si="9"/>
        <v>42186</v>
      </c>
      <c r="Y7" s="52">
        <f t="shared" si="1"/>
        <v>42551</v>
      </c>
      <c r="AE7" s="44">
        <v>15264501</v>
      </c>
      <c r="AF7" s="47"/>
      <c r="AH7" s="46">
        <v>411</v>
      </c>
      <c r="AI7" s="45">
        <v>43091</v>
      </c>
      <c r="AJ7" s="3">
        <f t="shared" si="10"/>
        <v>37</v>
      </c>
      <c r="AK7" s="44">
        <v>1265455</v>
      </c>
      <c r="AM7" s="3" t="s">
        <v>86</v>
      </c>
      <c r="AN7" s="52">
        <f t="shared" si="11"/>
        <v>42186</v>
      </c>
      <c r="AO7" s="52">
        <f t="shared" si="2"/>
        <v>42551</v>
      </c>
      <c r="AT7" s="44">
        <v>21853000</v>
      </c>
      <c r="AU7" s="47"/>
      <c r="AW7" s="46">
        <v>350</v>
      </c>
      <c r="AX7" s="45">
        <v>43054</v>
      </c>
      <c r="AY7" s="3">
        <f t="shared" si="12"/>
        <v>35</v>
      </c>
      <c r="AZ7" s="44">
        <v>3460371</v>
      </c>
      <c r="BB7" s="3" t="s">
        <v>126</v>
      </c>
      <c r="BC7" s="52">
        <f t="shared" si="13"/>
        <v>42370</v>
      </c>
      <c r="BD7" s="52">
        <f t="shared" si="3"/>
        <v>42735</v>
      </c>
      <c r="BJ7" s="44">
        <v>101315249</v>
      </c>
      <c r="BK7" s="47"/>
      <c r="BM7" s="46">
        <v>471</v>
      </c>
      <c r="BN7" s="45">
        <v>43049</v>
      </c>
      <c r="BO7" s="3">
        <f t="shared" si="14"/>
        <v>35</v>
      </c>
      <c r="BP7" s="44">
        <v>1602200</v>
      </c>
      <c r="BR7" s="3" t="s">
        <v>86</v>
      </c>
      <c r="BS7" s="52">
        <f t="shared" si="15"/>
        <v>42186</v>
      </c>
      <c r="BT7" s="52">
        <f t="shared" si="4"/>
        <v>42551</v>
      </c>
      <c r="BZ7" s="44">
        <v>58395000</v>
      </c>
      <c r="CA7" s="47"/>
      <c r="CC7" s="46">
        <v>169</v>
      </c>
      <c r="CD7" s="45">
        <v>42181</v>
      </c>
      <c r="CE7" s="3"/>
      <c r="CF7" s="44">
        <v>925900</v>
      </c>
      <c r="CH7" s="3" t="s">
        <v>86</v>
      </c>
      <c r="CI7" s="52">
        <f t="shared" si="16"/>
        <v>42186</v>
      </c>
      <c r="CJ7" s="52">
        <f t="shared" si="5"/>
        <v>42551</v>
      </c>
      <c r="CL7" s="15">
        <f t="shared" ref="CL7:CL17" si="18">AVERAGEIFS(CF:CF,CD:CD,"&gt;="&amp;CI7,CD:CD,"&lt;="&amp;CJ7)</f>
        <v>984627</v>
      </c>
      <c r="CN7" s="15">
        <f t="shared" ref="CN7:CN17" si="19">SUMIFS(CF:CF,CD:CD,"&gt;="&amp;CI7,CD:CD,"&lt;="&amp;CJ7)</f>
        <v>5907762</v>
      </c>
      <c r="CP7" s="44">
        <v>25036066</v>
      </c>
      <c r="CQ7" s="49">
        <f t="shared" ref="CQ7:CQ17" si="20">CN7/CP7</f>
        <v>0.23597006015242172</v>
      </c>
      <c r="CS7" s="46"/>
      <c r="CT7" s="45"/>
      <c r="CU7" s="3"/>
      <c r="CV7" s="44"/>
      <c r="CW7" s="44"/>
      <c r="CX7" s="44"/>
      <c r="CZ7" s="3" t="s">
        <v>86</v>
      </c>
      <c r="DA7" s="52">
        <f t="shared" si="17"/>
        <v>42186</v>
      </c>
      <c r="DB7" s="52">
        <f t="shared" si="6"/>
        <v>42551</v>
      </c>
      <c r="DD7" s="15" t="e">
        <f t="shared" ref="DD7:DD17" si="21">AVERAGEIFS(CV:CV,CT:CT,"&gt;="&amp;DA7,CT:CT,"&lt;="&amp;DB7)</f>
        <v>#DIV/0!</v>
      </c>
      <c r="DF7" s="15">
        <f t="shared" ref="DF7:DF17" si="22">SUMIFS(CV:CV,CT:CT,"&gt;="&amp;DA7,CT:CT,"&lt;="&amp;DB7)</f>
        <v>0</v>
      </c>
      <c r="DH7" s="44">
        <v>25036066</v>
      </c>
      <c r="DI7" s="49">
        <f t="shared" ref="DI7:DI17" si="23">DF7/DH7</f>
        <v>0</v>
      </c>
    </row>
    <row r="8" spans="2:113">
      <c r="B8" s="46">
        <v>275</v>
      </c>
      <c r="C8" s="45">
        <v>43154</v>
      </c>
      <c r="D8" s="3">
        <f t="shared" si="7"/>
        <v>64</v>
      </c>
      <c r="E8" s="44">
        <v>1608155</v>
      </c>
      <c r="G8" s="3" t="s">
        <v>85</v>
      </c>
      <c r="H8" s="52">
        <f t="shared" si="8"/>
        <v>42552</v>
      </c>
      <c r="I8" s="52">
        <f t="shared" si="0"/>
        <v>42916</v>
      </c>
      <c r="K8" s="15"/>
      <c r="L8" s="15"/>
      <c r="M8" s="15"/>
      <c r="N8" s="15"/>
      <c r="O8" s="44">
        <v>50649051</v>
      </c>
      <c r="P8" s="47"/>
      <c r="R8" s="46">
        <v>169</v>
      </c>
      <c r="S8" s="45"/>
      <c r="T8" s="3"/>
      <c r="U8" s="44"/>
      <c r="W8" s="3" t="s">
        <v>85</v>
      </c>
      <c r="X8" s="52">
        <f t="shared" si="9"/>
        <v>42552</v>
      </c>
      <c r="Y8" s="52">
        <f t="shared" si="1"/>
        <v>42916</v>
      </c>
      <c r="AA8" s="15"/>
      <c r="AB8" s="15"/>
      <c r="AC8" s="15"/>
      <c r="AD8" s="15"/>
      <c r="AE8" s="44">
        <v>16251746</v>
      </c>
      <c r="AF8" s="47"/>
      <c r="AH8" s="46">
        <v>412</v>
      </c>
      <c r="AI8" s="45">
        <v>43159</v>
      </c>
      <c r="AJ8" s="3">
        <f t="shared" si="10"/>
        <v>68</v>
      </c>
      <c r="AK8" s="44">
        <v>1070961</v>
      </c>
      <c r="AM8" s="3" t="s">
        <v>85</v>
      </c>
      <c r="AN8" s="52">
        <f t="shared" si="11"/>
        <v>42552</v>
      </c>
      <c r="AO8" s="52">
        <f t="shared" si="2"/>
        <v>42916</v>
      </c>
      <c r="AQ8" s="15"/>
      <c r="AR8" s="15"/>
      <c r="AS8" s="15"/>
      <c r="AT8" s="44">
        <v>23633000</v>
      </c>
      <c r="AU8" s="47"/>
      <c r="AW8" s="46">
        <v>351</v>
      </c>
      <c r="AX8" s="45">
        <v>43091</v>
      </c>
      <c r="AY8" s="3">
        <f t="shared" si="12"/>
        <v>37</v>
      </c>
      <c r="AZ8" s="44">
        <v>4111021</v>
      </c>
      <c r="BB8" s="3" t="s">
        <v>125</v>
      </c>
      <c r="BC8" s="52">
        <f t="shared" si="13"/>
        <v>42736</v>
      </c>
      <c r="BD8" s="52">
        <f t="shared" si="3"/>
        <v>43100</v>
      </c>
      <c r="BF8" s="15"/>
      <c r="BG8" s="15"/>
      <c r="BH8" s="15"/>
      <c r="BI8" s="15"/>
      <c r="BJ8" s="44">
        <v>114540872</v>
      </c>
      <c r="BK8" s="47"/>
      <c r="BM8" s="46">
        <v>472</v>
      </c>
      <c r="BN8" s="45">
        <v>43090</v>
      </c>
      <c r="BO8" s="3">
        <f t="shared" si="14"/>
        <v>41</v>
      </c>
      <c r="BP8" s="44">
        <v>2800000</v>
      </c>
      <c r="BR8" s="3" t="s">
        <v>85</v>
      </c>
      <c r="BS8" s="52">
        <f t="shared" si="15"/>
        <v>42552</v>
      </c>
      <c r="BT8" s="52">
        <f t="shared" si="4"/>
        <v>42916</v>
      </c>
      <c r="BV8" s="15"/>
      <c r="BW8" s="15"/>
      <c r="BX8" s="15"/>
      <c r="BY8" s="15"/>
      <c r="BZ8" s="44">
        <v>59847000</v>
      </c>
      <c r="CA8" s="47"/>
      <c r="CC8" s="46">
        <v>170</v>
      </c>
      <c r="CD8" s="45">
        <v>42237</v>
      </c>
      <c r="CE8" s="3">
        <f t="shared" ref="CE8:CE39" si="24">CD8-CD7</f>
        <v>56</v>
      </c>
      <c r="CF8" s="44">
        <v>970500</v>
      </c>
      <c r="CH8" s="3" t="s">
        <v>85</v>
      </c>
      <c r="CI8" s="52">
        <f t="shared" si="16"/>
        <v>42552</v>
      </c>
      <c r="CJ8" s="52">
        <f t="shared" si="5"/>
        <v>42916</v>
      </c>
      <c r="CL8" s="15">
        <f t="shared" si="18"/>
        <v>1013477.1666666666</v>
      </c>
      <c r="CM8" s="15"/>
      <c r="CN8" s="15">
        <f t="shared" si="19"/>
        <v>6080863</v>
      </c>
      <c r="CO8" s="15"/>
      <c r="CP8" s="44">
        <v>24596279</v>
      </c>
      <c r="CQ8" s="49">
        <f t="shared" si="20"/>
        <v>0.24722694843394807</v>
      </c>
      <c r="CS8" s="46"/>
      <c r="CT8" s="45"/>
      <c r="CU8" s="3"/>
      <c r="CV8" s="44"/>
      <c r="CW8" s="44"/>
      <c r="CX8" s="44">
        <f>SUM(CW11,CW15)</f>
        <v>14512585</v>
      </c>
      <c r="CZ8" s="3" t="s">
        <v>85</v>
      </c>
      <c r="DA8" s="52">
        <f t="shared" si="17"/>
        <v>42552</v>
      </c>
      <c r="DB8" s="52">
        <f t="shared" si="6"/>
        <v>42916</v>
      </c>
      <c r="DD8" s="15" t="e">
        <f t="shared" si="21"/>
        <v>#DIV/0!</v>
      </c>
      <c r="DE8" s="15"/>
      <c r="DF8" s="15">
        <f t="shared" si="22"/>
        <v>0</v>
      </c>
      <c r="DG8" s="15"/>
      <c r="DH8" s="44">
        <v>24596279</v>
      </c>
      <c r="DI8" s="49">
        <f t="shared" si="23"/>
        <v>0</v>
      </c>
    </row>
    <row r="9" spans="2:113">
      <c r="B9" s="46">
        <v>276</v>
      </c>
      <c r="C9" s="45">
        <v>43217</v>
      </c>
      <c r="D9" s="3">
        <f t="shared" si="7"/>
        <v>63</v>
      </c>
      <c r="E9" s="44">
        <v>1604291</v>
      </c>
      <c r="G9" s="3" t="s">
        <v>84</v>
      </c>
      <c r="H9" s="52">
        <f t="shared" si="8"/>
        <v>42917</v>
      </c>
      <c r="I9" s="52">
        <f t="shared" si="0"/>
        <v>43281</v>
      </c>
      <c r="J9" s="51">
        <f t="shared" ref="J9:J17" si="25">COUNTIFS($C:$C,"&gt;="&amp;H9,$C:$C,"&lt;="&amp;I9)</f>
        <v>6</v>
      </c>
      <c r="K9" s="15">
        <f t="shared" ref="K9:K17" si="26">AVERAGEIFS($E:$E,$C:$C,"&gt;="&amp;H9,$C:$C,"&lt;="&amp;I9)</f>
        <v>1746991</v>
      </c>
      <c r="L9" s="15"/>
      <c r="M9" s="15">
        <f t="shared" ref="M9:M17" si="27">SUMIFS($E:$E,$C:$C,"&gt;="&amp;H9,$C:$C,"&lt;="&amp;I9)</f>
        <v>10481946</v>
      </c>
      <c r="N9" s="15"/>
      <c r="O9" s="44">
        <v>52321083</v>
      </c>
      <c r="P9" s="49">
        <f t="shared" ref="P9:P17" si="28">M9/O9</f>
        <v>0.20033885766470086</v>
      </c>
      <c r="R9" s="46">
        <v>170</v>
      </c>
      <c r="S9" s="45"/>
      <c r="T9" s="3"/>
      <c r="U9" s="44"/>
      <c r="W9" s="3" t="s">
        <v>84</v>
      </c>
      <c r="X9" s="52">
        <f t="shared" si="9"/>
        <v>42917</v>
      </c>
      <c r="Y9" s="52">
        <f t="shared" si="1"/>
        <v>43281</v>
      </c>
      <c r="Z9" s="51"/>
      <c r="AA9" s="15"/>
      <c r="AB9" s="15"/>
      <c r="AC9" s="15"/>
      <c r="AD9" s="15"/>
      <c r="AE9" s="44">
        <v>17914670</v>
      </c>
      <c r="AF9" s="49"/>
      <c r="AH9" s="46">
        <v>413</v>
      </c>
      <c r="AI9" s="45">
        <v>43208</v>
      </c>
      <c r="AJ9" s="3">
        <f t="shared" si="10"/>
        <v>49</v>
      </c>
      <c r="AK9" s="44">
        <v>1158176</v>
      </c>
      <c r="AM9" s="3" t="s">
        <v>84</v>
      </c>
      <c r="AN9" s="52">
        <f t="shared" si="11"/>
        <v>42917</v>
      </c>
      <c r="AO9" s="52">
        <f t="shared" si="2"/>
        <v>43281</v>
      </c>
      <c r="AP9" s="51"/>
      <c r="AQ9" s="15"/>
      <c r="AR9" s="15"/>
      <c r="AS9" s="15"/>
      <c r="AT9" s="44">
        <v>28950000</v>
      </c>
      <c r="AU9" s="49"/>
      <c r="AW9" s="46">
        <v>352</v>
      </c>
      <c r="AX9" s="45">
        <v>43131</v>
      </c>
      <c r="AY9" s="3">
        <f t="shared" si="12"/>
        <v>40</v>
      </c>
      <c r="AZ9" s="44">
        <v>2308888</v>
      </c>
      <c r="BB9" s="3" t="s">
        <v>124</v>
      </c>
      <c r="BC9" s="52">
        <f t="shared" si="13"/>
        <v>43101</v>
      </c>
      <c r="BD9" s="52">
        <f t="shared" si="3"/>
        <v>43465</v>
      </c>
      <c r="BE9" s="51">
        <f t="shared" ref="BE9:BE17" si="29">COUNTIFS(AX:AX,"&gt;="&amp;BC9,AX:AX,"&lt;="&amp;BD9)</f>
        <v>10</v>
      </c>
      <c r="BF9" s="15">
        <f t="shared" ref="BF9:BF17" si="30">AVERAGEIFS(AZ:AZ,AX:AX,"&gt;="&amp;BC9,AX:AX,"&lt;="&amp;BD9)</f>
        <v>3025264.7</v>
      </c>
      <c r="BG9" s="15"/>
      <c r="BH9" s="15">
        <f t="shared" ref="BH9:BH17" si="31">SUMIFS(AZ:AZ,AX:AX,"&gt;="&amp;BC9,AX:AX,"&lt;="&amp;BD9)</f>
        <v>30252647</v>
      </c>
      <c r="BI9" s="15"/>
      <c r="BJ9" s="44">
        <v>120476325</v>
      </c>
      <c r="BK9" s="49">
        <f t="shared" ref="BK9:BK17" si="32">BH9/BJ9</f>
        <v>0.25110864727987015</v>
      </c>
      <c r="BM9" s="46">
        <v>473</v>
      </c>
      <c r="BN9" s="45">
        <v>43131</v>
      </c>
      <c r="BO9" s="3">
        <f t="shared" si="14"/>
        <v>41</v>
      </c>
      <c r="BP9" s="44">
        <v>1757579</v>
      </c>
      <c r="BR9" s="3" t="s">
        <v>84</v>
      </c>
      <c r="BS9" s="52">
        <f t="shared" si="15"/>
        <v>42917</v>
      </c>
      <c r="BT9" s="52">
        <f t="shared" si="4"/>
        <v>43281</v>
      </c>
      <c r="BU9" s="51">
        <f t="shared" ref="BU9:BU17" si="33">COUNTIFS(BN:BN,"&gt;="&amp;BS9,BN:BN,"&lt;="&amp;BT9)</f>
        <v>10</v>
      </c>
      <c r="BV9" s="15">
        <f t="shared" ref="BV9:BV17" si="34">AVERAGEIFS(BP:BP,BN:BN,"&gt;="&amp;BS9,BN:BN,"&lt;="&amp;BT9)</f>
        <v>1797950.9</v>
      </c>
      <c r="BW9" s="15"/>
      <c r="BX9" s="15">
        <f t="shared" ref="BX9:BX17" si="35">SUMIFS(BP:BP,BN:BN,"&gt;="&amp;BS9,BN:BN,"&lt;="&amp;BT9)</f>
        <v>17979509</v>
      </c>
      <c r="BY9" s="15"/>
      <c r="BZ9" s="44">
        <v>60166000</v>
      </c>
      <c r="CA9" s="49">
        <f t="shared" ref="CA9:CA17" si="36">BX9/BZ9</f>
        <v>0.29883171558687632</v>
      </c>
      <c r="CC9" s="46">
        <v>171</v>
      </c>
      <c r="CD9" s="45">
        <v>42300</v>
      </c>
      <c r="CE9" s="3">
        <f t="shared" si="24"/>
        <v>63</v>
      </c>
      <c r="CF9" s="44">
        <v>948400</v>
      </c>
      <c r="CH9" s="3" t="s">
        <v>84</v>
      </c>
      <c r="CI9" s="52">
        <f t="shared" si="16"/>
        <v>42917</v>
      </c>
      <c r="CJ9" s="52">
        <f t="shared" si="5"/>
        <v>43281</v>
      </c>
      <c r="CK9" s="51"/>
      <c r="CL9" s="15">
        <f t="shared" si="18"/>
        <v>1172046.1666666667</v>
      </c>
      <c r="CM9" s="15"/>
      <c r="CN9" s="15">
        <f t="shared" si="19"/>
        <v>7032277</v>
      </c>
      <c r="CO9" s="15"/>
      <c r="CP9" s="44">
        <v>22579143</v>
      </c>
      <c r="CQ9" s="49">
        <f t="shared" si="20"/>
        <v>0.31145012899736718</v>
      </c>
      <c r="CS9" s="46"/>
      <c r="CT9" s="45"/>
      <c r="CU9" s="3"/>
      <c r="CV9" s="44"/>
      <c r="CW9" s="44"/>
      <c r="CX9" s="44">
        <f>SUM(CW18:CW19)</f>
        <v>15400000</v>
      </c>
      <c r="CZ9" s="3" t="s">
        <v>84</v>
      </c>
      <c r="DA9" s="52">
        <f t="shared" si="17"/>
        <v>42917</v>
      </c>
      <c r="DB9" s="52">
        <f t="shared" si="6"/>
        <v>43281</v>
      </c>
      <c r="DC9" s="51"/>
      <c r="DD9" s="15" t="e">
        <f t="shared" si="21"/>
        <v>#DIV/0!</v>
      </c>
      <c r="DE9" s="15"/>
      <c r="DF9" s="15">
        <f t="shared" si="22"/>
        <v>0</v>
      </c>
      <c r="DG9" s="15"/>
      <c r="DH9" s="44">
        <v>22579143</v>
      </c>
      <c r="DI9" s="49">
        <f t="shared" si="23"/>
        <v>0</v>
      </c>
    </row>
    <row r="10" spans="2:113">
      <c r="B10" s="46">
        <v>277</v>
      </c>
      <c r="C10" s="45">
        <v>43280</v>
      </c>
      <c r="D10" s="3">
        <f t="shared" si="7"/>
        <v>63</v>
      </c>
      <c r="E10" s="44">
        <v>1813900</v>
      </c>
      <c r="G10" s="3" t="s">
        <v>83</v>
      </c>
      <c r="H10" s="52">
        <f t="shared" si="8"/>
        <v>43282</v>
      </c>
      <c r="I10" s="52">
        <f t="shared" si="0"/>
        <v>43646</v>
      </c>
      <c r="J10" s="51">
        <f t="shared" si="25"/>
        <v>6</v>
      </c>
      <c r="K10" s="15">
        <f t="shared" si="26"/>
        <v>1843637.3333333333</v>
      </c>
      <c r="L10" s="54">
        <f t="shared" ref="L10:L11" si="37">K10/K9-1</f>
        <v>5.5321597726223803E-2</v>
      </c>
      <c r="M10" s="15">
        <f t="shared" si="27"/>
        <v>11061824</v>
      </c>
      <c r="N10" s="54">
        <f t="shared" ref="N10:N17" si="38">M10/M9-1</f>
        <v>5.5321597726223803E-2</v>
      </c>
      <c r="O10" s="44">
        <v>53968872</v>
      </c>
      <c r="P10" s="49">
        <f t="shared" si="28"/>
        <v>0.20496674453377495</v>
      </c>
      <c r="R10" s="46">
        <v>171</v>
      </c>
      <c r="S10" s="45"/>
      <c r="T10" s="3"/>
      <c r="U10" s="44"/>
      <c r="W10" s="3" t="s">
        <v>83</v>
      </c>
      <c r="X10" s="52">
        <f t="shared" si="9"/>
        <v>43282</v>
      </c>
      <c r="Y10" s="52">
        <f t="shared" si="1"/>
        <v>43646</v>
      </c>
      <c r="Z10" s="51"/>
      <c r="AA10" s="15"/>
      <c r="AB10" s="54"/>
      <c r="AC10" s="15"/>
      <c r="AD10" s="54"/>
      <c r="AE10" s="44">
        <v>19194772</v>
      </c>
      <c r="AF10" s="49"/>
      <c r="AH10" s="46">
        <v>414</v>
      </c>
      <c r="AI10" s="45">
        <v>43264</v>
      </c>
      <c r="AJ10" s="3">
        <f t="shared" si="10"/>
        <v>56</v>
      </c>
      <c r="AK10" s="44">
        <v>1401640</v>
      </c>
      <c r="AM10" s="3" t="s">
        <v>83</v>
      </c>
      <c r="AN10" s="52">
        <f t="shared" si="11"/>
        <v>43282</v>
      </c>
      <c r="AO10" s="52">
        <f t="shared" si="2"/>
        <v>43646</v>
      </c>
      <c r="AP10" s="51"/>
      <c r="AQ10" s="15"/>
      <c r="AR10" s="15"/>
      <c r="AS10" s="54"/>
      <c r="AT10" s="44">
        <v>30765000</v>
      </c>
      <c r="AU10" s="49"/>
      <c r="AW10" s="46">
        <v>353</v>
      </c>
      <c r="AX10" s="45">
        <v>43173</v>
      </c>
      <c r="AY10" s="3">
        <f t="shared" si="12"/>
        <v>42</v>
      </c>
      <c r="AZ10" s="44">
        <v>2338997</v>
      </c>
      <c r="BB10" s="3" t="s">
        <v>123</v>
      </c>
      <c r="BC10" s="52">
        <f t="shared" si="13"/>
        <v>43466</v>
      </c>
      <c r="BD10" s="52">
        <f t="shared" si="3"/>
        <v>43830</v>
      </c>
      <c r="BE10" s="51">
        <f t="shared" si="29"/>
        <v>10</v>
      </c>
      <c r="BF10" s="15">
        <f t="shared" si="30"/>
        <v>3169166.9</v>
      </c>
      <c r="BG10" s="54"/>
      <c r="BH10" s="15">
        <f t="shared" si="31"/>
        <v>31691669</v>
      </c>
      <c r="BI10" s="54"/>
      <c r="BJ10" s="44">
        <v>130777357</v>
      </c>
      <c r="BK10" s="49">
        <f t="shared" si="32"/>
        <v>0.2423329980586777</v>
      </c>
      <c r="BM10" s="46">
        <v>474</v>
      </c>
      <c r="BN10" s="45">
        <v>43168</v>
      </c>
      <c r="BO10" s="3">
        <f t="shared" si="14"/>
        <v>37</v>
      </c>
      <c r="BP10" s="44">
        <v>1633784</v>
      </c>
      <c r="BR10" s="3" t="s">
        <v>83</v>
      </c>
      <c r="BS10" s="52">
        <f t="shared" si="15"/>
        <v>43282</v>
      </c>
      <c r="BT10" s="52">
        <f t="shared" si="4"/>
        <v>43646</v>
      </c>
      <c r="BU10" s="51">
        <f t="shared" si="33"/>
        <v>10</v>
      </c>
      <c r="BV10" s="15">
        <f t="shared" si="34"/>
        <v>1867782.7</v>
      </c>
      <c r="BW10" s="54"/>
      <c r="BX10" s="15">
        <f t="shared" si="35"/>
        <v>18677827</v>
      </c>
      <c r="BY10" s="54"/>
      <c r="BZ10" s="44">
        <v>61812000</v>
      </c>
      <c r="CA10" s="49">
        <f t="shared" si="36"/>
        <v>0.30217153627127419</v>
      </c>
      <c r="CC10" s="46">
        <v>172</v>
      </c>
      <c r="CD10" s="45">
        <v>42356</v>
      </c>
      <c r="CE10" s="3">
        <f t="shared" si="24"/>
        <v>56</v>
      </c>
      <c r="CF10" s="44">
        <v>966540</v>
      </c>
      <c r="CH10" s="3" t="s">
        <v>83</v>
      </c>
      <c r="CI10" s="52">
        <f t="shared" si="16"/>
        <v>43282</v>
      </c>
      <c r="CJ10" s="52">
        <f t="shared" si="5"/>
        <v>43646</v>
      </c>
      <c r="CK10" s="51"/>
      <c r="CL10" s="15">
        <f t="shared" si="18"/>
        <v>1328595.5</v>
      </c>
      <c r="CM10" s="54"/>
      <c r="CN10" s="15">
        <f t="shared" si="19"/>
        <v>7971573</v>
      </c>
      <c r="CO10" s="54"/>
      <c r="CP10" s="44">
        <v>22878902</v>
      </c>
      <c r="CQ10" s="49">
        <f t="shared" si="20"/>
        <v>0.34842463156667219</v>
      </c>
      <c r="CS10" s="46"/>
      <c r="CT10" s="45"/>
      <c r="CU10" s="3"/>
      <c r="CV10" s="44"/>
      <c r="CW10" s="44"/>
      <c r="CX10" s="44"/>
      <c r="CZ10" s="3" t="s">
        <v>83</v>
      </c>
      <c r="DA10" s="52">
        <f t="shared" si="17"/>
        <v>43282</v>
      </c>
      <c r="DB10" s="52">
        <f t="shared" si="6"/>
        <v>43646</v>
      </c>
      <c r="DC10" s="51"/>
      <c r="DD10" s="15" t="e">
        <f t="shared" si="21"/>
        <v>#DIV/0!</v>
      </c>
      <c r="DE10" s="54"/>
      <c r="DF10" s="15">
        <f t="shared" si="22"/>
        <v>0</v>
      </c>
      <c r="DG10" s="54"/>
      <c r="DH10" s="44">
        <v>22878902</v>
      </c>
      <c r="DI10" s="49">
        <f t="shared" si="23"/>
        <v>0</v>
      </c>
    </row>
    <row r="11" spans="2:113">
      <c r="B11" s="46">
        <v>278</v>
      </c>
      <c r="C11" s="45">
        <v>43343</v>
      </c>
      <c r="D11" s="3">
        <f t="shared" si="7"/>
        <v>63</v>
      </c>
      <c r="E11" s="44">
        <v>1897000</v>
      </c>
      <c r="G11" s="3" t="s">
        <v>82</v>
      </c>
      <c r="H11" s="52">
        <f t="shared" si="8"/>
        <v>43647</v>
      </c>
      <c r="I11" s="52">
        <f t="shared" si="0"/>
        <v>44012</v>
      </c>
      <c r="J11" s="51">
        <f t="shared" si="25"/>
        <v>6</v>
      </c>
      <c r="K11" s="15">
        <f t="shared" si="26"/>
        <v>1596491</v>
      </c>
      <c r="L11" s="54">
        <f t="shared" si="37"/>
        <v>-0.13405366058979062</v>
      </c>
      <c r="M11" s="15">
        <f t="shared" si="27"/>
        <v>9578946</v>
      </c>
      <c r="N11" s="54">
        <f t="shared" si="38"/>
        <v>-0.13405366058979062</v>
      </c>
      <c r="O11" s="44">
        <v>50594668</v>
      </c>
      <c r="P11" s="49">
        <f t="shared" si="28"/>
        <v>0.18932718364709894</v>
      </c>
      <c r="R11" s="46">
        <v>172</v>
      </c>
      <c r="S11" s="45"/>
      <c r="T11" s="3"/>
      <c r="U11" s="44"/>
      <c r="W11" s="3" t="s">
        <v>82</v>
      </c>
      <c r="X11" s="52">
        <f t="shared" si="9"/>
        <v>43647</v>
      </c>
      <c r="Y11" s="52">
        <f t="shared" si="1"/>
        <v>44012</v>
      </c>
      <c r="Z11" s="51">
        <f t="shared" ref="Z11:Z17" si="39">COUNTIFS(S:S,"&gt;="&amp;X11,S:S,"&lt;="&amp;Y11)</f>
        <v>7</v>
      </c>
      <c r="AA11" s="15">
        <f t="shared" ref="AA11:AA17" si="40">AVERAGEIFS(U:U,S:S,"&gt;="&amp;X11,S:S,"&lt;="&amp;Y11)</f>
        <v>854142.85714285716</v>
      </c>
      <c r="AB11" s="54"/>
      <c r="AC11" s="15">
        <f t="shared" ref="AC11:AC17" si="41">SUMIFS(U:U,S:S,"&gt;="&amp;X11,S:S,"&lt;="&amp;Y11)</f>
        <v>5979000</v>
      </c>
      <c r="AD11" s="54"/>
      <c r="AE11" s="44">
        <v>20474096</v>
      </c>
      <c r="AF11" s="49">
        <f t="shared" ref="AF11:AF17" si="42">AC11/AE11</f>
        <v>0.29202754544083409</v>
      </c>
      <c r="AH11" s="46">
        <v>415</v>
      </c>
      <c r="AI11" s="45">
        <v>43313</v>
      </c>
      <c r="AJ11" s="3">
        <f t="shared" si="10"/>
        <v>49</v>
      </c>
      <c r="AK11" s="44">
        <v>1236730</v>
      </c>
      <c r="AM11" s="3" t="s">
        <v>82</v>
      </c>
      <c r="AN11" s="52">
        <f t="shared" si="11"/>
        <v>43647</v>
      </c>
      <c r="AO11" s="52">
        <f t="shared" si="2"/>
        <v>44012</v>
      </c>
      <c r="AP11" s="51">
        <f t="shared" ref="AP11:AP17" si="43">COUNTIFS(AI:AI,"&gt;="&amp;AN11,AI:AI,"&lt;="&amp;AO11)</f>
        <v>7</v>
      </c>
      <c r="AQ11" s="15">
        <f t="shared" ref="AQ11:AQ17" si="44">AVERAGEIFS(AK:AK,AI:AI,"&gt;="&amp;AN11,AI:AI,"&lt;="&amp;AO11)</f>
        <v>1219735.857142857</v>
      </c>
      <c r="AR11" s="15">
        <f t="shared" ref="AR11:AR17" si="45">SUMIFS(AK:AK,AI:AI,"&gt;="&amp;AN11,AI:AI,"&lt;="&amp;AO11)</f>
        <v>8538151</v>
      </c>
      <c r="AS11" s="54"/>
      <c r="AT11" s="44">
        <v>32062000</v>
      </c>
      <c r="AU11" s="49">
        <f t="shared" ref="AU11:AU17" si="46">AR11/AT11</f>
        <v>0.26630126005863641</v>
      </c>
      <c r="AW11" s="46">
        <v>354</v>
      </c>
      <c r="AX11" s="45">
        <v>43216</v>
      </c>
      <c r="AY11" s="3">
        <f t="shared" si="12"/>
        <v>43</v>
      </c>
      <c r="AZ11" s="44">
        <v>3314097</v>
      </c>
      <c r="BB11" s="3" t="s">
        <v>122</v>
      </c>
      <c r="BC11" s="52">
        <f t="shared" si="13"/>
        <v>43831</v>
      </c>
      <c r="BD11" s="52">
        <f t="shared" si="3"/>
        <v>44196</v>
      </c>
      <c r="BE11" s="51">
        <f t="shared" si="29"/>
        <v>10</v>
      </c>
      <c r="BF11" s="15">
        <f t="shared" si="30"/>
        <v>4023374.6</v>
      </c>
      <c r="BG11" s="54"/>
      <c r="BH11" s="15">
        <f t="shared" si="31"/>
        <v>40233746</v>
      </c>
      <c r="BI11" s="54"/>
      <c r="BJ11" s="44">
        <v>169147185</v>
      </c>
      <c r="BK11" s="49">
        <f t="shared" si="32"/>
        <v>0.23786234456104013</v>
      </c>
      <c r="BM11" s="46">
        <v>475</v>
      </c>
      <c r="BN11" s="45">
        <v>43210</v>
      </c>
      <c r="BO11" s="3">
        <f t="shared" si="14"/>
        <v>42</v>
      </c>
      <c r="BP11" s="44">
        <v>1602764</v>
      </c>
      <c r="BR11" s="3" t="s">
        <v>82</v>
      </c>
      <c r="BS11" s="52">
        <f t="shared" si="15"/>
        <v>43647</v>
      </c>
      <c r="BT11" s="52">
        <f t="shared" si="4"/>
        <v>44012</v>
      </c>
      <c r="BU11" s="51">
        <f t="shared" si="33"/>
        <v>10</v>
      </c>
      <c r="BV11" s="15">
        <f t="shared" si="34"/>
        <v>1932837.7</v>
      </c>
      <c r="BW11" s="54"/>
      <c r="BX11" s="15">
        <f t="shared" si="35"/>
        <v>19328377</v>
      </c>
      <c r="BY11" s="54"/>
      <c r="BZ11" s="44">
        <v>66698000</v>
      </c>
      <c r="CA11" s="49">
        <f t="shared" si="36"/>
        <v>0.28978945395664035</v>
      </c>
      <c r="CC11" s="46">
        <v>173</v>
      </c>
      <c r="CD11" s="45">
        <v>42426</v>
      </c>
      <c r="CE11" s="3">
        <f t="shared" si="24"/>
        <v>70</v>
      </c>
      <c r="CF11" s="44">
        <v>977040</v>
      </c>
      <c r="CH11" s="3" t="s">
        <v>82</v>
      </c>
      <c r="CI11" s="52">
        <f t="shared" si="16"/>
        <v>43647</v>
      </c>
      <c r="CJ11" s="52">
        <f t="shared" si="5"/>
        <v>44012</v>
      </c>
      <c r="CK11" s="51">
        <f t="shared" ref="CK11:CK17" si="47">COUNTIFS(CD:CD,"&gt;="&amp;CI11,CD:CD,"&lt;="&amp;CJ11)</f>
        <v>6</v>
      </c>
      <c r="CL11" s="15">
        <f t="shared" si="18"/>
        <v>1303993.8333333333</v>
      </c>
      <c r="CM11" s="54"/>
      <c r="CN11" s="15">
        <f t="shared" si="19"/>
        <v>7823963</v>
      </c>
      <c r="CO11" s="54"/>
      <c r="CP11" s="44">
        <v>20674173</v>
      </c>
      <c r="CQ11" s="49">
        <f t="shared" si="20"/>
        <v>0.37844140125943609</v>
      </c>
      <c r="CS11" s="46" t="s">
        <v>201</v>
      </c>
      <c r="CT11" s="45">
        <v>46153</v>
      </c>
      <c r="CU11" s="3"/>
      <c r="CV11" s="44">
        <v>3800000</v>
      </c>
      <c r="CW11" s="44">
        <v>7312585</v>
      </c>
      <c r="CX11" s="44"/>
      <c r="CY11" s="88"/>
      <c r="CZ11" s="3" t="s">
        <v>82</v>
      </c>
      <c r="DA11" s="52">
        <f t="shared" si="17"/>
        <v>43647</v>
      </c>
      <c r="DB11" s="52">
        <f t="shared" si="6"/>
        <v>44012</v>
      </c>
      <c r="DC11" s="51">
        <f t="shared" ref="DC11:DC17" si="48">COUNTIFS(CT:CT,"&gt;="&amp;DA11,CT:CT,"&lt;="&amp;DB11)</f>
        <v>0</v>
      </c>
      <c r="DD11" s="15" t="e">
        <f t="shared" si="21"/>
        <v>#DIV/0!</v>
      </c>
      <c r="DE11" s="54"/>
      <c r="DF11" s="15">
        <f t="shared" si="22"/>
        <v>0</v>
      </c>
      <c r="DG11" s="54"/>
      <c r="DH11" s="44">
        <v>20674173</v>
      </c>
      <c r="DI11" s="49">
        <f t="shared" si="23"/>
        <v>0</v>
      </c>
    </row>
    <row r="12" spans="2:113">
      <c r="B12" s="46">
        <v>279</v>
      </c>
      <c r="C12" s="45">
        <v>43399</v>
      </c>
      <c r="D12" s="3">
        <f t="shared" si="7"/>
        <v>56</v>
      </c>
      <c r="E12" s="44">
        <v>1635500</v>
      </c>
      <c r="G12" s="3" t="s">
        <v>81</v>
      </c>
      <c r="H12" s="52">
        <f t="shared" si="8"/>
        <v>44013</v>
      </c>
      <c r="I12" s="52">
        <f t="shared" si="0"/>
        <v>44377</v>
      </c>
      <c r="J12" s="51">
        <f t="shared" si="25"/>
        <v>6</v>
      </c>
      <c r="K12" s="15">
        <f t="shared" si="26"/>
        <v>1605436</v>
      </c>
      <c r="L12" s="54">
        <f t="shared" ref="L12:L17" si="49">K12/K11-1</f>
        <v>5.6029128883281487E-3</v>
      </c>
      <c r="M12" s="15">
        <f t="shared" si="27"/>
        <v>9632616</v>
      </c>
      <c r="N12" s="54">
        <f t="shared" si="38"/>
        <v>5.6029128883281487E-3</v>
      </c>
      <c r="O12" s="44">
        <v>52833689</v>
      </c>
      <c r="P12" s="49">
        <f t="shared" si="28"/>
        <v>0.18231958022087005</v>
      </c>
      <c r="R12" s="46">
        <v>173</v>
      </c>
      <c r="S12" s="45"/>
      <c r="T12" s="3"/>
      <c r="U12" s="44"/>
      <c r="W12" s="3" t="s">
        <v>81</v>
      </c>
      <c r="X12" s="52">
        <f t="shared" si="9"/>
        <v>44013</v>
      </c>
      <c r="Y12" s="52">
        <f t="shared" si="1"/>
        <v>44377</v>
      </c>
      <c r="Z12" s="51">
        <f t="shared" si="39"/>
        <v>7</v>
      </c>
      <c r="AA12" s="15">
        <f t="shared" si="40"/>
        <v>928500</v>
      </c>
      <c r="AB12" s="54">
        <f t="shared" ref="AB12:AB17" si="50">AA12/AA11-1</f>
        <v>8.705469141996991E-2</v>
      </c>
      <c r="AC12" s="15">
        <f t="shared" si="41"/>
        <v>6499500</v>
      </c>
      <c r="AD12" s="54">
        <f>AC12/AC11-1</f>
        <v>8.705469141996991E-2</v>
      </c>
      <c r="AE12" s="44">
        <v>21667058</v>
      </c>
      <c r="AF12" s="49">
        <f t="shared" si="42"/>
        <v>0.29997150513004578</v>
      </c>
      <c r="AH12" s="46">
        <v>416</v>
      </c>
      <c r="AI12" s="45">
        <v>43362</v>
      </c>
      <c r="AJ12" s="3">
        <f t="shared" si="10"/>
        <v>49</v>
      </c>
      <c r="AK12" s="44">
        <v>1008396</v>
      </c>
      <c r="AM12" s="3" t="s">
        <v>81</v>
      </c>
      <c r="AN12" s="52">
        <f t="shared" si="11"/>
        <v>44013</v>
      </c>
      <c r="AO12" s="52">
        <f t="shared" si="2"/>
        <v>44377</v>
      </c>
      <c r="AP12" s="51">
        <f t="shared" si="43"/>
        <v>7</v>
      </c>
      <c r="AQ12" s="15">
        <f t="shared" si="44"/>
        <v>1277336.4285714286</v>
      </c>
      <c r="AR12" s="15">
        <f t="shared" si="45"/>
        <v>8941355</v>
      </c>
      <c r="AS12" s="54">
        <f>AR12/AR11-1</f>
        <v>4.7223807590191402E-2</v>
      </c>
      <c r="AT12" s="44">
        <v>35926000</v>
      </c>
      <c r="AU12" s="49">
        <f t="shared" si="46"/>
        <v>0.24888256415966153</v>
      </c>
      <c r="AW12" s="46">
        <v>355</v>
      </c>
      <c r="AX12" s="45">
        <v>43252</v>
      </c>
      <c r="AY12" s="3">
        <f t="shared" si="12"/>
        <v>36</v>
      </c>
      <c r="AZ12" s="44">
        <v>2338997</v>
      </c>
      <c r="BB12" s="3" t="s">
        <v>121</v>
      </c>
      <c r="BC12" s="52">
        <f t="shared" si="13"/>
        <v>44197</v>
      </c>
      <c r="BD12" s="52">
        <f t="shared" si="3"/>
        <v>44561</v>
      </c>
      <c r="BE12" s="51">
        <f t="shared" si="29"/>
        <v>10</v>
      </c>
      <c r="BF12" s="15">
        <f t="shared" si="30"/>
        <v>4939416.4000000004</v>
      </c>
      <c r="BG12" s="54">
        <f t="shared" ref="BG12:BG17" si="51">BF12/BF11-1</f>
        <v>0.22767996795525836</v>
      </c>
      <c r="BH12" s="15">
        <f t="shared" si="31"/>
        <v>49394164</v>
      </c>
      <c r="BI12" s="54">
        <f>BH12/BH11-1</f>
        <v>0.22767996795525836</v>
      </c>
      <c r="BJ12" s="44">
        <v>207360628</v>
      </c>
      <c r="BK12" s="49">
        <f t="shared" si="32"/>
        <v>0.2382041589881759</v>
      </c>
      <c r="BM12" s="46">
        <v>476</v>
      </c>
      <c r="BN12" s="45">
        <v>43245</v>
      </c>
      <c r="BO12" s="3">
        <f t="shared" si="14"/>
        <v>35</v>
      </c>
      <c r="BP12" s="44">
        <v>1637929</v>
      </c>
      <c r="BR12" s="3" t="s">
        <v>81</v>
      </c>
      <c r="BS12" s="52">
        <f t="shared" si="15"/>
        <v>44013</v>
      </c>
      <c r="BT12" s="52">
        <f t="shared" si="4"/>
        <v>44377</v>
      </c>
      <c r="BU12" s="51">
        <f t="shared" si="33"/>
        <v>10</v>
      </c>
      <c r="BV12" s="15">
        <f t="shared" si="34"/>
        <v>2365475.9</v>
      </c>
      <c r="BW12" s="54">
        <f t="shared" ref="BW12:BW17" si="52">BV12/BV11-1</f>
        <v>0.22383576230947888</v>
      </c>
      <c r="BX12" s="15">
        <f t="shared" si="35"/>
        <v>23654759</v>
      </c>
      <c r="BY12" s="54">
        <f>BX12/BX11-1</f>
        <v>0.22383576230947888</v>
      </c>
      <c r="BZ12" s="44">
        <v>81008000</v>
      </c>
      <c r="CA12" s="49">
        <f t="shared" si="36"/>
        <v>0.29200522170649812</v>
      </c>
      <c r="CC12" s="46">
        <v>174</v>
      </c>
      <c r="CD12" s="45">
        <v>42489</v>
      </c>
      <c r="CE12" s="3">
        <f t="shared" si="24"/>
        <v>63</v>
      </c>
      <c r="CF12" s="44">
        <v>1108742</v>
      </c>
      <c r="CH12" s="3" t="s">
        <v>81</v>
      </c>
      <c r="CI12" s="52">
        <f t="shared" si="16"/>
        <v>44013</v>
      </c>
      <c r="CJ12" s="52">
        <f t="shared" si="5"/>
        <v>44377</v>
      </c>
      <c r="CK12" s="51">
        <f t="shared" si="47"/>
        <v>6</v>
      </c>
      <c r="CL12" s="15">
        <f t="shared" si="18"/>
        <v>1293870.6666666667</v>
      </c>
      <c r="CM12" s="54">
        <f t="shared" ref="CM12:CM17" si="53">CL12/CL11-1</f>
        <v>-7.7632013341575323E-3</v>
      </c>
      <c r="CN12" s="15">
        <f t="shared" si="19"/>
        <v>7763224</v>
      </c>
      <c r="CO12" s="54">
        <f>CN12/CN11-1</f>
        <v>-7.7632013341576434E-3</v>
      </c>
      <c r="CP12" s="44">
        <v>23993486</v>
      </c>
      <c r="CQ12" s="49">
        <f t="shared" si="20"/>
        <v>0.32355548501789194</v>
      </c>
      <c r="CS12" s="46"/>
      <c r="CT12" s="45"/>
      <c r="CU12" s="3"/>
      <c r="CV12" s="44">
        <v>1600000</v>
      </c>
      <c r="CW12" s="44"/>
      <c r="CX12" s="44"/>
      <c r="CZ12" s="3" t="s">
        <v>81</v>
      </c>
      <c r="DA12" s="52">
        <f t="shared" si="17"/>
        <v>44013</v>
      </c>
      <c r="DB12" s="52">
        <f t="shared" si="6"/>
        <v>44377</v>
      </c>
      <c r="DC12" s="51">
        <f t="shared" si="48"/>
        <v>0</v>
      </c>
      <c r="DD12" s="15" t="e">
        <f t="shared" si="21"/>
        <v>#DIV/0!</v>
      </c>
      <c r="DE12" s="54" t="e">
        <f t="shared" ref="DE12:DE17" si="54">DD12/DD11-1</f>
        <v>#DIV/0!</v>
      </c>
      <c r="DF12" s="15">
        <f t="shared" si="22"/>
        <v>0</v>
      </c>
      <c r="DG12" s="54" t="e">
        <f>DF12/DF11-1</f>
        <v>#DIV/0!</v>
      </c>
      <c r="DH12" s="44">
        <v>23993486</v>
      </c>
      <c r="DI12" s="49">
        <f t="shared" si="23"/>
        <v>0</v>
      </c>
    </row>
    <row r="13" spans="2:113">
      <c r="B13" s="46">
        <v>280</v>
      </c>
      <c r="C13" s="45">
        <v>43454</v>
      </c>
      <c r="D13" s="3">
        <f t="shared" si="7"/>
        <v>55</v>
      </c>
      <c r="E13" s="44">
        <v>1716000</v>
      </c>
      <c r="G13" s="3" t="s">
        <v>80</v>
      </c>
      <c r="H13" s="52">
        <f t="shared" si="8"/>
        <v>44378</v>
      </c>
      <c r="I13" s="52">
        <f t="shared" si="0"/>
        <v>44742</v>
      </c>
      <c r="J13" s="51">
        <f t="shared" si="25"/>
        <v>6</v>
      </c>
      <c r="K13" s="15">
        <f t="shared" si="26"/>
        <v>2217574.1666666665</v>
      </c>
      <c r="L13" s="54">
        <f t="shared" si="49"/>
        <v>0.38129091827183803</v>
      </c>
      <c r="M13" s="15">
        <f t="shared" si="27"/>
        <v>13305445</v>
      </c>
      <c r="N13" s="54">
        <f t="shared" si="38"/>
        <v>0.38129091827183803</v>
      </c>
      <c r="O13" s="44">
        <v>68666563</v>
      </c>
      <c r="P13" s="49">
        <f t="shared" si="28"/>
        <v>0.19376890903946947</v>
      </c>
      <c r="R13" s="46">
        <v>174</v>
      </c>
      <c r="S13" s="45"/>
      <c r="T13" s="3"/>
      <c r="U13" s="44"/>
      <c r="W13" s="3" t="s">
        <v>80</v>
      </c>
      <c r="X13" s="52">
        <f t="shared" si="9"/>
        <v>44378</v>
      </c>
      <c r="Y13" s="52">
        <f t="shared" si="1"/>
        <v>44742</v>
      </c>
      <c r="Z13" s="51">
        <f t="shared" si="39"/>
        <v>7</v>
      </c>
      <c r="AA13" s="15">
        <f t="shared" si="40"/>
        <v>930642.85714285716</v>
      </c>
      <c r="AB13" s="54">
        <f t="shared" si="50"/>
        <v>2.3078698361411742E-3</v>
      </c>
      <c r="AC13" s="15">
        <f t="shared" si="41"/>
        <v>6514500</v>
      </c>
      <c r="AD13" s="54">
        <f>AC13/AC12-1</f>
        <v>2.3078698361411742E-3</v>
      </c>
      <c r="AE13" s="44">
        <v>21183776</v>
      </c>
      <c r="AF13" s="49">
        <f t="shared" si="42"/>
        <v>0.30752307803858953</v>
      </c>
      <c r="AH13" s="46">
        <v>417</v>
      </c>
      <c r="AI13" s="45">
        <v>43411</v>
      </c>
      <c r="AJ13" s="3">
        <f t="shared" si="10"/>
        <v>49</v>
      </c>
      <c r="AK13" s="44">
        <v>1294870</v>
      </c>
      <c r="AM13" s="3" t="s">
        <v>80</v>
      </c>
      <c r="AN13" s="52">
        <f t="shared" si="11"/>
        <v>44378</v>
      </c>
      <c r="AO13" s="52">
        <f t="shared" si="2"/>
        <v>44742</v>
      </c>
      <c r="AP13" s="51">
        <f t="shared" si="43"/>
        <v>7</v>
      </c>
      <c r="AQ13" s="15">
        <f t="shared" si="44"/>
        <v>1561694.2857142857</v>
      </c>
      <c r="AR13" s="15">
        <f t="shared" si="45"/>
        <v>10931860</v>
      </c>
      <c r="AS13" s="54">
        <f>AR13/AR12-1</f>
        <v>0.22261782470330282</v>
      </c>
      <c r="AT13" s="44">
        <v>38960000</v>
      </c>
      <c r="AU13" s="49">
        <f t="shared" si="46"/>
        <v>0.28059188911704314</v>
      </c>
      <c r="AW13" s="46">
        <v>356</v>
      </c>
      <c r="AX13" s="45">
        <v>43292</v>
      </c>
      <c r="AY13" s="3">
        <f t="shared" si="12"/>
        <v>40</v>
      </c>
      <c r="AZ13" s="44">
        <v>2002000</v>
      </c>
      <c r="BB13" s="3" t="s">
        <v>120</v>
      </c>
      <c r="BC13" s="52">
        <f t="shared" si="13"/>
        <v>44562</v>
      </c>
      <c r="BD13" s="52">
        <f t="shared" si="3"/>
        <v>44926</v>
      </c>
      <c r="BE13" s="51">
        <f t="shared" si="29"/>
        <v>10</v>
      </c>
      <c r="BF13" s="15">
        <f t="shared" si="30"/>
        <v>6274164.5999999996</v>
      </c>
      <c r="BG13" s="54">
        <f t="shared" si="51"/>
        <v>0.27022386693294353</v>
      </c>
      <c r="BH13" s="15">
        <f t="shared" si="31"/>
        <v>62741646</v>
      </c>
      <c r="BI13" s="54">
        <f>BH13/BH12-1</f>
        <v>0.27022386693294376</v>
      </c>
      <c r="BJ13" s="44">
        <v>224304350</v>
      </c>
      <c r="BK13" s="49">
        <f t="shared" si="32"/>
        <v>0.27971658151079104</v>
      </c>
      <c r="BM13" s="46">
        <v>477</v>
      </c>
      <c r="BN13" s="45">
        <v>43280</v>
      </c>
      <c r="BO13" s="3">
        <f t="shared" si="14"/>
        <v>35</v>
      </c>
      <c r="BP13" s="44">
        <v>1871545</v>
      </c>
      <c r="BR13" s="3" t="s">
        <v>80</v>
      </c>
      <c r="BS13" s="52">
        <f t="shared" si="15"/>
        <v>44378</v>
      </c>
      <c r="BT13" s="52">
        <f t="shared" si="4"/>
        <v>44742</v>
      </c>
      <c r="BU13" s="51">
        <f t="shared" si="33"/>
        <v>10</v>
      </c>
      <c r="BV13" s="15">
        <f t="shared" si="34"/>
        <v>3327336.2</v>
      </c>
      <c r="BW13" s="54">
        <f t="shared" si="52"/>
        <v>0.40662443443198915</v>
      </c>
      <c r="BX13" s="15">
        <f t="shared" si="35"/>
        <v>33273362</v>
      </c>
      <c r="BY13" s="54">
        <f>BX13/BX12-1</f>
        <v>0.40662443443198892</v>
      </c>
      <c r="BZ13" s="44">
        <v>84858000</v>
      </c>
      <c r="CA13" s="49">
        <f t="shared" si="36"/>
        <v>0.3921063659289637</v>
      </c>
      <c r="CC13" s="46">
        <v>175</v>
      </c>
      <c r="CD13" s="45">
        <v>42545</v>
      </c>
      <c r="CE13" s="3">
        <f t="shared" si="24"/>
        <v>56</v>
      </c>
      <c r="CF13" s="44">
        <v>936540</v>
      </c>
      <c r="CH13" s="3" t="s">
        <v>80</v>
      </c>
      <c r="CI13" s="52">
        <f t="shared" si="16"/>
        <v>44378</v>
      </c>
      <c r="CJ13" s="52">
        <f t="shared" si="5"/>
        <v>44742</v>
      </c>
      <c r="CK13" s="51">
        <f t="shared" si="47"/>
        <v>6</v>
      </c>
      <c r="CL13" s="15">
        <f t="shared" si="18"/>
        <v>1459501.6666666667</v>
      </c>
      <c r="CM13" s="54">
        <f t="shared" si="53"/>
        <v>0.12801202180949556</v>
      </c>
      <c r="CN13" s="15">
        <f t="shared" si="19"/>
        <v>8757010</v>
      </c>
      <c r="CO13" s="54">
        <f>CN13/CN12-1</f>
        <v>0.12801202180949556</v>
      </c>
      <c r="CP13" s="44">
        <v>31362890</v>
      </c>
      <c r="CQ13" s="49">
        <f t="shared" si="20"/>
        <v>0.27921565901611745</v>
      </c>
      <c r="CS13" s="46"/>
      <c r="CT13" s="45"/>
      <c r="CU13" s="3"/>
      <c r="CV13" s="44">
        <v>400000</v>
      </c>
      <c r="CW13" s="44"/>
      <c r="CX13" s="44"/>
      <c r="CZ13" s="3" t="s">
        <v>80</v>
      </c>
      <c r="DA13" s="52">
        <f t="shared" si="17"/>
        <v>44378</v>
      </c>
      <c r="DB13" s="52">
        <f t="shared" si="6"/>
        <v>44742</v>
      </c>
      <c r="DC13" s="51">
        <f t="shared" si="48"/>
        <v>0</v>
      </c>
      <c r="DD13" s="15" t="e">
        <f t="shared" si="21"/>
        <v>#DIV/0!</v>
      </c>
      <c r="DE13" s="54" t="e">
        <f t="shared" si="54"/>
        <v>#DIV/0!</v>
      </c>
      <c r="DF13" s="15">
        <f t="shared" si="22"/>
        <v>0</v>
      </c>
      <c r="DG13" s="54" t="e">
        <f>DF13/DF12-1</f>
        <v>#DIV/0!</v>
      </c>
      <c r="DH13" s="44">
        <v>31362890</v>
      </c>
      <c r="DI13" s="49">
        <f t="shared" si="23"/>
        <v>0</v>
      </c>
    </row>
    <row r="14" spans="2:113">
      <c r="B14" s="46">
        <v>281</v>
      </c>
      <c r="C14" s="45">
        <v>43518</v>
      </c>
      <c r="D14" s="3">
        <f t="shared" si="7"/>
        <v>64</v>
      </c>
      <c r="E14" s="44">
        <v>2119145</v>
      </c>
      <c r="G14" s="3" t="s">
        <v>79</v>
      </c>
      <c r="H14" s="52">
        <f t="shared" si="8"/>
        <v>44743</v>
      </c>
      <c r="I14" s="52">
        <f t="shared" si="0"/>
        <v>45107</v>
      </c>
      <c r="J14" s="51">
        <f t="shared" si="25"/>
        <v>6</v>
      </c>
      <c r="K14" s="15">
        <f t="shared" si="26"/>
        <v>2740302.5</v>
      </c>
      <c r="L14" s="54">
        <f t="shared" si="49"/>
        <v>0.23572078949633024</v>
      </c>
      <c r="M14" s="15">
        <f t="shared" si="27"/>
        <v>16441815</v>
      </c>
      <c r="N14" s="54">
        <f t="shared" si="38"/>
        <v>0.23572078949633024</v>
      </c>
      <c r="O14" s="44">
        <v>89776783</v>
      </c>
      <c r="P14" s="49">
        <f t="shared" si="28"/>
        <v>0.18314105774986392</v>
      </c>
      <c r="R14" s="46">
        <v>175</v>
      </c>
      <c r="S14" s="45"/>
      <c r="T14" s="3"/>
      <c r="U14" s="44"/>
      <c r="W14" s="3" t="s">
        <v>79</v>
      </c>
      <c r="X14" s="52">
        <f t="shared" si="9"/>
        <v>44743</v>
      </c>
      <c r="Y14" s="52">
        <f t="shared" si="1"/>
        <v>45107</v>
      </c>
      <c r="Z14" s="51">
        <f t="shared" si="39"/>
        <v>7</v>
      </c>
      <c r="AA14" s="15">
        <f t="shared" si="40"/>
        <v>930642.85714285716</v>
      </c>
      <c r="AB14" s="54">
        <f t="shared" si="50"/>
        <v>0</v>
      </c>
      <c r="AC14" s="15">
        <f t="shared" si="41"/>
        <v>6514500</v>
      </c>
      <c r="AD14" s="54">
        <f>AC14/AC13-1</f>
        <v>0</v>
      </c>
      <c r="AE14" s="44">
        <v>21517436</v>
      </c>
      <c r="AF14" s="49">
        <f t="shared" si="42"/>
        <v>0.30275447316306647</v>
      </c>
      <c r="AH14" s="46">
        <v>418</v>
      </c>
      <c r="AI14" s="45">
        <v>43455</v>
      </c>
      <c r="AJ14" s="3">
        <f t="shared" si="10"/>
        <v>44</v>
      </c>
      <c r="AK14" s="44">
        <v>1167532</v>
      </c>
      <c r="AM14" s="3" t="s">
        <v>79</v>
      </c>
      <c r="AN14" s="52">
        <f t="shared" si="11"/>
        <v>44743</v>
      </c>
      <c r="AO14" s="52">
        <f t="shared" si="2"/>
        <v>45107</v>
      </c>
      <c r="AP14" s="51">
        <f t="shared" si="43"/>
        <v>7</v>
      </c>
      <c r="AQ14" s="15">
        <f t="shared" si="44"/>
        <v>2087965.142857143</v>
      </c>
      <c r="AR14" s="15">
        <f t="shared" si="45"/>
        <v>14615756</v>
      </c>
      <c r="AS14" s="54">
        <f>AR14/AR13-1</f>
        <v>0.33698711838607509</v>
      </c>
      <c r="AT14" s="44">
        <v>39106000</v>
      </c>
      <c r="AU14" s="49">
        <f t="shared" si="46"/>
        <v>0.37374714877512405</v>
      </c>
      <c r="AW14" s="46">
        <v>357</v>
      </c>
      <c r="AX14" s="45">
        <v>43320</v>
      </c>
      <c r="AY14" s="3">
        <f t="shared" si="12"/>
        <v>28</v>
      </c>
      <c r="AZ14" s="44">
        <v>3737250</v>
      </c>
      <c r="BB14" s="3" t="s">
        <v>119</v>
      </c>
      <c r="BC14" s="52">
        <f t="shared" si="13"/>
        <v>44927</v>
      </c>
      <c r="BD14" s="52">
        <f t="shared" si="3"/>
        <v>45291</v>
      </c>
      <c r="BE14" s="51">
        <f t="shared" si="29"/>
        <v>10</v>
      </c>
      <c r="BF14" s="15">
        <f t="shared" si="30"/>
        <v>5738536.2999999998</v>
      </c>
      <c r="BG14" s="54">
        <f t="shared" si="51"/>
        <v>-8.5370457128268518E-2</v>
      </c>
      <c r="BH14" s="15">
        <f t="shared" si="31"/>
        <v>57385363</v>
      </c>
      <c r="BI14" s="54">
        <f>BH14/BH13-1</f>
        <v>-8.5370457128268518E-2</v>
      </c>
      <c r="BJ14" s="44">
        <v>213633952</v>
      </c>
      <c r="BK14" s="49">
        <f t="shared" si="32"/>
        <v>0.26861536971426714</v>
      </c>
      <c r="BM14" s="46">
        <v>478</v>
      </c>
      <c r="BN14" s="45">
        <v>43315</v>
      </c>
      <c r="BO14" s="3">
        <f t="shared" si="14"/>
        <v>35</v>
      </c>
      <c r="BP14" s="44">
        <v>1643979</v>
      </c>
      <c r="BR14" s="3" t="s">
        <v>79</v>
      </c>
      <c r="BS14" s="52">
        <f t="shared" si="15"/>
        <v>44743</v>
      </c>
      <c r="BT14" s="52">
        <f t="shared" si="4"/>
        <v>45107</v>
      </c>
      <c r="BU14" s="51">
        <f t="shared" si="33"/>
        <v>10</v>
      </c>
      <c r="BV14" s="15">
        <f t="shared" si="34"/>
        <v>3399853.9</v>
      </c>
      <c r="BW14" s="54">
        <f t="shared" si="52"/>
        <v>2.1794521395222866E-2</v>
      </c>
      <c r="BX14" s="15">
        <f t="shared" si="35"/>
        <v>33998539</v>
      </c>
      <c r="BY14" s="54">
        <f>BX14/BX13-1</f>
        <v>2.1794521395223088E-2</v>
      </c>
      <c r="BZ14" s="44">
        <v>80484000</v>
      </c>
      <c r="CA14" s="49">
        <f t="shared" si="36"/>
        <v>0.42242605983798021</v>
      </c>
      <c r="CC14" s="46">
        <v>176</v>
      </c>
      <c r="CD14" s="45">
        <v>42601</v>
      </c>
      <c r="CE14" s="3">
        <f t="shared" si="24"/>
        <v>56</v>
      </c>
      <c r="CF14" s="44">
        <v>1000000</v>
      </c>
      <c r="CH14" s="3" t="s">
        <v>79</v>
      </c>
      <c r="CI14" s="52">
        <f t="shared" si="16"/>
        <v>44743</v>
      </c>
      <c r="CJ14" s="52">
        <f t="shared" si="5"/>
        <v>45107</v>
      </c>
      <c r="CK14" s="51">
        <f t="shared" si="47"/>
        <v>6</v>
      </c>
      <c r="CL14" s="15">
        <f t="shared" si="18"/>
        <v>1962107.3333333333</v>
      </c>
      <c r="CM14" s="54">
        <f t="shared" si="53"/>
        <v>0.34436799775265747</v>
      </c>
      <c r="CN14" s="15">
        <f t="shared" si="19"/>
        <v>11772644</v>
      </c>
      <c r="CO14" s="54">
        <f>CN14/CN13-1</f>
        <v>0.3443679977526577</v>
      </c>
      <c r="CP14" s="44">
        <v>38522864</v>
      </c>
      <c r="CQ14" s="49">
        <f t="shared" si="20"/>
        <v>0.30560147345223349</v>
      </c>
      <c r="CS14" s="46"/>
      <c r="CT14" s="45"/>
      <c r="CU14" s="3"/>
      <c r="CV14" s="44">
        <v>100000</v>
      </c>
      <c r="CW14" s="44"/>
      <c r="CX14" s="44"/>
      <c r="CZ14" s="3" t="s">
        <v>79</v>
      </c>
      <c r="DA14" s="52">
        <f t="shared" si="17"/>
        <v>44743</v>
      </c>
      <c r="DB14" s="52">
        <f t="shared" si="6"/>
        <v>45107</v>
      </c>
      <c r="DC14" s="51">
        <f t="shared" si="48"/>
        <v>0</v>
      </c>
      <c r="DD14" s="15" t="e">
        <f t="shared" si="21"/>
        <v>#DIV/0!</v>
      </c>
      <c r="DE14" s="54" t="e">
        <f t="shared" si="54"/>
        <v>#DIV/0!</v>
      </c>
      <c r="DF14" s="15">
        <f t="shared" si="22"/>
        <v>0</v>
      </c>
      <c r="DG14" s="54" t="e">
        <f>DF14/DF13-1</f>
        <v>#DIV/0!</v>
      </c>
      <c r="DH14" s="44">
        <v>38522864</v>
      </c>
      <c r="DI14" s="49">
        <f t="shared" si="23"/>
        <v>0</v>
      </c>
    </row>
    <row r="15" spans="2:113">
      <c r="B15" s="46">
        <v>282</v>
      </c>
      <c r="C15" s="45">
        <v>43581</v>
      </c>
      <c r="D15" s="3">
        <f t="shared" si="7"/>
        <v>63</v>
      </c>
      <c r="E15" s="44">
        <v>1874814</v>
      </c>
      <c r="G15" s="3" t="s">
        <v>78</v>
      </c>
      <c r="H15" s="52">
        <f t="shared" si="8"/>
        <v>45108</v>
      </c>
      <c r="I15" s="52">
        <f t="shared" si="0"/>
        <v>45473</v>
      </c>
      <c r="J15" s="51">
        <f t="shared" si="25"/>
        <v>6</v>
      </c>
      <c r="K15" s="15">
        <f t="shared" si="26"/>
        <v>3601625</v>
      </c>
      <c r="L15" s="54">
        <f t="shared" si="49"/>
        <v>0.31431657636337595</v>
      </c>
      <c r="M15" s="15">
        <f t="shared" si="27"/>
        <v>21609750</v>
      </c>
      <c r="N15" s="54">
        <f t="shared" si="38"/>
        <v>0.31431657636337595</v>
      </c>
      <c r="O15" s="44">
        <v>112481877</v>
      </c>
      <c r="P15" s="49">
        <f t="shared" si="28"/>
        <v>0.19211761553374504</v>
      </c>
      <c r="R15" s="46">
        <v>176</v>
      </c>
      <c r="S15" s="45"/>
      <c r="T15" s="3"/>
      <c r="U15" s="44"/>
      <c r="W15" s="3" t="s">
        <v>78</v>
      </c>
      <c r="X15" s="52">
        <f t="shared" si="9"/>
        <v>45108</v>
      </c>
      <c r="Y15" s="52">
        <f t="shared" si="1"/>
        <v>45473</v>
      </c>
      <c r="Z15" s="51">
        <f t="shared" si="39"/>
        <v>8</v>
      </c>
      <c r="AA15" s="15">
        <f t="shared" si="40"/>
        <v>929125</v>
      </c>
      <c r="AB15" s="54">
        <f t="shared" si="50"/>
        <v>-1.6309770511935273E-3</v>
      </c>
      <c r="AC15" s="15">
        <f t="shared" si="41"/>
        <v>7433000</v>
      </c>
      <c r="AD15" s="54">
        <f>AC15/AC14-1</f>
        <v>0.14099316908435022</v>
      </c>
      <c r="AE15" s="44">
        <v>24955796</v>
      </c>
      <c r="AF15" s="49">
        <f t="shared" si="42"/>
        <v>0.2978466405158946</v>
      </c>
      <c r="AH15" s="46">
        <v>419</v>
      </c>
      <c r="AI15" s="45">
        <v>43509</v>
      </c>
      <c r="AJ15" s="3">
        <f t="shared" si="10"/>
        <v>54</v>
      </c>
      <c r="AK15" s="44">
        <v>1326535</v>
      </c>
      <c r="AM15" s="3" t="s">
        <v>78</v>
      </c>
      <c r="AN15" s="52">
        <f t="shared" si="11"/>
        <v>45108</v>
      </c>
      <c r="AO15" s="52">
        <f t="shared" si="2"/>
        <v>45473</v>
      </c>
      <c r="AP15" s="51">
        <f t="shared" si="43"/>
        <v>6</v>
      </c>
      <c r="AQ15" s="15">
        <f t="shared" si="44"/>
        <v>2366511.1666666665</v>
      </c>
      <c r="AR15" s="15">
        <f t="shared" si="45"/>
        <v>14199067</v>
      </c>
      <c r="AS15" s="54">
        <f>AR15/AR14-1</f>
        <v>-2.85095755566801E-2</v>
      </c>
      <c r="AT15" s="44">
        <v>37441000</v>
      </c>
      <c r="AU15" s="49">
        <f t="shared" si="46"/>
        <v>0.37923845516946664</v>
      </c>
      <c r="AW15" s="46">
        <v>358</v>
      </c>
      <c r="AX15" s="45">
        <v>43343</v>
      </c>
      <c r="AY15" s="3">
        <f t="shared" si="12"/>
        <v>23</v>
      </c>
      <c r="AZ15" s="44">
        <v>2418386</v>
      </c>
      <c r="BB15" s="3" t="s">
        <v>118</v>
      </c>
      <c r="BC15" s="52">
        <f t="shared" si="13"/>
        <v>45292</v>
      </c>
      <c r="BD15" s="52">
        <f t="shared" si="3"/>
        <v>45657</v>
      </c>
      <c r="BE15" s="51">
        <f t="shared" si="29"/>
        <v>10</v>
      </c>
      <c r="BF15" s="15">
        <f t="shared" si="30"/>
        <v>5558765.2999999998</v>
      </c>
      <c r="BG15" s="54">
        <f t="shared" si="51"/>
        <v>-3.1326977926409594E-2</v>
      </c>
      <c r="BH15" s="15">
        <f t="shared" si="31"/>
        <v>55587653</v>
      </c>
      <c r="BI15" s="54">
        <f>BH15/BH14-1</f>
        <v>-3.1326977926409594E-2</v>
      </c>
      <c r="BJ15" s="44">
        <v>199237473</v>
      </c>
      <c r="BK15" s="49">
        <f t="shared" si="32"/>
        <v>0.27900199778181284</v>
      </c>
      <c r="BM15" s="46">
        <v>479</v>
      </c>
      <c r="BN15" s="45">
        <v>43350</v>
      </c>
      <c r="BO15" s="3">
        <f t="shared" si="14"/>
        <v>35</v>
      </c>
      <c r="BP15" s="44">
        <v>1652919</v>
      </c>
      <c r="BR15" s="3" t="s">
        <v>78</v>
      </c>
      <c r="BS15" s="52">
        <f t="shared" si="15"/>
        <v>45108</v>
      </c>
      <c r="BT15" s="52">
        <f t="shared" si="4"/>
        <v>45473</v>
      </c>
      <c r="BU15" s="51">
        <f t="shared" si="33"/>
        <v>10</v>
      </c>
      <c r="BV15" s="15">
        <f t="shared" si="34"/>
        <v>3321460.2</v>
      </c>
      <c r="BW15" s="54">
        <f t="shared" si="52"/>
        <v>-2.3057961402400129E-2</v>
      </c>
      <c r="BX15" s="15">
        <f t="shared" si="35"/>
        <v>33214602</v>
      </c>
      <c r="BY15" s="54">
        <f>BX15/BX14-1</f>
        <v>-2.305796140240024E-2</v>
      </c>
      <c r="BZ15" s="44">
        <v>79262000</v>
      </c>
      <c r="CA15" s="49">
        <f t="shared" si="36"/>
        <v>0.41904824506068483</v>
      </c>
      <c r="CC15" s="46">
        <v>177</v>
      </c>
      <c r="CD15" s="45">
        <v>42664</v>
      </c>
      <c r="CE15" s="3">
        <f t="shared" si="24"/>
        <v>63</v>
      </c>
      <c r="CF15" s="44">
        <v>1003540</v>
      </c>
      <c r="CH15" s="3" t="s">
        <v>78</v>
      </c>
      <c r="CI15" s="52">
        <f t="shared" si="16"/>
        <v>45108</v>
      </c>
      <c r="CJ15" s="52">
        <f t="shared" si="5"/>
        <v>45473</v>
      </c>
      <c r="CK15" s="51">
        <f t="shared" si="47"/>
        <v>6</v>
      </c>
      <c r="CL15" s="15">
        <f t="shared" si="18"/>
        <v>2147938.8333333335</v>
      </c>
      <c r="CM15" s="54">
        <f t="shared" si="53"/>
        <v>9.4710160266461951E-2</v>
      </c>
      <c r="CN15" s="15">
        <f t="shared" si="19"/>
        <v>12887633</v>
      </c>
      <c r="CO15" s="54">
        <f>CN15/CN14-1</f>
        <v>9.4710160266461729E-2</v>
      </c>
      <c r="CP15" s="44">
        <v>47388896</v>
      </c>
      <c r="CQ15" s="49">
        <f t="shared" si="20"/>
        <v>0.27195470010527362</v>
      </c>
      <c r="CS15" s="46" t="s">
        <v>202</v>
      </c>
      <c r="CT15" s="45">
        <v>46315</v>
      </c>
      <c r="CU15" s="3"/>
      <c r="CV15" s="44">
        <v>3600000</v>
      </c>
      <c r="CW15" s="44">
        <v>7200000</v>
      </c>
      <c r="CX15" s="44"/>
      <c r="CZ15" s="3" t="s">
        <v>78</v>
      </c>
      <c r="DA15" s="52">
        <f t="shared" si="17"/>
        <v>45108</v>
      </c>
      <c r="DB15" s="52">
        <f t="shared" si="6"/>
        <v>45473</v>
      </c>
      <c r="DC15" s="51">
        <f t="shared" si="48"/>
        <v>0</v>
      </c>
      <c r="DD15" s="15" t="e">
        <f t="shared" si="21"/>
        <v>#DIV/0!</v>
      </c>
      <c r="DE15" s="54" t="e">
        <f t="shared" si="54"/>
        <v>#DIV/0!</v>
      </c>
      <c r="DF15" s="15">
        <f t="shared" si="22"/>
        <v>0</v>
      </c>
      <c r="DG15" s="54" t="e">
        <f>DF15/DF14-1</f>
        <v>#DIV/0!</v>
      </c>
      <c r="DH15" s="44">
        <v>47388896</v>
      </c>
      <c r="DI15" s="49">
        <f t="shared" si="23"/>
        <v>0</v>
      </c>
    </row>
    <row r="16" spans="2:113">
      <c r="B16" s="46">
        <v>283</v>
      </c>
      <c r="C16" s="45">
        <v>43644</v>
      </c>
      <c r="D16" s="3">
        <f t="shared" si="7"/>
        <v>63</v>
      </c>
      <c r="E16" s="44">
        <v>1819365</v>
      </c>
      <c r="G16" s="3" t="s">
        <v>95</v>
      </c>
      <c r="H16" s="52">
        <f t="shared" si="8"/>
        <v>45474</v>
      </c>
      <c r="I16" s="52">
        <f t="shared" si="0"/>
        <v>45838</v>
      </c>
      <c r="J16" s="51">
        <f t="shared" si="25"/>
        <v>6</v>
      </c>
      <c r="K16" s="15">
        <f t="shared" si="26"/>
        <v>4250000</v>
      </c>
      <c r="L16" s="54">
        <f t="shared" si="49"/>
        <v>0.18002290632700513</v>
      </c>
      <c r="M16" s="15">
        <f t="shared" si="27"/>
        <v>25500000</v>
      </c>
      <c r="N16" s="54">
        <f t="shared" si="38"/>
        <v>0.18002290632700513</v>
      </c>
      <c r="O16" s="44">
        <v>134386594</v>
      </c>
      <c r="P16" s="49">
        <f t="shared" si="28"/>
        <v>0.18975106996163621</v>
      </c>
      <c r="R16" s="46">
        <v>177</v>
      </c>
      <c r="S16" s="45"/>
      <c r="T16" s="3"/>
      <c r="U16" s="44"/>
      <c r="W16" s="3" t="s">
        <v>95</v>
      </c>
      <c r="X16" s="52">
        <f t="shared" si="9"/>
        <v>45474</v>
      </c>
      <c r="Y16" s="52">
        <f t="shared" si="1"/>
        <v>45838</v>
      </c>
      <c r="Z16" s="51">
        <f t="shared" si="39"/>
        <v>8</v>
      </c>
      <c r="AA16" s="15">
        <f t="shared" si="40"/>
        <v>926000</v>
      </c>
      <c r="AB16" s="54">
        <f t="shared" si="50"/>
        <v>-3.3633795237454356E-3</v>
      </c>
      <c r="AC16" s="15">
        <f t="shared" si="41"/>
        <v>7408000</v>
      </c>
      <c r="AD16" s="54">
        <f>AC16/AC15-1</f>
        <v>-3.3633795237454356E-3</v>
      </c>
      <c r="AE16" s="44">
        <v>26212562</v>
      </c>
      <c r="AF16" s="49">
        <f t="shared" si="42"/>
        <v>0.28261258857489779</v>
      </c>
      <c r="AH16" s="46">
        <v>420</v>
      </c>
      <c r="AI16" s="45">
        <v>43565</v>
      </c>
      <c r="AJ16" s="3">
        <f t="shared" si="10"/>
        <v>56</v>
      </c>
      <c r="AK16" s="44">
        <v>1280674</v>
      </c>
      <c r="AM16" s="3" t="s">
        <v>95</v>
      </c>
      <c r="AN16" s="52">
        <f t="shared" si="11"/>
        <v>45474</v>
      </c>
      <c r="AO16" s="52">
        <f t="shared" si="2"/>
        <v>45838</v>
      </c>
      <c r="AP16" s="51">
        <f t="shared" si="43"/>
        <v>6</v>
      </c>
      <c r="AQ16" s="15">
        <f t="shared" si="44"/>
        <v>2850000</v>
      </c>
      <c r="AR16" s="15">
        <f t="shared" si="45"/>
        <v>17100000</v>
      </c>
      <c r="AS16" s="54">
        <f>AR16/AR15-1</f>
        <v>0.20430448000562285</v>
      </c>
      <c r="AT16" s="44">
        <v>38983000</v>
      </c>
      <c r="AU16" s="49">
        <f t="shared" si="46"/>
        <v>0.43865274606879923</v>
      </c>
      <c r="AW16" s="46">
        <v>359</v>
      </c>
      <c r="AX16" s="45">
        <v>43392</v>
      </c>
      <c r="AY16" s="3">
        <f t="shared" si="12"/>
        <v>49</v>
      </c>
      <c r="AZ16" s="44">
        <v>4085821</v>
      </c>
      <c r="BB16" s="3" t="s">
        <v>117</v>
      </c>
      <c r="BC16" s="52">
        <f t="shared" si="13"/>
        <v>45658</v>
      </c>
      <c r="BD16" s="52">
        <f t="shared" si="3"/>
        <v>46022</v>
      </c>
      <c r="BE16" s="51">
        <f t="shared" si="29"/>
        <v>8</v>
      </c>
      <c r="BF16" s="15">
        <f t="shared" si="30"/>
        <v>8371012.5</v>
      </c>
      <c r="BG16" s="54">
        <f t="shared" si="51"/>
        <v>0.50591220320095198</v>
      </c>
      <c r="BH16" s="15">
        <f t="shared" si="31"/>
        <v>66968100</v>
      </c>
      <c r="BI16" s="54">
        <f>BH16/BH15-1</f>
        <v>0.20472976256076136</v>
      </c>
      <c r="BJ16" s="44">
        <v>200213564</v>
      </c>
      <c r="BK16" s="49">
        <f t="shared" si="32"/>
        <v>0.33448333200841479</v>
      </c>
      <c r="BM16" s="46">
        <v>480</v>
      </c>
      <c r="BN16" s="45">
        <v>43385</v>
      </c>
      <c r="BO16" s="3">
        <f t="shared" si="14"/>
        <v>35</v>
      </c>
      <c r="BP16" s="44">
        <v>1652385</v>
      </c>
      <c r="BR16" s="3" t="s">
        <v>95</v>
      </c>
      <c r="BS16" s="52">
        <f t="shared" si="15"/>
        <v>45474</v>
      </c>
      <c r="BT16" s="52">
        <f t="shared" si="4"/>
        <v>45838</v>
      </c>
      <c r="BU16" s="51">
        <f t="shared" si="33"/>
        <v>10</v>
      </c>
      <c r="BV16" s="15">
        <f t="shared" si="34"/>
        <v>3288450.4</v>
      </c>
      <c r="BW16" s="54">
        <f t="shared" si="52"/>
        <v>-9.9383397699602805E-3</v>
      </c>
      <c r="BX16" s="15">
        <f t="shared" si="35"/>
        <v>32884504</v>
      </c>
      <c r="BY16" s="54">
        <f>BX16/BX15-1</f>
        <v>-9.9383397699601694E-3</v>
      </c>
      <c r="BZ16" s="44">
        <v>78534000</v>
      </c>
      <c r="CA16" s="49">
        <f t="shared" si="36"/>
        <v>0.41872951842514072</v>
      </c>
      <c r="CC16" s="46">
        <v>178</v>
      </c>
      <c r="CD16" s="45">
        <v>42720</v>
      </c>
      <c r="CE16" s="3">
        <f t="shared" si="24"/>
        <v>56</v>
      </c>
      <c r="CF16" s="44">
        <v>1069625</v>
      </c>
      <c r="CH16" s="3" t="s">
        <v>95</v>
      </c>
      <c r="CI16" s="52">
        <f t="shared" si="16"/>
        <v>45474</v>
      </c>
      <c r="CJ16" s="52">
        <f t="shared" si="5"/>
        <v>45838</v>
      </c>
      <c r="CK16" s="51">
        <f t="shared" si="47"/>
        <v>6</v>
      </c>
      <c r="CL16" s="15">
        <f t="shared" si="18"/>
        <v>2279718.8333333335</v>
      </c>
      <c r="CM16" s="54">
        <f t="shared" si="53"/>
        <v>6.1351840171115946E-2</v>
      </c>
      <c r="CN16" s="15">
        <f t="shared" si="19"/>
        <v>13678313</v>
      </c>
      <c r="CO16" s="54">
        <f>CN16/CN15-1</f>
        <v>6.1351840171115946E-2</v>
      </c>
      <c r="CP16" s="44">
        <v>53154484</v>
      </c>
      <c r="CQ16" s="49">
        <f t="shared" si="20"/>
        <v>0.25733130999823084</v>
      </c>
      <c r="CS16" s="46"/>
      <c r="CT16" s="45"/>
      <c r="CU16" s="3"/>
      <c r="CV16" s="44">
        <v>1600000</v>
      </c>
      <c r="CW16" s="44"/>
      <c r="CX16" s="44"/>
      <c r="CZ16" s="3" t="s">
        <v>95</v>
      </c>
      <c r="DA16" s="52">
        <f t="shared" si="17"/>
        <v>45474</v>
      </c>
      <c r="DB16" s="52">
        <f t="shared" si="6"/>
        <v>45838</v>
      </c>
      <c r="DC16" s="51">
        <f t="shared" si="48"/>
        <v>1</v>
      </c>
      <c r="DD16" s="15" t="e">
        <f t="shared" si="21"/>
        <v>#DIV/0!</v>
      </c>
      <c r="DE16" s="54" t="e">
        <f t="shared" si="54"/>
        <v>#DIV/0!</v>
      </c>
      <c r="DF16" s="15">
        <f t="shared" si="22"/>
        <v>0</v>
      </c>
      <c r="DG16" s="54" t="e">
        <f>DF16/DF15-1</f>
        <v>#DIV/0!</v>
      </c>
      <c r="DH16" s="44">
        <v>53154484</v>
      </c>
      <c r="DI16" s="49">
        <f t="shared" si="23"/>
        <v>0</v>
      </c>
    </row>
    <row r="17" spans="2:113">
      <c r="B17" s="46">
        <v>284</v>
      </c>
      <c r="C17" s="45">
        <v>43707</v>
      </c>
      <c r="D17" s="3">
        <f t="shared" si="7"/>
        <v>63</v>
      </c>
      <c r="E17" s="44">
        <v>1656048</v>
      </c>
      <c r="G17" s="3" t="s">
        <v>94</v>
      </c>
      <c r="H17" s="52">
        <f t="shared" si="8"/>
        <v>45839</v>
      </c>
      <c r="I17" s="52">
        <f t="shared" si="0"/>
        <v>46203</v>
      </c>
      <c r="J17" s="51">
        <f t="shared" si="25"/>
        <v>6</v>
      </c>
      <c r="K17" s="15">
        <f t="shared" si="26"/>
        <v>5566828.5</v>
      </c>
      <c r="L17" s="54">
        <f t="shared" si="49"/>
        <v>0.30984199999999995</v>
      </c>
      <c r="M17" s="15">
        <f t="shared" si="27"/>
        <v>33400971</v>
      </c>
      <c r="N17" s="54">
        <f t="shared" si="38"/>
        <v>0.30984199999999995</v>
      </c>
      <c r="O17" s="53">
        <f>M17/P16</f>
        <v>176025205.058148</v>
      </c>
      <c r="P17" s="49">
        <f t="shared" si="28"/>
        <v>0.18975106996163621</v>
      </c>
      <c r="R17" s="46">
        <v>178</v>
      </c>
      <c r="S17" s="45"/>
      <c r="T17" s="3"/>
      <c r="U17" s="44"/>
      <c r="W17" s="3" t="s">
        <v>94</v>
      </c>
      <c r="X17" s="52">
        <f t="shared" si="9"/>
        <v>45839</v>
      </c>
      <c r="Y17" s="52">
        <f t="shared" si="1"/>
        <v>46203</v>
      </c>
      <c r="Z17" s="51">
        <f t="shared" si="39"/>
        <v>8</v>
      </c>
      <c r="AA17" s="15">
        <f t="shared" si="40"/>
        <v>965625</v>
      </c>
      <c r="AB17" s="54">
        <f t="shared" si="50"/>
        <v>4.2791576673866016E-2</v>
      </c>
      <c r="AC17" s="15">
        <f t="shared" si="41"/>
        <v>7725000</v>
      </c>
      <c r="AD17" s="50"/>
      <c r="AE17" s="53">
        <f>AC17/AF16</f>
        <v>27334238.856641468</v>
      </c>
      <c r="AF17" s="49">
        <f t="shared" si="42"/>
        <v>0.28261258857489779</v>
      </c>
      <c r="AH17" s="46">
        <v>421</v>
      </c>
      <c r="AI17" s="45">
        <v>43621</v>
      </c>
      <c r="AJ17" s="3">
        <f t="shared" si="10"/>
        <v>56</v>
      </c>
      <c r="AK17" s="44">
        <v>1302765</v>
      </c>
      <c r="AM17" s="3" t="s">
        <v>94</v>
      </c>
      <c r="AN17" s="52">
        <f t="shared" si="11"/>
        <v>45839</v>
      </c>
      <c r="AO17" s="52">
        <f t="shared" si="2"/>
        <v>46203</v>
      </c>
      <c r="AP17" s="51">
        <f t="shared" si="43"/>
        <v>6</v>
      </c>
      <c r="AQ17" s="15">
        <f t="shared" si="44"/>
        <v>3028333.3333333335</v>
      </c>
      <c r="AR17" s="15">
        <f t="shared" si="45"/>
        <v>18170000</v>
      </c>
      <c r="AS17" s="50"/>
      <c r="AT17" s="53">
        <f>AR17/AU16</f>
        <v>41422287.134502925</v>
      </c>
      <c r="AU17" s="49">
        <f t="shared" si="46"/>
        <v>0.43865274606879923</v>
      </c>
      <c r="AW17" s="46">
        <v>360</v>
      </c>
      <c r="AX17" s="45">
        <v>43425</v>
      </c>
      <c r="AY17" s="3">
        <f t="shared" si="12"/>
        <v>33</v>
      </c>
      <c r="AZ17" s="44">
        <v>2703056</v>
      </c>
      <c r="BB17" s="3" t="s">
        <v>116</v>
      </c>
      <c r="BC17" s="52">
        <f t="shared" si="13"/>
        <v>46023</v>
      </c>
      <c r="BD17" s="52">
        <f t="shared" si="3"/>
        <v>46387</v>
      </c>
      <c r="BE17" s="51">
        <f t="shared" si="29"/>
        <v>4</v>
      </c>
      <c r="BF17" s="15">
        <f t="shared" si="30"/>
        <v>13976906</v>
      </c>
      <c r="BG17" s="54">
        <f t="shared" si="51"/>
        <v>0.6696792652023873</v>
      </c>
      <c r="BH17" s="15">
        <f t="shared" si="31"/>
        <v>55907624</v>
      </c>
      <c r="BI17" s="50"/>
      <c r="BJ17" s="53">
        <f>BH17/BK16</f>
        <v>167146218.21153557</v>
      </c>
      <c r="BK17" s="49">
        <f t="shared" si="32"/>
        <v>0.33448333200841479</v>
      </c>
      <c r="BM17" s="46">
        <v>481</v>
      </c>
      <c r="BN17" s="45">
        <v>43420</v>
      </c>
      <c r="BO17" s="3">
        <f t="shared" si="14"/>
        <v>35</v>
      </c>
      <c r="BP17" s="44">
        <v>1656340</v>
      </c>
      <c r="BR17" s="3" t="s">
        <v>94</v>
      </c>
      <c r="BS17" s="52">
        <f t="shared" si="15"/>
        <v>45839</v>
      </c>
      <c r="BT17" s="52">
        <f t="shared" si="4"/>
        <v>46203</v>
      </c>
      <c r="BU17" s="51">
        <f t="shared" si="33"/>
        <v>10</v>
      </c>
      <c r="BV17" s="15">
        <f t="shared" si="34"/>
        <v>3433095.3</v>
      </c>
      <c r="BW17" s="54">
        <f t="shared" si="52"/>
        <v>4.3985732611323547E-2</v>
      </c>
      <c r="BX17" s="15">
        <f t="shared" si="35"/>
        <v>34330953</v>
      </c>
      <c r="BY17" s="50"/>
      <c r="BZ17" s="53">
        <f>BX17/CA16</f>
        <v>81988375.52489768</v>
      </c>
      <c r="CA17" s="49">
        <f t="shared" si="36"/>
        <v>0.41872951842514072</v>
      </c>
      <c r="CC17" s="46">
        <v>179</v>
      </c>
      <c r="CD17" s="45">
        <v>42790</v>
      </c>
      <c r="CE17" s="3">
        <f t="shared" si="24"/>
        <v>70</v>
      </c>
      <c r="CF17" s="44">
        <v>1001399</v>
      </c>
      <c r="CH17" s="3" t="s">
        <v>94</v>
      </c>
      <c r="CI17" s="52">
        <f t="shared" si="16"/>
        <v>45839</v>
      </c>
      <c r="CJ17" s="52">
        <f t="shared" si="5"/>
        <v>46203</v>
      </c>
      <c r="CK17" s="51">
        <f t="shared" si="47"/>
        <v>6</v>
      </c>
      <c r="CL17" s="15">
        <f t="shared" si="18"/>
        <v>2754387.1666666665</v>
      </c>
      <c r="CM17" s="54">
        <f t="shared" si="53"/>
        <v>0.20821354212321341</v>
      </c>
      <c r="CN17" s="15">
        <f t="shared" si="19"/>
        <v>16526323</v>
      </c>
      <c r="CO17" s="50"/>
      <c r="CP17" s="53">
        <f>CN17/CQ16</f>
        <v>64221967.393371679</v>
      </c>
      <c r="CQ17" s="49">
        <f t="shared" si="20"/>
        <v>0.25733130999823084</v>
      </c>
      <c r="CS17" s="46"/>
      <c r="CT17" s="45"/>
      <c r="CU17" s="3"/>
      <c r="CV17" s="44">
        <v>500000</v>
      </c>
      <c r="CW17" s="44"/>
      <c r="CX17" s="44"/>
      <c r="CZ17" s="3" t="s">
        <v>94</v>
      </c>
      <c r="DA17" s="52">
        <f t="shared" si="17"/>
        <v>45839</v>
      </c>
      <c r="DB17" s="52">
        <f t="shared" si="6"/>
        <v>46203</v>
      </c>
      <c r="DC17" s="51">
        <f t="shared" si="48"/>
        <v>1</v>
      </c>
      <c r="DD17" s="15">
        <f t="shared" si="21"/>
        <v>3800000</v>
      </c>
      <c r="DE17" s="54" t="e">
        <f t="shared" si="54"/>
        <v>#DIV/0!</v>
      </c>
      <c r="DF17" s="15">
        <f t="shared" si="22"/>
        <v>3800000</v>
      </c>
      <c r="DG17" s="50"/>
      <c r="DH17" s="53" t="e">
        <f>DF17/DI16</f>
        <v>#DIV/0!</v>
      </c>
      <c r="DI17" s="49" t="e">
        <f t="shared" si="23"/>
        <v>#DIV/0!</v>
      </c>
    </row>
    <row r="18" spans="2:113">
      <c r="B18" s="46">
        <v>285</v>
      </c>
      <c r="C18" s="45">
        <v>43763</v>
      </c>
      <c r="D18" s="3">
        <f t="shared" si="7"/>
        <v>56</v>
      </c>
      <c r="E18" s="44">
        <v>1657488</v>
      </c>
      <c r="R18" s="46">
        <v>179</v>
      </c>
      <c r="S18" s="45">
        <v>43657</v>
      </c>
      <c r="T18" s="3"/>
      <c r="U18" s="44">
        <v>797000</v>
      </c>
      <c r="AH18" s="46">
        <v>422</v>
      </c>
      <c r="AI18" s="45">
        <v>43670</v>
      </c>
      <c r="AJ18" s="3">
        <f t="shared" si="10"/>
        <v>49</v>
      </c>
      <c r="AK18" s="44">
        <v>1244457</v>
      </c>
      <c r="AW18" s="46">
        <v>361</v>
      </c>
      <c r="AX18" s="45">
        <v>43455</v>
      </c>
      <c r="AY18" s="3">
        <f t="shared" si="12"/>
        <v>30</v>
      </c>
      <c r="AZ18" s="44">
        <v>5005155</v>
      </c>
      <c r="BM18" s="46">
        <v>482</v>
      </c>
      <c r="BN18" s="45">
        <v>43455</v>
      </c>
      <c r="BO18" s="3">
        <f t="shared" si="14"/>
        <v>35</v>
      </c>
      <c r="BP18" s="44">
        <v>3252792</v>
      </c>
      <c r="CC18" s="46">
        <v>180</v>
      </c>
      <c r="CD18" s="45">
        <v>42853</v>
      </c>
      <c r="CE18" s="3">
        <f t="shared" si="24"/>
        <v>63</v>
      </c>
      <c r="CF18" s="44">
        <v>1001399</v>
      </c>
      <c r="CS18" s="46" t="s">
        <v>203</v>
      </c>
      <c r="CT18" s="45">
        <v>45754</v>
      </c>
      <c r="CU18" s="3"/>
      <c r="CV18" s="44"/>
      <c r="CW18" s="44">
        <v>8000000</v>
      </c>
      <c r="CX18" s="44">
        <v>17338807</v>
      </c>
    </row>
    <row r="19" spans="2:113">
      <c r="B19" s="46">
        <v>286</v>
      </c>
      <c r="C19" s="45">
        <v>43818</v>
      </c>
      <c r="D19" s="3">
        <f t="shared" si="7"/>
        <v>55</v>
      </c>
      <c r="E19" s="44">
        <v>1652313</v>
      </c>
      <c r="R19" s="46">
        <v>180</v>
      </c>
      <c r="S19" s="45">
        <v>43706</v>
      </c>
      <c r="T19" s="3">
        <f t="shared" ref="T19:T70" si="55">S19-S18</f>
        <v>49</v>
      </c>
      <c r="U19" s="44">
        <v>797000</v>
      </c>
      <c r="AH19" s="46">
        <v>423</v>
      </c>
      <c r="AI19" s="45">
        <v>43719</v>
      </c>
      <c r="AJ19" s="3">
        <f t="shared" si="10"/>
        <v>49</v>
      </c>
      <c r="AK19" s="44">
        <v>1339420</v>
      </c>
      <c r="AW19" s="46">
        <v>362</v>
      </c>
      <c r="AX19" s="45">
        <v>43495</v>
      </c>
      <c r="AY19" s="3">
        <f t="shared" si="12"/>
        <v>40</v>
      </c>
      <c r="AZ19" s="44">
        <v>2077805</v>
      </c>
      <c r="BM19" s="46">
        <v>483</v>
      </c>
      <c r="BN19" s="45">
        <v>43495</v>
      </c>
      <c r="BO19" s="3">
        <f t="shared" si="14"/>
        <v>40</v>
      </c>
      <c r="BP19" s="44">
        <v>2115471</v>
      </c>
      <c r="CC19" s="46">
        <v>181</v>
      </c>
      <c r="CD19" s="45">
        <v>42909</v>
      </c>
      <c r="CE19" s="3">
        <f t="shared" si="24"/>
        <v>56</v>
      </c>
      <c r="CF19" s="44">
        <v>1004900</v>
      </c>
      <c r="CS19" s="46" t="s">
        <v>205</v>
      </c>
      <c r="CT19" s="45"/>
      <c r="CU19" s="3"/>
      <c r="CV19" s="44"/>
      <c r="CW19" s="44">
        <v>7400000</v>
      </c>
      <c r="CX19" s="44"/>
    </row>
    <row r="20" spans="2:113">
      <c r="B20" s="46">
        <v>287</v>
      </c>
      <c r="C20" s="45">
        <v>43889</v>
      </c>
      <c r="D20" s="3">
        <f t="shared" si="7"/>
        <v>71</v>
      </c>
      <c r="E20" s="44">
        <v>1421549</v>
      </c>
      <c r="R20" s="46">
        <v>181</v>
      </c>
      <c r="S20" s="45">
        <v>43755</v>
      </c>
      <c r="T20" s="3">
        <f t="shared" si="55"/>
        <v>49</v>
      </c>
      <c r="U20" s="44">
        <v>797000</v>
      </c>
      <c r="AH20" s="46">
        <v>424</v>
      </c>
      <c r="AI20" s="45">
        <v>43768</v>
      </c>
      <c r="AJ20" s="3">
        <f t="shared" si="10"/>
        <v>49</v>
      </c>
      <c r="AK20" s="44">
        <v>1398643</v>
      </c>
      <c r="AW20" s="46">
        <v>363</v>
      </c>
      <c r="AX20" s="45">
        <v>43530</v>
      </c>
      <c r="AY20" s="3">
        <f t="shared" si="12"/>
        <v>35</v>
      </c>
      <c r="AZ20" s="44">
        <v>2310125</v>
      </c>
      <c r="BM20" s="46">
        <v>484</v>
      </c>
      <c r="BN20" s="45">
        <v>43532</v>
      </c>
      <c r="BO20" s="3">
        <f t="shared" si="14"/>
        <v>37</v>
      </c>
      <c r="BP20" s="44">
        <v>1768086</v>
      </c>
      <c r="CC20" s="46">
        <v>182</v>
      </c>
      <c r="CD20" s="45">
        <v>42965</v>
      </c>
      <c r="CE20" s="3">
        <f t="shared" si="24"/>
        <v>56</v>
      </c>
      <c r="CF20" s="44">
        <v>1185399</v>
      </c>
      <c r="CS20" s="46"/>
      <c r="CT20" s="45"/>
      <c r="CU20" s="3"/>
      <c r="CV20" s="44"/>
      <c r="CW20" s="44"/>
      <c r="CX20" s="44">
        <v>17644453</v>
      </c>
    </row>
    <row r="21" spans="2:113">
      <c r="B21" s="46">
        <v>288</v>
      </c>
      <c r="C21" s="45">
        <v>43945</v>
      </c>
      <c r="D21" s="3">
        <f t="shared" si="7"/>
        <v>56</v>
      </c>
      <c r="E21" s="44">
        <v>1610625</v>
      </c>
      <c r="G21" s="10" t="s">
        <v>192</v>
      </c>
      <c r="R21" s="46">
        <v>182</v>
      </c>
      <c r="S21" s="45">
        <v>43818</v>
      </c>
      <c r="T21" s="3">
        <f t="shared" si="55"/>
        <v>63</v>
      </c>
      <c r="U21" s="44">
        <v>897000</v>
      </c>
      <c r="W21" s="65" t="s">
        <v>151</v>
      </c>
      <c r="AH21" s="46">
        <v>425</v>
      </c>
      <c r="AI21" s="45">
        <v>43817</v>
      </c>
      <c r="AJ21" s="3">
        <f t="shared" si="10"/>
        <v>49</v>
      </c>
      <c r="AK21" s="44">
        <v>1230946</v>
      </c>
      <c r="AW21" s="46">
        <v>364</v>
      </c>
      <c r="AX21" s="45">
        <v>43565</v>
      </c>
      <c r="AY21" s="3">
        <f t="shared" si="12"/>
        <v>35</v>
      </c>
      <c r="AZ21" s="44">
        <v>2391894</v>
      </c>
      <c r="BB21" s="3" t="s">
        <v>88</v>
      </c>
      <c r="BC21" s="55">
        <v>41456</v>
      </c>
      <c r="BD21" s="52">
        <f t="shared" ref="BD21:BD34" si="56">EOMONTH(BC21,11)</f>
        <v>41820</v>
      </c>
      <c r="BJ21" s="44"/>
      <c r="BK21" s="47"/>
      <c r="BM21" s="46">
        <v>485</v>
      </c>
      <c r="BN21" s="45">
        <v>43567</v>
      </c>
      <c r="BO21" s="3">
        <f t="shared" si="14"/>
        <v>35</v>
      </c>
      <c r="BP21" s="44">
        <v>1646599</v>
      </c>
      <c r="CC21" s="46">
        <v>183</v>
      </c>
      <c r="CD21" s="45">
        <v>43028</v>
      </c>
      <c r="CE21" s="3">
        <f t="shared" si="24"/>
        <v>63</v>
      </c>
      <c r="CF21" s="44">
        <v>1170990</v>
      </c>
      <c r="CS21" s="46"/>
      <c r="CT21" s="45"/>
      <c r="CU21" s="3"/>
      <c r="CV21" s="44"/>
      <c r="CW21" s="44"/>
      <c r="CX21" s="44"/>
    </row>
    <row r="22" spans="2:113">
      <c r="B22" s="46">
        <v>289</v>
      </c>
      <c r="C22" s="45">
        <v>44008</v>
      </c>
      <c r="D22" s="3">
        <f t="shared" si="7"/>
        <v>63</v>
      </c>
      <c r="E22" s="44">
        <v>1580923</v>
      </c>
      <c r="G22" s="10" t="s">
        <v>114</v>
      </c>
      <c r="R22" s="46">
        <v>183</v>
      </c>
      <c r="S22" s="45">
        <v>43867</v>
      </c>
      <c r="T22" s="3">
        <f t="shared" si="55"/>
        <v>49</v>
      </c>
      <c r="U22" s="44">
        <v>897000</v>
      </c>
      <c r="AH22" s="46">
        <v>426</v>
      </c>
      <c r="AI22" s="45">
        <v>43881</v>
      </c>
      <c r="AJ22" s="3">
        <f t="shared" si="10"/>
        <v>64</v>
      </c>
      <c r="AK22" s="44">
        <v>1058744</v>
      </c>
      <c r="AW22" s="46">
        <v>365</v>
      </c>
      <c r="AX22" s="45">
        <v>43600</v>
      </c>
      <c r="AY22" s="3">
        <f t="shared" si="12"/>
        <v>35</v>
      </c>
      <c r="AZ22" s="44">
        <v>3317434</v>
      </c>
      <c r="BB22" s="3" t="s">
        <v>87</v>
      </c>
      <c r="BC22" s="52">
        <f t="shared" ref="BC22:BC34" si="57">BD21+1</f>
        <v>41821</v>
      </c>
      <c r="BD22" s="52">
        <f t="shared" si="56"/>
        <v>42185</v>
      </c>
      <c r="BJ22" s="44"/>
      <c r="BK22" s="47"/>
      <c r="BM22" s="46">
        <v>486</v>
      </c>
      <c r="BN22" s="45">
        <v>43609</v>
      </c>
      <c r="BO22" s="3">
        <f t="shared" si="14"/>
        <v>42</v>
      </c>
      <c r="BP22" s="44">
        <v>1695293</v>
      </c>
      <c r="BR22" s="72" t="s">
        <v>193</v>
      </c>
      <c r="CC22" s="46">
        <v>184</v>
      </c>
      <c r="CD22" s="45">
        <v>43084</v>
      </c>
      <c r="CE22" s="3">
        <f t="shared" si="24"/>
        <v>56</v>
      </c>
      <c r="CF22" s="44">
        <v>1137000</v>
      </c>
      <c r="CS22" s="46"/>
      <c r="CT22" s="45"/>
      <c r="CU22" s="3"/>
      <c r="CV22" s="44"/>
      <c r="CW22" s="44"/>
      <c r="CX22" s="44"/>
    </row>
    <row r="23" spans="2:113">
      <c r="B23" s="46">
        <v>290</v>
      </c>
      <c r="C23" s="45">
        <v>44069</v>
      </c>
      <c r="D23" s="3">
        <f t="shared" si="7"/>
        <v>61</v>
      </c>
      <c r="E23" s="44">
        <v>1573744</v>
      </c>
      <c r="R23" s="46">
        <v>184</v>
      </c>
      <c r="S23" s="45">
        <v>43916</v>
      </c>
      <c r="T23" s="3">
        <f t="shared" si="55"/>
        <v>49</v>
      </c>
      <c r="U23" s="44">
        <v>897000</v>
      </c>
      <c r="AH23" s="46">
        <v>427</v>
      </c>
      <c r="AI23" s="45">
        <v>43937</v>
      </c>
      <c r="AJ23" s="3">
        <f t="shared" si="10"/>
        <v>56</v>
      </c>
      <c r="AK23" s="44">
        <v>1098865</v>
      </c>
      <c r="AW23" s="46">
        <v>366</v>
      </c>
      <c r="AX23" s="45">
        <v>43635</v>
      </c>
      <c r="AY23" s="3">
        <f t="shared" si="12"/>
        <v>35</v>
      </c>
      <c r="AZ23" s="44">
        <v>2542616</v>
      </c>
      <c r="BB23" s="3" t="s">
        <v>86</v>
      </c>
      <c r="BC23" s="52">
        <f t="shared" si="57"/>
        <v>42186</v>
      </c>
      <c r="BD23" s="52">
        <f t="shared" si="56"/>
        <v>42551</v>
      </c>
      <c r="BJ23" s="44"/>
      <c r="BK23" s="47"/>
      <c r="BM23" s="46">
        <v>487</v>
      </c>
      <c r="BN23" s="45">
        <v>43644</v>
      </c>
      <c r="BO23" s="3">
        <f t="shared" si="14"/>
        <v>35</v>
      </c>
      <c r="BP23" s="44">
        <v>1593963</v>
      </c>
      <c r="CC23" s="46">
        <v>185</v>
      </c>
      <c r="CD23" s="45">
        <v>43154</v>
      </c>
      <c r="CE23" s="3">
        <f t="shared" si="24"/>
        <v>70</v>
      </c>
      <c r="CF23" s="44">
        <v>1279888</v>
      </c>
      <c r="CS23" s="46"/>
      <c r="CT23" s="45"/>
      <c r="CU23" s="3"/>
      <c r="CV23" s="44"/>
      <c r="CW23" s="44"/>
      <c r="CX23" s="44"/>
    </row>
    <row r="24" spans="2:113">
      <c r="B24" s="46">
        <v>291</v>
      </c>
      <c r="C24" s="45">
        <v>44132</v>
      </c>
      <c r="D24" s="3">
        <f t="shared" si="7"/>
        <v>63</v>
      </c>
      <c r="E24" s="44">
        <v>1454047</v>
      </c>
      <c r="R24" s="46">
        <v>185</v>
      </c>
      <c r="S24" s="45">
        <v>43972</v>
      </c>
      <c r="T24" s="3">
        <f t="shared" si="55"/>
        <v>56</v>
      </c>
      <c r="U24" s="44">
        <v>897000</v>
      </c>
      <c r="AH24" s="46">
        <v>428</v>
      </c>
      <c r="AI24" s="45">
        <v>44007</v>
      </c>
      <c r="AJ24" s="3">
        <f t="shared" si="10"/>
        <v>70</v>
      </c>
      <c r="AK24" s="44">
        <v>1167076</v>
      </c>
      <c r="AW24" s="46">
        <v>367</v>
      </c>
      <c r="AX24" s="45">
        <v>43662</v>
      </c>
      <c r="AY24" s="3">
        <f t="shared" si="12"/>
        <v>27</v>
      </c>
      <c r="AZ24" s="44">
        <v>3772339</v>
      </c>
      <c r="BB24" s="3" t="s">
        <v>85</v>
      </c>
      <c r="BC24" s="52">
        <f t="shared" si="57"/>
        <v>42552</v>
      </c>
      <c r="BD24" s="52">
        <f t="shared" si="56"/>
        <v>42916</v>
      </c>
      <c r="BJ24" s="44"/>
      <c r="BK24" s="47"/>
      <c r="BM24" s="46">
        <v>488</v>
      </c>
      <c r="BN24" s="45">
        <v>43679</v>
      </c>
      <c r="BO24" s="3">
        <f t="shared" si="14"/>
        <v>35</v>
      </c>
      <c r="BP24" s="44">
        <v>1664230</v>
      </c>
      <c r="CC24" s="46">
        <v>186</v>
      </c>
      <c r="CD24" s="45">
        <v>43210</v>
      </c>
      <c r="CE24" s="3">
        <f t="shared" si="24"/>
        <v>56</v>
      </c>
      <c r="CF24" s="44">
        <v>1137000</v>
      </c>
      <c r="CS24" s="46"/>
      <c r="CT24" s="45"/>
      <c r="CU24" s="3"/>
      <c r="CV24" s="44"/>
      <c r="CW24" s="44"/>
      <c r="CX24" s="44"/>
    </row>
    <row r="25" spans="2:113">
      <c r="B25" s="46">
        <v>292</v>
      </c>
      <c r="C25" s="45">
        <v>44187</v>
      </c>
      <c r="D25" s="3">
        <f t="shared" si="7"/>
        <v>55</v>
      </c>
      <c r="E25" s="44">
        <v>1719585</v>
      </c>
      <c r="R25" s="46">
        <v>186</v>
      </c>
      <c r="S25" s="45">
        <v>44021</v>
      </c>
      <c r="T25" s="3">
        <f t="shared" si="55"/>
        <v>49</v>
      </c>
      <c r="U25" s="44">
        <v>928500</v>
      </c>
      <c r="AH25" s="46">
        <v>429</v>
      </c>
      <c r="AI25" s="45">
        <v>44042</v>
      </c>
      <c r="AJ25" s="3">
        <f t="shared" si="10"/>
        <v>35</v>
      </c>
      <c r="AK25" s="44">
        <v>1328518</v>
      </c>
      <c r="AW25" s="46">
        <v>368</v>
      </c>
      <c r="AX25" s="45">
        <v>43705</v>
      </c>
      <c r="AY25" s="3">
        <f t="shared" si="12"/>
        <v>43</v>
      </c>
      <c r="AZ25" s="44">
        <v>2313695</v>
      </c>
      <c r="BB25" s="3" t="s">
        <v>84</v>
      </c>
      <c r="BC25" s="52">
        <f t="shared" si="57"/>
        <v>42917</v>
      </c>
      <c r="BD25" s="52">
        <f t="shared" si="56"/>
        <v>43281</v>
      </c>
      <c r="BF25" s="15"/>
      <c r="BH25" s="15"/>
      <c r="BI25" s="15"/>
      <c r="BJ25" s="44"/>
      <c r="BK25" s="47"/>
      <c r="BM25" s="46">
        <v>489</v>
      </c>
      <c r="BN25" s="45">
        <v>43713</v>
      </c>
      <c r="BO25" s="3">
        <f t="shared" si="14"/>
        <v>34</v>
      </c>
      <c r="BP25" s="44">
        <v>1719317</v>
      </c>
      <c r="CC25" s="46">
        <v>187</v>
      </c>
      <c r="CD25" s="45">
        <v>43273</v>
      </c>
      <c r="CE25" s="3">
        <f t="shared" si="24"/>
        <v>63</v>
      </c>
      <c r="CF25" s="44">
        <v>1122000</v>
      </c>
      <c r="CS25" s="46"/>
      <c r="CT25" s="45"/>
      <c r="CU25" s="3"/>
      <c r="CV25" s="44"/>
      <c r="CW25" s="44"/>
      <c r="CX25" s="44"/>
    </row>
    <row r="26" spans="2:113">
      <c r="B26" s="46">
        <v>293</v>
      </c>
      <c r="C26" s="45">
        <v>44251</v>
      </c>
      <c r="D26" s="3">
        <f t="shared" si="7"/>
        <v>64</v>
      </c>
      <c r="E26" s="44">
        <v>1468314</v>
      </c>
      <c r="R26" s="46">
        <v>187</v>
      </c>
      <c r="S26" s="45">
        <v>44070</v>
      </c>
      <c r="T26" s="3">
        <f t="shared" si="55"/>
        <v>49</v>
      </c>
      <c r="U26" s="44">
        <v>928500</v>
      </c>
      <c r="AH26" s="46">
        <v>430</v>
      </c>
      <c r="AI26" s="45">
        <v>44084</v>
      </c>
      <c r="AJ26" s="3">
        <f t="shared" si="10"/>
        <v>42</v>
      </c>
      <c r="AK26" s="44">
        <v>1232837</v>
      </c>
      <c r="AW26" s="46">
        <v>369</v>
      </c>
      <c r="AX26" s="45">
        <v>43747</v>
      </c>
      <c r="AY26" s="3">
        <f t="shared" si="12"/>
        <v>42</v>
      </c>
      <c r="AZ26" s="44">
        <v>4165148</v>
      </c>
      <c r="BB26" s="3" t="s">
        <v>83</v>
      </c>
      <c r="BC26" s="52">
        <f t="shared" si="57"/>
        <v>43282</v>
      </c>
      <c r="BD26" s="52">
        <f t="shared" si="56"/>
        <v>43646</v>
      </c>
      <c r="BE26" s="51">
        <f t="shared" ref="BE26:BE34" si="58">COUNTIFS(AX:AX,"&gt;="&amp;BC26,AX:AX,"&lt;="&amp;BD26)</f>
        <v>11</v>
      </c>
      <c r="BF26" s="15">
        <f t="shared" ref="BF26:BF34" si="59">AVERAGEIFS(AZ:AZ,AX:AX,"&gt;="&amp;BC26,AX:AX,"&lt;="&amp;BD26)</f>
        <v>2962867.4545454546</v>
      </c>
      <c r="BG26" s="54"/>
      <c r="BH26" s="15">
        <f t="shared" ref="BH26:BH34" si="60">SUMIFS(AZ:AZ,AX:AX,"&gt;="&amp;BC26,AX:AX,"&lt;="&amp;BD26)</f>
        <v>32591542</v>
      </c>
      <c r="BI26" s="15"/>
      <c r="BJ26" s="44"/>
      <c r="BK26" s="49"/>
      <c r="BM26" s="46">
        <v>490</v>
      </c>
      <c r="BN26" s="45">
        <v>43749</v>
      </c>
      <c r="BO26" s="3">
        <f t="shared" si="14"/>
        <v>36</v>
      </c>
      <c r="BP26" s="44">
        <v>1833058</v>
      </c>
      <c r="CC26" s="46">
        <v>188</v>
      </c>
      <c r="CD26" s="45">
        <v>43336</v>
      </c>
      <c r="CE26" s="3">
        <f t="shared" si="24"/>
        <v>63</v>
      </c>
      <c r="CF26" s="44">
        <v>1294572</v>
      </c>
      <c r="CS26" s="46"/>
      <c r="CT26" s="45"/>
      <c r="CU26" s="3"/>
      <c r="CV26" s="44"/>
      <c r="CW26" s="44"/>
      <c r="CX26" s="44"/>
    </row>
    <row r="27" spans="2:113">
      <c r="B27" s="46">
        <v>294</v>
      </c>
      <c r="C27" s="45">
        <v>44314</v>
      </c>
      <c r="D27" s="3">
        <f t="shared" si="7"/>
        <v>63</v>
      </c>
      <c r="E27" s="44">
        <v>1594096</v>
      </c>
      <c r="R27" s="46">
        <v>188</v>
      </c>
      <c r="S27" s="45">
        <v>44119</v>
      </c>
      <c r="T27" s="3">
        <f t="shared" si="55"/>
        <v>49</v>
      </c>
      <c r="U27" s="44">
        <v>928500</v>
      </c>
      <c r="AH27" s="46">
        <v>431</v>
      </c>
      <c r="AI27" s="45">
        <v>44133</v>
      </c>
      <c r="AJ27" s="3">
        <f t="shared" si="10"/>
        <v>49</v>
      </c>
      <c r="AK27" s="44">
        <v>1300000</v>
      </c>
      <c r="AW27" s="46">
        <v>370</v>
      </c>
      <c r="AX27" s="45">
        <v>43782</v>
      </c>
      <c r="AY27" s="3">
        <f t="shared" si="12"/>
        <v>35</v>
      </c>
      <c r="AZ27" s="44">
        <v>2400000</v>
      </c>
      <c r="BB27" s="3" t="s">
        <v>82</v>
      </c>
      <c r="BC27" s="52">
        <f t="shared" si="57"/>
        <v>43647</v>
      </c>
      <c r="BD27" s="52">
        <f t="shared" si="56"/>
        <v>44012</v>
      </c>
      <c r="BE27" s="51">
        <f t="shared" si="58"/>
        <v>10</v>
      </c>
      <c r="BF27" s="15">
        <f t="shared" si="59"/>
        <v>3556408.6</v>
      </c>
      <c r="BG27" s="54">
        <f t="shared" ref="BG27:BG33" si="61">BF27/BF26-1</f>
        <v>0.2003265939365495</v>
      </c>
      <c r="BH27" s="15">
        <f t="shared" si="60"/>
        <v>35564086</v>
      </c>
      <c r="BI27" s="54"/>
      <c r="BJ27" s="44"/>
      <c r="BK27" s="49"/>
      <c r="BM27" s="46">
        <v>491</v>
      </c>
      <c r="BN27" s="45">
        <v>43782</v>
      </c>
      <c r="BO27" s="3">
        <f t="shared" si="14"/>
        <v>33</v>
      </c>
      <c r="BP27" s="44">
        <v>1843033</v>
      </c>
      <c r="CC27" s="46">
        <v>189</v>
      </c>
      <c r="CD27" s="45">
        <v>43392</v>
      </c>
      <c r="CE27" s="3">
        <f t="shared" si="24"/>
        <v>56</v>
      </c>
      <c r="CF27" s="44">
        <v>1224091</v>
      </c>
      <c r="CS27" s="46"/>
      <c r="CT27" s="45"/>
      <c r="CU27" s="3"/>
      <c r="CV27" s="44"/>
      <c r="CW27" s="44"/>
      <c r="CX27" s="44"/>
    </row>
    <row r="28" spans="2:113">
      <c r="B28" s="46">
        <v>295</v>
      </c>
      <c r="C28" s="45">
        <v>44370</v>
      </c>
      <c r="D28" s="3">
        <f t="shared" si="7"/>
        <v>56</v>
      </c>
      <c r="E28" s="44">
        <v>1822830</v>
      </c>
      <c r="R28" s="46">
        <v>189</v>
      </c>
      <c r="S28" s="45">
        <v>44182</v>
      </c>
      <c r="T28" s="3">
        <f t="shared" si="55"/>
        <v>63</v>
      </c>
      <c r="U28" s="44">
        <v>928500</v>
      </c>
      <c r="AH28" s="46">
        <v>432</v>
      </c>
      <c r="AI28" s="45">
        <v>44182</v>
      </c>
      <c r="AJ28" s="3">
        <f t="shared" si="10"/>
        <v>49</v>
      </c>
      <c r="AK28" s="44">
        <v>1130000</v>
      </c>
      <c r="AW28" s="46">
        <v>371</v>
      </c>
      <c r="AX28" s="45">
        <v>43823</v>
      </c>
      <c r="AY28" s="3">
        <f t="shared" si="12"/>
        <v>41</v>
      </c>
      <c r="AZ28" s="44">
        <v>6400613</v>
      </c>
      <c r="BB28" s="3" t="s">
        <v>81</v>
      </c>
      <c r="BC28" s="52">
        <f t="shared" si="57"/>
        <v>44013</v>
      </c>
      <c r="BD28" s="52">
        <f t="shared" si="56"/>
        <v>44377</v>
      </c>
      <c r="BE28" s="51">
        <f t="shared" si="58"/>
        <v>10</v>
      </c>
      <c r="BF28" s="15">
        <f t="shared" si="59"/>
        <v>4460080.7</v>
      </c>
      <c r="BG28" s="54">
        <f t="shared" si="61"/>
        <v>0.25409681553463792</v>
      </c>
      <c r="BH28" s="15">
        <f t="shared" si="60"/>
        <v>44600807</v>
      </c>
      <c r="BI28" s="54"/>
      <c r="BJ28" s="44"/>
      <c r="BK28" s="49"/>
      <c r="BM28" s="46">
        <v>492</v>
      </c>
      <c r="BN28" s="45">
        <v>43822</v>
      </c>
      <c r="BO28" s="3">
        <f t="shared" si="14"/>
        <v>40</v>
      </c>
      <c r="BP28" s="44">
        <v>3501235</v>
      </c>
      <c r="CC28" s="46">
        <v>190</v>
      </c>
      <c r="CD28" s="45">
        <v>43448</v>
      </c>
      <c r="CE28" s="3">
        <f t="shared" si="24"/>
        <v>56</v>
      </c>
      <c r="CF28" s="44">
        <v>1470000</v>
      </c>
      <c r="CS28" s="46"/>
      <c r="CT28" s="45"/>
      <c r="CU28" s="3"/>
      <c r="CV28" s="44"/>
      <c r="CW28" s="44"/>
      <c r="CX28" s="44"/>
    </row>
    <row r="29" spans="2:113">
      <c r="B29" s="46">
        <v>296</v>
      </c>
      <c r="C29" s="45">
        <v>44433</v>
      </c>
      <c r="D29" s="3">
        <f t="shared" si="7"/>
        <v>63</v>
      </c>
      <c r="E29" s="44">
        <v>1764569</v>
      </c>
      <c r="R29" s="46">
        <v>190</v>
      </c>
      <c r="S29" s="45">
        <v>44231</v>
      </c>
      <c r="T29" s="3">
        <f t="shared" si="55"/>
        <v>49</v>
      </c>
      <c r="U29" s="44">
        <v>928500</v>
      </c>
      <c r="AH29" s="46">
        <v>433</v>
      </c>
      <c r="AI29" s="45">
        <v>44252</v>
      </c>
      <c r="AJ29" s="3">
        <f t="shared" si="10"/>
        <v>70</v>
      </c>
      <c r="AK29" s="44">
        <v>1190000</v>
      </c>
      <c r="AW29" s="46">
        <v>372</v>
      </c>
      <c r="AX29" s="45">
        <v>43859</v>
      </c>
      <c r="AY29" s="3">
        <f t="shared" si="12"/>
        <v>36</v>
      </c>
      <c r="AZ29" s="44">
        <v>2355726</v>
      </c>
      <c r="BB29" s="3" t="s">
        <v>80</v>
      </c>
      <c r="BC29" s="52">
        <f t="shared" si="57"/>
        <v>44378</v>
      </c>
      <c r="BD29" s="52">
        <f t="shared" si="56"/>
        <v>44742</v>
      </c>
      <c r="BE29" s="51">
        <f t="shared" si="58"/>
        <v>10</v>
      </c>
      <c r="BF29" s="15">
        <f t="shared" si="59"/>
        <v>5526025</v>
      </c>
      <c r="BG29" s="54">
        <f t="shared" si="61"/>
        <v>0.23899663967963614</v>
      </c>
      <c r="BH29" s="15">
        <f t="shared" si="60"/>
        <v>55260250</v>
      </c>
      <c r="BI29" s="54">
        <f>BH29/BH28-1</f>
        <v>0.23899663967963636</v>
      </c>
      <c r="BJ29" s="44"/>
      <c r="BK29" s="49"/>
      <c r="BM29" s="46">
        <v>493</v>
      </c>
      <c r="BN29" s="45">
        <v>43861</v>
      </c>
      <c r="BO29" s="3">
        <f t="shared" si="14"/>
        <v>39</v>
      </c>
      <c r="BP29" s="44">
        <v>1792048</v>
      </c>
      <c r="CC29" s="46">
        <v>191</v>
      </c>
      <c r="CD29" s="45">
        <v>43518</v>
      </c>
      <c r="CE29" s="3">
        <f t="shared" si="24"/>
        <v>70</v>
      </c>
      <c r="CF29" s="44">
        <v>1428910</v>
      </c>
      <c r="CS29" s="46"/>
      <c r="CT29" s="45"/>
      <c r="CU29" s="3"/>
      <c r="CV29" s="44"/>
      <c r="CW29" s="44"/>
      <c r="CX29" s="44"/>
    </row>
    <row r="30" spans="2:113">
      <c r="B30" s="46">
        <v>297</v>
      </c>
      <c r="C30" s="45">
        <v>44496</v>
      </c>
      <c r="D30" s="3">
        <f t="shared" si="7"/>
        <v>63</v>
      </c>
      <c r="E30" s="44">
        <v>1727876</v>
      </c>
      <c r="R30" s="46">
        <v>191</v>
      </c>
      <c r="S30" s="45">
        <v>44280</v>
      </c>
      <c r="T30" s="3">
        <f t="shared" si="55"/>
        <v>49</v>
      </c>
      <c r="U30" s="44">
        <v>928500</v>
      </c>
      <c r="AH30" s="46">
        <v>434</v>
      </c>
      <c r="AI30" s="45">
        <v>44308</v>
      </c>
      <c r="AJ30" s="3">
        <f t="shared" si="10"/>
        <v>56</v>
      </c>
      <c r="AK30" s="44">
        <v>1300000</v>
      </c>
      <c r="AW30" s="46">
        <v>373</v>
      </c>
      <c r="AX30" s="45">
        <v>43894</v>
      </c>
      <c r="AY30" s="3">
        <f t="shared" si="12"/>
        <v>35</v>
      </c>
      <c r="AZ30" s="44">
        <v>2877857</v>
      </c>
      <c r="BB30" s="3" t="s">
        <v>79</v>
      </c>
      <c r="BC30" s="52">
        <f t="shared" si="57"/>
        <v>44743</v>
      </c>
      <c r="BD30" s="52">
        <f t="shared" si="56"/>
        <v>45107</v>
      </c>
      <c r="BE30" s="51">
        <f t="shared" si="58"/>
        <v>9</v>
      </c>
      <c r="BF30" s="15">
        <f t="shared" si="59"/>
        <v>6303487.111111111</v>
      </c>
      <c r="BG30" s="54">
        <f t="shared" si="61"/>
        <v>0.14069102313346593</v>
      </c>
      <c r="BH30" s="15">
        <f t="shared" si="60"/>
        <v>56731384</v>
      </c>
      <c r="BI30" s="54">
        <f>BH30/BH29-1</f>
        <v>2.6621920820119271E-2</v>
      </c>
      <c r="BJ30" s="44"/>
      <c r="BK30" s="49"/>
      <c r="BM30" s="46">
        <v>494</v>
      </c>
      <c r="BN30" s="45">
        <v>43896</v>
      </c>
      <c r="BO30" s="3">
        <f t="shared" si="14"/>
        <v>35</v>
      </c>
      <c r="BP30" s="44">
        <v>1662786</v>
      </c>
      <c r="CC30" s="46">
        <v>192</v>
      </c>
      <c r="CD30" s="45">
        <v>43586</v>
      </c>
      <c r="CE30" s="3">
        <f t="shared" si="24"/>
        <v>68</v>
      </c>
      <c r="CF30" s="44">
        <v>1270000</v>
      </c>
      <c r="CS30" s="46"/>
      <c r="CT30" s="45"/>
      <c r="CU30" s="3"/>
      <c r="CV30" s="44"/>
      <c r="CW30" s="44"/>
      <c r="CX30" s="44"/>
    </row>
    <row r="31" spans="2:113">
      <c r="B31" s="46">
        <v>298</v>
      </c>
      <c r="C31" s="45">
        <v>44553</v>
      </c>
      <c r="D31" s="3">
        <f t="shared" si="7"/>
        <v>57</v>
      </c>
      <c r="E31" s="44">
        <v>3001927</v>
      </c>
      <c r="R31" s="46">
        <v>192</v>
      </c>
      <c r="S31" s="45">
        <v>44336</v>
      </c>
      <c r="T31" s="3">
        <f t="shared" si="55"/>
        <v>56</v>
      </c>
      <c r="U31" s="44">
        <v>928500</v>
      </c>
      <c r="AH31" s="46">
        <v>435</v>
      </c>
      <c r="AI31" s="45">
        <v>44357</v>
      </c>
      <c r="AJ31" s="3">
        <f t="shared" si="10"/>
        <v>49</v>
      </c>
      <c r="AK31" s="44">
        <v>1460000</v>
      </c>
      <c r="AW31" s="46">
        <v>374</v>
      </c>
      <c r="AX31" s="45">
        <v>43922</v>
      </c>
      <c r="AY31" s="3">
        <f t="shared" si="12"/>
        <v>28</v>
      </c>
      <c r="AZ31" s="44">
        <v>2831677</v>
      </c>
      <c r="BB31" s="3" t="s">
        <v>78</v>
      </c>
      <c r="BC31" s="52">
        <f t="shared" si="57"/>
        <v>45108</v>
      </c>
      <c r="BD31" s="52">
        <f t="shared" si="56"/>
        <v>45473</v>
      </c>
      <c r="BE31" s="51">
        <f t="shared" si="58"/>
        <v>10</v>
      </c>
      <c r="BF31" s="15">
        <f t="shared" si="59"/>
        <v>5559754.7000000002</v>
      </c>
      <c r="BG31" s="54">
        <f t="shared" si="61"/>
        <v>-0.11798745646677677</v>
      </c>
      <c r="BH31" s="15">
        <f t="shared" si="60"/>
        <v>55597547</v>
      </c>
      <c r="BI31" s="54">
        <f>BH31/BH30-1</f>
        <v>-1.998606274086312E-2</v>
      </c>
      <c r="BJ31" s="44"/>
      <c r="BK31" s="49"/>
      <c r="BM31" s="46">
        <v>495</v>
      </c>
      <c r="BN31" s="45">
        <v>43938</v>
      </c>
      <c r="BO31" s="3">
        <f t="shared" si="14"/>
        <v>42</v>
      </c>
      <c r="BP31" s="44">
        <v>1786239</v>
      </c>
      <c r="CC31" s="46">
        <v>193</v>
      </c>
      <c r="CD31" s="45">
        <v>43637</v>
      </c>
      <c r="CE31" s="3">
        <f t="shared" si="24"/>
        <v>51</v>
      </c>
      <c r="CF31" s="44">
        <v>1284000</v>
      </c>
      <c r="CS31" s="46"/>
      <c r="CT31" s="45"/>
      <c r="CU31" s="3"/>
      <c r="CV31" s="44"/>
      <c r="CW31" s="44"/>
      <c r="CX31" s="44"/>
    </row>
    <row r="32" spans="2:113">
      <c r="B32" s="46">
        <v>299</v>
      </c>
      <c r="C32" s="45">
        <v>44616</v>
      </c>
      <c r="D32" s="3">
        <f t="shared" si="7"/>
        <v>63</v>
      </c>
      <c r="E32" s="44">
        <v>1723169</v>
      </c>
      <c r="R32" s="46">
        <v>193</v>
      </c>
      <c r="S32" s="45">
        <v>44385</v>
      </c>
      <c r="T32" s="3">
        <f t="shared" si="55"/>
        <v>49</v>
      </c>
      <c r="U32" s="44">
        <v>928500</v>
      </c>
      <c r="AH32" s="46">
        <v>436</v>
      </c>
      <c r="AI32" s="45">
        <v>44399</v>
      </c>
      <c r="AJ32" s="3">
        <f t="shared" si="10"/>
        <v>42</v>
      </c>
      <c r="AK32" s="44">
        <v>1270933</v>
      </c>
      <c r="AW32" s="46">
        <v>375</v>
      </c>
      <c r="AX32" s="45">
        <v>43971</v>
      </c>
      <c r="AY32" s="3">
        <f t="shared" si="12"/>
        <v>49</v>
      </c>
      <c r="AZ32" s="44">
        <v>6007823</v>
      </c>
      <c r="BB32" s="3" t="s">
        <v>95</v>
      </c>
      <c r="BC32" s="52">
        <f t="shared" si="57"/>
        <v>45474</v>
      </c>
      <c r="BD32" s="52">
        <f t="shared" si="56"/>
        <v>45838</v>
      </c>
      <c r="BE32" s="51">
        <f t="shared" si="58"/>
        <v>11</v>
      </c>
      <c r="BF32" s="15">
        <f t="shared" si="59"/>
        <v>5915038.4545454541</v>
      </c>
      <c r="BG32" s="54">
        <f t="shared" si="61"/>
        <v>6.3902775161187142E-2</v>
      </c>
      <c r="BH32" s="15">
        <f t="shared" si="60"/>
        <v>65065423</v>
      </c>
      <c r="BI32" s="54">
        <f>BH32/BH31-1</f>
        <v>0.1702930526773061</v>
      </c>
      <c r="BJ32" s="44"/>
      <c r="BK32" s="49"/>
      <c r="BM32" s="46">
        <v>496</v>
      </c>
      <c r="BN32" s="45">
        <v>43973</v>
      </c>
      <c r="BO32" s="3">
        <f t="shared" si="14"/>
        <v>35</v>
      </c>
      <c r="BP32" s="44">
        <v>1826826</v>
      </c>
      <c r="CC32" s="46">
        <v>194</v>
      </c>
      <c r="CD32" s="45">
        <v>43700</v>
      </c>
      <c r="CE32" s="3">
        <f t="shared" si="24"/>
        <v>63</v>
      </c>
      <c r="CF32" s="44">
        <v>1302893</v>
      </c>
      <c r="CS32" s="46"/>
      <c r="CT32" s="45"/>
      <c r="CU32" s="3"/>
      <c r="CV32" s="44"/>
      <c r="CW32" s="44"/>
      <c r="CX32" s="44"/>
    </row>
    <row r="33" spans="2:102">
      <c r="B33" s="46">
        <v>300</v>
      </c>
      <c r="C33" s="45">
        <v>44678</v>
      </c>
      <c r="D33" s="3">
        <f t="shared" si="7"/>
        <v>62</v>
      </c>
      <c r="E33" s="44">
        <v>1879634</v>
      </c>
      <c r="R33" s="46">
        <v>194</v>
      </c>
      <c r="S33" s="45">
        <v>44441</v>
      </c>
      <c r="T33" s="3">
        <f t="shared" si="55"/>
        <v>56</v>
      </c>
      <c r="U33" s="44">
        <v>933500</v>
      </c>
      <c r="AH33" s="46">
        <v>437</v>
      </c>
      <c r="AI33" s="45">
        <v>44441</v>
      </c>
      <c r="AJ33" s="3">
        <f t="shared" si="10"/>
        <v>42</v>
      </c>
      <c r="AK33" s="44">
        <v>1400461</v>
      </c>
      <c r="AW33" s="46">
        <v>376</v>
      </c>
      <c r="AX33" s="45">
        <v>44006</v>
      </c>
      <c r="AY33" s="3">
        <f t="shared" si="12"/>
        <v>35</v>
      </c>
      <c r="AZ33" s="44">
        <v>2439208</v>
      </c>
      <c r="BB33" s="3" t="s">
        <v>94</v>
      </c>
      <c r="BC33" s="52">
        <f t="shared" si="57"/>
        <v>45839</v>
      </c>
      <c r="BD33" s="52">
        <f t="shared" si="56"/>
        <v>46203</v>
      </c>
      <c r="BE33" s="51">
        <f t="shared" si="58"/>
        <v>5</v>
      </c>
      <c r="BF33" s="15">
        <f t="shared" si="59"/>
        <v>12908095.6</v>
      </c>
      <c r="BG33" s="54">
        <f t="shared" si="61"/>
        <v>1.1822504957817612</v>
      </c>
      <c r="BH33" s="15">
        <f t="shared" si="60"/>
        <v>64540478</v>
      </c>
      <c r="BI33" s="54">
        <f>BH33/BH32-1</f>
        <v>-8.067956462835868E-3</v>
      </c>
      <c r="BJ33" s="53">
        <f>BH33/BK33</f>
        <v>208195090.32258064</v>
      </c>
      <c r="BK33" s="83">
        <v>0.31</v>
      </c>
      <c r="BM33" s="46">
        <v>497</v>
      </c>
      <c r="BN33" s="45">
        <v>44008</v>
      </c>
      <c r="BO33" s="3">
        <f t="shared" si="14"/>
        <v>35</v>
      </c>
      <c r="BP33" s="44">
        <v>1699605</v>
      </c>
      <c r="CC33" s="46">
        <v>195</v>
      </c>
      <c r="CD33" s="45">
        <v>43756</v>
      </c>
      <c r="CE33" s="3">
        <f t="shared" si="24"/>
        <v>56</v>
      </c>
      <c r="CF33" s="44">
        <v>1328000</v>
      </c>
      <c r="CS33" s="46"/>
      <c r="CT33" s="45"/>
      <c r="CU33" s="3"/>
      <c r="CV33" s="44"/>
      <c r="CW33" s="44"/>
      <c r="CX33" s="44"/>
    </row>
    <row r="34" spans="2:102">
      <c r="B34" s="46">
        <v>301</v>
      </c>
      <c r="C34" s="45">
        <v>44735</v>
      </c>
      <c r="D34" s="3">
        <f t="shared" si="7"/>
        <v>57</v>
      </c>
      <c r="E34" s="44">
        <v>3208270</v>
      </c>
      <c r="R34" s="46">
        <v>195</v>
      </c>
      <c r="S34" s="45">
        <v>44490</v>
      </c>
      <c r="T34" s="3">
        <f t="shared" si="55"/>
        <v>49</v>
      </c>
      <c r="U34" s="44">
        <v>928500</v>
      </c>
      <c r="AH34" s="46">
        <v>438</v>
      </c>
      <c r="AI34" s="45">
        <v>44497</v>
      </c>
      <c r="AJ34" s="3">
        <f t="shared" si="10"/>
        <v>56</v>
      </c>
      <c r="AK34" s="44">
        <v>1470330</v>
      </c>
      <c r="AW34" s="46">
        <v>377</v>
      </c>
      <c r="AX34" s="45">
        <v>44048</v>
      </c>
      <c r="AY34" s="3">
        <f t="shared" si="12"/>
        <v>42</v>
      </c>
      <c r="AZ34" s="44">
        <v>4835227</v>
      </c>
      <c r="BB34" s="3" t="s">
        <v>115</v>
      </c>
      <c r="BC34" s="52">
        <f t="shared" si="57"/>
        <v>46204</v>
      </c>
      <c r="BD34" s="52">
        <f t="shared" si="56"/>
        <v>46568</v>
      </c>
      <c r="BE34" s="51">
        <f t="shared" si="58"/>
        <v>2</v>
      </c>
      <c r="BF34" s="15">
        <f t="shared" si="59"/>
        <v>14955058</v>
      </c>
      <c r="BH34" s="15">
        <f t="shared" si="60"/>
        <v>29910116</v>
      </c>
      <c r="BI34" s="50"/>
      <c r="BJ34" s="44"/>
      <c r="BK34" s="49"/>
      <c r="BM34" s="46">
        <v>498</v>
      </c>
      <c r="BN34" s="45">
        <v>44043</v>
      </c>
      <c r="BO34" s="3">
        <f t="shared" si="14"/>
        <v>35</v>
      </c>
      <c r="BP34" s="44">
        <v>1725811</v>
      </c>
      <c r="CC34" s="46">
        <v>196</v>
      </c>
      <c r="CD34" s="45">
        <v>43819</v>
      </c>
      <c r="CE34" s="3">
        <f t="shared" si="24"/>
        <v>63</v>
      </c>
      <c r="CF34" s="44">
        <v>1377904</v>
      </c>
      <c r="CS34" s="46"/>
      <c r="CT34" s="45"/>
      <c r="CU34" s="3"/>
      <c r="CV34" s="44"/>
      <c r="CW34" s="44"/>
      <c r="CX34" s="44"/>
    </row>
    <row r="35" spans="2:102">
      <c r="B35" s="46">
        <v>302</v>
      </c>
      <c r="C35" s="45">
        <v>44797</v>
      </c>
      <c r="D35" s="3">
        <f t="shared" si="7"/>
        <v>62</v>
      </c>
      <c r="E35" s="44">
        <v>2496713</v>
      </c>
      <c r="R35" s="46">
        <v>196</v>
      </c>
      <c r="S35" s="45">
        <v>44546</v>
      </c>
      <c r="T35" s="3">
        <f t="shared" si="55"/>
        <v>56</v>
      </c>
      <c r="U35" s="44">
        <v>933500</v>
      </c>
      <c r="AH35" s="46">
        <v>439</v>
      </c>
      <c r="AI35" s="45">
        <v>44553</v>
      </c>
      <c r="AJ35" s="3">
        <f t="shared" si="10"/>
        <v>56</v>
      </c>
      <c r="AK35" s="44">
        <v>1597579</v>
      </c>
      <c r="AW35" s="46">
        <v>378</v>
      </c>
      <c r="AX35" s="45">
        <v>44069</v>
      </c>
      <c r="AY35" s="3">
        <f t="shared" si="12"/>
        <v>21</v>
      </c>
      <c r="AZ35" s="44">
        <v>2752000</v>
      </c>
      <c r="BM35" s="46">
        <v>499</v>
      </c>
      <c r="BN35" s="45">
        <v>44081</v>
      </c>
      <c r="BO35" s="3">
        <f t="shared" si="14"/>
        <v>38</v>
      </c>
      <c r="BP35" s="44">
        <v>1832745</v>
      </c>
      <c r="CC35" s="46">
        <v>197</v>
      </c>
      <c r="CD35" s="45">
        <v>43882</v>
      </c>
      <c r="CE35" s="3">
        <f t="shared" si="24"/>
        <v>63</v>
      </c>
      <c r="CF35" s="44">
        <v>1245466</v>
      </c>
      <c r="CS35" s="46"/>
      <c r="CT35" s="45"/>
      <c r="CU35" s="3"/>
      <c r="CV35" s="44"/>
      <c r="CW35" s="44"/>
      <c r="CX35" s="44"/>
    </row>
    <row r="36" spans="2:102">
      <c r="B36" s="46">
        <v>303</v>
      </c>
      <c r="C36" s="45">
        <v>44860</v>
      </c>
      <c r="D36" s="3">
        <f t="shared" si="7"/>
        <v>63</v>
      </c>
      <c r="E36" s="44">
        <v>2290102</v>
      </c>
      <c r="R36" s="46">
        <v>197</v>
      </c>
      <c r="S36" s="45">
        <v>44595</v>
      </c>
      <c r="T36" s="3">
        <f t="shared" si="55"/>
        <v>49</v>
      </c>
      <c r="U36" s="44">
        <v>928500</v>
      </c>
      <c r="AH36" s="46">
        <v>440</v>
      </c>
      <c r="AI36" s="45">
        <v>44616</v>
      </c>
      <c r="AJ36" s="3">
        <f t="shared" si="10"/>
        <v>63</v>
      </c>
      <c r="AK36" s="44">
        <v>1438422</v>
      </c>
      <c r="AW36" s="46">
        <v>379</v>
      </c>
      <c r="AX36" s="45">
        <v>44104</v>
      </c>
      <c r="AY36" s="3">
        <f t="shared" si="12"/>
        <v>35</v>
      </c>
      <c r="AZ36" s="44">
        <v>4865951</v>
      </c>
      <c r="BM36" s="46">
        <v>500</v>
      </c>
      <c r="BN36" s="45">
        <v>44113</v>
      </c>
      <c r="BO36" s="3">
        <f t="shared" si="14"/>
        <v>32</v>
      </c>
      <c r="BP36" s="44">
        <v>2444039</v>
      </c>
      <c r="CA36" s="48">
        <v>43936</v>
      </c>
      <c r="CC36" s="46">
        <v>198</v>
      </c>
      <c r="CD36" s="45">
        <v>43936</v>
      </c>
      <c r="CE36" s="3">
        <f t="shared" si="24"/>
        <v>54</v>
      </c>
      <c r="CF36" s="44">
        <v>1277700</v>
      </c>
      <c r="CS36" s="46"/>
      <c r="CT36" s="45"/>
      <c r="CU36" s="3"/>
      <c r="CV36" s="44"/>
      <c r="CW36" s="44"/>
      <c r="CX36" s="44"/>
    </row>
    <row r="37" spans="2:102">
      <c r="B37" s="46">
        <v>304</v>
      </c>
      <c r="C37" s="45">
        <v>44918</v>
      </c>
      <c r="D37" s="3">
        <f t="shared" si="7"/>
        <v>58</v>
      </c>
      <c r="E37" s="44">
        <v>3309811</v>
      </c>
      <c r="R37" s="46">
        <v>198</v>
      </c>
      <c r="S37" s="45">
        <v>44644</v>
      </c>
      <c r="T37" s="3">
        <f t="shared" si="55"/>
        <v>49</v>
      </c>
      <c r="U37" s="44">
        <v>928500</v>
      </c>
      <c r="AH37" s="46">
        <v>441</v>
      </c>
      <c r="AI37" s="45">
        <v>44665</v>
      </c>
      <c r="AJ37" s="3">
        <f t="shared" ref="AJ37:AJ63" si="62">AI37-AI36</f>
        <v>49</v>
      </c>
      <c r="AK37" s="44">
        <v>1563558</v>
      </c>
      <c r="AW37" s="46">
        <v>380</v>
      </c>
      <c r="AX37" s="45">
        <v>44139</v>
      </c>
      <c r="AY37" s="3">
        <f t="shared" ref="AY37:AY68" si="63">AX37-AX36</f>
        <v>35</v>
      </c>
      <c r="AZ37" s="44">
        <v>2761344</v>
      </c>
      <c r="BM37" s="46">
        <v>501</v>
      </c>
      <c r="BN37" s="45">
        <v>44148</v>
      </c>
      <c r="BO37" s="3">
        <f t="shared" ref="BO37:BO68" si="64">BN37-BN36</f>
        <v>35</v>
      </c>
      <c r="BP37" s="44">
        <v>1719304</v>
      </c>
      <c r="CC37" s="46">
        <v>199</v>
      </c>
      <c r="CD37" s="45">
        <v>44005</v>
      </c>
      <c r="CE37" s="3">
        <f t="shared" si="24"/>
        <v>69</v>
      </c>
      <c r="CF37" s="44">
        <v>1292000</v>
      </c>
      <c r="CS37" s="46"/>
      <c r="CT37" s="45"/>
      <c r="CU37" s="3"/>
      <c r="CV37" s="44"/>
      <c r="CW37" s="44"/>
      <c r="CX37" s="44"/>
    </row>
    <row r="38" spans="2:102">
      <c r="B38" s="46">
        <v>305</v>
      </c>
      <c r="C38" s="45">
        <v>44980</v>
      </c>
      <c r="D38" s="3">
        <f t="shared" si="7"/>
        <v>62</v>
      </c>
      <c r="E38" s="44">
        <v>2527073</v>
      </c>
      <c r="R38" s="46">
        <v>199</v>
      </c>
      <c r="S38" s="45">
        <v>44700</v>
      </c>
      <c r="T38" s="3">
        <f t="shared" si="55"/>
        <v>56</v>
      </c>
      <c r="U38" s="44">
        <v>933500</v>
      </c>
      <c r="AH38" s="46">
        <v>442</v>
      </c>
      <c r="AI38" s="45">
        <v>44728</v>
      </c>
      <c r="AJ38" s="3">
        <f t="shared" si="62"/>
        <v>63</v>
      </c>
      <c r="AK38" s="44">
        <v>2190577</v>
      </c>
      <c r="AW38" s="46">
        <v>381</v>
      </c>
      <c r="AX38" s="45">
        <v>44188</v>
      </c>
      <c r="AY38" s="3">
        <f t="shared" si="63"/>
        <v>49</v>
      </c>
      <c r="AZ38" s="44">
        <v>8506933</v>
      </c>
      <c r="BM38" s="46">
        <v>502</v>
      </c>
      <c r="BN38" s="45">
        <v>44188</v>
      </c>
      <c r="BO38" s="3">
        <f t="shared" si="64"/>
        <v>40</v>
      </c>
      <c r="BP38" s="44">
        <v>4171390</v>
      </c>
      <c r="CC38" s="46">
        <v>200</v>
      </c>
      <c r="CD38" s="45">
        <v>44068</v>
      </c>
      <c r="CE38" s="3">
        <f t="shared" si="24"/>
        <v>63</v>
      </c>
      <c r="CF38" s="44">
        <v>1175367</v>
      </c>
      <c r="CS38" s="46"/>
      <c r="CT38" s="45"/>
      <c r="CU38" s="3"/>
      <c r="CV38" s="44"/>
      <c r="CW38" s="44"/>
      <c r="CX38" s="44"/>
    </row>
    <row r="39" spans="2:102">
      <c r="B39" s="46">
        <v>306</v>
      </c>
      <c r="C39" s="45">
        <v>45042</v>
      </c>
      <c r="D39" s="3">
        <f t="shared" si="7"/>
        <v>62</v>
      </c>
      <c r="E39" s="44">
        <v>2678437</v>
      </c>
      <c r="R39" s="46">
        <v>200</v>
      </c>
      <c r="S39" s="45">
        <v>44749</v>
      </c>
      <c r="T39" s="3">
        <f t="shared" si="55"/>
        <v>49</v>
      </c>
      <c r="U39" s="44">
        <v>928500</v>
      </c>
      <c r="AH39" s="46">
        <v>443</v>
      </c>
      <c r="AI39" s="45">
        <v>44784</v>
      </c>
      <c r="AJ39" s="3">
        <f t="shared" si="62"/>
        <v>56</v>
      </c>
      <c r="AK39" s="44">
        <v>1852575</v>
      </c>
      <c r="AW39" s="46">
        <v>382</v>
      </c>
      <c r="AX39" s="45">
        <v>44223</v>
      </c>
      <c r="AY39" s="3">
        <f t="shared" si="63"/>
        <v>35</v>
      </c>
      <c r="AZ39" s="44">
        <v>3000404</v>
      </c>
      <c r="BM39" s="46">
        <v>503</v>
      </c>
      <c r="BN39" s="45">
        <v>44225</v>
      </c>
      <c r="BO39" s="3">
        <f t="shared" si="64"/>
        <v>37</v>
      </c>
      <c r="BP39" s="44">
        <v>2576133</v>
      </c>
      <c r="CC39" s="46">
        <v>201</v>
      </c>
      <c r="CD39" s="45">
        <v>44124</v>
      </c>
      <c r="CE39" s="3">
        <f t="shared" si="24"/>
        <v>56</v>
      </c>
      <c r="CF39" s="44">
        <v>1070000</v>
      </c>
      <c r="CS39" s="46"/>
      <c r="CT39" s="45"/>
      <c r="CU39" s="3"/>
      <c r="CV39" s="44"/>
      <c r="CW39" s="44"/>
      <c r="CX39" s="44"/>
    </row>
    <row r="40" spans="2:102">
      <c r="B40" s="46">
        <v>307</v>
      </c>
      <c r="C40" s="45">
        <v>45103</v>
      </c>
      <c r="D40" s="3">
        <f t="shared" si="7"/>
        <v>61</v>
      </c>
      <c r="E40" s="44">
        <v>3139679</v>
      </c>
      <c r="R40" s="46">
        <v>201</v>
      </c>
      <c r="S40" s="45">
        <v>44805</v>
      </c>
      <c r="T40" s="3">
        <f t="shared" si="55"/>
        <v>56</v>
      </c>
      <c r="U40" s="44">
        <v>933500</v>
      </c>
      <c r="AH40" s="46">
        <v>444</v>
      </c>
      <c r="AI40" s="45">
        <v>44826</v>
      </c>
      <c r="AJ40" s="3">
        <f t="shared" si="62"/>
        <v>42</v>
      </c>
      <c r="AK40" s="44">
        <v>2411056</v>
      </c>
      <c r="AW40" s="46">
        <v>383</v>
      </c>
      <c r="AX40" s="45">
        <v>44258</v>
      </c>
      <c r="AY40" s="3">
        <f t="shared" si="63"/>
        <v>35</v>
      </c>
      <c r="AZ40" s="44">
        <v>5003113</v>
      </c>
      <c r="BM40" s="46">
        <v>504</v>
      </c>
      <c r="BN40" s="45">
        <v>44260</v>
      </c>
      <c r="BO40" s="3">
        <f t="shared" si="64"/>
        <v>35</v>
      </c>
      <c r="BP40" s="44">
        <v>2238897</v>
      </c>
      <c r="CC40" s="46">
        <v>202</v>
      </c>
      <c r="CD40" s="45">
        <v>44187</v>
      </c>
      <c r="CE40" s="3">
        <f t="shared" ref="CE40:CE71" si="65">CD40-CD39</f>
        <v>63</v>
      </c>
      <c r="CF40" s="44">
        <v>1292859</v>
      </c>
      <c r="CS40" s="46"/>
      <c r="CT40" s="45"/>
      <c r="CU40" s="3"/>
      <c r="CV40" s="44"/>
      <c r="CW40" s="44"/>
      <c r="CX40" s="44"/>
    </row>
    <row r="41" spans="2:102">
      <c r="B41" s="46">
        <v>308</v>
      </c>
      <c r="C41" s="45">
        <v>45162</v>
      </c>
      <c r="D41" s="3">
        <f t="shared" si="7"/>
        <v>59</v>
      </c>
      <c r="E41" s="44">
        <v>3504331</v>
      </c>
      <c r="R41" s="46">
        <v>202</v>
      </c>
      <c r="S41" s="45">
        <v>44854</v>
      </c>
      <c r="T41" s="3">
        <f t="shared" si="55"/>
        <v>49</v>
      </c>
      <c r="U41" s="44">
        <v>928500</v>
      </c>
      <c r="AH41" s="46">
        <v>445</v>
      </c>
      <c r="AI41" s="45">
        <v>44868</v>
      </c>
      <c r="AJ41" s="3">
        <f t="shared" si="62"/>
        <v>42</v>
      </c>
      <c r="AK41" s="44">
        <v>1861325</v>
      </c>
      <c r="AW41" s="46">
        <v>384</v>
      </c>
      <c r="AX41" s="45">
        <v>44279</v>
      </c>
      <c r="AY41" s="3">
        <f t="shared" si="63"/>
        <v>21</v>
      </c>
      <c r="AZ41" s="44">
        <v>2800000</v>
      </c>
      <c r="BM41" s="46">
        <v>505</v>
      </c>
      <c r="BN41" s="45">
        <v>44302</v>
      </c>
      <c r="BO41" s="3">
        <f t="shared" si="64"/>
        <v>42</v>
      </c>
      <c r="BP41" s="44">
        <v>2060552</v>
      </c>
      <c r="CC41" s="46">
        <v>203</v>
      </c>
      <c r="CD41" s="45">
        <v>44258</v>
      </c>
      <c r="CE41" s="3">
        <f t="shared" si="65"/>
        <v>71</v>
      </c>
      <c r="CF41" s="44">
        <v>1532991</v>
      </c>
      <c r="CS41" s="46"/>
      <c r="CT41" s="45"/>
      <c r="CU41" s="3"/>
      <c r="CV41" s="44"/>
      <c r="CW41" s="44"/>
      <c r="CX41" s="44"/>
    </row>
    <row r="42" spans="2:102">
      <c r="B42" s="46">
        <v>309</v>
      </c>
      <c r="C42" s="45">
        <v>45224</v>
      </c>
      <c r="D42" s="3">
        <f t="shared" si="7"/>
        <v>62</v>
      </c>
      <c r="E42" s="44">
        <v>3500006</v>
      </c>
      <c r="R42" s="46">
        <v>203</v>
      </c>
      <c r="S42" s="45">
        <v>44910</v>
      </c>
      <c r="T42" s="3">
        <f t="shared" si="55"/>
        <v>56</v>
      </c>
      <c r="U42" s="44">
        <v>933500</v>
      </c>
      <c r="AH42" s="46">
        <v>446</v>
      </c>
      <c r="AI42" s="45">
        <v>44917</v>
      </c>
      <c r="AJ42" s="3">
        <f t="shared" si="62"/>
        <v>49</v>
      </c>
      <c r="AK42" s="44">
        <v>2276354</v>
      </c>
      <c r="AW42" s="46">
        <v>385</v>
      </c>
      <c r="AX42" s="45">
        <v>44335</v>
      </c>
      <c r="AY42" s="3">
        <f t="shared" si="63"/>
        <v>56</v>
      </c>
      <c r="AZ42" s="44">
        <v>7072543</v>
      </c>
      <c r="BM42" s="46">
        <v>506</v>
      </c>
      <c r="BN42" s="45">
        <v>44337</v>
      </c>
      <c r="BO42" s="3">
        <f t="shared" si="64"/>
        <v>35</v>
      </c>
      <c r="BP42" s="44">
        <v>2624042</v>
      </c>
      <c r="CC42" s="46">
        <v>204</v>
      </c>
      <c r="CD42" s="45">
        <v>44328</v>
      </c>
      <c r="CE42" s="3">
        <f t="shared" si="65"/>
        <v>70</v>
      </c>
      <c r="CF42" s="44">
        <v>1300430</v>
      </c>
      <c r="CS42" s="46"/>
      <c r="CT42" s="45"/>
      <c r="CU42" s="3"/>
      <c r="CV42" s="44"/>
      <c r="CW42" s="44"/>
      <c r="CX42" s="44"/>
    </row>
    <row r="43" spans="2:102">
      <c r="B43" s="46">
        <v>310</v>
      </c>
      <c r="C43" s="45">
        <v>45282</v>
      </c>
      <c r="D43" s="3">
        <f t="shared" si="7"/>
        <v>58</v>
      </c>
      <c r="E43" s="44">
        <v>4204491</v>
      </c>
      <c r="R43" s="46">
        <v>204</v>
      </c>
      <c r="S43" s="45">
        <v>44959</v>
      </c>
      <c r="T43" s="3">
        <f t="shared" si="55"/>
        <v>49</v>
      </c>
      <c r="U43" s="44">
        <v>928500</v>
      </c>
      <c r="AH43" s="46">
        <v>447</v>
      </c>
      <c r="AI43" s="45">
        <v>44980</v>
      </c>
      <c r="AJ43" s="3">
        <f t="shared" si="62"/>
        <v>63</v>
      </c>
      <c r="AK43" s="44">
        <v>1552071</v>
      </c>
      <c r="AW43" s="46">
        <v>386</v>
      </c>
      <c r="AX43" s="45">
        <v>44370</v>
      </c>
      <c r="AY43" s="3">
        <f t="shared" si="63"/>
        <v>35</v>
      </c>
      <c r="AZ43" s="44">
        <v>3003292</v>
      </c>
      <c r="BM43" s="46">
        <v>507</v>
      </c>
      <c r="BN43" s="45">
        <v>44372</v>
      </c>
      <c r="BO43" s="3">
        <f t="shared" si="64"/>
        <v>35</v>
      </c>
      <c r="BP43" s="44">
        <v>2261846</v>
      </c>
      <c r="CC43" s="46">
        <v>205</v>
      </c>
      <c r="CD43" s="45">
        <v>44377</v>
      </c>
      <c r="CE43" s="3">
        <f t="shared" si="65"/>
        <v>49</v>
      </c>
      <c r="CF43" s="44">
        <v>1391577</v>
      </c>
      <c r="CS43" s="46"/>
      <c r="CT43" s="45"/>
      <c r="CU43" s="3"/>
      <c r="CV43" s="44"/>
      <c r="CW43" s="44"/>
      <c r="CX43" s="44"/>
    </row>
    <row r="44" spans="2:102">
      <c r="B44" s="46">
        <v>311</v>
      </c>
      <c r="C44" s="45">
        <v>45345</v>
      </c>
      <c r="D44" s="3">
        <f t="shared" si="7"/>
        <v>63</v>
      </c>
      <c r="E44" s="44">
        <v>3100922</v>
      </c>
      <c r="R44" s="46">
        <v>205</v>
      </c>
      <c r="S44" s="45">
        <v>45008</v>
      </c>
      <c r="T44" s="3">
        <f t="shared" si="55"/>
        <v>49</v>
      </c>
      <c r="U44" s="44">
        <v>928500</v>
      </c>
      <c r="AH44" s="46">
        <v>448</v>
      </c>
      <c r="AI44" s="45">
        <v>45036</v>
      </c>
      <c r="AJ44" s="3">
        <f t="shared" si="62"/>
        <v>56</v>
      </c>
      <c r="AK44" s="44">
        <v>1832465</v>
      </c>
      <c r="AW44" s="46">
        <v>387</v>
      </c>
      <c r="AX44" s="45">
        <v>44405</v>
      </c>
      <c r="AY44" s="3">
        <f t="shared" si="63"/>
        <v>35</v>
      </c>
      <c r="AZ44" s="44">
        <v>5800958</v>
      </c>
      <c r="BM44" s="46">
        <v>508</v>
      </c>
      <c r="BN44" s="45">
        <v>44407</v>
      </c>
      <c r="BO44" s="3">
        <f t="shared" si="64"/>
        <v>35</v>
      </c>
      <c r="BP44" s="44">
        <v>2494605</v>
      </c>
      <c r="CC44" s="46">
        <v>206</v>
      </c>
      <c r="CD44" s="45">
        <v>44440</v>
      </c>
      <c r="CE44" s="3">
        <f t="shared" si="65"/>
        <v>63</v>
      </c>
      <c r="CF44" s="44">
        <v>1254667</v>
      </c>
      <c r="CS44" s="46"/>
      <c r="CT44" s="45"/>
      <c r="CU44" s="3"/>
      <c r="CV44" s="44"/>
      <c r="CW44" s="44"/>
      <c r="CX44" s="44"/>
    </row>
    <row r="45" spans="2:102">
      <c r="B45" s="46">
        <v>312</v>
      </c>
      <c r="C45" s="45">
        <v>45406</v>
      </c>
      <c r="D45" s="3">
        <f t="shared" si="7"/>
        <v>61</v>
      </c>
      <c r="E45" s="44">
        <v>3600000</v>
      </c>
      <c r="R45" s="46">
        <v>206</v>
      </c>
      <c r="S45" s="45">
        <v>45064</v>
      </c>
      <c r="T45" s="3">
        <f t="shared" si="55"/>
        <v>56</v>
      </c>
      <c r="U45" s="44">
        <v>933500</v>
      </c>
      <c r="AH45" s="46">
        <v>449</v>
      </c>
      <c r="AI45" s="45">
        <v>45092</v>
      </c>
      <c r="AJ45" s="3">
        <f t="shared" si="62"/>
        <v>56</v>
      </c>
      <c r="AK45" s="44">
        <v>2829910</v>
      </c>
      <c r="AW45" s="46">
        <v>388</v>
      </c>
      <c r="AX45" s="45">
        <v>44433</v>
      </c>
      <c r="AY45" s="3">
        <f t="shared" si="63"/>
        <v>28</v>
      </c>
      <c r="AZ45" s="44">
        <v>3002000</v>
      </c>
      <c r="BM45" s="46">
        <v>509</v>
      </c>
      <c r="BN45" s="45">
        <v>44451</v>
      </c>
      <c r="BO45" s="3">
        <f t="shared" si="64"/>
        <v>44</v>
      </c>
      <c r="BP45" s="44">
        <v>2823928</v>
      </c>
      <c r="CC45" s="46">
        <v>207</v>
      </c>
      <c r="CD45" s="45">
        <v>44503</v>
      </c>
      <c r="CE45" s="3">
        <f t="shared" si="65"/>
        <v>63</v>
      </c>
      <c r="CF45" s="44">
        <v>1122267</v>
      </c>
      <c r="CS45" s="46"/>
      <c r="CT45" s="45"/>
      <c r="CU45" s="3"/>
      <c r="CV45" s="44"/>
      <c r="CW45" s="44"/>
      <c r="CX45" s="44"/>
    </row>
    <row r="46" spans="2:102">
      <c r="B46" s="46">
        <v>313</v>
      </c>
      <c r="C46" s="45">
        <v>45469</v>
      </c>
      <c r="D46" s="3">
        <f t="shared" si="7"/>
        <v>63</v>
      </c>
      <c r="E46" s="44">
        <v>3700000</v>
      </c>
      <c r="R46" s="46">
        <v>207</v>
      </c>
      <c r="S46" s="45">
        <v>45113</v>
      </c>
      <c r="T46" s="3">
        <f t="shared" si="55"/>
        <v>49</v>
      </c>
      <c r="U46" s="44">
        <v>928500</v>
      </c>
      <c r="AH46" s="46">
        <v>450</v>
      </c>
      <c r="AI46" s="45">
        <v>45155</v>
      </c>
      <c r="AJ46" s="3">
        <f t="shared" si="62"/>
        <v>63</v>
      </c>
      <c r="AK46" s="44">
        <v>2222024</v>
      </c>
      <c r="AW46" s="46">
        <v>389</v>
      </c>
      <c r="AX46" s="45">
        <v>44475</v>
      </c>
      <c r="AY46" s="3">
        <f t="shared" si="63"/>
        <v>42</v>
      </c>
      <c r="AZ46" s="44">
        <v>6293715</v>
      </c>
      <c r="BM46" s="46">
        <v>510</v>
      </c>
      <c r="BN46" s="45">
        <v>44477</v>
      </c>
      <c r="BO46" s="3">
        <f t="shared" si="64"/>
        <v>26</v>
      </c>
      <c r="BP46" s="44">
        <v>2380782</v>
      </c>
      <c r="CC46" s="46">
        <v>208</v>
      </c>
      <c r="CD46" s="45">
        <v>44552</v>
      </c>
      <c r="CE46" s="3">
        <f t="shared" si="65"/>
        <v>49</v>
      </c>
      <c r="CF46" s="44">
        <v>1921304</v>
      </c>
      <c r="CS46" s="46"/>
      <c r="CT46" s="45"/>
      <c r="CU46" s="3"/>
      <c r="CV46" s="44"/>
      <c r="CW46" s="44"/>
      <c r="CX46" s="44"/>
    </row>
    <row r="47" spans="2:102">
      <c r="B47" s="46">
        <v>314</v>
      </c>
      <c r="C47" s="45">
        <v>45527</v>
      </c>
      <c r="D47" s="3">
        <f t="shared" si="7"/>
        <v>58</v>
      </c>
      <c r="E47" s="44">
        <v>4200000</v>
      </c>
      <c r="R47" s="46">
        <v>208</v>
      </c>
      <c r="S47" s="45">
        <v>45169</v>
      </c>
      <c r="T47" s="3">
        <f t="shared" si="55"/>
        <v>56</v>
      </c>
      <c r="U47" s="44">
        <v>933500</v>
      </c>
      <c r="AH47" s="46">
        <v>451</v>
      </c>
      <c r="AI47" s="45">
        <v>45218</v>
      </c>
      <c r="AJ47" s="3">
        <f t="shared" si="62"/>
        <v>63</v>
      </c>
      <c r="AK47" s="44">
        <v>2357970</v>
      </c>
      <c r="AW47" s="46">
        <v>390</v>
      </c>
      <c r="AX47" s="45">
        <v>44503</v>
      </c>
      <c r="AY47" s="3">
        <f t="shared" si="63"/>
        <v>28</v>
      </c>
      <c r="AZ47" s="44">
        <v>3405222</v>
      </c>
      <c r="BM47" s="46">
        <v>511</v>
      </c>
      <c r="BN47" s="45">
        <v>44515</v>
      </c>
      <c r="BO47" s="3">
        <f t="shared" si="64"/>
        <v>38</v>
      </c>
      <c r="BP47" s="44">
        <v>2586318</v>
      </c>
      <c r="CC47" s="46">
        <v>209</v>
      </c>
      <c r="CD47" s="45">
        <v>44622</v>
      </c>
      <c r="CE47" s="3">
        <f t="shared" si="65"/>
        <v>70</v>
      </c>
      <c r="CF47" s="44">
        <v>1489700</v>
      </c>
      <c r="CS47" s="46"/>
      <c r="CT47" s="45"/>
      <c r="CU47" s="3"/>
      <c r="CV47" s="44"/>
      <c r="CW47" s="44"/>
      <c r="CX47" s="44"/>
    </row>
    <row r="48" spans="2:102">
      <c r="B48" s="46">
        <v>315</v>
      </c>
      <c r="C48" s="45">
        <v>45588</v>
      </c>
      <c r="D48" s="3">
        <f t="shared" si="7"/>
        <v>61</v>
      </c>
      <c r="E48" s="44">
        <v>3400000</v>
      </c>
      <c r="R48" s="46">
        <v>209</v>
      </c>
      <c r="S48" s="45">
        <v>45218</v>
      </c>
      <c r="T48" s="3">
        <f t="shared" si="55"/>
        <v>49</v>
      </c>
      <c r="U48" s="44">
        <v>928500</v>
      </c>
      <c r="AH48" s="46">
        <v>452</v>
      </c>
      <c r="AI48" s="45">
        <v>45281</v>
      </c>
      <c r="AJ48" s="3">
        <f t="shared" si="62"/>
        <v>63</v>
      </c>
      <c r="AK48" s="44">
        <v>2351008</v>
      </c>
      <c r="AW48" s="46">
        <v>391</v>
      </c>
      <c r="AX48" s="45">
        <v>44552</v>
      </c>
      <c r="AY48" s="3">
        <f t="shared" si="63"/>
        <v>49</v>
      </c>
      <c r="AZ48" s="44">
        <v>10012917</v>
      </c>
      <c r="BM48" s="46">
        <v>512</v>
      </c>
      <c r="BN48" s="45">
        <v>44553</v>
      </c>
      <c r="BO48" s="3">
        <f t="shared" si="64"/>
        <v>38</v>
      </c>
      <c r="BP48" s="44">
        <v>5754586</v>
      </c>
      <c r="CC48" s="46">
        <v>210</v>
      </c>
      <c r="CD48" s="45">
        <v>44692</v>
      </c>
      <c r="CE48" s="3">
        <f t="shared" si="65"/>
        <v>70</v>
      </c>
      <c r="CF48" s="44">
        <v>1650144</v>
      </c>
      <c r="CS48" s="46"/>
      <c r="CT48" s="45"/>
      <c r="CU48" s="3"/>
      <c r="CV48" s="44"/>
      <c r="CW48" s="44"/>
      <c r="CX48" s="44"/>
    </row>
    <row r="49" spans="2:102">
      <c r="B49" s="46">
        <v>316</v>
      </c>
      <c r="C49" s="45">
        <v>45650</v>
      </c>
      <c r="D49" s="3">
        <f t="shared" si="7"/>
        <v>62</v>
      </c>
      <c r="E49" s="44">
        <v>5200000</v>
      </c>
      <c r="R49" s="46">
        <v>210</v>
      </c>
      <c r="S49" s="45">
        <v>45274</v>
      </c>
      <c r="T49" s="3">
        <f t="shared" si="55"/>
        <v>56</v>
      </c>
      <c r="U49" s="44">
        <v>933500</v>
      </c>
      <c r="AH49" s="46">
        <v>453</v>
      </c>
      <c r="AI49" s="45">
        <v>45337</v>
      </c>
      <c r="AJ49" s="3">
        <f t="shared" si="62"/>
        <v>56</v>
      </c>
      <c r="AK49" s="44">
        <v>2568065</v>
      </c>
      <c r="AW49" s="46">
        <v>392</v>
      </c>
      <c r="AX49" s="45">
        <v>44586</v>
      </c>
      <c r="AY49" s="3">
        <f t="shared" si="63"/>
        <v>34</v>
      </c>
      <c r="AZ49" s="44">
        <v>3605000</v>
      </c>
      <c r="BM49" s="46">
        <v>513</v>
      </c>
      <c r="BN49" s="45">
        <v>44592</v>
      </c>
      <c r="BO49" s="3">
        <f t="shared" si="64"/>
        <v>39</v>
      </c>
      <c r="BP49" s="44">
        <v>3881704</v>
      </c>
      <c r="CC49" s="46">
        <v>211</v>
      </c>
      <c r="CD49" s="45">
        <v>44741</v>
      </c>
      <c r="CE49" s="3">
        <f t="shared" si="65"/>
        <v>49</v>
      </c>
      <c r="CF49" s="44">
        <v>1318928</v>
      </c>
      <c r="CS49" s="46"/>
      <c r="CT49" s="45"/>
      <c r="CU49" s="3"/>
      <c r="CV49" s="44"/>
      <c r="CW49" s="44"/>
      <c r="CX49" s="44"/>
    </row>
    <row r="50" spans="2:102">
      <c r="B50" s="46">
        <v>317</v>
      </c>
      <c r="C50" s="45">
        <v>45714</v>
      </c>
      <c r="D50" s="3">
        <f t="shared" si="7"/>
        <v>64</v>
      </c>
      <c r="E50" s="44">
        <v>3600000</v>
      </c>
      <c r="R50" s="46">
        <v>211</v>
      </c>
      <c r="S50" s="45">
        <v>45323</v>
      </c>
      <c r="T50" s="3">
        <f t="shared" si="55"/>
        <v>49</v>
      </c>
      <c r="U50" s="44">
        <v>928500</v>
      </c>
      <c r="AH50" s="46">
        <v>454</v>
      </c>
      <c r="AI50" s="45">
        <v>45400</v>
      </c>
      <c r="AJ50" s="3">
        <f t="shared" si="62"/>
        <v>63</v>
      </c>
      <c r="AK50" s="44">
        <v>2500000</v>
      </c>
      <c r="AW50" s="46">
        <v>393</v>
      </c>
      <c r="AX50" s="45">
        <v>44629</v>
      </c>
      <c r="AY50" s="3">
        <f t="shared" si="63"/>
        <v>43</v>
      </c>
      <c r="AZ50" s="44">
        <v>5400000</v>
      </c>
      <c r="BM50" s="46">
        <v>514</v>
      </c>
      <c r="BN50" s="45">
        <v>44627</v>
      </c>
      <c r="BO50" s="3">
        <f t="shared" si="64"/>
        <v>35</v>
      </c>
      <c r="BP50" s="44">
        <v>3223071</v>
      </c>
      <c r="CC50" s="46">
        <v>212</v>
      </c>
      <c r="CD50" s="45">
        <v>44804</v>
      </c>
      <c r="CE50" s="3">
        <f t="shared" si="65"/>
        <v>63</v>
      </c>
      <c r="CF50" s="44">
        <v>1753189</v>
      </c>
      <c r="CS50" s="46"/>
      <c r="CT50" s="45"/>
      <c r="CU50" s="3"/>
      <c r="CV50" s="44"/>
      <c r="CW50" s="44"/>
      <c r="CX50" s="44"/>
    </row>
    <row r="51" spans="2:102">
      <c r="B51" s="46">
        <v>318</v>
      </c>
      <c r="C51" s="45">
        <v>45771</v>
      </c>
      <c r="D51" s="3">
        <f t="shared" si="7"/>
        <v>57</v>
      </c>
      <c r="E51" s="44">
        <v>4500000</v>
      </c>
      <c r="R51" s="46">
        <v>212</v>
      </c>
      <c r="S51" s="45">
        <v>45372</v>
      </c>
      <c r="T51" s="3">
        <f t="shared" si="55"/>
        <v>49</v>
      </c>
      <c r="U51" s="44">
        <v>928500</v>
      </c>
      <c r="AH51" s="46">
        <v>455</v>
      </c>
      <c r="AI51" s="45">
        <v>45463</v>
      </c>
      <c r="AJ51" s="3">
        <f t="shared" si="62"/>
        <v>63</v>
      </c>
      <c r="AK51" s="44">
        <v>2200000</v>
      </c>
      <c r="AW51" s="46">
        <v>394</v>
      </c>
      <c r="AX51" s="45">
        <v>44650</v>
      </c>
      <c r="AY51" s="3">
        <f t="shared" si="63"/>
        <v>21</v>
      </c>
      <c r="AZ51" s="44">
        <v>3600000</v>
      </c>
      <c r="BM51" s="46">
        <v>515</v>
      </c>
      <c r="BN51" s="45">
        <v>44662</v>
      </c>
      <c r="BO51" s="3">
        <f t="shared" si="64"/>
        <v>35</v>
      </c>
      <c r="BP51" s="44">
        <v>3129101</v>
      </c>
      <c r="CC51" s="46">
        <v>213</v>
      </c>
      <c r="CD51" s="45">
        <v>44867</v>
      </c>
      <c r="CE51" s="3">
        <f t="shared" si="65"/>
        <v>63</v>
      </c>
      <c r="CF51" s="44">
        <v>1892969</v>
      </c>
      <c r="CS51" s="46"/>
      <c r="CT51" s="45"/>
      <c r="CU51" s="3"/>
      <c r="CV51" s="44"/>
      <c r="CW51" s="44"/>
      <c r="CX51" s="44"/>
    </row>
    <row r="52" spans="2:102">
      <c r="B52" s="46">
        <v>319</v>
      </c>
      <c r="C52" s="45">
        <v>45833</v>
      </c>
      <c r="D52" s="3">
        <f t="shared" si="7"/>
        <v>62</v>
      </c>
      <c r="E52" s="44">
        <v>4600000</v>
      </c>
      <c r="R52" s="46">
        <v>213</v>
      </c>
      <c r="S52" s="45">
        <v>45414</v>
      </c>
      <c r="T52" s="3">
        <f t="shared" si="55"/>
        <v>42</v>
      </c>
      <c r="U52" s="44">
        <v>923500</v>
      </c>
      <c r="AH52" s="46">
        <v>456</v>
      </c>
      <c r="AI52" s="45">
        <v>45519</v>
      </c>
      <c r="AJ52" s="3">
        <f t="shared" si="62"/>
        <v>56</v>
      </c>
      <c r="AK52" s="44">
        <v>3200000</v>
      </c>
      <c r="AW52" s="46">
        <v>395</v>
      </c>
      <c r="AX52" s="45">
        <v>44699</v>
      </c>
      <c r="AY52" s="3">
        <f t="shared" si="63"/>
        <v>49</v>
      </c>
      <c r="AZ52" s="44">
        <v>10460965</v>
      </c>
      <c r="BM52" s="46">
        <v>516</v>
      </c>
      <c r="BN52" s="45">
        <v>44704</v>
      </c>
      <c r="BO52" s="3">
        <f t="shared" si="64"/>
        <v>42</v>
      </c>
      <c r="BP52" s="44">
        <v>3401346</v>
      </c>
      <c r="CC52" s="46">
        <v>214</v>
      </c>
      <c r="CD52" s="45">
        <v>44916</v>
      </c>
      <c r="CE52" s="3">
        <f t="shared" si="65"/>
        <v>49</v>
      </c>
      <c r="CF52" s="44">
        <v>1999965</v>
      </c>
      <c r="CS52" s="46"/>
      <c r="CT52" s="45"/>
      <c r="CU52" s="3"/>
      <c r="CV52" s="44"/>
      <c r="CW52" s="44"/>
      <c r="CX52" s="44"/>
    </row>
    <row r="53" spans="2:102">
      <c r="B53" s="46">
        <v>320</v>
      </c>
      <c r="C53" s="45">
        <v>45896</v>
      </c>
      <c r="D53" s="3">
        <f t="shared" si="7"/>
        <v>63</v>
      </c>
      <c r="E53" s="44">
        <v>5028006</v>
      </c>
      <c r="R53" s="46">
        <v>214</v>
      </c>
      <c r="S53" s="45">
        <v>45463</v>
      </c>
      <c r="T53" s="3">
        <f t="shared" si="55"/>
        <v>49</v>
      </c>
      <c r="U53" s="44">
        <v>928500</v>
      </c>
      <c r="AH53" s="46">
        <v>457</v>
      </c>
      <c r="AI53" s="45">
        <v>45582</v>
      </c>
      <c r="AJ53" s="3">
        <f t="shared" si="62"/>
        <v>63</v>
      </c>
      <c r="AK53" s="44">
        <v>2500000</v>
      </c>
      <c r="AW53" s="46">
        <v>396</v>
      </c>
      <c r="AX53" s="45">
        <v>44734</v>
      </c>
      <c r="AY53" s="3">
        <f t="shared" si="63"/>
        <v>35</v>
      </c>
      <c r="AZ53" s="44">
        <v>3679473</v>
      </c>
      <c r="BM53" s="46">
        <v>517</v>
      </c>
      <c r="BN53" s="45">
        <v>44739</v>
      </c>
      <c r="BO53" s="3">
        <f t="shared" si="64"/>
        <v>35</v>
      </c>
      <c r="BP53" s="44">
        <v>3597921</v>
      </c>
      <c r="CC53" s="46">
        <v>215</v>
      </c>
      <c r="CD53" s="45">
        <v>44986</v>
      </c>
      <c r="CE53" s="3">
        <f t="shared" si="65"/>
        <v>70</v>
      </c>
      <c r="CF53" s="44">
        <v>1943057</v>
      </c>
      <c r="CS53" s="46"/>
      <c r="CT53" s="45"/>
      <c r="CU53" s="3"/>
      <c r="CV53" s="44"/>
      <c r="CW53" s="44"/>
      <c r="CX53" s="44"/>
    </row>
    <row r="54" spans="2:102">
      <c r="B54" s="46">
        <v>321</v>
      </c>
      <c r="C54" s="45">
        <v>45952</v>
      </c>
      <c r="D54" s="3">
        <f t="shared" si="7"/>
        <v>56</v>
      </c>
      <c r="E54" s="44">
        <v>4319907</v>
      </c>
      <c r="R54" s="46">
        <v>215</v>
      </c>
      <c r="S54" s="45">
        <v>45505</v>
      </c>
      <c r="T54" s="3">
        <f t="shared" si="55"/>
        <v>42</v>
      </c>
      <c r="U54" s="44">
        <v>923500</v>
      </c>
      <c r="AH54" s="46">
        <v>458</v>
      </c>
      <c r="AI54" s="45">
        <v>45645</v>
      </c>
      <c r="AJ54" s="3">
        <f t="shared" si="62"/>
        <v>63</v>
      </c>
      <c r="AK54" s="44">
        <v>3000000</v>
      </c>
      <c r="AW54" s="46">
        <v>397</v>
      </c>
      <c r="AX54" s="45">
        <v>44776</v>
      </c>
      <c r="AY54" s="3">
        <f t="shared" si="63"/>
        <v>42</v>
      </c>
      <c r="AZ54" s="44">
        <v>5608117</v>
      </c>
      <c r="BM54" s="46">
        <v>518</v>
      </c>
      <c r="BN54" s="45">
        <v>44774</v>
      </c>
      <c r="BO54" s="3">
        <f t="shared" si="64"/>
        <v>35</v>
      </c>
      <c r="BP54" s="44">
        <v>4063213</v>
      </c>
      <c r="CC54" s="46">
        <v>216</v>
      </c>
      <c r="CD54" s="45">
        <v>45056</v>
      </c>
      <c r="CE54" s="3">
        <f t="shared" si="65"/>
        <v>70</v>
      </c>
      <c r="CF54" s="44">
        <v>1908771</v>
      </c>
      <c r="CS54" s="46"/>
      <c r="CT54" s="45"/>
      <c r="CU54" s="3"/>
      <c r="CV54" s="44"/>
      <c r="CW54" s="44"/>
      <c r="CX54" s="44"/>
    </row>
    <row r="55" spans="2:102">
      <c r="B55" s="46">
        <v>322</v>
      </c>
      <c r="C55" s="45">
        <v>46015</v>
      </c>
      <c r="D55" s="3">
        <f t="shared" si="7"/>
        <v>63</v>
      </c>
      <c r="E55" s="44">
        <v>7067516</v>
      </c>
      <c r="R55" s="46">
        <v>216</v>
      </c>
      <c r="S55" s="45">
        <v>45554</v>
      </c>
      <c r="T55" s="3">
        <f t="shared" si="55"/>
        <v>49</v>
      </c>
      <c r="U55" s="44">
        <v>928500</v>
      </c>
      <c r="AH55" s="46">
        <v>459</v>
      </c>
      <c r="AI55" s="45">
        <v>45701</v>
      </c>
      <c r="AJ55" s="3">
        <f t="shared" si="62"/>
        <v>56</v>
      </c>
      <c r="AK55" s="44">
        <v>2400000</v>
      </c>
      <c r="AW55" s="46">
        <v>398</v>
      </c>
      <c r="AX55" s="45">
        <v>44797</v>
      </c>
      <c r="AY55" s="3">
        <f t="shared" si="63"/>
        <v>21</v>
      </c>
      <c r="AZ55" s="44">
        <v>3522467</v>
      </c>
      <c r="BM55" s="46">
        <v>519</v>
      </c>
      <c r="BN55" s="45">
        <v>44809</v>
      </c>
      <c r="BO55" s="3">
        <f t="shared" si="64"/>
        <v>35</v>
      </c>
      <c r="BP55" s="44">
        <v>3191083</v>
      </c>
      <c r="CC55" s="46">
        <v>217</v>
      </c>
      <c r="CD55" s="45">
        <v>45105</v>
      </c>
      <c r="CE55" s="3">
        <f t="shared" si="65"/>
        <v>49</v>
      </c>
      <c r="CF55" s="44">
        <v>2274693</v>
      </c>
      <c r="CS55" s="46"/>
      <c r="CT55" s="45"/>
      <c r="CU55" s="3"/>
      <c r="CV55" s="44"/>
      <c r="CW55" s="44"/>
      <c r="CX55" s="44"/>
    </row>
    <row r="56" spans="2:102">
      <c r="B56" s="46">
        <v>323</v>
      </c>
      <c r="C56" s="45">
        <v>46078</v>
      </c>
      <c r="D56" s="3">
        <f t="shared" si="7"/>
        <v>63</v>
      </c>
      <c r="E56" s="44">
        <v>4532104</v>
      </c>
      <c r="R56" s="46">
        <v>217</v>
      </c>
      <c r="S56" s="45">
        <v>45596</v>
      </c>
      <c r="T56" s="3">
        <f t="shared" si="55"/>
        <v>42</v>
      </c>
      <c r="U56" s="44">
        <v>923500</v>
      </c>
      <c r="AH56" s="46">
        <v>460</v>
      </c>
      <c r="AI56" s="45">
        <v>45764</v>
      </c>
      <c r="AJ56" s="3">
        <f t="shared" si="62"/>
        <v>63</v>
      </c>
      <c r="AK56" s="44">
        <v>2900000</v>
      </c>
      <c r="AW56" s="46">
        <v>399</v>
      </c>
      <c r="AX56" s="45">
        <v>44839</v>
      </c>
      <c r="AY56" s="3">
        <f t="shared" si="63"/>
        <v>42</v>
      </c>
      <c r="AZ56" s="44">
        <v>10600000</v>
      </c>
      <c r="BM56" s="46">
        <v>520</v>
      </c>
      <c r="BN56" s="45">
        <v>44844</v>
      </c>
      <c r="BO56" s="3">
        <f t="shared" si="64"/>
        <v>35</v>
      </c>
      <c r="BP56" s="44">
        <v>2606102</v>
      </c>
      <c r="CC56" s="46">
        <v>218</v>
      </c>
      <c r="CD56" s="45">
        <v>45175</v>
      </c>
      <c r="CE56" s="3">
        <f t="shared" si="65"/>
        <v>70</v>
      </c>
      <c r="CF56" s="44">
        <v>2196735</v>
      </c>
      <c r="CS56" s="46"/>
      <c r="CT56" s="45"/>
      <c r="CU56" s="3"/>
      <c r="CV56" s="44"/>
      <c r="CW56" s="44"/>
      <c r="CX56" s="44"/>
    </row>
    <row r="57" spans="2:102">
      <c r="B57" s="46">
        <v>324</v>
      </c>
      <c r="C57" s="45">
        <v>46135</v>
      </c>
      <c r="D57" s="3">
        <f t="shared" si="7"/>
        <v>57</v>
      </c>
      <c r="E57" s="44">
        <v>5683882</v>
      </c>
      <c r="R57" s="46">
        <v>218</v>
      </c>
      <c r="S57" s="45">
        <v>45645</v>
      </c>
      <c r="T57" s="3">
        <f t="shared" si="55"/>
        <v>49</v>
      </c>
      <c r="U57" s="44">
        <v>928500</v>
      </c>
      <c r="AH57" s="46">
        <v>461</v>
      </c>
      <c r="AI57" s="45">
        <v>45827</v>
      </c>
      <c r="AJ57" s="3">
        <f t="shared" si="62"/>
        <v>63</v>
      </c>
      <c r="AK57" s="44">
        <v>3100000</v>
      </c>
      <c r="AW57" s="46">
        <v>400</v>
      </c>
      <c r="AX57" s="45">
        <v>44860</v>
      </c>
      <c r="AY57" s="3">
        <f t="shared" si="63"/>
        <v>21</v>
      </c>
      <c r="AZ57" s="44">
        <v>3745211</v>
      </c>
      <c r="BM57" s="46">
        <v>521</v>
      </c>
      <c r="BN57" s="45">
        <v>44879</v>
      </c>
      <c r="BO57" s="3">
        <f t="shared" si="64"/>
        <v>35</v>
      </c>
      <c r="BP57" s="44">
        <v>3287554</v>
      </c>
      <c r="CC57" s="46">
        <v>219</v>
      </c>
      <c r="CD57" s="45">
        <v>45238</v>
      </c>
      <c r="CE57" s="3">
        <f t="shared" si="65"/>
        <v>63</v>
      </c>
      <c r="CF57" s="44">
        <v>2194946</v>
      </c>
      <c r="CS57" s="46"/>
      <c r="CT57" s="45"/>
      <c r="CU57" s="3"/>
      <c r="CV57" s="44"/>
      <c r="CW57" s="44"/>
      <c r="CX57" s="44"/>
    </row>
    <row r="58" spans="2:102">
      <c r="B58" s="46">
        <v>325</v>
      </c>
      <c r="C58" s="45">
        <v>46197</v>
      </c>
      <c r="D58" s="3">
        <f t="shared" si="7"/>
        <v>62</v>
      </c>
      <c r="E58" s="44">
        <v>6769556</v>
      </c>
      <c r="R58" s="46">
        <v>219</v>
      </c>
      <c r="S58" s="45">
        <v>45694</v>
      </c>
      <c r="T58" s="3">
        <f t="shared" si="55"/>
        <v>49</v>
      </c>
      <c r="U58" s="44">
        <v>928500</v>
      </c>
      <c r="AH58" s="46">
        <v>462</v>
      </c>
      <c r="AI58" s="45">
        <v>45890</v>
      </c>
      <c r="AJ58" s="3">
        <f t="shared" si="62"/>
        <v>63</v>
      </c>
      <c r="AK58" s="44">
        <v>2700000</v>
      </c>
      <c r="AW58" s="46">
        <v>401</v>
      </c>
      <c r="AX58" s="45">
        <v>44916</v>
      </c>
      <c r="AY58" s="3">
        <f t="shared" si="63"/>
        <v>56</v>
      </c>
      <c r="AZ58" s="44">
        <v>12520413</v>
      </c>
      <c r="BM58" s="46">
        <v>522</v>
      </c>
      <c r="BN58" s="45">
        <v>44918</v>
      </c>
      <c r="BO58" s="3">
        <f t="shared" si="64"/>
        <v>39</v>
      </c>
      <c r="BP58" s="44">
        <v>6247050</v>
      </c>
      <c r="CC58" s="46">
        <v>220</v>
      </c>
      <c r="CD58" s="45">
        <v>45280</v>
      </c>
      <c r="CE58" s="3">
        <f t="shared" si="65"/>
        <v>42</v>
      </c>
      <c r="CF58" s="44">
        <v>2173755</v>
      </c>
      <c r="CS58" s="46"/>
      <c r="CT58" s="45"/>
      <c r="CU58" s="3"/>
      <c r="CV58" s="44"/>
      <c r="CW58" s="44"/>
      <c r="CX58" s="44"/>
    </row>
    <row r="59" spans="2:102">
      <c r="B59" s="46">
        <v>326</v>
      </c>
      <c r="C59" s="45"/>
      <c r="D59" s="3"/>
      <c r="E59" s="44"/>
      <c r="R59" s="46">
        <v>220</v>
      </c>
      <c r="S59" s="45">
        <v>45736</v>
      </c>
      <c r="T59" s="3">
        <f t="shared" si="55"/>
        <v>42</v>
      </c>
      <c r="U59" s="44">
        <v>923500</v>
      </c>
      <c r="AH59" s="46">
        <v>463</v>
      </c>
      <c r="AI59" s="45">
        <v>45946</v>
      </c>
      <c r="AJ59" s="3">
        <f t="shared" si="62"/>
        <v>56</v>
      </c>
      <c r="AK59" s="44">
        <v>3270000</v>
      </c>
      <c r="AW59" s="46">
        <v>402</v>
      </c>
      <c r="AX59" s="45">
        <v>44958</v>
      </c>
      <c r="AY59" s="3">
        <f t="shared" si="63"/>
        <v>42</v>
      </c>
      <c r="AZ59" s="44">
        <v>3633275</v>
      </c>
      <c r="BM59" s="46">
        <v>523</v>
      </c>
      <c r="BN59" s="45">
        <v>44956</v>
      </c>
      <c r="BO59" s="3">
        <f t="shared" si="64"/>
        <v>38</v>
      </c>
      <c r="BP59" s="44">
        <v>3399298</v>
      </c>
      <c r="CC59" s="46">
        <v>221</v>
      </c>
      <c r="CD59" s="45">
        <v>45357</v>
      </c>
      <c r="CE59" s="3">
        <f t="shared" si="65"/>
        <v>77</v>
      </c>
      <c r="CF59" s="44">
        <v>2027776</v>
      </c>
      <c r="CS59" s="46"/>
      <c r="CT59" s="45"/>
      <c r="CU59" s="3"/>
      <c r="CV59" s="44"/>
      <c r="CW59" s="44"/>
      <c r="CX59" s="44"/>
    </row>
    <row r="60" spans="2:102">
      <c r="R60" s="46">
        <v>221</v>
      </c>
      <c r="S60" s="45">
        <v>45785</v>
      </c>
      <c r="T60" s="3">
        <f t="shared" si="55"/>
        <v>49</v>
      </c>
      <c r="U60" s="44">
        <v>928500</v>
      </c>
      <c r="AH60" s="46">
        <v>464</v>
      </c>
      <c r="AI60" s="45">
        <v>46009</v>
      </c>
      <c r="AJ60" s="3">
        <f t="shared" si="62"/>
        <v>63</v>
      </c>
      <c r="AK60" s="44">
        <v>3400000</v>
      </c>
      <c r="AW60" s="46">
        <v>403</v>
      </c>
      <c r="AX60" s="45">
        <v>44986</v>
      </c>
      <c r="AY60" s="3">
        <f t="shared" si="63"/>
        <v>28</v>
      </c>
      <c r="AZ60" s="44">
        <v>6304768</v>
      </c>
      <c r="BM60" s="46">
        <v>524</v>
      </c>
      <c r="BN60" s="45">
        <v>44991</v>
      </c>
      <c r="BO60" s="3">
        <f t="shared" si="64"/>
        <v>35</v>
      </c>
      <c r="BP60" s="44">
        <v>3180471</v>
      </c>
      <c r="CC60" s="46">
        <v>222</v>
      </c>
      <c r="CD60" s="45">
        <v>45420</v>
      </c>
      <c r="CE60" s="3">
        <f t="shared" si="65"/>
        <v>63</v>
      </c>
      <c r="CF60" s="44">
        <v>2293876</v>
      </c>
      <c r="CS60" s="46"/>
      <c r="CT60" s="45"/>
      <c r="CU60" s="3"/>
      <c r="CV60" s="44"/>
      <c r="CW60" s="44"/>
      <c r="CX60" s="44"/>
    </row>
    <row r="61" spans="2:102">
      <c r="R61" s="46">
        <v>222</v>
      </c>
      <c r="S61" s="45">
        <v>45827</v>
      </c>
      <c r="T61" s="3">
        <f t="shared" si="55"/>
        <v>42</v>
      </c>
      <c r="U61" s="44">
        <v>923500</v>
      </c>
      <c r="AH61" s="46">
        <v>465</v>
      </c>
      <c r="AI61" s="45">
        <v>46072</v>
      </c>
      <c r="AJ61" s="3">
        <f t="shared" si="62"/>
        <v>63</v>
      </c>
      <c r="AK61" s="44">
        <v>3000000</v>
      </c>
      <c r="AW61" s="46">
        <v>404</v>
      </c>
      <c r="AX61" s="45">
        <v>45021</v>
      </c>
      <c r="AY61" s="3">
        <f t="shared" si="63"/>
        <v>35</v>
      </c>
      <c r="AZ61" s="44">
        <v>4133032</v>
      </c>
      <c r="BM61" s="46">
        <v>525</v>
      </c>
      <c r="BN61" s="45">
        <v>45033</v>
      </c>
      <c r="BO61" s="3">
        <f t="shared" si="64"/>
        <v>42</v>
      </c>
      <c r="BP61" s="44">
        <v>2805015</v>
      </c>
      <c r="CC61" s="46">
        <v>223</v>
      </c>
      <c r="CD61" s="45">
        <v>45469</v>
      </c>
      <c r="CE61" s="3">
        <f t="shared" si="65"/>
        <v>49</v>
      </c>
      <c r="CF61" s="44">
        <v>2000545</v>
      </c>
      <c r="CS61" s="46"/>
      <c r="CT61" s="45"/>
      <c r="CU61" s="3"/>
      <c r="CV61" s="44"/>
      <c r="CW61" s="44"/>
      <c r="CX61" s="44"/>
    </row>
    <row r="62" spans="2:102">
      <c r="R62" s="46">
        <v>223</v>
      </c>
      <c r="S62" s="45">
        <v>45876</v>
      </c>
      <c r="T62" s="3">
        <f t="shared" si="55"/>
        <v>49</v>
      </c>
      <c r="U62" s="44">
        <v>933500</v>
      </c>
      <c r="AH62" s="46">
        <v>466</v>
      </c>
      <c r="AI62" s="45">
        <v>46128</v>
      </c>
      <c r="AJ62" s="3">
        <f t="shared" si="62"/>
        <v>56</v>
      </c>
      <c r="AK62" s="44">
        <v>3000000</v>
      </c>
      <c r="AW62" s="46">
        <v>405</v>
      </c>
      <c r="AX62" s="45">
        <v>45077</v>
      </c>
      <c r="AY62" s="3">
        <f t="shared" si="63"/>
        <v>56</v>
      </c>
      <c r="AZ62" s="44">
        <v>6664101</v>
      </c>
      <c r="BM62" s="46">
        <v>526</v>
      </c>
      <c r="BN62" s="45">
        <v>45068</v>
      </c>
      <c r="BO62" s="3">
        <f t="shared" si="64"/>
        <v>35</v>
      </c>
      <c r="BP62" s="44">
        <v>2700752</v>
      </c>
      <c r="CC62" s="46">
        <v>224</v>
      </c>
      <c r="CD62" s="45">
        <v>45539</v>
      </c>
      <c r="CE62" s="3">
        <f t="shared" si="65"/>
        <v>70</v>
      </c>
      <c r="CF62" s="44">
        <v>2024069</v>
      </c>
      <c r="CS62" s="46"/>
      <c r="CT62" s="45"/>
      <c r="CU62" s="3"/>
      <c r="CV62" s="44"/>
      <c r="CW62" s="44"/>
      <c r="CX62" s="44"/>
    </row>
    <row r="63" spans="2:102">
      <c r="R63" s="46">
        <v>224</v>
      </c>
      <c r="S63" s="45">
        <v>45918</v>
      </c>
      <c r="T63" s="3">
        <f t="shared" si="55"/>
        <v>42</v>
      </c>
      <c r="U63" s="44">
        <v>923500</v>
      </c>
      <c r="AH63" s="46">
        <v>467</v>
      </c>
      <c r="AI63" s="45">
        <v>46191</v>
      </c>
      <c r="AJ63" s="3">
        <f t="shared" si="62"/>
        <v>63</v>
      </c>
      <c r="AK63" s="44">
        <v>2800000</v>
      </c>
      <c r="AW63" s="46">
        <v>406</v>
      </c>
      <c r="AX63" s="45">
        <v>45112</v>
      </c>
      <c r="AY63" s="3">
        <f t="shared" si="63"/>
        <v>35</v>
      </c>
      <c r="AZ63" s="44">
        <v>3708320</v>
      </c>
      <c r="BM63" s="46">
        <v>527</v>
      </c>
      <c r="BN63" s="45">
        <v>45103</v>
      </c>
      <c r="BO63" s="3">
        <f t="shared" si="64"/>
        <v>35</v>
      </c>
      <c r="BP63" s="44">
        <v>2518001</v>
      </c>
      <c r="CC63" s="46">
        <v>225</v>
      </c>
      <c r="CD63" s="45">
        <v>45602</v>
      </c>
      <c r="CE63" s="3">
        <f t="shared" si="65"/>
        <v>63</v>
      </c>
      <c r="CF63" s="44">
        <v>2085703</v>
      </c>
      <c r="CS63" s="46"/>
      <c r="CT63" s="45"/>
      <c r="CU63" s="3"/>
      <c r="CV63" s="44"/>
      <c r="CW63" s="44"/>
      <c r="CX63" s="44"/>
    </row>
    <row r="64" spans="2:102">
      <c r="R64" s="46">
        <v>225</v>
      </c>
      <c r="S64" s="45">
        <v>45967</v>
      </c>
      <c r="T64" s="3">
        <f t="shared" si="55"/>
        <v>49</v>
      </c>
      <c r="U64" s="44">
        <v>931500</v>
      </c>
      <c r="AH64" s="46">
        <v>468</v>
      </c>
      <c r="AI64" s="45"/>
      <c r="AJ64" s="3"/>
      <c r="AK64" s="44"/>
      <c r="AW64" s="46">
        <v>407</v>
      </c>
      <c r="AX64" s="45">
        <v>45140</v>
      </c>
      <c r="AY64" s="3">
        <f t="shared" si="63"/>
        <v>28</v>
      </c>
      <c r="AZ64" s="44">
        <v>3708320</v>
      </c>
      <c r="BM64" s="46">
        <v>528</v>
      </c>
      <c r="BN64" s="45">
        <v>45140</v>
      </c>
      <c r="BO64" s="3">
        <f t="shared" si="64"/>
        <v>37</v>
      </c>
      <c r="BP64" s="44">
        <v>3006044</v>
      </c>
      <c r="CC64" s="46">
        <v>226</v>
      </c>
      <c r="CD64" s="45">
        <v>45644</v>
      </c>
      <c r="CE64" s="3">
        <f t="shared" si="65"/>
        <v>42</v>
      </c>
      <c r="CF64" s="44">
        <v>2383111</v>
      </c>
      <c r="CS64" s="46"/>
      <c r="CT64" s="45"/>
      <c r="CU64" s="3"/>
      <c r="CV64" s="44"/>
      <c r="CW64" s="44"/>
      <c r="CX64" s="44"/>
    </row>
    <row r="65" spans="18:102">
      <c r="R65" s="46">
        <v>226</v>
      </c>
      <c r="S65" s="45">
        <v>46009</v>
      </c>
      <c r="T65" s="3">
        <f t="shared" si="55"/>
        <v>42</v>
      </c>
      <c r="U65" s="44">
        <v>924500</v>
      </c>
      <c r="AH65" s="46">
        <v>469</v>
      </c>
      <c r="AI65" s="45"/>
      <c r="AJ65" s="3"/>
      <c r="AK65" s="44"/>
      <c r="AW65" s="46">
        <v>408</v>
      </c>
      <c r="AX65" s="45">
        <v>45168</v>
      </c>
      <c r="AY65" s="3">
        <f t="shared" si="63"/>
        <v>28</v>
      </c>
      <c r="AZ65" s="44">
        <v>3282861</v>
      </c>
      <c r="BM65" s="46">
        <v>529</v>
      </c>
      <c r="BN65" s="45">
        <v>45175</v>
      </c>
      <c r="BO65" s="3">
        <f t="shared" si="64"/>
        <v>35</v>
      </c>
      <c r="BP65" s="44">
        <v>2906469</v>
      </c>
      <c r="CC65" s="46">
        <v>227</v>
      </c>
      <c r="CD65" s="45">
        <v>45721</v>
      </c>
      <c r="CE65" s="3">
        <f t="shared" si="65"/>
        <v>77</v>
      </c>
      <c r="CF65" s="44">
        <v>2350150</v>
      </c>
      <c r="CS65" s="46"/>
      <c r="CT65" s="45"/>
      <c r="CU65" s="3"/>
      <c r="CV65" s="44"/>
      <c r="CW65" s="44"/>
      <c r="CX65" s="44"/>
    </row>
    <row r="66" spans="18:102">
      <c r="R66" s="46">
        <v>227</v>
      </c>
      <c r="S66" s="45">
        <v>46058</v>
      </c>
      <c r="T66" s="3">
        <f t="shared" si="55"/>
        <v>49</v>
      </c>
      <c r="U66" s="44">
        <v>1105000</v>
      </c>
      <c r="AH66" s="46">
        <v>470</v>
      </c>
      <c r="AI66" s="45"/>
      <c r="AJ66" s="3"/>
      <c r="AK66" s="44"/>
      <c r="AW66" s="46">
        <v>409</v>
      </c>
      <c r="AX66" s="45">
        <v>45210</v>
      </c>
      <c r="AY66" s="3">
        <f t="shared" si="63"/>
        <v>42</v>
      </c>
      <c r="AZ66" s="44">
        <v>9714566</v>
      </c>
      <c r="BM66" s="46">
        <v>530</v>
      </c>
      <c r="BN66" s="45">
        <v>45210</v>
      </c>
      <c r="BO66" s="3">
        <f t="shared" si="64"/>
        <v>35</v>
      </c>
      <c r="BP66" s="44">
        <v>3051546</v>
      </c>
      <c r="CC66" s="46">
        <v>228</v>
      </c>
      <c r="CD66" s="45">
        <v>45791</v>
      </c>
      <c r="CE66" s="3">
        <f t="shared" si="65"/>
        <v>70</v>
      </c>
      <c r="CF66" s="44">
        <v>2623280</v>
      </c>
      <c r="CS66" s="46"/>
      <c r="CT66" s="45"/>
      <c r="CU66" s="3"/>
      <c r="CV66" s="44"/>
      <c r="CW66" s="44"/>
      <c r="CX66" s="44"/>
    </row>
    <row r="67" spans="18:102">
      <c r="R67" s="46">
        <v>228</v>
      </c>
      <c r="S67" s="45">
        <v>46100</v>
      </c>
      <c r="T67" s="3">
        <f t="shared" si="55"/>
        <v>42</v>
      </c>
      <c r="U67" s="44">
        <v>900000</v>
      </c>
      <c r="AH67" s="46">
        <v>471</v>
      </c>
      <c r="AI67" s="45"/>
      <c r="AJ67" s="3"/>
      <c r="AK67" s="44"/>
      <c r="AW67" s="46">
        <v>410</v>
      </c>
      <c r="AX67" s="45">
        <v>45238</v>
      </c>
      <c r="AY67" s="3">
        <f t="shared" si="63"/>
        <v>28</v>
      </c>
      <c r="AZ67" s="44">
        <v>3563513</v>
      </c>
      <c r="BM67" s="46">
        <v>531</v>
      </c>
      <c r="BN67" s="45">
        <v>45245</v>
      </c>
      <c r="BO67" s="3">
        <f t="shared" si="64"/>
        <v>35</v>
      </c>
      <c r="BP67" s="44">
        <v>2700000</v>
      </c>
      <c r="CC67" s="46">
        <v>229</v>
      </c>
      <c r="CD67" s="45">
        <v>45833</v>
      </c>
      <c r="CE67" s="3">
        <f t="shared" si="65"/>
        <v>42</v>
      </c>
      <c r="CF67" s="44">
        <v>2212000</v>
      </c>
      <c r="CS67" s="46"/>
      <c r="CT67" s="45"/>
      <c r="CU67" s="3"/>
      <c r="CV67" s="44"/>
      <c r="CW67" s="44"/>
      <c r="CX67" s="44"/>
    </row>
    <row r="68" spans="18:102">
      <c r="R68" s="46">
        <v>229</v>
      </c>
      <c r="S68" s="45">
        <v>46149</v>
      </c>
      <c r="T68" s="3">
        <f t="shared" si="55"/>
        <v>49</v>
      </c>
      <c r="U68" s="44">
        <v>1105000</v>
      </c>
      <c r="AH68" s="46">
        <v>472</v>
      </c>
      <c r="AI68" s="45"/>
      <c r="AJ68" s="3"/>
      <c r="AK68" s="44"/>
      <c r="AW68" s="46">
        <v>411</v>
      </c>
      <c r="AX68" s="45">
        <v>45282</v>
      </c>
      <c r="AY68" s="3">
        <f t="shared" si="63"/>
        <v>44</v>
      </c>
      <c r="AZ68" s="44">
        <v>12672607</v>
      </c>
      <c r="BM68" s="46">
        <v>532</v>
      </c>
      <c r="BN68" s="45">
        <v>45282</v>
      </c>
      <c r="BO68" s="3">
        <f t="shared" si="64"/>
        <v>37</v>
      </c>
      <c r="BP68" s="44">
        <v>6391905</v>
      </c>
      <c r="CC68" s="46">
        <v>230</v>
      </c>
      <c r="CD68" s="45">
        <v>45910</v>
      </c>
      <c r="CE68" s="3">
        <f t="shared" si="65"/>
        <v>77</v>
      </c>
      <c r="CF68" s="44">
        <v>2321563</v>
      </c>
      <c r="CS68" s="46"/>
      <c r="CT68" s="45"/>
      <c r="CU68" s="3"/>
      <c r="CV68" s="44"/>
      <c r="CW68" s="44"/>
      <c r="CX68" s="44"/>
    </row>
    <row r="69" spans="18:102">
      <c r="R69" s="46">
        <v>230</v>
      </c>
      <c r="S69" s="45">
        <v>46191</v>
      </c>
      <c r="T69" s="3">
        <f t="shared" si="55"/>
        <v>42</v>
      </c>
      <c r="U69" s="44">
        <v>902000</v>
      </c>
      <c r="AH69" s="46">
        <v>473</v>
      </c>
      <c r="AI69" s="45"/>
      <c r="AJ69" s="3"/>
      <c r="AK69" s="44"/>
      <c r="AW69" s="46">
        <v>412</v>
      </c>
      <c r="AX69" s="45">
        <v>45329</v>
      </c>
      <c r="AY69" s="3">
        <f t="shared" ref="AY69:AY97" si="66">AX69-AX68</f>
        <v>47</v>
      </c>
      <c r="AZ69" s="44">
        <v>3560642</v>
      </c>
      <c r="BM69" s="46">
        <v>533</v>
      </c>
      <c r="BN69" s="45">
        <v>45322</v>
      </c>
      <c r="BO69" s="3">
        <f t="shared" ref="BO69:BO97" si="67">BN69-BN68</f>
        <v>40</v>
      </c>
      <c r="BP69" s="44">
        <v>3028886</v>
      </c>
      <c r="CC69" s="46">
        <v>231</v>
      </c>
      <c r="CD69" s="45">
        <v>45973</v>
      </c>
      <c r="CE69" s="3">
        <f t="shared" si="65"/>
        <v>63</v>
      </c>
      <c r="CF69" s="44">
        <v>2702021</v>
      </c>
      <c r="CS69" s="46"/>
      <c r="CT69" s="45"/>
      <c r="CU69" s="3"/>
      <c r="CV69" s="44"/>
      <c r="CW69" s="44"/>
      <c r="CX69" s="44"/>
    </row>
    <row r="70" spans="18:102">
      <c r="R70" s="46">
        <v>231</v>
      </c>
      <c r="S70" s="45">
        <v>46240</v>
      </c>
      <c r="T70" s="3">
        <f t="shared" si="55"/>
        <v>49</v>
      </c>
      <c r="U70" s="44">
        <v>1105000</v>
      </c>
      <c r="AW70" s="46">
        <v>413</v>
      </c>
      <c r="AX70" s="45">
        <v>45364</v>
      </c>
      <c r="AY70" s="3">
        <f t="shared" si="66"/>
        <v>35</v>
      </c>
      <c r="AZ70" s="44">
        <v>4474939</v>
      </c>
      <c r="BM70" s="46">
        <v>534</v>
      </c>
      <c r="BN70" s="45">
        <v>45357</v>
      </c>
      <c r="BO70" s="3">
        <f t="shared" si="67"/>
        <v>35</v>
      </c>
      <c r="BP70" s="44">
        <v>2920596</v>
      </c>
      <c r="CC70" s="46">
        <v>232</v>
      </c>
      <c r="CD70" s="45">
        <v>46036</v>
      </c>
      <c r="CE70" s="3">
        <f t="shared" si="65"/>
        <v>63</v>
      </c>
      <c r="CF70" s="44">
        <v>2633213</v>
      </c>
      <c r="CS70" s="46"/>
      <c r="CT70" s="45"/>
      <c r="CU70" s="3"/>
      <c r="CV70" s="44"/>
      <c r="CW70" s="44"/>
      <c r="CX70" s="44"/>
    </row>
    <row r="71" spans="18:102">
      <c r="R71" s="46"/>
      <c r="S71" s="45"/>
      <c r="T71" s="3"/>
      <c r="U71" s="44"/>
      <c r="AW71" s="46">
        <v>414</v>
      </c>
      <c r="AX71" s="45">
        <v>45399</v>
      </c>
      <c r="AY71" s="3">
        <f t="shared" si="66"/>
        <v>35</v>
      </c>
      <c r="AZ71" s="44">
        <v>3500170</v>
      </c>
      <c r="BM71" s="46">
        <v>535</v>
      </c>
      <c r="BN71" s="45">
        <v>45399</v>
      </c>
      <c r="BO71" s="3">
        <f t="shared" si="67"/>
        <v>42</v>
      </c>
      <c r="BP71" s="44">
        <v>2950844</v>
      </c>
      <c r="CC71" s="46">
        <v>233</v>
      </c>
      <c r="CD71" s="45">
        <v>46092</v>
      </c>
      <c r="CE71" s="3">
        <f t="shared" si="65"/>
        <v>56</v>
      </c>
      <c r="CF71" s="44">
        <v>3346415</v>
      </c>
      <c r="CS71" s="46"/>
      <c r="CT71" s="45"/>
      <c r="CU71" s="3"/>
      <c r="CV71" s="44"/>
      <c r="CW71" s="44"/>
      <c r="CX71" s="44"/>
    </row>
    <row r="72" spans="18:102">
      <c r="R72" s="46"/>
      <c r="S72" s="45"/>
      <c r="T72" s="3"/>
      <c r="U72" s="44"/>
      <c r="AW72" s="46">
        <v>415</v>
      </c>
      <c r="AX72" s="45">
        <v>45441</v>
      </c>
      <c r="AY72" s="3">
        <f t="shared" si="66"/>
        <v>42</v>
      </c>
      <c r="AZ72" s="44">
        <v>7411609</v>
      </c>
      <c r="BM72" s="46">
        <v>536</v>
      </c>
      <c r="BN72" s="45">
        <v>45434</v>
      </c>
      <c r="BO72" s="3">
        <f t="shared" si="67"/>
        <v>35</v>
      </c>
      <c r="BP72" s="44">
        <v>3336033</v>
      </c>
      <c r="CC72" s="46">
        <v>234</v>
      </c>
      <c r="CD72" s="45">
        <v>46155</v>
      </c>
      <c r="CE72" s="3">
        <f>CD72-CD71</f>
        <v>63</v>
      </c>
      <c r="CF72" s="44">
        <v>2827206</v>
      </c>
      <c r="CS72" s="46"/>
      <c r="CT72" s="45"/>
      <c r="CU72" s="3"/>
      <c r="CV72" s="44"/>
      <c r="CW72" s="44"/>
      <c r="CX72" s="44"/>
    </row>
    <row r="73" spans="18:102">
      <c r="R73" s="46"/>
      <c r="S73" s="45"/>
      <c r="T73" s="3"/>
      <c r="U73" s="44"/>
      <c r="AW73" s="46">
        <v>416</v>
      </c>
      <c r="AX73" s="45">
        <v>45476</v>
      </c>
      <c r="AY73" s="3">
        <f t="shared" si="66"/>
        <v>35</v>
      </c>
      <c r="AZ73" s="44">
        <v>3542665</v>
      </c>
      <c r="BM73" s="46">
        <v>537</v>
      </c>
      <c r="BN73" s="45">
        <v>45469</v>
      </c>
      <c r="BO73" s="3">
        <f t="shared" si="67"/>
        <v>35</v>
      </c>
      <c r="BP73" s="44">
        <v>2922279</v>
      </c>
      <c r="CC73" s="46">
        <v>235</v>
      </c>
      <c r="CD73" s="45">
        <v>46176</v>
      </c>
      <c r="CE73" s="3">
        <f t="shared" ref="CE73:CE96" si="68">CD73-CD72</f>
        <v>21</v>
      </c>
      <c r="CF73" s="44">
        <v>2695905</v>
      </c>
      <c r="CS73" s="46"/>
      <c r="CT73" s="45"/>
      <c r="CU73" s="3"/>
      <c r="CV73" s="44"/>
      <c r="CW73" s="44"/>
      <c r="CX73" s="44"/>
    </row>
    <row r="74" spans="18:102">
      <c r="R74" s="46"/>
      <c r="S74" s="45"/>
      <c r="T74" s="3"/>
      <c r="U74" s="44"/>
      <c r="AW74" s="46">
        <v>417</v>
      </c>
      <c r="AX74" s="45">
        <v>45511</v>
      </c>
      <c r="AY74" s="3">
        <f t="shared" si="66"/>
        <v>35</v>
      </c>
      <c r="AZ74" s="44">
        <v>5000094</v>
      </c>
      <c r="BM74" s="46">
        <v>538</v>
      </c>
      <c r="BN74" s="45">
        <v>45504</v>
      </c>
      <c r="BO74" s="3">
        <f t="shared" si="67"/>
        <v>35</v>
      </c>
      <c r="BP74" s="44">
        <v>2655348</v>
      </c>
      <c r="CC74" s="46">
        <v>236</v>
      </c>
      <c r="CD74" s="45"/>
      <c r="CE74" s="3">
        <f t="shared" si="68"/>
        <v>-46176</v>
      </c>
      <c r="CF74" s="44"/>
      <c r="CS74" s="46"/>
      <c r="CT74" s="45"/>
      <c r="CU74" s="3"/>
      <c r="CV74" s="44"/>
      <c r="CW74" s="44"/>
      <c r="CX74" s="44"/>
    </row>
    <row r="75" spans="18:102">
      <c r="R75" s="46"/>
      <c r="S75" s="45"/>
      <c r="T75" s="3"/>
      <c r="U75" s="44"/>
      <c r="AW75" s="46">
        <v>418</v>
      </c>
      <c r="AX75" s="45">
        <v>45539</v>
      </c>
      <c r="AY75" s="3">
        <f t="shared" si="66"/>
        <v>28</v>
      </c>
      <c r="AZ75" s="44">
        <v>3500680</v>
      </c>
      <c r="BM75" s="46">
        <v>539</v>
      </c>
      <c r="BN75" s="45">
        <v>45539</v>
      </c>
      <c r="BO75" s="3">
        <f t="shared" si="67"/>
        <v>35</v>
      </c>
      <c r="BP75" s="44">
        <v>3253979</v>
      </c>
      <c r="CC75" s="46">
        <v>237</v>
      </c>
      <c r="CD75" s="45"/>
      <c r="CE75" s="3">
        <f t="shared" si="68"/>
        <v>0</v>
      </c>
      <c r="CF75" s="44"/>
      <c r="CS75" s="46"/>
      <c r="CT75" s="45"/>
      <c r="CU75" s="3"/>
      <c r="CV75" s="44"/>
      <c r="CW75" s="44"/>
      <c r="CX75" s="44"/>
    </row>
    <row r="76" spans="18:102">
      <c r="R76" s="46"/>
      <c r="S76" s="45"/>
      <c r="T76" s="3"/>
      <c r="U76" s="44"/>
      <c r="AW76" s="46">
        <v>419</v>
      </c>
      <c r="AX76" s="45">
        <v>45579</v>
      </c>
      <c r="AY76" s="3">
        <f t="shared" si="66"/>
        <v>40</v>
      </c>
      <c r="AZ76" s="44">
        <v>8052147</v>
      </c>
      <c r="BM76" s="46">
        <v>540</v>
      </c>
      <c r="BN76" s="45">
        <v>45574</v>
      </c>
      <c r="BO76" s="3">
        <f t="shared" si="67"/>
        <v>35</v>
      </c>
      <c r="BP76" s="44">
        <v>3553986</v>
      </c>
      <c r="CC76" s="46">
        <v>238</v>
      </c>
      <c r="CD76" s="45"/>
      <c r="CE76" s="3">
        <f t="shared" si="68"/>
        <v>0</v>
      </c>
      <c r="CF76" s="44"/>
      <c r="CS76" s="46"/>
      <c r="CT76" s="45"/>
      <c r="CU76" s="3"/>
      <c r="CV76" s="44"/>
      <c r="CW76" s="44"/>
      <c r="CX76" s="44"/>
    </row>
    <row r="77" spans="18:102">
      <c r="R77" s="46"/>
      <c r="S77" s="45"/>
      <c r="T77" s="3"/>
      <c r="U77" s="44"/>
      <c r="AW77" s="46">
        <v>420</v>
      </c>
      <c r="AX77" s="45">
        <v>45602</v>
      </c>
      <c r="AY77" s="3">
        <f t="shared" si="66"/>
        <v>23</v>
      </c>
      <c r="AZ77" s="44">
        <v>3517210</v>
      </c>
      <c r="BM77" s="46">
        <v>541</v>
      </c>
      <c r="BN77" s="45">
        <v>45609</v>
      </c>
      <c r="BO77" s="3">
        <f t="shared" si="67"/>
        <v>35</v>
      </c>
      <c r="BP77" s="44">
        <v>3000327</v>
      </c>
      <c r="CC77" s="46">
        <v>239</v>
      </c>
      <c r="CD77" s="45"/>
      <c r="CE77" s="3">
        <f t="shared" si="68"/>
        <v>0</v>
      </c>
      <c r="CF77" s="44"/>
      <c r="CS77" s="46"/>
      <c r="CT77" s="45"/>
      <c r="CU77" s="3"/>
      <c r="CV77" s="44"/>
      <c r="CW77" s="44"/>
      <c r="CX77" s="44"/>
    </row>
    <row r="78" spans="18:102">
      <c r="R78" s="46"/>
      <c r="S78" s="45"/>
      <c r="T78" s="3"/>
      <c r="U78" s="44"/>
      <c r="AW78" s="46">
        <v>421</v>
      </c>
      <c r="AX78" s="45">
        <v>45649</v>
      </c>
      <c r="AY78" s="3">
        <f t="shared" si="66"/>
        <v>47</v>
      </c>
      <c r="AZ78" s="44">
        <v>13027497</v>
      </c>
      <c r="BM78" s="46">
        <v>542</v>
      </c>
      <c r="BN78" s="45">
        <v>45649</v>
      </c>
      <c r="BO78" s="3">
        <f t="shared" si="67"/>
        <v>40</v>
      </c>
      <c r="BP78" s="44">
        <v>5663262</v>
      </c>
      <c r="CC78" s="46">
        <v>240</v>
      </c>
      <c r="CD78" s="45"/>
      <c r="CE78" s="3">
        <f t="shared" si="68"/>
        <v>0</v>
      </c>
      <c r="CF78" s="44"/>
      <c r="CS78" s="46"/>
      <c r="CT78" s="45"/>
      <c r="CU78" s="3"/>
      <c r="CV78" s="44"/>
      <c r="CW78" s="44"/>
      <c r="CX78" s="44"/>
    </row>
    <row r="79" spans="18:102">
      <c r="R79" s="46"/>
      <c r="S79" s="45"/>
      <c r="T79" s="3"/>
      <c r="U79" s="44"/>
      <c r="AW79" s="46">
        <v>422</v>
      </c>
      <c r="AX79" s="45">
        <v>45686</v>
      </c>
      <c r="AY79" s="3">
        <f t="shared" si="66"/>
        <v>37</v>
      </c>
      <c r="AZ79" s="44">
        <v>3535789</v>
      </c>
      <c r="BM79" s="46">
        <v>543</v>
      </c>
      <c r="BN79" s="45">
        <v>45688</v>
      </c>
      <c r="BO79" s="3">
        <f t="shared" si="67"/>
        <v>39</v>
      </c>
      <c r="BP79" s="44">
        <v>2937538</v>
      </c>
      <c r="CC79" s="46">
        <v>241</v>
      </c>
      <c r="CD79" s="45"/>
      <c r="CE79" s="3">
        <f t="shared" si="68"/>
        <v>0</v>
      </c>
      <c r="CF79" s="44"/>
      <c r="CS79" s="46"/>
      <c r="CT79" s="45"/>
      <c r="CU79" s="3"/>
      <c r="CV79" s="44"/>
      <c r="CW79" s="44"/>
      <c r="CX79" s="44"/>
    </row>
    <row r="80" spans="18:102">
      <c r="R80" s="46"/>
      <c r="S80" s="45"/>
      <c r="T80" s="3"/>
      <c r="U80" s="44"/>
      <c r="AW80" s="46">
        <v>423</v>
      </c>
      <c r="AX80" s="45">
        <v>45742</v>
      </c>
      <c r="AY80" s="3">
        <f t="shared" si="66"/>
        <v>56</v>
      </c>
      <c r="AZ80" s="44">
        <v>6220000</v>
      </c>
      <c r="BM80" s="46">
        <v>544</v>
      </c>
      <c r="BN80" s="45">
        <v>45721</v>
      </c>
      <c r="BO80" s="3">
        <f t="shared" si="67"/>
        <v>33</v>
      </c>
      <c r="BP80" s="44">
        <v>2573866</v>
      </c>
      <c r="CC80" s="46">
        <v>242</v>
      </c>
      <c r="CD80" s="45"/>
      <c r="CE80" s="3">
        <f t="shared" si="68"/>
        <v>0</v>
      </c>
      <c r="CF80" s="44"/>
      <c r="CS80" s="46"/>
      <c r="CT80" s="45"/>
      <c r="CU80" s="3"/>
      <c r="CV80" s="44"/>
      <c r="CW80" s="44"/>
      <c r="CX80" s="44"/>
    </row>
    <row r="81" spans="18:102">
      <c r="R81" s="46"/>
      <c r="S81" s="45"/>
      <c r="T81" s="3"/>
      <c r="U81" s="44"/>
      <c r="AW81" s="46">
        <v>424</v>
      </c>
      <c r="AX81" s="45">
        <v>45756</v>
      </c>
      <c r="AY81" s="3">
        <f t="shared" si="66"/>
        <v>14</v>
      </c>
      <c r="AZ81" s="44">
        <v>4330552</v>
      </c>
      <c r="BM81" s="46">
        <v>545</v>
      </c>
      <c r="BN81" s="45">
        <v>45753</v>
      </c>
      <c r="BO81" s="3">
        <f t="shared" si="67"/>
        <v>32</v>
      </c>
      <c r="BP81" s="44">
        <v>3065750</v>
      </c>
      <c r="CC81" s="46">
        <v>243</v>
      </c>
      <c r="CD81" s="45"/>
      <c r="CE81" s="3">
        <f t="shared" si="68"/>
        <v>0</v>
      </c>
      <c r="CF81" s="44"/>
      <c r="CS81" s="46"/>
      <c r="CT81" s="45"/>
      <c r="CU81" s="3"/>
      <c r="CV81" s="44"/>
      <c r="CW81" s="44"/>
      <c r="CX81" s="44"/>
    </row>
    <row r="82" spans="18:102">
      <c r="R82" s="46"/>
      <c r="S82" s="45"/>
      <c r="T82" s="3"/>
      <c r="U82" s="44"/>
      <c r="AW82" s="46">
        <v>425</v>
      </c>
      <c r="AX82" s="45">
        <v>45805</v>
      </c>
      <c r="AY82" s="3">
        <f t="shared" si="66"/>
        <v>49</v>
      </c>
      <c r="AZ82" s="44">
        <v>10288916</v>
      </c>
      <c r="BM82" s="46">
        <v>546</v>
      </c>
      <c r="BN82" s="45">
        <v>45788</v>
      </c>
      <c r="BO82" s="3">
        <f t="shared" si="67"/>
        <v>35</v>
      </c>
      <c r="BP82" s="44">
        <v>3234640</v>
      </c>
      <c r="CC82" s="46">
        <v>244</v>
      </c>
      <c r="CD82" s="45"/>
      <c r="CE82" s="3">
        <f t="shared" si="68"/>
        <v>0</v>
      </c>
      <c r="CF82" s="44"/>
      <c r="CS82" s="46"/>
      <c r="CT82" s="45"/>
      <c r="CU82" s="3"/>
      <c r="CV82" s="44"/>
      <c r="CW82" s="44"/>
      <c r="CX82" s="44"/>
    </row>
    <row r="83" spans="18:102">
      <c r="AW83" s="46">
        <v>426</v>
      </c>
      <c r="AX83" s="45">
        <v>45833</v>
      </c>
      <c r="AY83" s="3">
        <f t="shared" si="66"/>
        <v>28</v>
      </c>
      <c r="AZ83" s="44">
        <v>4049873</v>
      </c>
      <c r="BM83" s="46">
        <v>547</v>
      </c>
      <c r="BN83" s="45">
        <v>45826</v>
      </c>
      <c r="BO83" s="3">
        <f t="shared" si="67"/>
        <v>38</v>
      </c>
      <c r="BP83" s="44">
        <v>2945808</v>
      </c>
      <c r="CC83" s="46">
        <v>245</v>
      </c>
      <c r="CD83" s="45"/>
      <c r="CE83" s="3">
        <f t="shared" si="68"/>
        <v>0</v>
      </c>
      <c r="CF83" s="44"/>
      <c r="CS83" s="46"/>
      <c r="CT83" s="45"/>
      <c r="CU83" s="3"/>
      <c r="CV83" s="44"/>
      <c r="CW83" s="44"/>
      <c r="CX83" s="44"/>
    </row>
    <row r="84" spans="18:102">
      <c r="AW84" s="46">
        <v>427</v>
      </c>
      <c r="AX84" s="45">
        <v>45903</v>
      </c>
      <c r="AY84" s="3">
        <f t="shared" si="66"/>
        <v>70</v>
      </c>
      <c r="AZ84" s="44">
        <v>13769338</v>
      </c>
      <c r="BM84" s="46">
        <v>548</v>
      </c>
      <c r="BN84" s="45">
        <v>45868</v>
      </c>
      <c r="BO84" s="3">
        <f t="shared" si="67"/>
        <v>42</v>
      </c>
      <c r="BP84" s="44">
        <v>3670000</v>
      </c>
      <c r="CC84" s="46">
        <v>246</v>
      </c>
      <c r="CD84" s="45"/>
      <c r="CE84" s="3">
        <f t="shared" si="68"/>
        <v>0</v>
      </c>
      <c r="CF84" s="44"/>
      <c r="CS84" s="46"/>
      <c r="CT84" s="45"/>
      <c r="CU84" s="3"/>
      <c r="CV84" s="44"/>
      <c r="CW84" s="44"/>
      <c r="CX84" s="44"/>
    </row>
    <row r="85" spans="18:102">
      <c r="AW85" s="46">
        <v>428</v>
      </c>
      <c r="AX85" s="45">
        <v>45959</v>
      </c>
      <c r="AY85" s="3">
        <f t="shared" si="66"/>
        <v>56</v>
      </c>
      <c r="AZ85" s="44">
        <v>11772600</v>
      </c>
      <c r="BM85" s="46">
        <v>549</v>
      </c>
      <c r="BN85" s="45">
        <v>45903</v>
      </c>
      <c r="BO85" s="3">
        <f t="shared" si="67"/>
        <v>35</v>
      </c>
      <c r="BP85" s="44">
        <v>3369301</v>
      </c>
      <c r="CC85" s="46">
        <v>247</v>
      </c>
      <c r="CD85" s="45"/>
      <c r="CE85" s="3">
        <f t="shared" si="68"/>
        <v>0</v>
      </c>
      <c r="CF85" s="44"/>
      <c r="CS85" s="46"/>
      <c r="CT85" s="45"/>
      <c r="CU85" s="3"/>
      <c r="CV85" s="44"/>
      <c r="CW85" s="44"/>
      <c r="CX85" s="44"/>
    </row>
    <row r="86" spans="18:102">
      <c r="AW86" s="46">
        <v>429</v>
      </c>
      <c r="AX86" s="45">
        <v>46014</v>
      </c>
      <c r="AY86" s="3">
        <f t="shared" si="66"/>
        <v>55</v>
      </c>
      <c r="AZ86" s="44">
        <v>13001032</v>
      </c>
      <c r="BM86" s="46">
        <v>550</v>
      </c>
      <c r="BN86" s="45">
        <v>45939</v>
      </c>
      <c r="BO86" s="3">
        <f t="shared" si="67"/>
        <v>36</v>
      </c>
      <c r="BP86" s="44">
        <v>3052420</v>
      </c>
      <c r="CC86" s="46">
        <v>248</v>
      </c>
      <c r="CD86" s="45"/>
      <c r="CE86" s="3">
        <f t="shared" si="68"/>
        <v>0</v>
      </c>
      <c r="CF86" s="44"/>
      <c r="CS86" s="46"/>
      <c r="CT86" s="45"/>
      <c r="CU86" s="3"/>
      <c r="CV86" s="44"/>
      <c r="CW86" s="44"/>
      <c r="CX86" s="44"/>
    </row>
    <row r="87" spans="18:102">
      <c r="AW87" s="46">
        <v>430</v>
      </c>
      <c r="AX87" s="45">
        <v>46085</v>
      </c>
      <c r="AY87" s="3">
        <f t="shared" si="66"/>
        <v>71</v>
      </c>
      <c r="AZ87" s="44">
        <v>13906417</v>
      </c>
      <c r="BM87" s="46">
        <v>551</v>
      </c>
      <c r="BN87" s="45">
        <v>45973</v>
      </c>
      <c r="BO87" s="3">
        <f t="shared" si="67"/>
        <v>34</v>
      </c>
      <c r="BP87" s="44">
        <v>3193432</v>
      </c>
      <c r="CC87" s="46">
        <v>249</v>
      </c>
      <c r="CD87" s="45"/>
      <c r="CE87" s="3">
        <f t="shared" si="68"/>
        <v>0</v>
      </c>
      <c r="CF87" s="44"/>
      <c r="CS87" s="46"/>
      <c r="CT87" s="45"/>
      <c r="CU87" s="3"/>
      <c r="CV87" s="44"/>
      <c r="CW87" s="44"/>
      <c r="CX87" s="44"/>
    </row>
    <row r="88" spans="18:102">
      <c r="AW88" s="46">
        <v>431</v>
      </c>
      <c r="AX88" s="45">
        <v>46148</v>
      </c>
      <c r="AY88" s="3">
        <f t="shared" si="66"/>
        <v>63</v>
      </c>
      <c r="AZ88" s="44">
        <v>12091091</v>
      </c>
      <c r="BM88" s="46">
        <v>552</v>
      </c>
      <c r="BN88" s="45">
        <v>46014</v>
      </c>
      <c r="BO88" s="3">
        <f t="shared" si="67"/>
        <v>41</v>
      </c>
      <c r="BP88" s="44">
        <v>5875000</v>
      </c>
      <c r="CC88" s="46">
        <v>250</v>
      </c>
      <c r="CD88" s="45"/>
      <c r="CE88" s="3">
        <f t="shared" si="68"/>
        <v>0</v>
      </c>
      <c r="CF88" s="44"/>
      <c r="CS88" s="46"/>
      <c r="CT88" s="45"/>
      <c r="CU88" s="3"/>
      <c r="CV88" s="44"/>
      <c r="CW88" s="44"/>
      <c r="CX88" s="44"/>
    </row>
    <row r="89" spans="18:102">
      <c r="AW89" s="46">
        <v>432</v>
      </c>
      <c r="AX89" s="45">
        <v>46211</v>
      </c>
      <c r="AY89" s="3">
        <f t="shared" si="66"/>
        <v>63</v>
      </c>
      <c r="AZ89" s="44">
        <v>15509132</v>
      </c>
      <c r="BM89" s="46">
        <v>553</v>
      </c>
      <c r="BN89" s="45">
        <v>46059</v>
      </c>
      <c r="BO89" s="3">
        <f t="shared" si="67"/>
        <v>45</v>
      </c>
      <c r="BP89" s="44">
        <v>3300000</v>
      </c>
      <c r="CC89" s="46">
        <v>251</v>
      </c>
      <c r="CD89" s="45"/>
      <c r="CE89" s="3">
        <f t="shared" si="68"/>
        <v>0</v>
      </c>
      <c r="CF89" s="44"/>
      <c r="CS89" s="46"/>
      <c r="CT89" s="45"/>
      <c r="CU89" s="3"/>
      <c r="CV89" s="44"/>
      <c r="CW89" s="44"/>
      <c r="CX89" s="44"/>
    </row>
    <row r="90" spans="18:102">
      <c r="AW90" s="46">
        <v>433</v>
      </c>
      <c r="AX90" s="45">
        <v>46253</v>
      </c>
      <c r="AY90" s="3">
        <f t="shared" si="66"/>
        <v>42</v>
      </c>
      <c r="AZ90" s="44">
        <v>14400984</v>
      </c>
      <c r="BM90" s="46">
        <v>554</v>
      </c>
      <c r="BN90" s="45">
        <v>46087</v>
      </c>
      <c r="BO90" s="3">
        <f t="shared" si="67"/>
        <v>28</v>
      </c>
      <c r="BP90" s="44">
        <v>2826814</v>
      </c>
      <c r="CC90" s="46">
        <v>252</v>
      </c>
      <c r="CD90" s="45"/>
      <c r="CE90" s="3">
        <f t="shared" si="68"/>
        <v>0</v>
      </c>
      <c r="CF90" s="44"/>
      <c r="CS90" s="46"/>
      <c r="CT90" s="45"/>
      <c r="CU90" s="3"/>
      <c r="CV90" s="44"/>
      <c r="CW90" s="44"/>
      <c r="CX90" s="44"/>
    </row>
    <row r="91" spans="18:102">
      <c r="AW91" s="46">
        <v>434</v>
      </c>
      <c r="AX91" s="45"/>
      <c r="AY91" s="3">
        <f t="shared" si="66"/>
        <v>-46253</v>
      </c>
      <c r="AZ91" s="44"/>
      <c r="BM91" s="46">
        <v>555</v>
      </c>
      <c r="BN91" s="45">
        <v>46129</v>
      </c>
      <c r="BO91" s="3">
        <f t="shared" si="67"/>
        <v>42</v>
      </c>
      <c r="BP91" s="44">
        <v>2805170</v>
      </c>
      <c r="CC91" s="46">
        <v>253</v>
      </c>
      <c r="CD91" s="45"/>
      <c r="CE91" s="3">
        <f t="shared" si="68"/>
        <v>0</v>
      </c>
      <c r="CF91" s="44"/>
      <c r="CS91" s="46"/>
      <c r="CT91" s="45"/>
      <c r="CU91" s="3"/>
      <c r="CV91" s="44"/>
      <c r="CW91" s="44"/>
      <c r="CX91" s="44"/>
    </row>
    <row r="92" spans="18:102">
      <c r="AW92" s="46">
        <v>435</v>
      </c>
      <c r="AX92" s="45"/>
      <c r="AY92" s="3">
        <f t="shared" si="66"/>
        <v>0</v>
      </c>
      <c r="AZ92" s="44"/>
      <c r="BM92" s="46">
        <v>556</v>
      </c>
      <c r="BN92" s="45">
        <v>46164</v>
      </c>
      <c r="BO92" s="3">
        <f t="shared" si="67"/>
        <v>35</v>
      </c>
      <c r="BP92" s="44">
        <v>3000000</v>
      </c>
      <c r="CC92" s="46">
        <v>254</v>
      </c>
      <c r="CD92" s="45"/>
      <c r="CE92" s="3">
        <f t="shared" si="68"/>
        <v>0</v>
      </c>
      <c r="CF92" s="44"/>
      <c r="CS92" s="46"/>
      <c r="CT92" s="45"/>
      <c r="CU92" s="3"/>
      <c r="CV92" s="44"/>
      <c r="CW92" s="44"/>
      <c r="CX92" s="44"/>
    </row>
    <row r="93" spans="18:102">
      <c r="AW93" s="46">
        <v>436</v>
      </c>
      <c r="AX93" s="45"/>
      <c r="AY93" s="3">
        <f t="shared" si="66"/>
        <v>0</v>
      </c>
      <c r="AZ93" s="44"/>
      <c r="BM93" s="46">
        <v>557</v>
      </c>
      <c r="BN93" s="45">
        <v>46199</v>
      </c>
      <c r="BO93" s="3">
        <f t="shared" si="67"/>
        <v>35</v>
      </c>
      <c r="BP93" s="44">
        <v>3238816</v>
      </c>
      <c r="CC93" s="46">
        <v>255</v>
      </c>
      <c r="CD93" s="45"/>
      <c r="CE93" s="3">
        <f t="shared" si="68"/>
        <v>0</v>
      </c>
      <c r="CF93" s="44"/>
      <c r="CS93" s="46"/>
      <c r="CT93" s="45"/>
      <c r="CU93" s="3"/>
      <c r="CV93" s="44"/>
      <c r="CW93" s="44"/>
      <c r="CX93" s="44"/>
    </row>
    <row r="94" spans="18:102">
      <c r="AW94" s="46">
        <v>437</v>
      </c>
      <c r="AX94" s="45"/>
      <c r="AY94" s="3">
        <f t="shared" si="66"/>
        <v>0</v>
      </c>
      <c r="AZ94" s="44"/>
      <c r="BM94" s="46">
        <v>558</v>
      </c>
      <c r="BN94" s="45">
        <v>46240</v>
      </c>
      <c r="BO94" s="3">
        <f t="shared" si="67"/>
        <v>41</v>
      </c>
      <c r="BP94" s="44">
        <v>3450000</v>
      </c>
      <c r="CC94" s="46"/>
      <c r="CD94" s="45"/>
      <c r="CE94" s="3">
        <f t="shared" si="68"/>
        <v>0</v>
      </c>
      <c r="CF94" s="44"/>
      <c r="CS94" s="46"/>
      <c r="CT94" s="45"/>
      <c r="CU94" s="3"/>
      <c r="CV94" s="44"/>
      <c r="CW94" s="44"/>
      <c r="CX94" s="44"/>
    </row>
    <row r="95" spans="18:102">
      <c r="AW95" s="46">
        <v>438</v>
      </c>
      <c r="AX95" s="45"/>
      <c r="AY95" s="3">
        <f t="shared" si="66"/>
        <v>0</v>
      </c>
      <c r="AZ95" s="44"/>
      <c r="BM95" s="46">
        <v>559</v>
      </c>
      <c r="BN95" s="45"/>
      <c r="BO95" s="3">
        <f t="shared" si="67"/>
        <v>-46240</v>
      </c>
      <c r="BP95" s="44"/>
      <c r="CC95" s="46"/>
      <c r="CD95" s="45"/>
      <c r="CE95" s="3">
        <f t="shared" si="68"/>
        <v>0</v>
      </c>
      <c r="CF95" s="44"/>
      <c r="CS95" s="46"/>
      <c r="CT95" s="45"/>
      <c r="CU95" s="3"/>
      <c r="CV95" s="44"/>
      <c r="CW95" s="44"/>
      <c r="CX95" s="44"/>
    </row>
    <row r="96" spans="18:102">
      <c r="AW96" s="46">
        <v>439</v>
      </c>
      <c r="AX96" s="45"/>
      <c r="AY96" s="3">
        <f t="shared" si="66"/>
        <v>0</v>
      </c>
      <c r="AZ96" s="44"/>
      <c r="BM96" s="46">
        <v>560</v>
      </c>
      <c r="BN96" s="45"/>
      <c r="BO96" s="3">
        <f t="shared" si="67"/>
        <v>0</v>
      </c>
      <c r="BP96" s="44"/>
      <c r="CC96" s="46"/>
      <c r="CD96" s="45"/>
      <c r="CE96" s="3">
        <f t="shared" si="68"/>
        <v>0</v>
      </c>
      <c r="CF96" s="44"/>
      <c r="CS96" s="46"/>
      <c r="CT96" s="45"/>
      <c r="CU96" s="3"/>
      <c r="CV96" s="44"/>
      <c r="CW96" s="44"/>
      <c r="CX96" s="44"/>
    </row>
    <row r="97" spans="49:102">
      <c r="AW97" s="46">
        <v>440</v>
      </c>
      <c r="AX97" s="45"/>
      <c r="AY97" s="3">
        <f t="shared" si="66"/>
        <v>0</v>
      </c>
      <c r="AZ97" s="44"/>
      <c r="BM97" s="46">
        <v>561</v>
      </c>
      <c r="BN97" s="45"/>
      <c r="BO97" s="3">
        <f t="shared" si="67"/>
        <v>0</v>
      </c>
      <c r="BP97" s="44"/>
      <c r="CC97" s="46"/>
      <c r="CD97" s="45"/>
      <c r="CE97" s="3"/>
      <c r="CF97" s="44"/>
      <c r="CS97" s="46"/>
      <c r="CT97" s="45"/>
      <c r="CU97" s="3"/>
      <c r="CV97" s="44"/>
      <c r="CW97" s="44"/>
      <c r="CX97" s="44"/>
    </row>
    <row r="98" spans="49:102">
      <c r="AW98" s="46"/>
      <c r="AX98" s="45"/>
      <c r="AY98" s="3"/>
      <c r="AZ98" s="44"/>
      <c r="BM98" s="46"/>
      <c r="BN98" s="45"/>
      <c r="BO98" s="3"/>
      <c r="BP98" s="44"/>
      <c r="CC98" s="46"/>
      <c r="CD98" s="45"/>
      <c r="CE98" s="3"/>
      <c r="CF98" s="44"/>
      <c r="CS98" s="46"/>
      <c r="CT98" s="45"/>
      <c r="CU98" s="3"/>
      <c r="CV98" s="44"/>
      <c r="CW98" s="44"/>
      <c r="CX98" s="44"/>
    </row>
    <row r="99" spans="49:102">
      <c r="CC99" s="46"/>
      <c r="CD99" s="45"/>
      <c r="CE99" s="3"/>
      <c r="CF99" s="44"/>
      <c r="CS99" s="46"/>
      <c r="CT99" s="45"/>
      <c r="CU99" s="3"/>
      <c r="CV99" s="44"/>
      <c r="CW99" s="44"/>
      <c r="CX99" s="44"/>
    </row>
    <row r="100" spans="49:102">
      <c r="CC100" s="46"/>
      <c r="CD100" s="45"/>
      <c r="CE100" s="3"/>
      <c r="CF100" s="44"/>
      <c r="CS100" s="46"/>
      <c r="CT100" s="45"/>
      <c r="CU100" s="3"/>
      <c r="CV100" s="44"/>
      <c r="CW100" s="44"/>
      <c r="CX100" s="44"/>
    </row>
    <row r="101" spans="49:102">
      <c r="CC101" s="46"/>
      <c r="CD101" s="45"/>
      <c r="CE101" s="3"/>
      <c r="CF101" s="44"/>
      <c r="CS101" s="46"/>
      <c r="CT101" s="45"/>
      <c r="CU101" s="3"/>
      <c r="CV101" s="44"/>
      <c r="CW101" s="44"/>
      <c r="CX101" s="44"/>
    </row>
    <row r="102" spans="49:102">
      <c r="CC102" s="46"/>
      <c r="CD102" s="45"/>
      <c r="CE102" s="3"/>
      <c r="CF102" s="44"/>
      <c r="CS102" s="46"/>
      <c r="CT102" s="45"/>
      <c r="CU102" s="3"/>
      <c r="CV102" s="44"/>
      <c r="CW102" s="44"/>
      <c r="CX102" s="44"/>
    </row>
    <row r="103" spans="49:102">
      <c r="CC103" s="46"/>
      <c r="CD103" s="45"/>
      <c r="CE103" s="3"/>
      <c r="CF103" s="44"/>
      <c r="CS103" s="46"/>
      <c r="CT103" s="45"/>
      <c r="CU103" s="3"/>
      <c r="CV103" s="44"/>
      <c r="CW103" s="44"/>
      <c r="CX103" s="44"/>
    </row>
    <row r="104" spans="49:102">
      <c r="CC104" s="46"/>
      <c r="CD104" s="45"/>
      <c r="CE104" s="3"/>
      <c r="CF104" s="44"/>
      <c r="CS104" s="46"/>
      <c r="CT104" s="45"/>
      <c r="CU104" s="3"/>
      <c r="CV104" s="44"/>
      <c r="CW104" s="44"/>
      <c r="CX104" s="44"/>
    </row>
  </sheetData>
  <hyperlinks>
    <hyperlink ref="AX1" r:id="rId1" xr:uid="{75B89585-F0D0-48BA-AC39-E0D116D72C4F}"/>
    <hyperlink ref="W21" r:id="rId2" xr:uid="{FE6FB4E5-7BE5-43B2-ADC6-A75B756E11A4}"/>
    <hyperlink ref="AH1" r:id="rId3" xr:uid="{5F8E5446-D2AB-443A-BF69-BC0F3463A3BB}"/>
    <hyperlink ref="BN1" r:id="rId4" xr:uid="{F45087CE-9BB1-43DD-8863-C4EDFB0D49A3}"/>
    <hyperlink ref="BO1" r:id="rId5" xr:uid="{9B52AFDE-77DA-4FB7-AD9D-F8E8ED77DF8C}"/>
    <hyperlink ref="G22" r:id="rId6" xr:uid="{F2F7337F-B46D-4D5D-99F8-BF4CDFB042E5}"/>
    <hyperlink ref="CC1" r:id="rId7" xr:uid="{169736AD-7F53-4053-9738-F11347A2B0F0}"/>
    <hyperlink ref="G21" r:id="rId8" xr:uid="{3261CF10-91DC-4B62-AAE7-B6F630BECA7F}"/>
    <hyperlink ref="CS1" r:id="rId9" xr:uid="{7E849EBB-01AD-4125-8498-C3D45ED43747}"/>
  </hyperlinks>
  <pageMargins left="0.7" right="0.7" top="0.75" bottom="0.75" header="0.3" footer="0.3"/>
  <pageSetup paperSize="9" orientation="portrait" r:id="rId10"/>
  <legacy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C52D1-6B51-4740-9015-47ABB8E78F3B}">
  <sheetPr>
    <tabColor theme="4" tint="0.79998168889431442"/>
  </sheetPr>
  <dimension ref="B2:S2675"/>
  <sheetViews>
    <sheetView workbookViewId="0">
      <selection activeCell="E16" sqref="E16"/>
    </sheetView>
  </sheetViews>
  <sheetFormatPr defaultRowHeight="15"/>
  <cols>
    <col min="1" max="1" width="2.7109375" customWidth="1"/>
    <col min="2" max="7" width="9.140625" style="7"/>
    <col min="8" max="8" width="2.7109375" style="7" customWidth="1"/>
    <col min="9" max="9" width="15.5703125" style="7" customWidth="1"/>
    <col min="10" max="10" width="9" style="7" bestFit="1" customWidth="1"/>
    <col min="11" max="11" width="8.85546875" style="7" bestFit="1" customWidth="1"/>
    <col min="12" max="12" width="9.140625" style="7"/>
    <col min="13" max="13" width="2.7109375" style="7" customWidth="1"/>
    <col min="14" max="14" width="9.140625" style="7"/>
    <col min="15" max="15" width="24.28515625" style="7" bestFit="1" customWidth="1"/>
    <col min="16" max="16" width="11.28515625" style="7" bestFit="1" customWidth="1"/>
    <col min="17" max="19" width="9.140625" style="7"/>
  </cols>
  <sheetData>
    <row r="2" spans="2:17">
      <c r="B2" s="70" t="s">
        <v>101</v>
      </c>
      <c r="C2" s="25" t="s">
        <v>53</v>
      </c>
      <c r="D2" s="25" t="s">
        <v>166</v>
      </c>
      <c r="E2" s="25" t="s">
        <v>103</v>
      </c>
      <c r="F2" s="25" t="s">
        <v>153</v>
      </c>
      <c r="G2" s="25" t="s">
        <v>26</v>
      </c>
      <c r="I2" s="25"/>
      <c r="J2" s="25" t="s">
        <v>162</v>
      </c>
      <c r="K2" s="25" t="s">
        <v>165</v>
      </c>
      <c r="L2" s="25" t="s">
        <v>140</v>
      </c>
      <c r="M2" s="25"/>
      <c r="N2" s="25" t="s">
        <v>164</v>
      </c>
      <c r="O2" s="25" t="s">
        <v>163</v>
      </c>
      <c r="P2" s="25" t="s">
        <v>75</v>
      </c>
    </row>
    <row r="3" spans="2:17">
      <c r="B3" s="7" t="s">
        <v>162</v>
      </c>
      <c r="C3" s="67">
        <v>43417</v>
      </c>
      <c r="D3" s="67">
        <v>43693</v>
      </c>
      <c r="E3" s="67">
        <v>43804</v>
      </c>
      <c r="F3" s="67">
        <v>44188</v>
      </c>
      <c r="G3" s="67">
        <v>45426</v>
      </c>
      <c r="I3" s="7" t="s">
        <v>105</v>
      </c>
    </row>
    <row r="4" spans="2:17">
      <c r="B4" s="7" t="s">
        <v>161</v>
      </c>
      <c r="C4" s="67">
        <v>44013</v>
      </c>
      <c r="D4" s="67">
        <v>44105</v>
      </c>
      <c r="E4" s="67">
        <v>44317</v>
      </c>
      <c r="F4" s="67">
        <v>44525</v>
      </c>
      <c r="G4" s="67">
        <v>45527</v>
      </c>
      <c r="I4" s="7" t="s">
        <v>104</v>
      </c>
      <c r="J4" s="67">
        <v>43417</v>
      </c>
      <c r="K4" s="67">
        <v>44013</v>
      </c>
      <c r="L4" s="14">
        <f>K4-J4</f>
        <v>596</v>
      </c>
      <c r="M4" s="14"/>
      <c r="N4" s="68">
        <v>89776.782999999996</v>
      </c>
      <c r="O4" s="7" t="s">
        <v>52</v>
      </c>
    </row>
    <row r="5" spans="2:17">
      <c r="B5" s="7" t="s">
        <v>160</v>
      </c>
      <c r="C5" s="14">
        <v>5</v>
      </c>
      <c r="D5" s="14">
        <v>4</v>
      </c>
      <c r="E5" s="14">
        <v>3</v>
      </c>
      <c r="F5" s="14">
        <v>2</v>
      </c>
      <c r="G5" s="14">
        <v>1</v>
      </c>
      <c r="I5" s="7" t="s">
        <v>48</v>
      </c>
      <c r="J5" s="67">
        <v>43693</v>
      </c>
      <c r="K5" s="67">
        <v>44105</v>
      </c>
      <c r="L5" s="14">
        <f>K5-J5</f>
        <v>412</v>
      </c>
      <c r="M5" s="14"/>
      <c r="N5" s="68">
        <v>39106</v>
      </c>
      <c r="O5" s="7" t="s">
        <v>47</v>
      </c>
    </row>
    <row r="6" spans="2:17">
      <c r="I6" s="7" t="s">
        <v>103</v>
      </c>
      <c r="J6" s="67">
        <v>43804</v>
      </c>
      <c r="K6" s="67">
        <v>44317</v>
      </c>
      <c r="L6" s="14">
        <f>K6-J6</f>
        <v>513</v>
      </c>
      <c r="M6" s="14"/>
      <c r="N6" s="68">
        <v>21517.436000000002</v>
      </c>
      <c r="O6" s="7" t="s">
        <v>43</v>
      </c>
    </row>
    <row r="7" spans="2:17">
      <c r="B7" s="67">
        <v>43101</v>
      </c>
      <c r="C7" s="7" t="e">
        <f t="shared" ref="C7:G16" si="0">IF(AND($B7&gt;=C$3,$B7&lt;=C$4),C$5,NA())</f>
        <v>#N/A</v>
      </c>
      <c r="D7" s="7" t="e">
        <f t="shared" si="0"/>
        <v>#N/A</v>
      </c>
      <c r="E7" s="7" t="e">
        <f t="shared" si="0"/>
        <v>#N/A</v>
      </c>
      <c r="F7" s="7" t="e">
        <f t="shared" si="0"/>
        <v>#N/A</v>
      </c>
      <c r="G7" s="7" t="e">
        <f t="shared" si="0"/>
        <v>#N/A</v>
      </c>
      <c r="I7" s="7" t="s">
        <v>35</v>
      </c>
      <c r="J7" s="67"/>
      <c r="K7" s="67"/>
      <c r="L7" s="14"/>
      <c r="M7" s="14"/>
      <c r="N7" s="68">
        <v>1505</v>
      </c>
      <c r="O7" s="7" t="s">
        <v>33</v>
      </c>
    </row>
    <row r="8" spans="2:17">
      <c r="B8" s="67">
        <f t="shared" ref="B8:B71" si="1">B7+1</f>
        <v>43102</v>
      </c>
      <c r="C8" s="7" t="e">
        <f t="shared" si="0"/>
        <v>#N/A</v>
      </c>
      <c r="D8" s="7" t="e">
        <f t="shared" si="0"/>
        <v>#N/A</v>
      </c>
      <c r="E8" s="7" t="e">
        <f t="shared" si="0"/>
        <v>#N/A</v>
      </c>
      <c r="F8" s="7" t="e">
        <f t="shared" si="0"/>
        <v>#N/A</v>
      </c>
      <c r="G8" s="7" t="e">
        <f t="shared" si="0"/>
        <v>#N/A</v>
      </c>
      <c r="I8" s="7" t="s">
        <v>159</v>
      </c>
      <c r="J8" s="67">
        <v>44593</v>
      </c>
      <c r="K8" s="69" t="s">
        <v>158</v>
      </c>
      <c r="L8" s="14"/>
      <c r="M8" s="14"/>
      <c r="N8" s="68">
        <v>50</v>
      </c>
      <c r="O8" s="7" t="s">
        <v>157</v>
      </c>
    </row>
    <row r="9" spans="2:17">
      <c r="B9" s="67">
        <f t="shared" si="1"/>
        <v>43103</v>
      </c>
      <c r="C9" s="7" t="e">
        <f t="shared" si="0"/>
        <v>#N/A</v>
      </c>
      <c r="D9" s="7" t="e">
        <f t="shared" si="0"/>
        <v>#N/A</v>
      </c>
      <c r="E9" s="7" t="e">
        <f t="shared" si="0"/>
        <v>#N/A</v>
      </c>
      <c r="F9" s="7" t="e">
        <f t="shared" si="0"/>
        <v>#N/A</v>
      </c>
      <c r="G9" s="7" t="e">
        <f t="shared" si="0"/>
        <v>#N/A</v>
      </c>
      <c r="I9" s="7" t="s">
        <v>28</v>
      </c>
      <c r="J9" s="69"/>
      <c r="K9" s="69" t="s">
        <v>80</v>
      </c>
      <c r="L9" s="14"/>
      <c r="M9" s="14"/>
      <c r="N9" s="68">
        <v>1500</v>
      </c>
      <c r="O9" s="7" t="s">
        <v>156</v>
      </c>
    </row>
    <row r="10" spans="2:17">
      <c r="B10" s="67">
        <f t="shared" si="1"/>
        <v>43104</v>
      </c>
      <c r="C10" s="7" t="e">
        <f t="shared" si="0"/>
        <v>#N/A</v>
      </c>
      <c r="D10" s="7" t="e">
        <f t="shared" si="0"/>
        <v>#N/A</v>
      </c>
      <c r="E10" s="7" t="e">
        <f t="shared" si="0"/>
        <v>#N/A</v>
      </c>
      <c r="F10" s="7" t="e">
        <f t="shared" si="0"/>
        <v>#N/A</v>
      </c>
      <c r="G10" s="7" t="e">
        <f t="shared" si="0"/>
        <v>#N/A</v>
      </c>
      <c r="I10" s="7" t="s">
        <v>26</v>
      </c>
      <c r="J10" s="67">
        <v>45426</v>
      </c>
      <c r="K10" s="67">
        <v>45527</v>
      </c>
      <c r="L10" s="14">
        <f>K10-J10</f>
        <v>101</v>
      </c>
      <c r="M10" s="14"/>
      <c r="N10" s="68">
        <v>10000</v>
      </c>
      <c r="O10" s="7" t="s">
        <v>155</v>
      </c>
    </row>
    <row r="11" spans="2:17">
      <c r="B11" s="67">
        <f t="shared" si="1"/>
        <v>43105</v>
      </c>
      <c r="C11" s="7" t="e">
        <f t="shared" si="0"/>
        <v>#N/A</v>
      </c>
      <c r="D11" s="7" t="e">
        <f t="shared" si="0"/>
        <v>#N/A</v>
      </c>
      <c r="E11" s="7" t="e">
        <f t="shared" si="0"/>
        <v>#N/A</v>
      </c>
      <c r="F11" s="7" t="e">
        <f t="shared" si="0"/>
        <v>#N/A</v>
      </c>
      <c r="G11" s="7" t="e">
        <f t="shared" si="0"/>
        <v>#N/A</v>
      </c>
      <c r="I11" s="7" t="s">
        <v>39</v>
      </c>
      <c r="J11" s="14" t="s">
        <v>78</v>
      </c>
      <c r="K11" s="67"/>
      <c r="L11" s="14"/>
      <c r="M11" s="14"/>
      <c r="N11" s="68">
        <v>3432.1030000000001</v>
      </c>
      <c r="O11" s="7" t="s">
        <v>38</v>
      </c>
      <c r="P11" s="7" t="s">
        <v>154</v>
      </c>
      <c r="Q11" s="68"/>
    </row>
    <row r="12" spans="2:17">
      <c r="B12" s="67">
        <f t="shared" si="1"/>
        <v>43106</v>
      </c>
      <c r="C12" s="7" t="e">
        <f t="shared" si="0"/>
        <v>#N/A</v>
      </c>
      <c r="D12" s="7" t="e">
        <f t="shared" si="0"/>
        <v>#N/A</v>
      </c>
      <c r="E12" s="7" t="e">
        <f t="shared" si="0"/>
        <v>#N/A</v>
      </c>
      <c r="F12" s="7" t="e">
        <f t="shared" si="0"/>
        <v>#N/A</v>
      </c>
      <c r="G12" s="7" t="e">
        <f t="shared" si="0"/>
        <v>#N/A</v>
      </c>
    </row>
    <row r="13" spans="2:17">
      <c r="B13" s="67">
        <f t="shared" si="1"/>
        <v>43107</v>
      </c>
      <c r="C13" s="7" t="e">
        <f t="shared" si="0"/>
        <v>#N/A</v>
      </c>
      <c r="D13" s="7" t="e">
        <f t="shared" si="0"/>
        <v>#N/A</v>
      </c>
      <c r="E13" s="7" t="e">
        <f t="shared" si="0"/>
        <v>#N/A</v>
      </c>
      <c r="F13" s="7" t="e">
        <f t="shared" si="0"/>
        <v>#N/A</v>
      </c>
      <c r="G13" s="7" t="e">
        <f t="shared" si="0"/>
        <v>#N/A</v>
      </c>
      <c r="I13" s="7" t="s">
        <v>153</v>
      </c>
      <c r="J13" s="67">
        <v>44188</v>
      </c>
      <c r="K13" s="67">
        <v>44525</v>
      </c>
      <c r="L13" s="14">
        <f>K13-J13</f>
        <v>337</v>
      </c>
      <c r="M13" s="14"/>
      <c r="P13" s="7" t="s">
        <v>152</v>
      </c>
    </row>
    <row r="14" spans="2:17">
      <c r="B14" s="67">
        <f t="shared" si="1"/>
        <v>43108</v>
      </c>
      <c r="C14" s="7" t="e">
        <f t="shared" si="0"/>
        <v>#N/A</v>
      </c>
      <c r="D14" s="7" t="e">
        <f t="shared" si="0"/>
        <v>#N/A</v>
      </c>
      <c r="E14" s="7" t="e">
        <f t="shared" si="0"/>
        <v>#N/A</v>
      </c>
      <c r="F14" s="7" t="e">
        <f t="shared" si="0"/>
        <v>#N/A</v>
      </c>
      <c r="G14" s="7" t="e">
        <f t="shared" si="0"/>
        <v>#N/A</v>
      </c>
      <c r="L14" s="14"/>
      <c r="M14" s="14"/>
    </row>
    <row r="15" spans="2:17">
      <c r="B15" s="67">
        <f t="shared" si="1"/>
        <v>43109</v>
      </c>
      <c r="C15" s="7" t="e">
        <f t="shared" si="0"/>
        <v>#N/A</v>
      </c>
      <c r="D15" s="7" t="e">
        <f t="shared" si="0"/>
        <v>#N/A</v>
      </c>
      <c r="E15" s="7" t="e">
        <f t="shared" si="0"/>
        <v>#N/A</v>
      </c>
      <c r="F15" s="7" t="e">
        <f t="shared" si="0"/>
        <v>#N/A</v>
      </c>
      <c r="G15" s="7" t="e">
        <f t="shared" si="0"/>
        <v>#N/A</v>
      </c>
    </row>
    <row r="16" spans="2:17">
      <c r="B16" s="67">
        <f t="shared" si="1"/>
        <v>43110</v>
      </c>
      <c r="C16" s="7" t="e">
        <f t="shared" si="0"/>
        <v>#N/A</v>
      </c>
      <c r="D16" s="7" t="e">
        <f t="shared" si="0"/>
        <v>#N/A</v>
      </c>
      <c r="E16" s="7" t="e">
        <f t="shared" si="0"/>
        <v>#N/A</v>
      </c>
      <c r="F16" s="7" t="e">
        <f t="shared" si="0"/>
        <v>#N/A</v>
      </c>
      <c r="G16" s="7" t="e">
        <f t="shared" si="0"/>
        <v>#N/A</v>
      </c>
    </row>
    <row r="17" spans="2:14">
      <c r="B17" s="67">
        <f t="shared" si="1"/>
        <v>43111</v>
      </c>
      <c r="C17" s="7" t="e">
        <f t="shared" ref="C17:G26" si="2">IF(AND($B17&gt;=C$3,$B17&lt;=C$4),C$5,NA())</f>
        <v>#N/A</v>
      </c>
      <c r="D17" s="7" t="e">
        <f t="shared" si="2"/>
        <v>#N/A</v>
      </c>
      <c r="E17" s="7" t="e">
        <f t="shared" si="2"/>
        <v>#N/A</v>
      </c>
      <c r="F17" s="7" t="e">
        <f t="shared" si="2"/>
        <v>#N/A</v>
      </c>
      <c r="G17" s="7" t="e">
        <f t="shared" si="2"/>
        <v>#N/A</v>
      </c>
      <c r="J17" s="67"/>
      <c r="K17" s="67"/>
      <c r="L17" s="14"/>
      <c r="M17" s="14"/>
      <c r="N17" s="68"/>
    </row>
    <row r="18" spans="2:14">
      <c r="B18" s="67">
        <f t="shared" si="1"/>
        <v>43112</v>
      </c>
      <c r="C18" s="7" t="e">
        <f t="shared" si="2"/>
        <v>#N/A</v>
      </c>
      <c r="D18" s="7" t="e">
        <f t="shared" si="2"/>
        <v>#N/A</v>
      </c>
      <c r="E18" s="7" t="e">
        <f t="shared" si="2"/>
        <v>#N/A</v>
      </c>
      <c r="F18" s="7" t="e">
        <f t="shared" si="2"/>
        <v>#N/A</v>
      </c>
      <c r="G18" s="7" t="e">
        <f t="shared" si="2"/>
        <v>#N/A</v>
      </c>
      <c r="J18" s="67"/>
      <c r="K18" s="67"/>
      <c r="L18" s="14"/>
      <c r="M18" s="14"/>
      <c r="N18" s="68"/>
    </row>
    <row r="19" spans="2:14">
      <c r="B19" s="67">
        <f t="shared" si="1"/>
        <v>43113</v>
      </c>
      <c r="C19" s="7" t="e">
        <f t="shared" si="2"/>
        <v>#N/A</v>
      </c>
      <c r="D19" s="7" t="e">
        <f t="shared" si="2"/>
        <v>#N/A</v>
      </c>
      <c r="E19" s="7" t="e">
        <f t="shared" si="2"/>
        <v>#N/A</v>
      </c>
      <c r="F19" s="7" t="e">
        <f t="shared" si="2"/>
        <v>#N/A</v>
      </c>
      <c r="G19" s="7" t="e">
        <f t="shared" si="2"/>
        <v>#N/A</v>
      </c>
      <c r="J19" s="67"/>
      <c r="K19" s="67"/>
      <c r="L19" s="14"/>
      <c r="M19" s="14"/>
      <c r="N19" s="68"/>
    </row>
    <row r="20" spans="2:14">
      <c r="B20" s="67">
        <f t="shared" si="1"/>
        <v>43114</v>
      </c>
      <c r="C20" s="7" t="e">
        <f t="shared" si="2"/>
        <v>#N/A</v>
      </c>
      <c r="D20" s="7" t="e">
        <f t="shared" si="2"/>
        <v>#N/A</v>
      </c>
      <c r="E20" s="7" t="e">
        <f t="shared" si="2"/>
        <v>#N/A</v>
      </c>
      <c r="F20" s="7" t="e">
        <f t="shared" si="2"/>
        <v>#N/A</v>
      </c>
      <c r="G20" s="7" t="e">
        <f t="shared" si="2"/>
        <v>#N/A</v>
      </c>
      <c r="J20" s="67"/>
      <c r="K20" s="67"/>
      <c r="L20" s="14"/>
      <c r="M20" s="14"/>
    </row>
    <row r="21" spans="2:14">
      <c r="B21" s="67">
        <f t="shared" si="1"/>
        <v>43115</v>
      </c>
      <c r="C21" s="7" t="e">
        <f t="shared" si="2"/>
        <v>#N/A</v>
      </c>
      <c r="D21" s="7" t="e">
        <f t="shared" si="2"/>
        <v>#N/A</v>
      </c>
      <c r="E21" s="7" t="e">
        <f t="shared" si="2"/>
        <v>#N/A</v>
      </c>
      <c r="F21" s="7" t="e">
        <f t="shared" si="2"/>
        <v>#N/A</v>
      </c>
      <c r="G21" s="7" t="e">
        <f t="shared" si="2"/>
        <v>#N/A</v>
      </c>
      <c r="J21" s="67"/>
      <c r="K21" s="67"/>
      <c r="L21" s="14"/>
      <c r="M21" s="14"/>
      <c r="N21" s="68"/>
    </row>
    <row r="22" spans="2:14">
      <c r="B22" s="67">
        <f t="shared" si="1"/>
        <v>43116</v>
      </c>
      <c r="C22" s="7" t="e">
        <f t="shared" si="2"/>
        <v>#N/A</v>
      </c>
      <c r="D22" s="7" t="e">
        <f t="shared" si="2"/>
        <v>#N/A</v>
      </c>
      <c r="E22" s="7" t="e">
        <f t="shared" si="2"/>
        <v>#N/A</v>
      </c>
      <c r="F22" s="7" t="e">
        <f t="shared" si="2"/>
        <v>#N/A</v>
      </c>
      <c r="G22" s="7" t="e">
        <f t="shared" si="2"/>
        <v>#N/A</v>
      </c>
    </row>
    <row r="23" spans="2:14">
      <c r="B23" s="67">
        <f t="shared" si="1"/>
        <v>43117</v>
      </c>
      <c r="C23" s="7" t="e">
        <f t="shared" si="2"/>
        <v>#N/A</v>
      </c>
      <c r="D23" s="7" t="e">
        <f t="shared" si="2"/>
        <v>#N/A</v>
      </c>
      <c r="E23" s="7" t="e">
        <f t="shared" si="2"/>
        <v>#N/A</v>
      </c>
      <c r="F23" s="7" t="e">
        <f t="shared" si="2"/>
        <v>#N/A</v>
      </c>
      <c r="G23" s="7" t="e">
        <f t="shared" si="2"/>
        <v>#N/A</v>
      </c>
    </row>
    <row r="24" spans="2:14">
      <c r="B24" s="67">
        <f t="shared" si="1"/>
        <v>43118</v>
      </c>
      <c r="C24" s="7" t="e">
        <f t="shared" si="2"/>
        <v>#N/A</v>
      </c>
      <c r="D24" s="7" t="e">
        <f t="shared" si="2"/>
        <v>#N/A</v>
      </c>
      <c r="E24" s="7" t="e">
        <f t="shared" si="2"/>
        <v>#N/A</v>
      </c>
      <c r="F24" s="7" t="e">
        <f t="shared" si="2"/>
        <v>#N/A</v>
      </c>
      <c r="G24" s="7" t="e">
        <f t="shared" si="2"/>
        <v>#N/A</v>
      </c>
    </row>
    <row r="25" spans="2:14">
      <c r="B25" s="67">
        <f t="shared" si="1"/>
        <v>43119</v>
      </c>
      <c r="C25" s="7" t="e">
        <f t="shared" si="2"/>
        <v>#N/A</v>
      </c>
      <c r="D25" s="7" t="e">
        <f t="shared" si="2"/>
        <v>#N/A</v>
      </c>
      <c r="E25" s="7" t="e">
        <f t="shared" si="2"/>
        <v>#N/A</v>
      </c>
      <c r="F25" s="7" t="e">
        <f t="shared" si="2"/>
        <v>#N/A</v>
      </c>
      <c r="G25" s="7" t="e">
        <f t="shared" si="2"/>
        <v>#N/A</v>
      </c>
    </row>
    <row r="26" spans="2:14">
      <c r="B26" s="67">
        <f t="shared" si="1"/>
        <v>43120</v>
      </c>
      <c r="C26" s="7" t="e">
        <f t="shared" si="2"/>
        <v>#N/A</v>
      </c>
      <c r="D26" s="7" t="e">
        <f t="shared" si="2"/>
        <v>#N/A</v>
      </c>
      <c r="E26" s="7" t="e">
        <f t="shared" si="2"/>
        <v>#N/A</v>
      </c>
      <c r="F26" s="7" t="e">
        <f t="shared" si="2"/>
        <v>#N/A</v>
      </c>
      <c r="G26" s="7" t="e">
        <f t="shared" si="2"/>
        <v>#N/A</v>
      </c>
    </row>
    <row r="27" spans="2:14">
      <c r="B27" s="67">
        <f t="shared" si="1"/>
        <v>43121</v>
      </c>
      <c r="C27" s="7" t="e">
        <f t="shared" ref="C27:G36" si="3">IF(AND($B27&gt;=C$3,$B27&lt;=C$4),C$5,NA())</f>
        <v>#N/A</v>
      </c>
      <c r="D27" s="7" t="e">
        <f t="shared" si="3"/>
        <v>#N/A</v>
      </c>
      <c r="E27" s="7" t="e">
        <f t="shared" si="3"/>
        <v>#N/A</v>
      </c>
      <c r="F27" s="7" t="e">
        <f t="shared" si="3"/>
        <v>#N/A</v>
      </c>
      <c r="G27" s="7" t="e">
        <f t="shared" si="3"/>
        <v>#N/A</v>
      </c>
    </row>
    <row r="28" spans="2:14">
      <c r="B28" s="67">
        <f t="shared" si="1"/>
        <v>43122</v>
      </c>
      <c r="C28" s="7" t="e">
        <f t="shared" si="3"/>
        <v>#N/A</v>
      </c>
      <c r="D28" s="7" t="e">
        <f t="shared" si="3"/>
        <v>#N/A</v>
      </c>
      <c r="E28" s="7" t="e">
        <f t="shared" si="3"/>
        <v>#N/A</v>
      </c>
      <c r="F28" s="7" t="e">
        <f t="shared" si="3"/>
        <v>#N/A</v>
      </c>
      <c r="G28" s="7" t="e">
        <f t="shared" si="3"/>
        <v>#N/A</v>
      </c>
    </row>
    <row r="29" spans="2:14">
      <c r="B29" s="67">
        <f t="shared" si="1"/>
        <v>43123</v>
      </c>
      <c r="C29" s="7" t="e">
        <f t="shared" si="3"/>
        <v>#N/A</v>
      </c>
      <c r="D29" s="7" t="e">
        <f t="shared" si="3"/>
        <v>#N/A</v>
      </c>
      <c r="E29" s="7" t="e">
        <f t="shared" si="3"/>
        <v>#N/A</v>
      </c>
      <c r="F29" s="7" t="e">
        <f t="shared" si="3"/>
        <v>#N/A</v>
      </c>
      <c r="G29" s="7" t="e">
        <f t="shared" si="3"/>
        <v>#N/A</v>
      </c>
    </row>
    <row r="30" spans="2:14">
      <c r="B30" s="67">
        <f t="shared" si="1"/>
        <v>43124</v>
      </c>
      <c r="C30" s="7" t="e">
        <f t="shared" si="3"/>
        <v>#N/A</v>
      </c>
      <c r="D30" s="7" t="e">
        <f t="shared" si="3"/>
        <v>#N/A</v>
      </c>
      <c r="E30" s="7" t="e">
        <f t="shared" si="3"/>
        <v>#N/A</v>
      </c>
      <c r="F30" s="7" t="e">
        <f t="shared" si="3"/>
        <v>#N/A</v>
      </c>
      <c r="G30" s="7" t="e">
        <f t="shared" si="3"/>
        <v>#N/A</v>
      </c>
    </row>
    <row r="31" spans="2:14">
      <c r="B31" s="67">
        <f t="shared" si="1"/>
        <v>43125</v>
      </c>
      <c r="C31" s="7" t="e">
        <f t="shared" si="3"/>
        <v>#N/A</v>
      </c>
      <c r="D31" s="7" t="e">
        <f t="shared" si="3"/>
        <v>#N/A</v>
      </c>
      <c r="E31" s="7" t="e">
        <f t="shared" si="3"/>
        <v>#N/A</v>
      </c>
      <c r="F31" s="7" t="e">
        <f t="shared" si="3"/>
        <v>#N/A</v>
      </c>
      <c r="G31" s="7" t="e">
        <f t="shared" si="3"/>
        <v>#N/A</v>
      </c>
    </row>
    <row r="32" spans="2:14">
      <c r="B32" s="67">
        <f t="shared" si="1"/>
        <v>43126</v>
      </c>
      <c r="C32" s="7" t="e">
        <f t="shared" si="3"/>
        <v>#N/A</v>
      </c>
      <c r="D32" s="7" t="e">
        <f t="shared" si="3"/>
        <v>#N/A</v>
      </c>
      <c r="E32" s="7" t="e">
        <f t="shared" si="3"/>
        <v>#N/A</v>
      </c>
      <c r="F32" s="7" t="e">
        <f t="shared" si="3"/>
        <v>#N/A</v>
      </c>
      <c r="G32" s="7" t="e">
        <f t="shared" si="3"/>
        <v>#N/A</v>
      </c>
    </row>
    <row r="33" spans="2:7">
      <c r="B33" s="67">
        <f t="shared" si="1"/>
        <v>43127</v>
      </c>
      <c r="C33" s="7" t="e">
        <f t="shared" si="3"/>
        <v>#N/A</v>
      </c>
      <c r="D33" s="7" t="e">
        <f t="shared" si="3"/>
        <v>#N/A</v>
      </c>
      <c r="E33" s="7" t="e">
        <f t="shared" si="3"/>
        <v>#N/A</v>
      </c>
      <c r="F33" s="7" t="e">
        <f t="shared" si="3"/>
        <v>#N/A</v>
      </c>
      <c r="G33" s="7" t="e">
        <f t="shared" si="3"/>
        <v>#N/A</v>
      </c>
    </row>
    <row r="34" spans="2:7">
      <c r="B34" s="67">
        <f t="shared" si="1"/>
        <v>43128</v>
      </c>
      <c r="C34" s="7" t="e">
        <f t="shared" si="3"/>
        <v>#N/A</v>
      </c>
      <c r="D34" s="7" t="e">
        <f t="shared" si="3"/>
        <v>#N/A</v>
      </c>
      <c r="E34" s="7" t="e">
        <f t="shared" si="3"/>
        <v>#N/A</v>
      </c>
      <c r="F34" s="7" t="e">
        <f t="shared" si="3"/>
        <v>#N/A</v>
      </c>
      <c r="G34" s="7" t="e">
        <f t="shared" si="3"/>
        <v>#N/A</v>
      </c>
    </row>
    <row r="35" spans="2:7">
      <c r="B35" s="67">
        <f t="shared" si="1"/>
        <v>43129</v>
      </c>
      <c r="C35" s="7" t="e">
        <f t="shared" si="3"/>
        <v>#N/A</v>
      </c>
      <c r="D35" s="7" t="e">
        <f t="shared" si="3"/>
        <v>#N/A</v>
      </c>
      <c r="E35" s="7" t="e">
        <f t="shared" si="3"/>
        <v>#N/A</v>
      </c>
      <c r="F35" s="7" t="e">
        <f t="shared" si="3"/>
        <v>#N/A</v>
      </c>
      <c r="G35" s="7" t="e">
        <f t="shared" si="3"/>
        <v>#N/A</v>
      </c>
    </row>
    <row r="36" spans="2:7">
      <c r="B36" s="67">
        <f t="shared" si="1"/>
        <v>43130</v>
      </c>
      <c r="C36" s="7" t="e">
        <f t="shared" si="3"/>
        <v>#N/A</v>
      </c>
      <c r="D36" s="7" t="e">
        <f t="shared" si="3"/>
        <v>#N/A</v>
      </c>
      <c r="E36" s="7" t="e">
        <f t="shared" si="3"/>
        <v>#N/A</v>
      </c>
      <c r="F36" s="7" t="e">
        <f t="shared" si="3"/>
        <v>#N/A</v>
      </c>
      <c r="G36" s="7" t="e">
        <f t="shared" si="3"/>
        <v>#N/A</v>
      </c>
    </row>
    <row r="37" spans="2:7">
      <c r="B37" s="67">
        <f t="shared" si="1"/>
        <v>43131</v>
      </c>
      <c r="C37" s="7" t="e">
        <f t="shared" ref="C37:G46" si="4">IF(AND($B37&gt;=C$3,$B37&lt;=C$4),C$5,NA())</f>
        <v>#N/A</v>
      </c>
      <c r="D37" s="7" t="e">
        <f t="shared" si="4"/>
        <v>#N/A</v>
      </c>
      <c r="E37" s="7" t="e">
        <f t="shared" si="4"/>
        <v>#N/A</v>
      </c>
      <c r="F37" s="7" t="e">
        <f t="shared" si="4"/>
        <v>#N/A</v>
      </c>
      <c r="G37" s="7" t="e">
        <f t="shared" si="4"/>
        <v>#N/A</v>
      </c>
    </row>
    <row r="38" spans="2:7">
      <c r="B38" s="67">
        <f t="shared" si="1"/>
        <v>43132</v>
      </c>
      <c r="C38" s="7" t="e">
        <f t="shared" si="4"/>
        <v>#N/A</v>
      </c>
      <c r="D38" s="7" t="e">
        <f t="shared" si="4"/>
        <v>#N/A</v>
      </c>
      <c r="E38" s="7" t="e">
        <f t="shared" si="4"/>
        <v>#N/A</v>
      </c>
      <c r="F38" s="7" t="e">
        <f t="shared" si="4"/>
        <v>#N/A</v>
      </c>
      <c r="G38" s="7" t="e">
        <f t="shared" si="4"/>
        <v>#N/A</v>
      </c>
    </row>
    <row r="39" spans="2:7">
      <c r="B39" s="67">
        <f t="shared" si="1"/>
        <v>43133</v>
      </c>
      <c r="C39" s="7" t="e">
        <f t="shared" si="4"/>
        <v>#N/A</v>
      </c>
      <c r="D39" s="7" t="e">
        <f t="shared" si="4"/>
        <v>#N/A</v>
      </c>
      <c r="E39" s="7" t="e">
        <f t="shared" si="4"/>
        <v>#N/A</v>
      </c>
      <c r="F39" s="7" t="e">
        <f t="shared" si="4"/>
        <v>#N/A</v>
      </c>
      <c r="G39" s="7" t="e">
        <f t="shared" si="4"/>
        <v>#N/A</v>
      </c>
    </row>
    <row r="40" spans="2:7">
      <c r="B40" s="67">
        <f t="shared" si="1"/>
        <v>43134</v>
      </c>
      <c r="C40" s="7" t="e">
        <f t="shared" si="4"/>
        <v>#N/A</v>
      </c>
      <c r="D40" s="7" t="e">
        <f t="shared" si="4"/>
        <v>#N/A</v>
      </c>
      <c r="E40" s="7" t="e">
        <f t="shared" si="4"/>
        <v>#N/A</v>
      </c>
      <c r="F40" s="7" t="e">
        <f t="shared" si="4"/>
        <v>#N/A</v>
      </c>
      <c r="G40" s="7" t="e">
        <f t="shared" si="4"/>
        <v>#N/A</v>
      </c>
    </row>
    <row r="41" spans="2:7">
      <c r="B41" s="67">
        <f t="shared" si="1"/>
        <v>43135</v>
      </c>
      <c r="C41" s="7" t="e">
        <f t="shared" si="4"/>
        <v>#N/A</v>
      </c>
      <c r="D41" s="7" t="e">
        <f t="shared" si="4"/>
        <v>#N/A</v>
      </c>
      <c r="E41" s="7" t="e">
        <f t="shared" si="4"/>
        <v>#N/A</v>
      </c>
      <c r="F41" s="7" t="e">
        <f t="shared" si="4"/>
        <v>#N/A</v>
      </c>
      <c r="G41" s="7" t="e">
        <f t="shared" si="4"/>
        <v>#N/A</v>
      </c>
    </row>
    <row r="42" spans="2:7">
      <c r="B42" s="67">
        <f t="shared" si="1"/>
        <v>43136</v>
      </c>
      <c r="C42" s="7" t="e">
        <f t="shared" si="4"/>
        <v>#N/A</v>
      </c>
      <c r="D42" s="7" t="e">
        <f t="shared" si="4"/>
        <v>#N/A</v>
      </c>
      <c r="E42" s="7" t="e">
        <f t="shared" si="4"/>
        <v>#N/A</v>
      </c>
      <c r="F42" s="7" t="e">
        <f t="shared" si="4"/>
        <v>#N/A</v>
      </c>
      <c r="G42" s="7" t="e">
        <f t="shared" si="4"/>
        <v>#N/A</v>
      </c>
    </row>
    <row r="43" spans="2:7">
      <c r="B43" s="67">
        <f t="shared" si="1"/>
        <v>43137</v>
      </c>
      <c r="C43" s="7" t="e">
        <f t="shared" si="4"/>
        <v>#N/A</v>
      </c>
      <c r="D43" s="7" t="e">
        <f t="shared" si="4"/>
        <v>#N/A</v>
      </c>
      <c r="E43" s="7" t="e">
        <f t="shared" si="4"/>
        <v>#N/A</v>
      </c>
      <c r="F43" s="7" t="e">
        <f t="shared" si="4"/>
        <v>#N/A</v>
      </c>
      <c r="G43" s="7" t="e">
        <f t="shared" si="4"/>
        <v>#N/A</v>
      </c>
    </row>
    <row r="44" spans="2:7">
      <c r="B44" s="67">
        <f t="shared" si="1"/>
        <v>43138</v>
      </c>
      <c r="C44" s="7" t="e">
        <f t="shared" si="4"/>
        <v>#N/A</v>
      </c>
      <c r="D44" s="7" t="e">
        <f t="shared" si="4"/>
        <v>#N/A</v>
      </c>
      <c r="E44" s="7" t="e">
        <f t="shared" si="4"/>
        <v>#N/A</v>
      </c>
      <c r="F44" s="7" t="e">
        <f t="shared" si="4"/>
        <v>#N/A</v>
      </c>
      <c r="G44" s="7" t="e">
        <f t="shared" si="4"/>
        <v>#N/A</v>
      </c>
    </row>
    <row r="45" spans="2:7">
      <c r="B45" s="67">
        <f t="shared" si="1"/>
        <v>43139</v>
      </c>
      <c r="C45" s="7" t="e">
        <f t="shared" si="4"/>
        <v>#N/A</v>
      </c>
      <c r="D45" s="7" t="e">
        <f t="shared" si="4"/>
        <v>#N/A</v>
      </c>
      <c r="E45" s="7" t="e">
        <f t="shared" si="4"/>
        <v>#N/A</v>
      </c>
      <c r="F45" s="7" t="e">
        <f t="shared" si="4"/>
        <v>#N/A</v>
      </c>
      <c r="G45" s="7" t="e">
        <f t="shared" si="4"/>
        <v>#N/A</v>
      </c>
    </row>
    <row r="46" spans="2:7">
      <c r="B46" s="67">
        <f t="shared" si="1"/>
        <v>43140</v>
      </c>
      <c r="C46" s="7" t="e">
        <f t="shared" si="4"/>
        <v>#N/A</v>
      </c>
      <c r="D46" s="7" t="e">
        <f t="shared" si="4"/>
        <v>#N/A</v>
      </c>
      <c r="E46" s="7" t="e">
        <f t="shared" si="4"/>
        <v>#N/A</v>
      </c>
      <c r="F46" s="7" t="e">
        <f t="shared" si="4"/>
        <v>#N/A</v>
      </c>
      <c r="G46" s="7" t="e">
        <f t="shared" si="4"/>
        <v>#N/A</v>
      </c>
    </row>
    <row r="47" spans="2:7">
      <c r="B47" s="67">
        <f t="shared" si="1"/>
        <v>43141</v>
      </c>
      <c r="C47" s="7" t="e">
        <f t="shared" ref="C47:G56" si="5">IF(AND($B47&gt;=C$3,$B47&lt;=C$4),C$5,NA())</f>
        <v>#N/A</v>
      </c>
      <c r="D47" s="7" t="e">
        <f t="shared" si="5"/>
        <v>#N/A</v>
      </c>
      <c r="E47" s="7" t="e">
        <f t="shared" si="5"/>
        <v>#N/A</v>
      </c>
      <c r="F47" s="7" t="e">
        <f t="shared" si="5"/>
        <v>#N/A</v>
      </c>
      <c r="G47" s="7" t="e">
        <f t="shared" si="5"/>
        <v>#N/A</v>
      </c>
    </row>
    <row r="48" spans="2:7">
      <c r="B48" s="67">
        <f t="shared" si="1"/>
        <v>43142</v>
      </c>
      <c r="C48" s="7" t="e">
        <f t="shared" si="5"/>
        <v>#N/A</v>
      </c>
      <c r="D48" s="7" t="e">
        <f t="shared" si="5"/>
        <v>#N/A</v>
      </c>
      <c r="E48" s="7" t="e">
        <f t="shared" si="5"/>
        <v>#N/A</v>
      </c>
      <c r="F48" s="7" t="e">
        <f t="shared" si="5"/>
        <v>#N/A</v>
      </c>
      <c r="G48" s="7" t="e">
        <f t="shared" si="5"/>
        <v>#N/A</v>
      </c>
    </row>
    <row r="49" spans="2:7">
      <c r="B49" s="67">
        <f t="shared" si="1"/>
        <v>43143</v>
      </c>
      <c r="C49" s="7" t="e">
        <f t="shared" si="5"/>
        <v>#N/A</v>
      </c>
      <c r="D49" s="7" t="e">
        <f t="shared" si="5"/>
        <v>#N/A</v>
      </c>
      <c r="E49" s="7" t="e">
        <f t="shared" si="5"/>
        <v>#N/A</v>
      </c>
      <c r="F49" s="7" t="e">
        <f t="shared" si="5"/>
        <v>#N/A</v>
      </c>
      <c r="G49" s="7" t="e">
        <f t="shared" si="5"/>
        <v>#N/A</v>
      </c>
    </row>
    <row r="50" spans="2:7">
      <c r="B50" s="67">
        <f t="shared" si="1"/>
        <v>43144</v>
      </c>
      <c r="C50" s="7" t="e">
        <f t="shared" si="5"/>
        <v>#N/A</v>
      </c>
      <c r="D50" s="7" t="e">
        <f t="shared" si="5"/>
        <v>#N/A</v>
      </c>
      <c r="E50" s="7" t="e">
        <f t="shared" si="5"/>
        <v>#N/A</v>
      </c>
      <c r="F50" s="7" t="e">
        <f t="shared" si="5"/>
        <v>#N/A</v>
      </c>
      <c r="G50" s="7" t="e">
        <f t="shared" si="5"/>
        <v>#N/A</v>
      </c>
    </row>
    <row r="51" spans="2:7">
      <c r="B51" s="67">
        <f t="shared" si="1"/>
        <v>43145</v>
      </c>
      <c r="C51" s="7" t="e">
        <f t="shared" si="5"/>
        <v>#N/A</v>
      </c>
      <c r="D51" s="7" t="e">
        <f t="shared" si="5"/>
        <v>#N/A</v>
      </c>
      <c r="E51" s="7" t="e">
        <f t="shared" si="5"/>
        <v>#N/A</v>
      </c>
      <c r="F51" s="7" t="e">
        <f t="shared" si="5"/>
        <v>#N/A</v>
      </c>
      <c r="G51" s="7" t="e">
        <f t="shared" si="5"/>
        <v>#N/A</v>
      </c>
    </row>
    <row r="52" spans="2:7">
      <c r="B52" s="67">
        <f t="shared" si="1"/>
        <v>43146</v>
      </c>
      <c r="C52" s="7" t="e">
        <f t="shared" si="5"/>
        <v>#N/A</v>
      </c>
      <c r="D52" s="7" t="e">
        <f t="shared" si="5"/>
        <v>#N/A</v>
      </c>
      <c r="E52" s="7" t="e">
        <f t="shared" si="5"/>
        <v>#N/A</v>
      </c>
      <c r="F52" s="7" t="e">
        <f t="shared" si="5"/>
        <v>#N/A</v>
      </c>
      <c r="G52" s="7" t="e">
        <f t="shared" si="5"/>
        <v>#N/A</v>
      </c>
    </row>
    <row r="53" spans="2:7">
      <c r="B53" s="67">
        <f t="shared" si="1"/>
        <v>43147</v>
      </c>
      <c r="C53" s="7" t="e">
        <f t="shared" si="5"/>
        <v>#N/A</v>
      </c>
      <c r="D53" s="7" t="e">
        <f t="shared" si="5"/>
        <v>#N/A</v>
      </c>
      <c r="E53" s="7" t="e">
        <f t="shared" si="5"/>
        <v>#N/A</v>
      </c>
      <c r="F53" s="7" t="e">
        <f t="shared" si="5"/>
        <v>#N/A</v>
      </c>
      <c r="G53" s="7" t="e">
        <f t="shared" si="5"/>
        <v>#N/A</v>
      </c>
    </row>
    <row r="54" spans="2:7">
      <c r="B54" s="67">
        <f t="shared" si="1"/>
        <v>43148</v>
      </c>
      <c r="C54" s="7" t="e">
        <f t="shared" si="5"/>
        <v>#N/A</v>
      </c>
      <c r="D54" s="7" t="e">
        <f t="shared" si="5"/>
        <v>#N/A</v>
      </c>
      <c r="E54" s="7" t="e">
        <f t="shared" si="5"/>
        <v>#N/A</v>
      </c>
      <c r="F54" s="7" t="e">
        <f t="shared" si="5"/>
        <v>#N/A</v>
      </c>
      <c r="G54" s="7" t="e">
        <f t="shared" si="5"/>
        <v>#N/A</v>
      </c>
    </row>
    <row r="55" spans="2:7">
      <c r="B55" s="67">
        <f t="shared" si="1"/>
        <v>43149</v>
      </c>
      <c r="C55" s="7" t="e">
        <f t="shared" si="5"/>
        <v>#N/A</v>
      </c>
      <c r="D55" s="7" t="e">
        <f t="shared" si="5"/>
        <v>#N/A</v>
      </c>
      <c r="E55" s="7" t="e">
        <f t="shared" si="5"/>
        <v>#N/A</v>
      </c>
      <c r="F55" s="7" t="e">
        <f t="shared" si="5"/>
        <v>#N/A</v>
      </c>
      <c r="G55" s="7" t="e">
        <f t="shared" si="5"/>
        <v>#N/A</v>
      </c>
    </row>
    <row r="56" spans="2:7">
      <c r="B56" s="67">
        <f t="shared" si="1"/>
        <v>43150</v>
      </c>
      <c r="C56" s="7" t="e">
        <f t="shared" si="5"/>
        <v>#N/A</v>
      </c>
      <c r="D56" s="7" t="e">
        <f t="shared" si="5"/>
        <v>#N/A</v>
      </c>
      <c r="E56" s="7" t="e">
        <f t="shared" si="5"/>
        <v>#N/A</v>
      </c>
      <c r="F56" s="7" t="e">
        <f t="shared" si="5"/>
        <v>#N/A</v>
      </c>
      <c r="G56" s="7" t="e">
        <f t="shared" si="5"/>
        <v>#N/A</v>
      </c>
    </row>
    <row r="57" spans="2:7">
      <c r="B57" s="67">
        <f t="shared" si="1"/>
        <v>43151</v>
      </c>
      <c r="C57" s="7" t="e">
        <f t="shared" ref="C57:G66" si="6">IF(AND($B57&gt;=C$3,$B57&lt;=C$4),C$5,NA())</f>
        <v>#N/A</v>
      </c>
      <c r="D57" s="7" t="e">
        <f t="shared" si="6"/>
        <v>#N/A</v>
      </c>
      <c r="E57" s="7" t="e">
        <f t="shared" si="6"/>
        <v>#N/A</v>
      </c>
      <c r="F57" s="7" t="e">
        <f t="shared" si="6"/>
        <v>#N/A</v>
      </c>
      <c r="G57" s="7" t="e">
        <f t="shared" si="6"/>
        <v>#N/A</v>
      </c>
    </row>
    <row r="58" spans="2:7">
      <c r="B58" s="67">
        <f t="shared" si="1"/>
        <v>43152</v>
      </c>
      <c r="C58" s="7" t="e">
        <f t="shared" si="6"/>
        <v>#N/A</v>
      </c>
      <c r="D58" s="7" t="e">
        <f t="shared" si="6"/>
        <v>#N/A</v>
      </c>
      <c r="E58" s="7" t="e">
        <f t="shared" si="6"/>
        <v>#N/A</v>
      </c>
      <c r="F58" s="7" t="e">
        <f t="shared" si="6"/>
        <v>#N/A</v>
      </c>
      <c r="G58" s="7" t="e">
        <f t="shared" si="6"/>
        <v>#N/A</v>
      </c>
    </row>
    <row r="59" spans="2:7">
      <c r="B59" s="67">
        <f t="shared" si="1"/>
        <v>43153</v>
      </c>
      <c r="C59" s="7" t="e">
        <f t="shared" si="6"/>
        <v>#N/A</v>
      </c>
      <c r="D59" s="7" t="e">
        <f t="shared" si="6"/>
        <v>#N/A</v>
      </c>
      <c r="E59" s="7" t="e">
        <f t="shared" si="6"/>
        <v>#N/A</v>
      </c>
      <c r="F59" s="7" t="e">
        <f t="shared" si="6"/>
        <v>#N/A</v>
      </c>
      <c r="G59" s="7" t="e">
        <f t="shared" si="6"/>
        <v>#N/A</v>
      </c>
    </row>
    <row r="60" spans="2:7">
      <c r="B60" s="67">
        <f t="shared" si="1"/>
        <v>43154</v>
      </c>
      <c r="C60" s="7" t="e">
        <f t="shared" si="6"/>
        <v>#N/A</v>
      </c>
      <c r="D60" s="7" t="e">
        <f t="shared" si="6"/>
        <v>#N/A</v>
      </c>
      <c r="E60" s="7" t="e">
        <f t="shared" si="6"/>
        <v>#N/A</v>
      </c>
      <c r="F60" s="7" t="e">
        <f t="shared" si="6"/>
        <v>#N/A</v>
      </c>
      <c r="G60" s="7" t="e">
        <f t="shared" si="6"/>
        <v>#N/A</v>
      </c>
    </row>
    <row r="61" spans="2:7">
      <c r="B61" s="67">
        <f t="shared" si="1"/>
        <v>43155</v>
      </c>
      <c r="C61" s="7" t="e">
        <f t="shared" si="6"/>
        <v>#N/A</v>
      </c>
      <c r="D61" s="7" t="e">
        <f t="shared" si="6"/>
        <v>#N/A</v>
      </c>
      <c r="E61" s="7" t="e">
        <f t="shared" si="6"/>
        <v>#N/A</v>
      </c>
      <c r="F61" s="7" t="e">
        <f t="shared" si="6"/>
        <v>#N/A</v>
      </c>
      <c r="G61" s="7" t="e">
        <f t="shared" si="6"/>
        <v>#N/A</v>
      </c>
    </row>
    <row r="62" spans="2:7">
      <c r="B62" s="67">
        <f t="shared" si="1"/>
        <v>43156</v>
      </c>
      <c r="C62" s="7" t="e">
        <f t="shared" si="6"/>
        <v>#N/A</v>
      </c>
      <c r="D62" s="7" t="e">
        <f t="shared" si="6"/>
        <v>#N/A</v>
      </c>
      <c r="E62" s="7" t="e">
        <f t="shared" si="6"/>
        <v>#N/A</v>
      </c>
      <c r="F62" s="7" t="e">
        <f t="shared" si="6"/>
        <v>#N/A</v>
      </c>
      <c r="G62" s="7" t="e">
        <f t="shared" si="6"/>
        <v>#N/A</v>
      </c>
    </row>
    <row r="63" spans="2:7">
      <c r="B63" s="67">
        <f t="shared" si="1"/>
        <v>43157</v>
      </c>
      <c r="C63" s="7" t="e">
        <f t="shared" si="6"/>
        <v>#N/A</v>
      </c>
      <c r="D63" s="7" t="e">
        <f t="shared" si="6"/>
        <v>#N/A</v>
      </c>
      <c r="E63" s="7" t="e">
        <f t="shared" si="6"/>
        <v>#N/A</v>
      </c>
      <c r="F63" s="7" t="e">
        <f t="shared" si="6"/>
        <v>#N/A</v>
      </c>
      <c r="G63" s="7" t="e">
        <f t="shared" si="6"/>
        <v>#N/A</v>
      </c>
    </row>
    <row r="64" spans="2:7">
      <c r="B64" s="67">
        <f t="shared" si="1"/>
        <v>43158</v>
      </c>
      <c r="C64" s="7" t="e">
        <f t="shared" si="6"/>
        <v>#N/A</v>
      </c>
      <c r="D64" s="7" t="e">
        <f t="shared" si="6"/>
        <v>#N/A</v>
      </c>
      <c r="E64" s="7" t="e">
        <f t="shared" si="6"/>
        <v>#N/A</v>
      </c>
      <c r="F64" s="7" t="e">
        <f t="shared" si="6"/>
        <v>#N/A</v>
      </c>
      <c r="G64" s="7" t="e">
        <f t="shared" si="6"/>
        <v>#N/A</v>
      </c>
    </row>
    <row r="65" spans="2:7">
      <c r="B65" s="67">
        <f t="shared" si="1"/>
        <v>43159</v>
      </c>
      <c r="C65" s="7" t="e">
        <f t="shared" si="6"/>
        <v>#N/A</v>
      </c>
      <c r="D65" s="7" t="e">
        <f t="shared" si="6"/>
        <v>#N/A</v>
      </c>
      <c r="E65" s="7" t="e">
        <f t="shared" si="6"/>
        <v>#N/A</v>
      </c>
      <c r="F65" s="7" t="e">
        <f t="shared" si="6"/>
        <v>#N/A</v>
      </c>
      <c r="G65" s="7" t="e">
        <f t="shared" si="6"/>
        <v>#N/A</v>
      </c>
    </row>
    <row r="66" spans="2:7">
      <c r="B66" s="67">
        <f t="shared" si="1"/>
        <v>43160</v>
      </c>
      <c r="C66" s="7" t="e">
        <f t="shared" si="6"/>
        <v>#N/A</v>
      </c>
      <c r="D66" s="7" t="e">
        <f t="shared" si="6"/>
        <v>#N/A</v>
      </c>
      <c r="E66" s="7" t="e">
        <f t="shared" si="6"/>
        <v>#N/A</v>
      </c>
      <c r="F66" s="7" t="e">
        <f t="shared" si="6"/>
        <v>#N/A</v>
      </c>
      <c r="G66" s="7" t="e">
        <f t="shared" si="6"/>
        <v>#N/A</v>
      </c>
    </row>
    <row r="67" spans="2:7">
      <c r="B67" s="67">
        <f t="shared" si="1"/>
        <v>43161</v>
      </c>
      <c r="C67" s="7" t="e">
        <f t="shared" ref="C67:G76" si="7">IF(AND($B67&gt;=C$3,$B67&lt;=C$4),C$5,NA())</f>
        <v>#N/A</v>
      </c>
      <c r="D67" s="7" t="e">
        <f t="shared" si="7"/>
        <v>#N/A</v>
      </c>
      <c r="E67" s="7" t="e">
        <f t="shared" si="7"/>
        <v>#N/A</v>
      </c>
      <c r="F67" s="7" t="e">
        <f t="shared" si="7"/>
        <v>#N/A</v>
      </c>
      <c r="G67" s="7" t="e">
        <f t="shared" si="7"/>
        <v>#N/A</v>
      </c>
    </row>
    <row r="68" spans="2:7">
      <c r="B68" s="67">
        <f t="shared" si="1"/>
        <v>43162</v>
      </c>
      <c r="C68" s="7" t="e">
        <f t="shared" si="7"/>
        <v>#N/A</v>
      </c>
      <c r="D68" s="7" t="e">
        <f t="shared" si="7"/>
        <v>#N/A</v>
      </c>
      <c r="E68" s="7" t="e">
        <f t="shared" si="7"/>
        <v>#N/A</v>
      </c>
      <c r="F68" s="7" t="e">
        <f t="shared" si="7"/>
        <v>#N/A</v>
      </c>
      <c r="G68" s="7" t="e">
        <f t="shared" si="7"/>
        <v>#N/A</v>
      </c>
    </row>
    <row r="69" spans="2:7">
      <c r="B69" s="67">
        <f t="shared" si="1"/>
        <v>43163</v>
      </c>
      <c r="C69" s="7" t="e">
        <f t="shared" si="7"/>
        <v>#N/A</v>
      </c>
      <c r="D69" s="7" t="e">
        <f t="shared" si="7"/>
        <v>#N/A</v>
      </c>
      <c r="E69" s="7" t="e">
        <f t="shared" si="7"/>
        <v>#N/A</v>
      </c>
      <c r="F69" s="7" t="e">
        <f t="shared" si="7"/>
        <v>#N/A</v>
      </c>
      <c r="G69" s="7" t="e">
        <f t="shared" si="7"/>
        <v>#N/A</v>
      </c>
    </row>
    <row r="70" spans="2:7">
      <c r="B70" s="67">
        <f t="shared" si="1"/>
        <v>43164</v>
      </c>
      <c r="C70" s="7" t="e">
        <f t="shared" si="7"/>
        <v>#N/A</v>
      </c>
      <c r="D70" s="7" t="e">
        <f t="shared" si="7"/>
        <v>#N/A</v>
      </c>
      <c r="E70" s="7" t="e">
        <f t="shared" si="7"/>
        <v>#N/A</v>
      </c>
      <c r="F70" s="7" t="e">
        <f t="shared" si="7"/>
        <v>#N/A</v>
      </c>
      <c r="G70" s="7" t="e">
        <f t="shared" si="7"/>
        <v>#N/A</v>
      </c>
    </row>
    <row r="71" spans="2:7">
      <c r="B71" s="67">
        <f t="shared" si="1"/>
        <v>43165</v>
      </c>
      <c r="C71" s="7" t="e">
        <f t="shared" si="7"/>
        <v>#N/A</v>
      </c>
      <c r="D71" s="7" t="e">
        <f t="shared" si="7"/>
        <v>#N/A</v>
      </c>
      <c r="E71" s="7" t="e">
        <f t="shared" si="7"/>
        <v>#N/A</v>
      </c>
      <c r="F71" s="7" t="e">
        <f t="shared" si="7"/>
        <v>#N/A</v>
      </c>
      <c r="G71" s="7" t="e">
        <f t="shared" si="7"/>
        <v>#N/A</v>
      </c>
    </row>
    <row r="72" spans="2:7">
      <c r="B72" s="67">
        <f t="shared" ref="B72:B135" si="8">B71+1</f>
        <v>43166</v>
      </c>
      <c r="C72" s="7" t="e">
        <f t="shared" si="7"/>
        <v>#N/A</v>
      </c>
      <c r="D72" s="7" t="e">
        <f t="shared" si="7"/>
        <v>#N/A</v>
      </c>
      <c r="E72" s="7" t="e">
        <f t="shared" si="7"/>
        <v>#N/A</v>
      </c>
      <c r="F72" s="7" t="e">
        <f t="shared" si="7"/>
        <v>#N/A</v>
      </c>
      <c r="G72" s="7" t="e">
        <f t="shared" si="7"/>
        <v>#N/A</v>
      </c>
    </row>
    <row r="73" spans="2:7">
      <c r="B73" s="67">
        <f t="shared" si="8"/>
        <v>43167</v>
      </c>
      <c r="C73" s="7" t="e">
        <f t="shared" si="7"/>
        <v>#N/A</v>
      </c>
      <c r="D73" s="7" t="e">
        <f t="shared" si="7"/>
        <v>#N/A</v>
      </c>
      <c r="E73" s="7" t="e">
        <f t="shared" si="7"/>
        <v>#N/A</v>
      </c>
      <c r="F73" s="7" t="e">
        <f t="shared" si="7"/>
        <v>#N/A</v>
      </c>
      <c r="G73" s="7" t="e">
        <f t="shared" si="7"/>
        <v>#N/A</v>
      </c>
    </row>
    <row r="74" spans="2:7">
      <c r="B74" s="67">
        <f t="shared" si="8"/>
        <v>43168</v>
      </c>
      <c r="C74" s="7" t="e">
        <f t="shared" si="7"/>
        <v>#N/A</v>
      </c>
      <c r="D74" s="7" t="e">
        <f t="shared" si="7"/>
        <v>#N/A</v>
      </c>
      <c r="E74" s="7" t="e">
        <f t="shared" si="7"/>
        <v>#N/A</v>
      </c>
      <c r="F74" s="7" t="e">
        <f t="shared" si="7"/>
        <v>#N/A</v>
      </c>
      <c r="G74" s="7" t="e">
        <f t="shared" si="7"/>
        <v>#N/A</v>
      </c>
    </row>
    <row r="75" spans="2:7">
      <c r="B75" s="67">
        <f t="shared" si="8"/>
        <v>43169</v>
      </c>
      <c r="C75" s="7" t="e">
        <f t="shared" si="7"/>
        <v>#N/A</v>
      </c>
      <c r="D75" s="7" t="e">
        <f t="shared" si="7"/>
        <v>#N/A</v>
      </c>
      <c r="E75" s="7" t="e">
        <f t="shared" si="7"/>
        <v>#N/A</v>
      </c>
      <c r="F75" s="7" t="e">
        <f t="shared" si="7"/>
        <v>#N/A</v>
      </c>
      <c r="G75" s="7" t="e">
        <f t="shared" si="7"/>
        <v>#N/A</v>
      </c>
    </row>
    <row r="76" spans="2:7">
      <c r="B76" s="67">
        <f t="shared" si="8"/>
        <v>43170</v>
      </c>
      <c r="C76" s="7" t="e">
        <f t="shared" si="7"/>
        <v>#N/A</v>
      </c>
      <c r="D76" s="7" t="e">
        <f t="shared" si="7"/>
        <v>#N/A</v>
      </c>
      <c r="E76" s="7" t="e">
        <f t="shared" si="7"/>
        <v>#N/A</v>
      </c>
      <c r="F76" s="7" t="e">
        <f t="shared" si="7"/>
        <v>#N/A</v>
      </c>
      <c r="G76" s="7" t="e">
        <f t="shared" si="7"/>
        <v>#N/A</v>
      </c>
    </row>
    <row r="77" spans="2:7">
      <c r="B77" s="67">
        <f t="shared" si="8"/>
        <v>43171</v>
      </c>
      <c r="C77" s="7" t="e">
        <f t="shared" ref="C77:G86" si="9">IF(AND($B77&gt;=C$3,$B77&lt;=C$4),C$5,NA())</f>
        <v>#N/A</v>
      </c>
      <c r="D77" s="7" t="e">
        <f t="shared" si="9"/>
        <v>#N/A</v>
      </c>
      <c r="E77" s="7" t="e">
        <f t="shared" si="9"/>
        <v>#N/A</v>
      </c>
      <c r="F77" s="7" t="e">
        <f t="shared" si="9"/>
        <v>#N/A</v>
      </c>
      <c r="G77" s="7" t="e">
        <f t="shared" si="9"/>
        <v>#N/A</v>
      </c>
    </row>
    <row r="78" spans="2:7">
      <c r="B78" s="67">
        <f t="shared" si="8"/>
        <v>43172</v>
      </c>
      <c r="C78" s="7" t="e">
        <f t="shared" si="9"/>
        <v>#N/A</v>
      </c>
      <c r="D78" s="7" t="e">
        <f t="shared" si="9"/>
        <v>#N/A</v>
      </c>
      <c r="E78" s="7" t="e">
        <f t="shared" si="9"/>
        <v>#N/A</v>
      </c>
      <c r="F78" s="7" t="e">
        <f t="shared" si="9"/>
        <v>#N/A</v>
      </c>
      <c r="G78" s="7" t="e">
        <f t="shared" si="9"/>
        <v>#N/A</v>
      </c>
    </row>
    <row r="79" spans="2:7">
      <c r="B79" s="67">
        <f t="shared" si="8"/>
        <v>43173</v>
      </c>
      <c r="C79" s="7" t="e">
        <f t="shared" si="9"/>
        <v>#N/A</v>
      </c>
      <c r="D79" s="7" t="e">
        <f t="shared" si="9"/>
        <v>#N/A</v>
      </c>
      <c r="E79" s="7" t="e">
        <f t="shared" si="9"/>
        <v>#N/A</v>
      </c>
      <c r="F79" s="7" t="e">
        <f t="shared" si="9"/>
        <v>#N/A</v>
      </c>
      <c r="G79" s="7" t="e">
        <f t="shared" si="9"/>
        <v>#N/A</v>
      </c>
    </row>
    <row r="80" spans="2:7">
      <c r="B80" s="67">
        <f t="shared" si="8"/>
        <v>43174</v>
      </c>
      <c r="C80" s="7" t="e">
        <f t="shared" si="9"/>
        <v>#N/A</v>
      </c>
      <c r="D80" s="7" t="e">
        <f t="shared" si="9"/>
        <v>#N/A</v>
      </c>
      <c r="E80" s="7" t="e">
        <f t="shared" si="9"/>
        <v>#N/A</v>
      </c>
      <c r="F80" s="7" t="e">
        <f t="shared" si="9"/>
        <v>#N/A</v>
      </c>
      <c r="G80" s="7" t="e">
        <f t="shared" si="9"/>
        <v>#N/A</v>
      </c>
    </row>
    <row r="81" spans="2:7">
      <c r="B81" s="67">
        <f t="shared" si="8"/>
        <v>43175</v>
      </c>
      <c r="C81" s="7" t="e">
        <f t="shared" si="9"/>
        <v>#N/A</v>
      </c>
      <c r="D81" s="7" t="e">
        <f t="shared" si="9"/>
        <v>#N/A</v>
      </c>
      <c r="E81" s="7" t="e">
        <f t="shared" si="9"/>
        <v>#N/A</v>
      </c>
      <c r="F81" s="7" t="e">
        <f t="shared" si="9"/>
        <v>#N/A</v>
      </c>
      <c r="G81" s="7" t="e">
        <f t="shared" si="9"/>
        <v>#N/A</v>
      </c>
    </row>
    <row r="82" spans="2:7">
      <c r="B82" s="67">
        <f t="shared" si="8"/>
        <v>43176</v>
      </c>
      <c r="C82" s="7" t="e">
        <f t="shared" si="9"/>
        <v>#N/A</v>
      </c>
      <c r="D82" s="7" t="e">
        <f t="shared" si="9"/>
        <v>#N/A</v>
      </c>
      <c r="E82" s="7" t="e">
        <f t="shared" si="9"/>
        <v>#N/A</v>
      </c>
      <c r="F82" s="7" t="e">
        <f t="shared" si="9"/>
        <v>#N/A</v>
      </c>
      <c r="G82" s="7" t="e">
        <f t="shared" si="9"/>
        <v>#N/A</v>
      </c>
    </row>
    <row r="83" spans="2:7">
      <c r="B83" s="67">
        <f t="shared" si="8"/>
        <v>43177</v>
      </c>
      <c r="C83" s="7" t="e">
        <f t="shared" si="9"/>
        <v>#N/A</v>
      </c>
      <c r="D83" s="7" t="e">
        <f t="shared" si="9"/>
        <v>#N/A</v>
      </c>
      <c r="E83" s="7" t="e">
        <f t="shared" si="9"/>
        <v>#N/A</v>
      </c>
      <c r="F83" s="7" t="e">
        <f t="shared" si="9"/>
        <v>#N/A</v>
      </c>
      <c r="G83" s="7" t="e">
        <f t="shared" si="9"/>
        <v>#N/A</v>
      </c>
    </row>
    <row r="84" spans="2:7">
      <c r="B84" s="67">
        <f t="shared" si="8"/>
        <v>43178</v>
      </c>
      <c r="C84" s="7" t="e">
        <f t="shared" si="9"/>
        <v>#N/A</v>
      </c>
      <c r="D84" s="7" t="e">
        <f t="shared" si="9"/>
        <v>#N/A</v>
      </c>
      <c r="E84" s="7" t="e">
        <f t="shared" si="9"/>
        <v>#N/A</v>
      </c>
      <c r="F84" s="7" t="e">
        <f t="shared" si="9"/>
        <v>#N/A</v>
      </c>
      <c r="G84" s="7" t="e">
        <f t="shared" si="9"/>
        <v>#N/A</v>
      </c>
    </row>
    <row r="85" spans="2:7">
      <c r="B85" s="67">
        <f t="shared" si="8"/>
        <v>43179</v>
      </c>
      <c r="C85" s="7" t="e">
        <f t="shared" si="9"/>
        <v>#N/A</v>
      </c>
      <c r="D85" s="7" t="e">
        <f t="shared" si="9"/>
        <v>#N/A</v>
      </c>
      <c r="E85" s="7" t="e">
        <f t="shared" si="9"/>
        <v>#N/A</v>
      </c>
      <c r="F85" s="7" t="e">
        <f t="shared" si="9"/>
        <v>#N/A</v>
      </c>
      <c r="G85" s="7" t="e">
        <f t="shared" si="9"/>
        <v>#N/A</v>
      </c>
    </row>
    <row r="86" spans="2:7">
      <c r="B86" s="67">
        <f t="shared" si="8"/>
        <v>43180</v>
      </c>
      <c r="C86" s="7" t="e">
        <f t="shared" si="9"/>
        <v>#N/A</v>
      </c>
      <c r="D86" s="7" t="e">
        <f t="shared" si="9"/>
        <v>#N/A</v>
      </c>
      <c r="E86" s="7" t="e">
        <f t="shared" si="9"/>
        <v>#N/A</v>
      </c>
      <c r="F86" s="7" t="e">
        <f t="shared" si="9"/>
        <v>#N/A</v>
      </c>
      <c r="G86" s="7" t="e">
        <f t="shared" si="9"/>
        <v>#N/A</v>
      </c>
    </row>
    <row r="87" spans="2:7">
      <c r="B87" s="67">
        <f t="shared" si="8"/>
        <v>43181</v>
      </c>
      <c r="C87" s="7" t="e">
        <f t="shared" ref="C87:G96" si="10">IF(AND($B87&gt;=C$3,$B87&lt;=C$4),C$5,NA())</f>
        <v>#N/A</v>
      </c>
      <c r="D87" s="7" t="e">
        <f t="shared" si="10"/>
        <v>#N/A</v>
      </c>
      <c r="E87" s="7" t="e">
        <f t="shared" si="10"/>
        <v>#N/A</v>
      </c>
      <c r="F87" s="7" t="e">
        <f t="shared" si="10"/>
        <v>#N/A</v>
      </c>
      <c r="G87" s="7" t="e">
        <f t="shared" si="10"/>
        <v>#N/A</v>
      </c>
    </row>
    <row r="88" spans="2:7">
      <c r="B88" s="67">
        <f t="shared" si="8"/>
        <v>43182</v>
      </c>
      <c r="C88" s="7" t="e">
        <f t="shared" si="10"/>
        <v>#N/A</v>
      </c>
      <c r="D88" s="7" t="e">
        <f t="shared" si="10"/>
        <v>#N/A</v>
      </c>
      <c r="E88" s="7" t="e">
        <f t="shared" si="10"/>
        <v>#N/A</v>
      </c>
      <c r="F88" s="7" t="e">
        <f t="shared" si="10"/>
        <v>#N/A</v>
      </c>
      <c r="G88" s="7" t="e">
        <f t="shared" si="10"/>
        <v>#N/A</v>
      </c>
    </row>
    <row r="89" spans="2:7">
      <c r="B89" s="67">
        <f t="shared" si="8"/>
        <v>43183</v>
      </c>
      <c r="C89" s="7" t="e">
        <f t="shared" si="10"/>
        <v>#N/A</v>
      </c>
      <c r="D89" s="7" t="e">
        <f t="shared" si="10"/>
        <v>#N/A</v>
      </c>
      <c r="E89" s="7" t="e">
        <f t="shared" si="10"/>
        <v>#N/A</v>
      </c>
      <c r="F89" s="7" t="e">
        <f t="shared" si="10"/>
        <v>#N/A</v>
      </c>
      <c r="G89" s="7" t="e">
        <f t="shared" si="10"/>
        <v>#N/A</v>
      </c>
    </row>
    <row r="90" spans="2:7">
      <c r="B90" s="67">
        <f t="shared" si="8"/>
        <v>43184</v>
      </c>
      <c r="C90" s="7" t="e">
        <f t="shared" si="10"/>
        <v>#N/A</v>
      </c>
      <c r="D90" s="7" t="e">
        <f t="shared" si="10"/>
        <v>#N/A</v>
      </c>
      <c r="E90" s="7" t="e">
        <f t="shared" si="10"/>
        <v>#N/A</v>
      </c>
      <c r="F90" s="7" t="e">
        <f t="shared" si="10"/>
        <v>#N/A</v>
      </c>
      <c r="G90" s="7" t="e">
        <f t="shared" si="10"/>
        <v>#N/A</v>
      </c>
    </row>
    <row r="91" spans="2:7">
      <c r="B91" s="67">
        <f t="shared" si="8"/>
        <v>43185</v>
      </c>
      <c r="C91" s="7" t="e">
        <f t="shared" si="10"/>
        <v>#N/A</v>
      </c>
      <c r="D91" s="7" t="e">
        <f t="shared" si="10"/>
        <v>#N/A</v>
      </c>
      <c r="E91" s="7" t="e">
        <f t="shared" si="10"/>
        <v>#N/A</v>
      </c>
      <c r="F91" s="7" t="e">
        <f t="shared" si="10"/>
        <v>#N/A</v>
      </c>
      <c r="G91" s="7" t="e">
        <f t="shared" si="10"/>
        <v>#N/A</v>
      </c>
    </row>
    <row r="92" spans="2:7">
      <c r="B92" s="67">
        <f t="shared" si="8"/>
        <v>43186</v>
      </c>
      <c r="C92" s="7" t="e">
        <f t="shared" si="10"/>
        <v>#N/A</v>
      </c>
      <c r="D92" s="7" t="e">
        <f t="shared" si="10"/>
        <v>#N/A</v>
      </c>
      <c r="E92" s="7" t="e">
        <f t="shared" si="10"/>
        <v>#N/A</v>
      </c>
      <c r="F92" s="7" t="e">
        <f t="shared" si="10"/>
        <v>#N/A</v>
      </c>
      <c r="G92" s="7" t="e">
        <f t="shared" si="10"/>
        <v>#N/A</v>
      </c>
    </row>
    <row r="93" spans="2:7">
      <c r="B93" s="67">
        <f t="shared" si="8"/>
        <v>43187</v>
      </c>
      <c r="C93" s="7" t="e">
        <f t="shared" si="10"/>
        <v>#N/A</v>
      </c>
      <c r="D93" s="7" t="e">
        <f t="shared" si="10"/>
        <v>#N/A</v>
      </c>
      <c r="E93" s="7" t="e">
        <f t="shared" si="10"/>
        <v>#N/A</v>
      </c>
      <c r="F93" s="7" t="e">
        <f t="shared" si="10"/>
        <v>#N/A</v>
      </c>
      <c r="G93" s="7" t="e">
        <f t="shared" si="10"/>
        <v>#N/A</v>
      </c>
    </row>
    <row r="94" spans="2:7">
      <c r="B94" s="67">
        <f t="shared" si="8"/>
        <v>43188</v>
      </c>
      <c r="C94" s="7" t="e">
        <f t="shared" si="10"/>
        <v>#N/A</v>
      </c>
      <c r="D94" s="7" t="e">
        <f t="shared" si="10"/>
        <v>#N/A</v>
      </c>
      <c r="E94" s="7" t="e">
        <f t="shared" si="10"/>
        <v>#N/A</v>
      </c>
      <c r="F94" s="7" t="e">
        <f t="shared" si="10"/>
        <v>#N/A</v>
      </c>
      <c r="G94" s="7" t="e">
        <f t="shared" si="10"/>
        <v>#N/A</v>
      </c>
    </row>
    <row r="95" spans="2:7">
      <c r="B95" s="67">
        <f t="shared" si="8"/>
        <v>43189</v>
      </c>
      <c r="C95" s="7" t="e">
        <f t="shared" si="10"/>
        <v>#N/A</v>
      </c>
      <c r="D95" s="7" t="e">
        <f t="shared" si="10"/>
        <v>#N/A</v>
      </c>
      <c r="E95" s="7" t="e">
        <f t="shared" si="10"/>
        <v>#N/A</v>
      </c>
      <c r="F95" s="7" t="e">
        <f t="shared" si="10"/>
        <v>#N/A</v>
      </c>
      <c r="G95" s="7" t="e">
        <f t="shared" si="10"/>
        <v>#N/A</v>
      </c>
    </row>
    <row r="96" spans="2:7">
      <c r="B96" s="67">
        <f t="shared" si="8"/>
        <v>43190</v>
      </c>
      <c r="C96" s="7" t="e">
        <f t="shared" si="10"/>
        <v>#N/A</v>
      </c>
      <c r="D96" s="7" t="e">
        <f t="shared" si="10"/>
        <v>#N/A</v>
      </c>
      <c r="E96" s="7" t="e">
        <f t="shared" si="10"/>
        <v>#N/A</v>
      </c>
      <c r="F96" s="7" t="e">
        <f t="shared" si="10"/>
        <v>#N/A</v>
      </c>
      <c r="G96" s="7" t="e">
        <f t="shared" si="10"/>
        <v>#N/A</v>
      </c>
    </row>
    <row r="97" spans="2:7">
      <c r="B97" s="67">
        <f t="shared" si="8"/>
        <v>43191</v>
      </c>
      <c r="C97" s="7" t="e">
        <f t="shared" ref="C97:G106" si="11">IF(AND($B97&gt;=C$3,$B97&lt;=C$4),C$5,NA())</f>
        <v>#N/A</v>
      </c>
      <c r="D97" s="7" t="e">
        <f t="shared" si="11"/>
        <v>#N/A</v>
      </c>
      <c r="E97" s="7" t="e">
        <f t="shared" si="11"/>
        <v>#N/A</v>
      </c>
      <c r="F97" s="7" t="e">
        <f t="shared" si="11"/>
        <v>#N/A</v>
      </c>
      <c r="G97" s="7" t="e">
        <f t="shared" si="11"/>
        <v>#N/A</v>
      </c>
    </row>
    <row r="98" spans="2:7">
      <c r="B98" s="67">
        <f t="shared" si="8"/>
        <v>43192</v>
      </c>
      <c r="C98" s="7" t="e">
        <f t="shared" si="11"/>
        <v>#N/A</v>
      </c>
      <c r="D98" s="7" t="e">
        <f t="shared" si="11"/>
        <v>#N/A</v>
      </c>
      <c r="E98" s="7" t="e">
        <f t="shared" si="11"/>
        <v>#N/A</v>
      </c>
      <c r="F98" s="7" t="e">
        <f t="shared" si="11"/>
        <v>#N/A</v>
      </c>
      <c r="G98" s="7" t="e">
        <f t="shared" si="11"/>
        <v>#N/A</v>
      </c>
    </row>
    <row r="99" spans="2:7">
      <c r="B99" s="67">
        <f t="shared" si="8"/>
        <v>43193</v>
      </c>
      <c r="C99" s="7" t="e">
        <f t="shared" si="11"/>
        <v>#N/A</v>
      </c>
      <c r="D99" s="7" t="e">
        <f t="shared" si="11"/>
        <v>#N/A</v>
      </c>
      <c r="E99" s="7" t="e">
        <f t="shared" si="11"/>
        <v>#N/A</v>
      </c>
      <c r="F99" s="7" t="e">
        <f t="shared" si="11"/>
        <v>#N/A</v>
      </c>
      <c r="G99" s="7" t="e">
        <f t="shared" si="11"/>
        <v>#N/A</v>
      </c>
    </row>
    <row r="100" spans="2:7">
      <c r="B100" s="67">
        <f t="shared" si="8"/>
        <v>43194</v>
      </c>
      <c r="C100" s="7" t="e">
        <f t="shared" si="11"/>
        <v>#N/A</v>
      </c>
      <c r="D100" s="7" t="e">
        <f t="shared" si="11"/>
        <v>#N/A</v>
      </c>
      <c r="E100" s="7" t="e">
        <f t="shared" si="11"/>
        <v>#N/A</v>
      </c>
      <c r="F100" s="7" t="e">
        <f t="shared" si="11"/>
        <v>#N/A</v>
      </c>
      <c r="G100" s="7" t="e">
        <f t="shared" si="11"/>
        <v>#N/A</v>
      </c>
    </row>
    <row r="101" spans="2:7">
      <c r="B101" s="67">
        <f t="shared" si="8"/>
        <v>43195</v>
      </c>
      <c r="C101" s="7" t="e">
        <f t="shared" si="11"/>
        <v>#N/A</v>
      </c>
      <c r="D101" s="7" t="e">
        <f t="shared" si="11"/>
        <v>#N/A</v>
      </c>
      <c r="E101" s="7" t="e">
        <f t="shared" si="11"/>
        <v>#N/A</v>
      </c>
      <c r="F101" s="7" t="e">
        <f t="shared" si="11"/>
        <v>#N/A</v>
      </c>
      <c r="G101" s="7" t="e">
        <f t="shared" si="11"/>
        <v>#N/A</v>
      </c>
    </row>
    <row r="102" spans="2:7">
      <c r="B102" s="67">
        <f t="shared" si="8"/>
        <v>43196</v>
      </c>
      <c r="C102" s="7" t="e">
        <f t="shared" si="11"/>
        <v>#N/A</v>
      </c>
      <c r="D102" s="7" t="e">
        <f t="shared" si="11"/>
        <v>#N/A</v>
      </c>
      <c r="E102" s="7" t="e">
        <f t="shared" si="11"/>
        <v>#N/A</v>
      </c>
      <c r="F102" s="7" t="e">
        <f t="shared" si="11"/>
        <v>#N/A</v>
      </c>
      <c r="G102" s="7" t="e">
        <f t="shared" si="11"/>
        <v>#N/A</v>
      </c>
    </row>
    <row r="103" spans="2:7">
      <c r="B103" s="67">
        <f t="shared" si="8"/>
        <v>43197</v>
      </c>
      <c r="C103" s="7" t="e">
        <f t="shared" si="11"/>
        <v>#N/A</v>
      </c>
      <c r="D103" s="7" t="e">
        <f t="shared" si="11"/>
        <v>#N/A</v>
      </c>
      <c r="E103" s="7" t="e">
        <f t="shared" si="11"/>
        <v>#N/A</v>
      </c>
      <c r="F103" s="7" t="e">
        <f t="shared" si="11"/>
        <v>#N/A</v>
      </c>
      <c r="G103" s="7" t="e">
        <f t="shared" si="11"/>
        <v>#N/A</v>
      </c>
    </row>
    <row r="104" spans="2:7">
      <c r="B104" s="67">
        <f t="shared" si="8"/>
        <v>43198</v>
      </c>
      <c r="C104" s="7" t="e">
        <f t="shared" si="11"/>
        <v>#N/A</v>
      </c>
      <c r="D104" s="7" t="e">
        <f t="shared" si="11"/>
        <v>#N/A</v>
      </c>
      <c r="E104" s="7" t="e">
        <f t="shared" si="11"/>
        <v>#N/A</v>
      </c>
      <c r="F104" s="7" t="e">
        <f t="shared" si="11"/>
        <v>#N/A</v>
      </c>
      <c r="G104" s="7" t="e">
        <f t="shared" si="11"/>
        <v>#N/A</v>
      </c>
    </row>
    <row r="105" spans="2:7">
      <c r="B105" s="67">
        <f t="shared" si="8"/>
        <v>43199</v>
      </c>
      <c r="C105" s="7" t="e">
        <f t="shared" si="11"/>
        <v>#N/A</v>
      </c>
      <c r="D105" s="7" t="e">
        <f t="shared" si="11"/>
        <v>#N/A</v>
      </c>
      <c r="E105" s="7" t="e">
        <f t="shared" si="11"/>
        <v>#N/A</v>
      </c>
      <c r="F105" s="7" t="e">
        <f t="shared" si="11"/>
        <v>#N/A</v>
      </c>
      <c r="G105" s="7" t="e">
        <f t="shared" si="11"/>
        <v>#N/A</v>
      </c>
    </row>
    <row r="106" spans="2:7">
      <c r="B106" s="67">
        <f t="shared" si="8"/>
        <v>43200</v>
      </c>
      <c r="C106" s="7" t="e">
        <f t="shared" si="11"/>
        <v>#N/A</v>
      </c>
      <c r="D106" s="7" t="e">
        <f t="shared" si="11"/>
        <v>#N/A</v>
      </c>
      <c r="E106" s="7" t="e">
        <f t="shared" si="11"/>
        <v>#N/A</v>
      </c>
      <c r="F106" s="7" t="e">
        <f t="shared" si="11"/>
        <v>#N/A</v>
      </c>
      <c r="G106" s="7" t="e">
        <f t="shared" si="11"/>
        <v>#N/A</v>
      </c>
    </row>
    <row r="107" spans="2:7">
      <c r="B107" s="67">
        <f t="shared" si="8"/>
        <v>43201</v>
      </c>
      <c r="C107" s="7" t="e">
        <f t="shared" ref="C107:G116" si="12">IF(AND($B107&gt;=C$3,$B107&lt;=C$4),C$5,NA())</f>
        <v>#N/A</v>
      </c>
      <c r="D107" s="7" t="e">
        <f t="shared" si="12"/>
        <v>#N/A</v>
      </c>
      <c r="E107" s="7" t="e">
        <f t="shared" si="12"/>
        <v>#N/A</v>
      </c>
      <c r="F107" s="7" t="e">
        <f t="shared" si="12"/>
        <v>#N/A</v>
      </c>
      <c r="G107" s="7" t="e">
        <f t="shared" si="12"/>
        <v>#N/A</v>
      </c>
    </row>
    <row r="108" spans="2:7">
      <c r="B108" s="67">
        <f t="shared" si="8"/>
        <v>43202</v>
      </c>
      <c r="C108" s="7" t="e">
        <f t="shared" si="12"/>
        <v>#N/A</v>
      </c>
      <c r="D108" s="7" t="e">
        <f t="shared" si="12"/>
        <v>#N/A</v>
      </c>
      <c r="E108" s="7" t="e">
        <f t="shared" si="12"/>
        <v>#N/A</v>
      </c>
      <c r="F108" s="7" t="e">
        <f t="shared" si="12"/>
        <v>#N/A</v>
      </c>
      <c r="G108" s="7" t="e">
        <f t="shared" si="12"/>
        <v>#N/A</v>
      </c>
    </row>
    <row r="109" spans="2:7">
      <c r="B109" s="67">
        <f t="shared" si="8"/>
        <v>43203</v>
      </c>
      <c r="C109" s="7" t="e">
        <f t="shared" si="12"/>
        <v>#N/A</v>
      </c>
      <c r="D109" s="7" t="e">
        <f t="shared" si="12"/>
        <v>#N/A</v>
      </c>
      <c r="E109" s="7" t="e">
        <f t="shared" si="12"/>
        <v>#N/A</v>
      </c>
      <c r="F109" s="7" t="e">
        <f t="shared" si="12"/>
        <v>#N/A</v>
      </c>
      <c r="G109" s="7" t="e">
        <f t="shared" si="12"/>
        <v>#N/A</v>
      </c>
    </row>
    <row r="110" spans="2:7">
      <c r="B110" s="67">
        <f t="shared" si="8"/>
        <v>43204</v>
      </c>
      <c r="C110" s="7" t="e">
        <f t="shared" si="12"/>
        <v>#N/A</v>
      </c>
      <c r="D110" s="7" t="e">
        <f t="shared" si="12"/>
        <v>#N/A</v>
      </c>
      <c r="E110" s="7" t="e">
        <f t="shared" si="12"/>
        <v>#N/A</v>
      </c>
      <c r="F110" s="7" t="e">
        <f t="shared" si="12"/>
        <v>#N/A</v>
      </c>
      <c r="G110" s="7" t="e">
        <f t="shared" si="12"/>
        <v>#N/A</v>
      </c>
    </row>
    <row r="111" spans="2:7">
      <c r="B111" s="67">
        <f t="shared" si="8"/>
        <v>43205</v>
      </c>
      <c r="C111" s="7" t="e">
        <f t="shared" si="12"/>
        <v>#N/A</v>
      </c>
      <c r="D111" s="7" t="e">
        <f t="shared" si="12"/>
        <v>#N/A</v>
      </c>
      <c r="E111" s="7" t="e">
        <f t="shared" si="12"/>
        <v>#N/A</v>
      </c>
      <c r="F111" s="7" t="e">
        <f t="shared" si="12"/>
        <v>#N/A</v>
      </c>
      <c r="G111" s="7" t="e">
        <f t="shared" si="12"/>
        <v>#N/A</v>
      </c>
    </row>
    <row r="112" spans="2:7">
      <c r="B112" s="67">
        <f t="shared" si="8"/>
        <v>43206</v>
      </c>
      <c r="C112" s="7" t="e">
        <f t="shared" si="12"/>
        <v>#N/A</v>
      </c>
      <c r="D112" s="7" t="e">
        <f t="shared" si="12"/>
        <v>#N/A</v>
      </c>
      <c r="E112" s="7" t="e">
        <f t="shared" si="12"/>
        <v>#N/A</v>
      </c>
      <c r="F112" s="7" t="e">
        <f t="shared" si="12"/>
        <v>#N/A</v>
      </c>
      <c r="G112" s="7" t="e">
        <f t="shared" si="12"/>
        <v>#N/A</v>
      </c>
    </row>
    <row r="113" spans="2:7">
      <c r="B113" s="67">
        <f t="shared" si="8"/>
        <v>43207</v>
      </c>
      <c r="C113" s="7" t="e">
        <f t="shared" si="12"/>
        <v>#N/A</v>
      </c>
      <c r="D113" s="7" t="e">
        <f t="shared" si="12"/>
        <v>#N/A</v>
      </c>
      <c r="E113" s="7" t="e">
        <f t="shared" si="12"/>
        <v>#N/A</v>
      </c>
      <c r="F113" s="7" t="e">
        <f t="shared" si="12"/>
        <v>#N/A</v>
      </c>
      <c r="G113" s="7" t="e">
        <f t="shared" si="12"/>
        <v>#N/A</v>
      </c>
    </row>
    <row r="114" spans="2:7">
      <c r="B114" s="67">
        <f t="shared" si="8"/>
        <v>43208</v>
      </c>
      <c r="C114" s="7" t="e">
        <f t="shared" si="12"/>
        <v>#N/A</v>
      </c>
      <c r="D114" s="7" t="e">
        <f t="shared" si="12"/>
        <v>#N/A</v>
      </c>
      <c r="E114" s="7" t="e">
        <f t="shared" si="12"/>
        <v>#N/A</v>
      </c>
      <c r="F114" s="7" t="e">
        <f t="shared" si="12"/>
        <v>#N/A</v>
      </c>
      <c r="G114" s="7" t="e">
        <f t="shared" si="12"/>
        <v>#N/A</v>
      </c>
    </row>
    <row r="115" spans="2:7">
      <c r="B115" s="67">
        <f t="shared" si="8"/>
        <v>43209</v>
      </c>
      <c r="C115" s="7" t="e">
        <f t="shared" si="12"/>
        <v>#N/A</v>
      </c>
      <c r="D115" s="7" t="e">
        <f t="shared" si="12"/>
        <v>#N/A</v>
      </c>
      <c r="E115" s="7" t="e">
        <f t="shared" si="12"/>
        <v>#N/A</v>
      </c>
      <c r="F115" s="7" t="e">
        <f t="shared" si="12"/>
        <v>#N/A</v>
      </c>
      <c r="G115" s="7" t="e">
        <f t="shared" si="12"/>
        <v>#N/A</v>
      </c>
    </row>
    <row r="116" spans="2:7">
      <c r="B116" s="67">
        <f t="shared" si="8"/>
        <v>43210</v>
      </c>
      <c r="C116" s="7" t="e">
        <f t="shared" si="12"/>
        <v>#N/A</v>
      </c>
      <c r="D116" s="7" t="e">
        <f t="shared" si="12"/>
        <v>#N/A</v>
      </c>
      <c r="E116" s="7" t="e">
        <f t="shared" si="12"/>
        <v>#N/A</v>
      </c>
      <c r="F116" s="7" t="e">
        <f t="shared" si="12"/>
        <v>#N/A</v>
      </c>
      <c r="G116" s="7" t="e">
        <f t="shared" si="12"/>
        <v>#N/A</v>
      </c>
    </row>
    <row r="117" spans="2:7">
      <c r="B117" s="67">
        <f t="shared" si="8"/>
        <v>43211</v>
      </c>
      <c r="C117" s="7" t="e">
        <f t="shared" ref="C117:G126" si="13">IF(AND($B117&gt;=C$3,$B117&lt;=C$4),C$5,NA())</f>
        <v>#N/A</v>
      </c>
      <c r="D117" s="7" t="e">
        <f t="shared" si="13"/>
        <v>#N/A</v>
      </c>
      <c r="E117" s="7" t="e">
        <f t="shared" si="13"/>
        <v>#N/A</v>
      </c>
      <c r="F117" s="7" t="e">
        <f t="shared" si="13"/>
        <v>#N/A</v>
      </c>
      <c r="G117" s="7" t="e">
        <f t="shared" si="13"/>
        <v>#N/A</v>
      </c>
    </row>
    <row r="118" spans="2:7">
      <c r="B118" s="67">
        <f t="shared" si="8"/>
        <v>43212</v>
      </c>
      <c r="C118" s="7" t="e">
        <f t="shared" si="13"/>
        <v>#N/A</v>
      </c>
      <c r="D118" s="7" t="e">
        <f t="shared" si="13"/>
        <v>#N/A</v>
      </c>
      <c r="E118" s="7" t="e">
        <f t="shared" si="13"/>
        <v>#N/A</v>
      </c>
      <c r="F118" s="7" t="e">
        <f t="shared" si="13"/>
        <v>#N/A</v>
      </c>
      <c r="G118" s="7" t="e">
        <f t="shared" si="13"/>
        <v>#N/A</v>
      </c>
    </row>
    <row r="119" spans="2:7">
      <c r="B119" s="67">
        <f t="shared" si="8"/>
        <v>43213</v>
      </c>
      <c r="C119" s="7" t="e">
        <f t="shared" si="13"/>
        <v>#N/A</v>
      </c>
      <c r="D119" s="7" t="e">
        <f t="shared" si="13"/>
        <v>#N/A</v>
      </c>
      <c r="E119" s="7" t="e">
        <f t="shared" si="13"/>
        <v>#N/A</v>
      </c>
      <c r="F119" s="7" t="e">
        <f t="shared" si="13"/>
        <v>#N/A</v>
      </c>
      <c r="G119" s="7" t="e">
        <f t="shared" si="13"/>
        <v>#N/A</v>
      </c>
    </row>
    <row r="120" spans="2:7">
      <c r="B120" s="67">
        <f t="shared" si="8"/>
        <v>43214</v>
      </c>
      <c r="C120" s="7" t="e">
        <f t="shared" si="13"/>
        <v>#N/A</v>
      </c>
      <c r="D120" s="7" t="e">
        <f t="shared" si="13"/>
        <v>#N/A</v>
      </c>
      <c r="E120" s="7" t="e">
        <f t="shared" si="13"/>
        <v>#N/A</v>
      </c>
      <c r="F120" s="7" t="e">
        <f t="shared" si="13"/>
        <v>#N/A</v>
      </c>
      <c r="G120" s="7" t="e">
        <f t="shared" si="13"/>
        <v>#N/A</v>
      </c>
    </row>
    <row r="121" spans="2:7">
      <c r="B121" s="67">
        <f t="shared" si="8"/>
        <v>43215</v>
      </c>
      <c r="C121" s="7" t="e">
        <f t="shared" si="13"/>
        <v>#N/A</v>
      </c>
      <c r="D121" s="7" t="e">
        <f t="shared" si="13"/>
        <v>#N/A</v>
      </c>
      <c r="E121" s="7" t="e">
        <f t="shared" si="13"/>
        <v>#N/A</v>
      </c>
      <c r="F121" s="7" t="e">
        <f t="shared" si="13"/>
        <v>#N/A</v>
      </c>
      <c r="G121" s="7" t="e">
        <f t="shared" si="13"/>
        <v>#N/A</v>
      </c>
    </row>
    <row r="122" spans="2:7">
      <c r="B122" s="67">
        <f t="shared" si="8"/>
        <v>43216</v>
      </c>
      <c r="C122" s="7" t="e">
        <f t="shared" si="13"/>
        <v>#N/A</v>
      </c>
      <c r="D122" s="7" t="e">
        <f t="shared" si="13"/>
        <v>#N/A</v>
      </c>
      <c r="E122" s="7" t="e">
        <f t="shared" si="13"/>
        <v>#N/A</v>
      </c>
      <c r="F122" s="7" t="e">
        <f t="shared" si="13"/>
        <v>#N/A</v>
      </c>
      <c r="G122" s="7" t="e">
        <f t="shared" si="13"/>
        <v>#N/A</v>
      </c>
    </row>
    <row r="123" spans="2:7">
      <c r="B123" s="67">
        <f t="shared" si="8"/>
        <v>43217</v>
      </c>
      <c r="C123" s="7" t="e">
        <f t="shared" si="13"/>
        <v>#N/A</v>
      </c>
      <c r="D123" s="7" t="e">
        <f t="shared" si="13"/>
        <v>#N/A</v>
      </c>
      <c r="E123" s="7" t="e">
        <f t="shared" si="13"/>
        <v>#N/A</v>
      </c>
      <c r="F123" s="7" t="e">
        <f t="shared" si="13"/>
        <v>#N/A</v>
      </c>
      <c r="G123" s="7" t="e">
        <f t="shared" si="13"/>
        <v>#N/A</v>
      </c>
    </row>
    <row r="124" spans="2:7">
      <c r="B124" s="67">
        <f t="shared" si="8"/>
        <v>43218</v>
      </c>
      <c r="C124" s="7" t="e">
        <f t="shared" si="13"/>
        <v>#N/A</v>
      </c>
      <c r="D124" s="7" t="e">
        <f t="shared" si="13"/>
        <v>#N/A</v>
      </c>
      <c r="E124" s="7" t="e">
        <f t="shared" si="13"/>
        <v>#N/A</v>
      </c>
      <c r="F124" s="7" t="e">
        <f t="shared" si="13"/>
        <v>#N/A</v>
      </c>
      <c r="G124" s="7" t="e">
        <f t="shared" si="13"/>
        <v>#N/A</v>
      </c>
    </row>
    <row r="125" spans="2:7">
      <c r="B125" s="67">
        <f t="shared" si="8"/>
        <v>43219</v>
      </c>
      <c r="C125" s="7" t="e">
        <f t="shared" si="13"/>
        <v>#N/A</v>
      </c>
      <c r="D125" s="7" t="e">
        <f t="shared" si="13"/>
        <v>#N/A</v>
      </c>
      <c r="E125" s="7" t="e">
        <f t="shared" si="13"/>
        <v>#N/A</v>
      </c>
      <c r="F125" s="7" t="e">
        <f t="shared" si="13"/>
        <v>#N/A</v>
      </c>
      <c r="G125" s="7" t="e">
        <f t="shared" si="13"/>
        <v>#N/A</v>
      </c>
    </row>
    <row r="126" spans="2:7">
      <c r="B126" s="67">
        <f t="shared" si="8"/>
        <v>43220</v>
      </c>
      <c r="C126" s="7" t="e">
        <f t="shared" si="13"/>
        <v>#N/A</v>
      </c>
      <c r="D126" s="7" t="e">
        <f t="shared" si="13"/>
        <v>#N/A</v>
      </c>
      <c r="E126" s="7" t="e">
        <f t="shared" si="13"/>
        <v>#N/A</v>
      </c>
      <c r="F126" s="7" t="e">
        <f t="shared" si="13"/>
        <v>#N/A</v>
      </c>
      <c r="G126" s="7" t="e">
        <f t="shared" si="13"/>
        <v>#N/A</v>
      </c>
    </row>
    <row r="127" spans="2:7">
      <c r="B127" s="67">
        <f t="shared" si="8"/>
        <v>43221</v>
      </c>
      <c r="C127" s="7" t="e">
        <f t="shared" ref="C127:G136" si="14">IF(AND($B127&gt;=C$3,$B127&lt;=C$4),C$5,NA())</f>
        <v>#N/A</v>
      </c>
      <c r="D127" s="7" t="e">
        <f t="shared" si="14"/>
        <v>#N/A</v>
      </c>
      <c r="E127" s="7" t="e">
        <f t="shared" si="14"/>
        <v>#N/A</v>
      </c>
      <c r="F127" s="7" t="e">
        <f t="shared" si="14"/>
        <v>#N/A</v>
      </c>
      <c r="G127" s="7" t="e">
        <f t="shared" si="14"/>
        <v>#N/A</v>
      </c>
    </row>
    <row r="128" spans="2:7">
      <c r="B128" s="67">
        <f t="shared" si="8"/>
        <v>43222</v>
      </c>
      <c r="C128" s="7" t="e">
        <f t="shared" si="14"/>
        <v>#N/A</v>
      </c>
      <c r="D128" s="7" t="e">
        <f t="shared" si="14"/>
        <v>#N/A</v>
      </c>
      <c r="E128" s="7" t="e">
        <f t="shared" si="14"/>
        <v>#N/A</v>
      </c>
      <c r="F128" s="7" t="e">
        <f t="shared" si="14"/>
        <v>#N/A</v>
      </c>
      <c r="G128" s="7" t="e">
        <f t="shared" si="14"/>
        <v>#N/A</v>
      </c>
    </row>
    <row r="129" spans="2:7">
      <c r="B129" s="67">
        <f t="shared" si="8"/>
        <v>43223</v>
      </c>
      <c r="C129" s="7" t="e">
        <f t="shared" si="14"/>
        <v>#N/A</v>
      </c>
      <c r="D129" s="7" t="e">
        <f t="shared" si="14"/>
        <v>#N/A</v>
      </c>
      <c r="E129" s="7" t="e">
        <f t="shared" si="14"/>
        <v>#N/A</v>
      </c>
      <c r="F129" s="7" t="e">
        <f t="shared" si="14"/>
        <v>#N/A</v>
      </c>
      <c r="G129" s="7" t="e">
        <f t="shared" si="14"/>
        <v>#N/A</v>
      </c>
    </row>
    <row r="130" spans="2:7">
      <c r="B130" s="67">
        <f t="shared" si="8"/>
        <v>43224</v>
      </c>
      <c r="C130" s="7" t="e">
        <f t="shared" si="14"/>
        <v>#N/A</v>
      </c>
      <c r="D130" s="7" t="e">
        <f t="shared" si="14"/>
        <v>#N/A</v>
      </c>
      <c r="E130" s="7" t="e">
        <f t="shared" si="14"/>
        <v>#N/A</v>
      </c>
      <c r="F130" s="7" t="e">
        <f t="shared" si="14"/>
        <v>#N/A</v>
      </c>
      <c r="G130" s="7" t="e">
        <f t="shared" si="14"/>
        <v>#N/A</v>
      </c>
    </row>
    <row r="131" spans="2:7">
      <c r="B131" s="67">
        <f t="shared" si="8"/>
        <v>43225</v>
      </c>
      <c r="C131" s="7" t="e">
        <f t="shared" si="14"/>
        <v>#N/A</v>
      </c>
      <c r="D131" s="7" t="e">
        <f t="shared" si="14"/>
        <v>#N/A</v>
      </c>
      <c r="E131" s="7" t="e">
        <f t="shared" si="14"/>
        <v>#N/A</v>
      </c>
      <c r="F131" s="7" t="e">
        <f t="shared" si="14"/>
        <v>#N/A</v>
      </c>
      <c r="G131" s="7" t="e">
        <f t="shared" si="14"/>
        <v>#N/A</v>
      </c>
    </row>
    <row r="132" spans="2:7">
      <c r="B132" s="67">
        <f t="shared" si="8"/>
        <v>43226</v>
      </c>
      <c r="C132" s="7" t="e">
        <f t="shared" si="14"/>
        <v>#N/A</v>
      </c>
      <c r="D132" s="7" t="e">
        <f t="shared" si="14"/>
        <v>#N/A</v>
      </c>
      <c r="E132" s="7" t="e">
        <f t="shared" si="14"/>
        <v>#N/A</v>
      </c>
      <c r="F132" s="7" t="e">
        <f t="shared" si="14"/>
        <v>#N/A</v>
      </c>
      <c r="G132" s="7" t="e">
        <f t="shared" si="14"/>
        <v>#N/A</v>
      </c>
    </row>
    <row r="133" spans="2:7">
      <c r="B133" s="67">
        <f t="shared" si="8"/>
        <v>43227</v>
      </c>
      <c r="C133" s="7" t="e">
        <f t="shared" si="14"/>
        <v>#N/A</v>
      </c>
      <c r="D133" s="7" t="e">
        <f t="shared" si="14"/>
        <v>#N/A</v>
      </c>
      <c r="E133" s="7" t="e">
        <f t="shared" si="14"/>
        <v>#N/A</v>
      </c>
      <c r="F133" s="7" t="e">
        <f t="shared" si="14"/>
        <v>#N/A</v>
      </c>
      <c r="G133" s="7" t="e">
        <f t="shared" si="14"/>
        <v>#N/A</v>
      </c>
    </row>
    <row r="134" spans="2:7">
      <c r="B134" s="67">
        <f t="shared" si="8"/>
        <v>43228</v>
      </c>
      <c r="C134" s="7" t="e">
        <f t="shared" si="14"/>
        <v>#N/A</v>
      </c>
      <c r="D134" s="7" t="e">
        <f t="shared" si="14"/>
        <v>#N/A</v>
      </c>
      <c r="E134" s="7" t="e">
        <f t="shared" si="14"/>
        <v>#N/A</v>
      </c>
      <c r="F134" s="7" t="e">
        <f t="shared" si="14"/>
        <v>#N/A</v>
      </c>
      <c r="G134" s="7" t="e">
        <f t="shared" si="14"/>
        <v>#N/A</v>
      </c>
    </row>
    <row r="135" spans="2:7">
      <c r="B135" s="67">
        <f t="shared" si="8"/>
        <v>43229</v>
      </c>
      <c r="C135" s="7" t="e">
        <f t="shared" si="14"/>
        <v>#N/A</v>
      </c>
      <c r="D135" s="7" t="e">
        <f t="shared" si="14"/>
        <v>#N/A</v>
      </c>
      <c r="E135" s="7" t="e">
        <f t="shared" si="14"/>
        <v>#N/A</v>
      </c>
      <c r="F135" s="7" t="e">
        <f t="shared" si="14"/>
        <v>#N/A</v>
      </c>
      <c r="G135" s="7" t="e">
        <f t="shared" si="14"/>
        <v>#N/A</v>
      </c>
    </row>
    <row r="136" spans="2:7">
      <c r="B136" s="67">
        <f t="shared" ref="B136:B199" si="15">B135+1</f>
        <v>43230</v>
      </c>
      <c r="C136" s="7" t="e">
        <f t="shared" si="14"/>
        <v>#N/A</v>
      </c>
      <c r="D136" s="7" t="e">
        <f t="shared" si="14"/>
        <v>#N/A</v>
      </c>
      <c r="E136" s="7" t="e">
        <f t="shared" si="14"/>
        <v>#N/A</v>
      </c>
      <c r="F136" s="7" t="e">
        <f t="shared" si="14"/>
        <v>#N/A</v>
      </c>
      <c r="G136" s="7" t="e">
        <f t="shared" si="14"/>
        <v>#N/A</v>
      </c>
    </row>
    <row r="137" spans="2:7">
      <c r="B137" s="67">
        <f t="shared" si="15"/>
        <v>43231</v>
      </c>
      <c r="C137" s="7" t="e">
        <f t="shared" ref="C137:G146" si="16">IF(AND($B137&gt;=C$3,$B137&lt;=C$4),C$5,NA())</f>
        <v>#N/A</v>
      </c>
      <c r="D137" s="7" t="e">
        <f t="shared" si="16"/>
        <v>#N/A</v>
      </c>
      <c r="E137" s="7" t="e">
        <f t="shared" si="16"/>
        <v>#N/A</v>
      </c>
      <c r="F137" s="7" t="e">
        <f t="shared" si="16"/>
        <v>#N/A</v>
      </c>
      <c r="G137" s="7" t="e">
        <f t="shared" si="16"/>
        <v>#N/A</v>
      </c>
    </row>
    <row r="138" spans="2:7">
      <c r="B138" s="67">
        <f t="shared" si="15"/>
        <v>43232</v>
      </c>
      <c r="C138" s="7" t="e">
        <f t="shared" si="16"/>
        <v>#N/A</v>
      </c>
      <c r="D138" s="7" t="e">
        <f t="shared" si="16"/>
        <v>#N/A</v>
      </c>
      <c r="E138" s="7" t="e">
        <f t="shared" si="16"/>
        <v>#N/A</v>
      </c>
      <c r="F138" s="7" t="e">
        <f t="shared" si="16"/>
        <v>#N/A</v>
      </c>
      <c r="G138" s="7" t="e">
        <f t="shared" si="16"/>
        <v>#N/A</v>
      </c>
    </row>
    <row r="139" spans="2:7">
      <c r="B139" s="67">
        <f t="shared" si="15"/>
        <v>43233</v>
      </c>
      <c r="C139" s="7" t="e">
        <f t="shared" si="16"/>
        <v>#N/A</v>
      </c>
      <c r="D139" s="7" t="e">
        <f t="shared" si="16"/>
        <v>#N/A</v>
      </c>
      <c r="E139" s="7" t="e">
        <f t="shared" si="16"/>
        <v>#N/A</v>
      </c>
      <c r="F139" s="7" t="e">
        <f t="shared" si="16"/>
        <v>#N/A</v>
      </c>
      <c r="G139" s="7" t="e">
        <f t="shared" si="16"/>
        <v>#N/A</v>
      </c>
    </row>
    <row r="140" spans="2:7">
      <c r="B140" s="67">
        <f t="shared" si="15"/>
        <v>43234</v>
      </c>
      <c r="C140" s="7" t="e">
        <f t="shared" si="16"/>
        <v>#N/A</v>
      </c>
      <c r="D140" s="7" t="e">
        <f t="shared" si="16"/>
        <v>#N/A</v>
      </c>
      <c r="E140" s="7" t="e">
        <f t="shared" si="16"/>
        <v>#N/A</v>
      </c>
      <c r="F140" s="7" t="e">
        <f t="shared" si="16"/>
        <v>#N/A</v>
      </c>
      <c r="G140" s="7" t="e">
        <f t="shared" si="16"/>
        <v>#N/A</v>
      </c>
    </row>
    <row r="141" spans="2:7">
      <c r="B141" s="67">
        <f t="shared" si="15"/>
        <v>43235</v>
      </c>
      <c r="C141" s="7" t="e">
        <f t="shared" si="16"/>
        <v>#N/A</v>
      </c>
      <c r="D141" s="7" t="e">
        <f t="shared" si="16"/>
        <v>#N/A</v>
      </c>
      <c r="E141" s="7" t="e">
        <f t="shared" si="16"/>
        <v>#N/A</v>
      </c>
      <c r="F141" s="7" t="e">
        <f t="shared" si="16"/>
        <v>#N/A</v>
      </c>
      <c r="G141" s="7" t="e">
        <f t="shared" si="16"/>
        <v>#N/A</v>
      </c>
    </row>
    <row r="142" spans="2:7">
      <c r="B142" s="67">
        <f t="shared" si="15"/>
        <v>43236</v>
      </c>
      <c r="C142" s="7" t="e">
        <f t="shared" si="16"/>
        <v>#N/A</v>
      </c>
      <c r="D142" s="7" t="e">
        <f t="shared" si="16"/>
        <v>#N/A</v>
      </c>
      <c r="E142" s="7" t="e">
        <f t="shared" si="16"/>
        <v>#N/A</v>
      </c>
      <c r="F142" s="7" t="e">
        <f t="shared" si="16"/>
        <v>#N/A</v>
      </c>
      <c r="G142" s="7" t="e">
        <f t="shared" si="16"/>
        <v>#N/A</v>
      </c>
    </row>
    <row r="143" spans="2:7">
      <c r="B143" s="67">
        <f t="shared" si="15"/>
        <v>43237</v>
      </c>
      <c r="C143" s="7" t="e">
        <f t="shared" si="16"/>
        <v>#N/A</v>
      </c>
      <c r="D143" s="7" t="e">
        <f t="shared" si="16"/>
        <v>#N/A</v>
      </c>
      <c r="E143" s="7" t="e">
        <f t="shared" si="16"/>
        <v>#N/A</v>
      </c>
      <c r="F143" s="7" t="e">
        <f t="shared" si="16"/>
        <v>#N/A</v>
      </c>
      <c r="G143" s="7" t="e">
        <f t="shared" si="16"/>
        <v>#N/A</v>
      </c>
    </row>
    <row r="144" spans="2:7">
      <c r="B144" s="67">
        <f t="shared" si="15"/>
        <v>43238</v>
      </c>
      <c r="C144" s="7" t="e">
        <f t="shared" si="16"/>
        <v>#N/A</v>
      </c>
      <c r="D144" s="7" t="e">
        <f t="shared" si="16"/>
        <v>#N/A</v>
      </c>
      <c r="E144" s="7" t="e">
        <f t="shared" si="16"/>
        <v>#N/A</v>
      </c>
      <c r="F144" s="7" t="e">
        <f t="shared" si="16"/>
        <v>#N/A</v>
      </c>
      <c r="G144" s="7" t="e">
        <f t="shared" si="16"/>
        <v>#N/A</v>
      </c>
    </row>
    <row r="145" spans="2:7">
      <c r="B145" s="67">
        <f t="shared" si="15"/>
        <v>43239</v>
      </c>
      <c r="C145" s="7" t="e">
        <f t="shared" si="16"/>
        <v>#N/A</v>
      </c>
      <c r="D145" s="7" t="e">
        <f t="shared" si="16"/>
        <v>#N/A</v>
      </c>
      <c r="E145" s="7" t="e">
        <f t="shared" si="16"/>
        <v>#N/A</v>
      </c>
      <c r="F145" s="7" t="e">
        <f t="shared" si="16"/>
        <v>#N/A</v>
      </c>
      <c r="G145" s="7" t="e">
        <f t="shared" si="16"/>
        <v>#N/A</v>
      </c>
    </row>
    <row r="146" spans="2:7">
      <c r="B146" s="67">
        <f t="shared" si="15"/>
        <v>43240</v>
      </c>
      <c r="C146" s="7" t="e">
        <f t="shared" si="16"/>
        <v>#N/A</v>
      </c>
      <c r="D146" s="7" t="e">
        <f t="shared" si="16"/>
        <v>#N/A</v>
      </c>
      <c r="E146" s="7" t="e">
        <f t="shared" si="16"/>
        <v>#N/A</v>
      </c>
      <c r="F146" s="7" t="e">
        <f t="shared" si="16"/>
        <v>#N/A</v>
      </c>
      <c r="G146" s="7" t="e">
        <f t="shared" si="16"/>
        <v>#N/A</v>
      </c>
    </row>
    <row r="147" spans="2:7">
      <c r="B147" s="67">
        <f t="shared" si="15"/>
        <v>43241</v>
      </c>
      <c r="C147" s="7" t="e">
        <f t="shared" ref="C147:G156" si="17">IF(AND($B147&gt;=C$3,$B147&lt;=C$4),C$5,NA())</f>
        <v>#N/A</v>
      </c>
      <c r="D147" s="7" t="e">
        <f t="shared" si="17"/>
        <v>#N/A</v>
      </c>
      <c r="E147" s="7" t="e">
        <f t="shared" si="17"/>
        <v>#N/A</v>
      </c>
      <c r="F147" s="7" t="e">
        <f t="shared" si="17"/>
        <v>#N/A</v>
      </c>
      <c r="G147" s="7" t="e">
        <f t="shared" si="17"/>
        <v>#N/A</v>
      </c>
    </row>
    <row r="148" spans="2:7">
      <c r="B148" s="67">
        <f t="shared" si="15"/>
        <v>43242</v>
      </c>
      <c r="C148" s="7" t="e">
        <f t="shared" si="17"/>
        <v>#N/A</v>
      </c>
      <c r="D148" s="7" t="e">
        <f t="shared" si="17"/>
        <v>#N/A</v>
      </c>
      <c r="E148" s="7" t="e">
        <f t="shared" si="17"/>
        <v>#N/A</v>
      </c>
      <c r="F148" s="7" t="e">
        <f t="shared" si="17"/>
        <v>#N/A</v>
      </c>
      <c r="G148" s="7" t="e">
        <f t="shared" si="17"/>
        <v>#N/A</v>
      </c>
    </row>
    <row r="149" spans="2:7">
      <c r="B149" s="67">
        <f t="shared" si="15"/>
        <v>43243</v>
      </c>
      <c r="C149" s="7" t="e">
        <f t="shared" si="17"/>
        <v>#N/A</v>
      </c>
      <c r="D149" s="7" t="e">
        <f t="shared" si="17"/>
        <v>#N/A</v>
      </c>
      <c r="E149" s="7" t="e">
        <f t="shared" si="17"/>
        <v>#N/A</v>
      </c>
      <c r="F149" s="7" t="e">
        <f t="shared" si="17"/>
        <v>#N/A</v>
      </c>
      <c r="G149" s="7" t="e">
        <f t="shared" si="17"/>
        <v>#N/A</v>
      </c>
    </row>
    <row r="150" spans="2:7">
      <c r="B150" s="67">
        <f t="shared" si="15"/>
        <v>43244</v>
      </c>
      <c r="C150" s="7" t="e">
        <f t="shared" si="17"/>
        <v>#N/A</v>
      </c>
      <c r="D150" s="7" t="e">
        <f t="shared" si="17"/>
        <v>#N/A</v>
      </c>
      <c r="E150" s="7" t="e">
        <f t="shared" si="17"/>
        <v>#N/A</v>
      </c>
      <c r="F150" s="7" t="e">
        <f t="shared" si="17"/>
        <v>#N/A</v>
      </c>
      <c r="G150" s="7" t="e">
        <f t="shared" si="17"/>
        <v>#N/A</v>
      </c>
    </row>
    <row r="151" spans="2:7">
      <c r="B151" s="67">
        <f t="shared" si="15"/>
        <v>43245</v>
      </c>
      <c r="C151" s="7" t="e">
        <f t="shared" si="17"/>
        <v>#N/A</v>
      </c>
      <c r="D151" s="7" t="e">
        <f t="shared" si="17"/>
        <v>#N/A</v>
      </c>
      <c r="E151" s="7" t="e">
        <f t="shared" si="17"/>
        <v>#N/A</v>
      </c>
      <c r="F151" s="7" t="e">
        <f t="shared" si="17"/>
        <v>#N/A</v>
      </c>
      <c r="G151" s="7" t="e">
        <f t="shared" si="17"/>
        <v>#N/A</v>
      </c>
    </row>
    <row r="152" spans="2:7">
      <c r="B152" s="67">
        <f t="shared" si="15"/>
        <v>43246</v>
      </c>
      <c r="C152" s="7" t="e">
        <f t="shared" si="17"/>
        <v>#N/A</v>
      </c>
      <c r="D152" s="7" t="e">
        <f t="shared" si="17"/>
        <v>#N/A</v>
      </c>
      <c r="E152" s="7" t="e">
        <f t="shared" si="17"/>
        <v>#N/A</v>
      </c>
      <c r="F152" s="7" t="e">
        <f t="shared" si="17"/>
        <v>#N/A</v>
      </c>
      <c r="G152" s="7" t="e">
        <f t="shared" si="17"/>
        <v>#N/A</v>
      </c>
    </row>
    <row r="153" spans="2:7">
      <c r="B153" s="67">
        <f t="shared" si="15"/>
        <v>43247</v>
      </c>
      <c r="C153" s="7" t="e">
        <f t="shared" si="17"/>
        <v>#N/A</v>
      </c>
      <c r="D153" s="7" t="e">
        <f t="shared" si="17"/>
        <v>#N/A</v>
      </c>
      <c r="E153" s="7" t="e">
        <f t="shared" si="17"/>
        <v>#N/A</v>
      </c>
      <c r="F153" s="7" t="e">
        <f t="shared" si="17"/>
        <v>#N/A</v>
      </c>
      <c r="G153" s="7" t="e">
        <f t="shared" si="17"/>
        <v>#N/A</v>
      </c>
    </row>
    <row r="154" spans="2:7">
      <c r="B154" s="67">
        <f t="shared" si="15"/>
        <v>43248</v>
      </c>
      <c r="C154" s="7" t="e">
        <f t="shared" si="17"/>
        <v>#N/A</v>
      </c>
      <c r="D154" s="7" t="e">
        <f t="shared" si="17"/>
        <v>#N/A</v>
      </c>
      <c r="E154" s="7" t="e">
        <f t="shared" si="17"/>
        <v>#N/A</v>
      </c>
      <c r="F154" s="7" t="e">
        <f t="shared" si="17"/>
        <v>#N/A</v>
      </c>
      <c r="G154" s="7" t="e">
        <f t="shared" si="17"/>
        <v>#N/A</v>
      </c>
    </row>
    <row r="155" spans="2:7">
      <c r="B155" s="67">
        <f t="shared" si="15"/>
        <v>43249</v>
      </c>
      <c r="C155" s="7" t="e">
        <f t="shared" si="17"/>
        <v>#N/A</v>
      </c>
      <c r="D155" s="7" t="e">
        <f t="shared" si="17"/>
        <v>#N/A</v>
      </c>
      <c r="E155" s="7" t="e">
        <f t="shared" si="17"/>
        <v>#N/A</v>
      </c>
      <c r="F155" s="7" t="e">
        <f t="shared" si="17"/>
        <v>#N/A</v>
      </c>
      <c r="G155" s="7" t="e">
        <f t="shared" si="17"/>
        <v>#N/A</v>
      </c>
    </row>
    <row r="156" spans="2:7">
      <c r="B156" s="67">
        <f t="shared" si="15"/>
        <v>43250</v>
      </c>
      <c r="C156" s="7" t="e">
        <f t="shared" si="17"/>
        <v>#N/A</v>
      </c>
      <c r="D156" s="7" t="e">
        <f t="shared" si="17"/>
        <v>#N/A</v>
      </c>
      <c r="E156" s="7" t="e">
        <f t="shared" si="17"/>
        <v>#N/A</v>
      </c>
      <c r="F156" s="7" t="e">
        <f t="shared" si="17"/>
        <v>#N/A</v>
      </c>
      <c r="G156" s="7" t="e">
        <f t="shared" si="17"/>
        <v>#N/A</v>
      </c>
    </row>
    <row r="157" spans="2:7">
      <c r="B157" s="67">
        <f t="shared" si="15"/>
        <v>43251</v>
      </c>
      <c r="C157" s="7" t="e">
        <f t="shared" ref="C157:G166" si="18">IF(AND($B157&gt;=C$3,$B157&lt;=C$4),C$5,NA())</f>
        <v>#N/A</v>
      </c>
      <c r="D157" s="7" t="e">
        <f t="shared" si="18"/>
        <v>#N/A</v>
      </c>
      <c r="E157" s="7" t="e">
        <f t="shared" si="18"/>
        <v>#N/A</v>
      </c>
      <c r="F157" s="7" t="e">
        <f t="shared" si="18"/>
        <v>#N/A</v>
      </c>
      <c r="G157" s="7" t="e">
        <f t="shared" si="18"/>
        <v>#N/A</v>
      </c>
    </row>
    <row r="158" spans="2:7">
      <c r="B158" s="67">
        <f t="shared" si="15"/>
        <v>43252</v>
      </c>
      <c r="C158" s="7" t="e">
        <f t="shared" si="18"/>
        <v>#N/A</v>
      </c>
      <c r="D158" s="7" t="e">
        <f t="shared" si="18"/>
        <v>#N/A</v>
      </c>
      <c r="E158" s="7" t="e">
        <f t="shared" si="18"/>
        <v>#N/A</v>
      </c>
      <c r="F158" s="7" t="e">
        <f t="shared" si="18"/>
        <v>#N/A</v>
      </c>
      <c r="G158" s="7" t="e">
        <f t="shared" si="18"/>
        <v>#N/A</v>
      </c>
    </row>
    <row r="159" spans="2:7">
      <c r="B159" s="67">
        <f t="shared" si="15"/>
        <v>43253</v>
      </c>
      <c r="C159" s="7" t="e">
        <f t="shared" si="18"/>
        <v>#N/A</v>
      </c>
      <c r="D159" s="7" t="e">
        <f t="shared" si="18"/>
        <v>#N/A</v>
      </c>
      <c r="E159" s="7" t="e">
        <f t="shared" si="18"/>
        <v>#N/A</v>
      </c>
      <c r="F159" s="7" t="e">
        <f t="shared" si="18"/>
        <v>#N/A</v>
      </c>
      <c r="G159" s="7" t="e">
        <f t="shared" si="18"/>
        <v>#N/A</v>
      </c>
    </row>
    <row r="160" spans="2:7">
      <c r="B160" s="67">
        <f t="shared" si="15"/>
        <v>43254</v>
      </c>
      <c r="C160" s="7" t="e">
        <f t="shared" si="18"/>
        <v>#N/A</v>
      </c>
      <c r="D160" s="7" t="e">
        <f t="shared" si="18"/>
        <v>#N/A</v>
      </c>
      <c r="E160" s="7" t="e">
        <f t="shared" si="18"/>
        <v>#N/A</v>
      </c>
      <c r="F160" s="7" t="e">
        <f t="shared" si="18"/>
        <v>#N/A</v>
      </c>
      <c r="G160" s="7" t="e">
        <f t="shared" si="18"/>
        <v>#N/A</v>
      </c>
    </row>
    <row r="161" spans="2:7">
      <c r="B161" s="67">
        <f t="shared" si="15"/>
        <v>43255</v>
      </c>
      <c r="C161" s="7" t="e">
        <f t="shared" si="18"/>
        <v>#N/A</v>
      </c>
      <c r="D161" s="7" t="e">
        <f t="shared" si="18"/>
        <v>#N/A</v>
      </c>
      <c r="E161" s="7" t="e">
        <f t="shared" si="18"/>
        <v>#N/A</v>
      </c>
      <c r="F161" s="7" t="e">
        <f t="shared" si="18"/>
        <v>#N/A</v>
      </c>
      <c r="G161" s="7" t="e">
        <f t="shared" si="18"/>
        <v>#N/A</v>
      </c>
    </row>
    <row r="162" spans="2:7">
      <c r="B162" s="67">
        <f t="shared" si="15"/>
        <v>43256</v>
      </c>
      <c r="C162" s="7" t="e">
        <f t="shared" si="18"/>
        <v>#N/A</v>
      </c>
      <c r="D162" s="7" t="e">
        <f t="shared" si="18"/>
        <v>#N/A</v>
      </c>
      <c r="E162" s="7" t="e">
        <f t="shared" si="18"/>
        <v>#N/A</v>
      </c>
      <c r="F162" s="7" t="e">
        <f t="shared" si="18"/>
        <v>#N/A</v>
      </c>
      <c r="G162" s="7" t="e">
        <f t="shared" si="18"/>
        <v>#N/A</v>
      </c>
    </row>
    <row r="163" spans="2:7">
      <c r="B163" s="67">
        <f t="shared" si="15"/>
        <v>43257</v>
      </c>
      <c r="C163" s="7" t="e">
        <f t="shared" si="18"/>
        <v>#N/A</v>
      </c>
      <c r="D163" s="7" t="e">
        <f t="shared" si="18"/>
        <v>#N/A</v>
      </c>
      <c r="E163" s="7" t="e">
        <f t="shared" si="18"/>
        <v>#N/A</v>
      </c>
      <c r="F163" s="7" t="e">
        <f t="shared" si="18"/>
        <v>#N/A</v>
      </c>
      <c r="G163" s="7" t="e">
        <f t="shared" si="18"/>
        <v>#N/A</v>
      </c>
    </row>
    <row r="164" spans="2:7">
      <c r="B164" s="67">
        <f t="shared" si="15"/>
        <v>43258</v>
      </c>
      <c r="C164" s="7" t="e">
        <f t="shared" si="18"/>
        <v>#N/A</v>
      </c>
      <c r="D164" s="7" t="e">
        <f t="shared" si="18"/>
        <v>#N/A</v>
      </c>
      <c r="E164" s="7" t="e">
        <f t="shared" si="18"/>
        <v>#N/A</v>
      </c>
      <c r="F164" s="7" t="e">
        <f t="shared" si="18"/>
        <v>#N/A</v>
      </c>
      <c r="G164" s="7" t="e">
        <f t="shared" si="18"/>
        <v>#N/A</v>
      </c>
    </row>
    <row r="165" spans="2:7">
      <c r="B165" s="67">
        <f t="shared" si="15"/>
        <v>43259</v>
      </c>
      <c r="C165" s="7" t="e">
        <f t="shared" si="18"/>
        <v>#N/A</v>
      </c>
      <c r="D165" s="7" t="e">
        <f t="shared" si="18"/>
        <v>#N/A</v>
      </c>
      <c r="E165" s="7" t="e">
        <f t="shared" si="18"/>
        <v>#N/A</v>
      </c>
      <c r="F165" s="7" t="e">
        <f t="shared" si="18"/>
        <v>#N/A</v>
      </c>
      <c r="G165" s="7" t="e">
        <f t="shared" si="18"/>
        <v>#N/A</v>
      </c>
    </row>
    <row r="166" spans="2:7">
      <c r="B166" s="67">
        <f t="shared" si="15"/>
        <v>43260</v>
      </c>
      <c r="C166" s="7" t="e">
        <f t="shared" si="18"/>
        <v>#N/A</v>
      </c>
      <c r="D166" s="7" t="e">
        <f t="shared" si="18"/>
        <v>#N/A</v>
      </c>
      <c r="E166" s="7" t="e">
        <f t="shared" si="18"/>
        <v>#N/A</v>
      </c>
      <c r="F166" s="7" t="e">
        <f t="shared" si="18"/>
        <v>#N/A</v>
      </c>
      <c r="G166" s="7" t="e">
        <f t="shared" si="18"/>
        <v>#N/A</v>
      </c>
    </row>
    <row r="167" spans="2:7">
      <c r="B167" s="67">
        <f t="shared" si="15"/>
        <v>43261</v>
      </c>
      <c r="C167" s="7" t="e">
        <f t="shared" ref="C167:G176" si="19">IF(AND($B167&gt;=C$3,$B167&lt;=C$4),C$5,NA())</f>
        <v>#N/A</v>
      </c>
      <c r="D167" s="7" t="e">
        <f t="shared" si="19"/>
        <v>#N/A</v>
      </c>
      <c r="E167" s="7" t="e">
        <f t="shared" si="19"/>
        <v>#N/A</v>
      </c>
      <c r="F167" s="7" t="e">
        <f t="shared" si="19"/>
        <v>#N/A</v>
      </c>
      <c r="G167" s="7" t="e">
        <f t="shared" si="19"/>
        <v>#N/A</v>
      </c>
    </row>
    <row r="168" spans="2:7">
      <c r="B168" s="67">
        <f t="shared" si="15"/>
        <v>43262</v>
      </c>
      <c r="C168" s="7" t="e">
        <f t="shared" si="19"/>
        <v>#N/A</v>
      </c>
      <c r="D168" s="7" t="e">
        <f t="shared" si="19"/>
        <v>#N/A</v>
      </c>
      <c r="E168" s="7" t="e">
        <f t="shared" si="19"/>
        <v>#N/A</v>
      </c>
      <c r="F168" s="7" t="e">
        <f t="shared" si="19"/>
        <v>#N/A</v>
      </c>
      <c r="G168" s="7" t="e">
        <f t="shared" si="19"/>
        <v>#N/A</v>
      </c>
    </row>
    <row r="169" spans="2:7">
      <c r="B169" s="67">
        <f t="shared" si="15"/>
        <v>43263</v>
      </c>
      <c r="C169" s="7" t="e">
        <f t="shared" si="19"/>
        <v>#N/A</v>
      </c>
      <c r="D169" s="7" t="e">
        <f t="shared" si="19"/>
        <v>#N/A</v>
      </c>
      <c r="E169" s="7" t="e">
        <f t="shared" si="19"/>
        <v>#N/A</v>
      </c>
      <c r="F169" s="7" t="e">
        <f t="shared" si="19"/>
        <v>#N/A</v>
      </c>
      <c r="G169" s="7" t="e">
        <f t="shared" si="19"/>
        <v>#N/A</v>
      </c>
    </row>
    <row r="170" spans="2:7">
      <c r="B170" s="67">
        <f t="shared" si="15"/>
        <v>43264</v>
      </c>
      <c r="C170" s="7" t="e">
        <f t="shared" si="19"/>
        <v>#N/A</v>
      </c>
      <c r="D170" s="7" t="e">
        <f t="shared" si="19"/>
        <v>#N/A</v>
      </c>
      <c r="E170" s="7" t="e">
        <f t="shared" si="19"/>
        <v>#N/A</v>
      </c>
      <c r="F170" s="7" t="e">
        <f t="shared" si="19"/>
        <v>#N/A</v>
      </c>
      <c r="G170" s="7" t="e">
        <f t="shared" si="19"/>
        <v>#N/A</v>
      </c>
    </row>
    <row r="171" spans="2:7">
      <c r="B171" s="67">
        <f t="shared" si="15"/>
        <v>43265</v>
      </c>
      <c r="C171" s="7" t="e">
        <f t="shared" si="19"/>
        <v>#N/A</v>
      </c>
      <c r="D171" s="7" t="e">
        <f t="shared" si="19"/>
        <v>#N/A</v>
      </c>
      <c r="E171" s="7" t="e">
        <f t="shared" si="19"/>
        <v>#N/A</v>
      </c>
      <c r="F171" s="7" t="e">
        <f t="shared" si="19"/>
        <v>#N/A</v>
      </c>
      <c r="G171" s="7" t="e">
        <f t="shared" si="19"/>
        <v>#N/A</v>
      </c>
    </row>
    <row r="172" spans="2:7">
      <c r="B172" s="67">
        <f t="shared" si="15"/>
        <v>43266</v>
      </c>
      <c r="C172" s="7" t="e">
        <f t="shared" si="19"/>
        <v>#N/A</v>
      </c>
      <c r="D172" s="7" t="e">
        <f t="shared" si="19"/>
        <v>#N/A</v>
      </c>
      <c r="E172" s="7" t="e">
        <f t="shared" si="19"/>
        <v>#N/A</v>
      </c>
      <c r="F172" s="7" t="e">
        <f t="shared" si="19"/>
        <v>#N/A</v>
      </c>
      <c r="G172" s="7" t="e">
        <f t="shared" si="19"/>
        <v>#N/A</v>
      </c>
    </row>
    <row r="173" spans="2:7">
      <c r="B173" s="67">
        <f t="shared" si="15"/>
        <v>43267</v>
      </c>
      <c r="C173" s="7" t="e">
        <f t="shared" si="19"/>
        <v>#N/A</v>
      </c>
      <c r="D173" s="7" t="e">
        <f t="shared" si="19"/>
        <v>#N/A</v>
      </c>
      <c r="E173" s="7" t="e">
        <f t="shared" si="19"/>
        <v>#N/A</v>
      </c>
      <c r="F173" s="7" t="e">
        <f t="shared" si="19"/>
        <v>#N/A</v>
      </c>
      <c r="G173" s="7" t="e">
        <f t="shared" si="19"/>
        <v>#N/A</v>
      </c>
    </row>
    <row r="174" spans="2:7">
      <c r="B174" s="67">
        <f t="shared" si="15"/>
        <v>43268</v>
      </c>
      <c r="C174" s="7" t="e">
        <f t="shared" si="19"/>
        <v>#N/A</v>
      </c>
      <c r="D174" s="7" t="e">
        <f t="shared" si="19"/>
        <v>#N/A</v>
      </c>
      <c r="E174" s="7" t="e">
        <f t="shared" si="19"/>
        <v>#N/A</v>
      </c>
      <c r="F174" s="7" t="e">
        <f t="shared" si="19"/>
        <v>#N/A</v>
      </c>
      <c r="G174" s="7" t="e">
        <f t="shared" si="19"/>
        <v>#N/A</v>
      </c>
    </row>
    <row r="175" spans="2:7">
      <c r="B175" s="67">
        <f t="shared" si="15"/>
        <v>43269</v>
      </c>
      <c r="C175" s="7" t="e">
        <f t="shared" si="19"/>
        <v>#N/A</v>
      </c>
      <c r="D175" s="7" t="e">
        <f t="shared" si="19"/>
        <v>#N/A</v>
      </c>
      <c r="E175" s="7" t="e">
        <f t="shared" si="19"/>
        <v>#N/A</v>
      </c>
      <c r="F175" s="7" t="e">
        <f t="shared" si="19"/>
        <v>#N/A</v>
      </c>
      <c r="G175" s="7" t="e">
        <f t="shared" si="19"/>
        <v>#N/A</v>
      </c>
    </row>
    <row r="176" spans="2:7">
      <c r="B176" s="67">
        <f t="shared" si="15"/>
        <v>43270</v>
      </c>
      <c r="C176" s="7" t="e">
        <f t="shared" si="19"/>
        <v>#N/A</v>
      </c>
      <c r="D176" s="7" t="e">
        <f t="shared" si="19"/>
        <v>#N/A</v>
      </c>
      <c r="E176" s="7" t="e">
        <f t="shared" si="19"/>
        <v>#N/A</v>
      </c>
      <c r="F176" s="7" t="e">
        <f t="shared" si="19"/>
        <v>#N/A</v>
      </c>
      <c r="G176" s="7" t="e">
        <f t="shared" si="19"/>
        <v>#N/A</v>
      </c>
    </row>
    <row r="177" spans="2:7">
      <c r="B177" s="67">
        <f t="shared" si="15"/>
        <v>43271</v>
      </c>
      <c r="C177" s="7" t="e">
        <f t="shared" ref="C177:G186" si="20">IF(AND($B177&gt;=C$3,$B177&lt;=C$4),C$5,NA())</f>
        <v>#N/A</v>
      </c>
      <c r="D177" s="7" t="e">
        <f t="shared" si="20"/>
        <v>#N/A</v>
      </c>
      <c r="E177" s="7" t="e">
        <f t="shared" si="20"/>
        <v>#N/A</v>
      </c>
      <c r="F177" s="7" t="e">
        <f t="shared" si="20"/>
        <v>#N/A</v>
      </c>
      <c r="G177" s="7" t="e">
        <f t="shared" si="20"/>
        <v>#N/A</v>
      </c>
    </row>
    <row r="178" spans="2:7">
      <c r="B178" s="67">
        <f t="shared" si="15"/>
        <v>43272</v>
      </c>
      <c r="C178" s="7" t="e">
        <f t="shared" si="20"/>
        <v>#N/A</v>
      </c>
      <c r="D178" s="7" t="e">
        <f t="shared" si="20"/>
        <v>#N/A</v>
      </c>
      <c r="E178" s="7" t="e">
        <f t="shared" si="20"/>
        <v>#N/A</v>
      </c>
      <c r="F178" s="7" t="e">
        <f t="shared" si="20"/>
        <v>#N/A</v>
      </c>
      <c r="G178" s="7" t="e">
        <f t="shared" si="20"/>
        <v>#N/A</v>
      </c>
    </row>
    <row r="179" spans="2:7">
      <c r="B179" s="67">
        <f t="shared" si="15"/>
        <v>43273</v>
      </c>
      <c r="C179" s="7" t="e">
        <f t="shared" si="20"/>
        <v>#N/A</v>
      </c>
      <c r="D179" s="7" t="e">
        <f t="shared" si="20"/>
        <v>#N/A</v>
      </c>
      <c r="E179" s="7" t="e">
        <f t="shared" si="20"/>
        <v>#N/A</v>
      </c>
      <c r="F179" s="7" t="e">
        <f t="shared" si="20"/>
        <v>#N/A</v>
      </c>
      <c r="G179" s="7" t="e">
        <f t="shared" si="20"/>
        <v>#N/A</v>
      </c>
    </row>
    <row r="180" spans="2:7">
      <c r="B180" s="67">
        <f t="shared" si="15"/>
        <v>43274</v>
      </c>
      <c r="C180" s="7" t="e">
        <f t="shared" si="20"/>
        <v>#N/A</v>
      </c>
      <c r="D180" s="7" t="e">
        <f t="shared" si="20"/>
        <v>#N/A</v>
      </c>
      <c r="E180" s="7" t="e">
        <f t="shared" si="20"/>
        <v>#N/A</v>
      </c>
      <c r="F180" s="7" t="e">
        <f t="shared" si="20"/>
        <v>#N/A</v>
      </c>
      <c r="G180" s="7" t="e">
        <f t="shared" si="20"/>
        <v>#N/A</v>
      </c>
    </row>
    <row r="181" spans="2:7">
      <c r="B181" s="67">
        <f t="shared" si="15"/>
        <v>43275</v>
      </c>
      <c r="C181" s="7" t="e">
        <f t="shared" si="20"/>
        <v>#N/A</v>
      </c>
      <c r="D181" s="7" t="e">
        <f t="shared" si="20"/>
        <v>#N/A</v>
      </c>
      <c r="E181" s="7" t="e">
        <f t="shared" si="20"/>
        <v>#N/A</v>
      </c>
      <c r="F181" s="7" t="e">
        <f t="shared" si="20"/>
        <v>#N/A</v>
      </c>
      <c r="G181" s="7" t="e">
        <f t="shared" si="20"/>
        <v>#N/A</v>
      </c>
    </row>
    <row r="182" spans="2:7">
      <c r="B182" s="67">
        <f t="shared" si="15"/>
        <v>43276</v>
      </c>
      <c r="C182" s="7" t="e">
        <f t="shared" si="20"/>
        <v>#N/A</v>
      </c>
      <c r="D182" s="7" t="e">
        <f t="shared" si="20"/>
        <v>#N/A</v>
      </c>
      <c r="E182" s="7" t="e">
        <f t="shared" si="20"/>
        <v>#N/A</v>
      </c>
      <c r="F182" s="7" t="e">
        <f t="shared" si="20"/>
        <v>#N/A</v>
      </c>
      <c r="G182" s="7" t="e">
        <f t="shared" si="20"/>
        <v>#N/A</v>
      </c>
    </row>
    <row r="183" spans="2:7">
      <c r="B183" s="67">
        <f t="shared" si="15"/>
        <v>43277</v>
      </c>
      <c r="C183" s="7" t="e">
        <f t="shared" si="20"/>
        <v>#N/A</v>
      </c>
      <c r="D183" s="7" t="e">
        <f t="shared" si="20"/>
        <v>#N/A</v>
      </c>
      <c r="E183" s="7" t="e">
        <f t="shared" si="20"/>
        <v>#N/A</v>
      </c>
      <c r="F183" s="7" t="e">
        <f t="shared" si="20"/>
        <v>#N/A</v>
      </c>
      <c r="G183" s="7" t="e">
        <f t="shared" si="20"/>
        <v>#N/A</v>
      </c>
    </row>
    <row r="184" spans="2:7">
      <c r="B184" s="67">
        <f t="shared" si="15"/>
        <v>43278</v>
      </c>
      <c r="C184" s="7" t="e">
        <f t="shared" si="20"/>
        <v>#N/A</v>
      </c>
      <c r="D184" s="7" t="e">
        <f t="shared" si="20"/>
        <v>#N/A</v>
      </c>
      <c r="E184" s="7" t="e">
        <f t="shared" si="20"/>
        <v>#N/A</v>
      </c>
      <c r="F184" s="7" t="e">
        <f t="shared" si="20"/>
        <v>#N/A</v>
      </c>
      <c r="G184" s="7" t="e">
        <f t="shared" si="20"/>
        <v>#N/A</v>
      </c>
    </row>
    <row r="185" spans="2:7">
      <c r="B185" s="67">
        <f t="shared" si="15"/>
        <v>43279</v>
      </c>
      <c r="C185" s="7" t="e">
        <f t="shared" si="20"/>
        <v>#N/A</v>
      </c>
      <c r="D185" s="7" t="e">
        <f t="shared" si="20"/>
        <v>#N/A</v>
      </c>
      <c r="E185" s="7" t="e">
        <f t="shared" si="20"/>
        <v>#N/A</v>
      </c>
      <c r="F185" s="7" t="e">
        <f t="shared" si="20"/>
        <v>#N/A</v>
      </c>
      <c r="G185" s="7" t="e">
        <f t="shared" si="20"/>
        <v>#N/A</v>
      </c>
    </row>
    <row r="186" spans="2:7">
      <c r="B186" s="67">
        <f t="shared" si="15"/>
        <v>43280</v>
      </c>
      <c r="C186" s="7" t="e">
        <f t="shared" si="20"/>
        <v>#N/A</v>
      </c>
      <c r="D186" s="7" t="e">
        <f t="shared" si="20"/>
        <v>#N/A</v>
      </c>
      <c r="E186" s="7" t="e">
        <f t="shared" si="20"/>
        <v>#N/A</v>
      </c>
      <c r="F186" s="7" t="e">
        <f t="shared" si="20"/>
        <v>#N/A</v>
      </c>
      <c r="G186" s="7" t="e">
        <f t="shared" si="20"/>
        <v>#N/A</v>
      </c>
    </row>
    <row r="187" spans="2:7">
      <c r="B187" s="67">
        <f t="shared" si="15"/>
        <v>43281</v>
      </c>
      <c r="C187" s="7" t="e">
        <f t="shared" ref="C187:G196" si="21">IF(AND($B187&gt;=C$3,$B187&lt;=C$4),C$5,NA())</f>
        <v>#N/A</v>
      </c>
      <c r="D187" s="7" t="e">
        <f t="shared" si="21"/>
        <v>#N/A</v>
      </c>
      <c r="E187" s="7" t="e">
        <f t="shared" si="21"/>
        <v>#N/A</v>
      </c>
      <c r="F187" s="7" t="e">
        <f t="shared" si="21"/>
        <v>#N/A</v>
      </c>
      <c r="G187" s="7" t="e">
        <f t="shared" si="21"/>
        <v>#N/A</v>
      </c>
    </row>
    <row r="188" spans="2:7">
      <c r="B188" s="67">
        <f t="shared" si="15"/>
        <v>43282</v>
      </c>
      <c r="C188" s="7" t="e">
        <f t="shared" si="21"/>
        <v>#N/A</v>
      </c>
      <c r="D188" s="7" t="e">
        <f t="shared" si="21"/>
        <v>#N/A</v>
      </c>
      <c r="E188" s="7" t="e">
        <f t="shared" si="21"/>
        <v>#N/A</v>
      </c>
      <c r="F188" s="7" t="e">
        <f t="shared" si="21"/>
        <v>#N/A</v>
      </c>
      <c r="G188" s="7" t="e">
        <f t="shared" si="21"/>
        <v>#N/A</v>
      </c>
    </row>
    <row r="189" spans="2:7">
      <c r="B189" s="67">
        <f t="shared" si="15"/>
        <v>43283</v>
      </c>
      <c r="C189" s="7" t="e">
        <f t="shared" si="21"/>
        <v>#N/A</v>
      </c>
      <c r="D189" s="7" t="e">
        <f t="shared" si="21"/>
        <v>#N/A</v>
      </c>
      <c r="E189" s="7" t="e">
        <f t="shared" si="21"/>
        <v>#N/A</v>
      </c>
      <c r="F189" s="7" t="e">
        <f t="shared" si="21"/>
        <v>#N/A</v>
      </c>
      <c r="G189" s="7" t="e">
        <f t="shared" si="21"/>
        <v>#N/A</v>
      </c>
    </row>
    <row r="190" spans="2:7">
      <c r="B190" s="67">
        <f t="shared" si="15"/>
        <v>43284</v>
      </c>
      <c r="C190" s="7" t="e">
        <f t="shared" si="21"/>
        <v>#N/A</v>
      </c>
      <c r="D190" s="7" t="e">
        <f t="shared" si="21"/>
        <v>#N/A</v>
      </c>
      <c r="E190" s="7" t="e">
        <f t="shared" si="21"/>
        <v>#N/A</v>
      </c>
      <c r="F190" s="7" t="e">
        <f t="shared" si="21"/>
        <v>#N/A</v>
      </c>
      <c r="G190" s="7" t="e">
        <f t="shared" si="21"/>
        <v>#N/A</v>
      </c>
    </row>
    <row r="191" spans="2:7">
      <c r="B191" s="67">
        <f t="shared" si="15"/>
        <v>43285</v>
      </c>
      <c r="C191" s="7" t="e">
        <f t="shared" si="21"/>
        <v>#N/A</v>
      </c>
      <c r="D191" s="7" t="e">
        <f t="shared" si="21"/>
        <v>#N/A</v>
      </c>
      <c r="E191" s="7" t="e">
        <f t="shared" si="21"/>
        <v>#N/A</v>
      </c>
      <c r="F191" s="7" t="e">
        <f t="shared" si="21"/>
        <v>#N/A</v>
      </c>
      <c r="G191" s="7" t="e">
        <f t="shared" si="21"/>
        <v>#N/A</v>
      </c>
    </row>
    <row r="192" spans="2:7">
      <c r="B192" s="67">
        <f t="shared" si="15"/>
        <v>43286</v>
      </c>
      <c r="C192" s="7" t="e">
        <f t="shared" si="21"/>
        <v>#N/A</v>
      </c>
      <c r="D192" s="7" t="e">
        <f t="shared" si="21"/>
        <v>#N/A</v>
      </c>
      <c r="E192" s="7" t="e">
        <f t="shared" si="21"/>
        <v>#N/A</v>
      </c>
      <c r="F192" s="7" t="e">
        <f t="shared" si="21"/>
        <v>#N/A</v>
      </c>
      <c r="G192" s="7" t="e">
        <f t="shared" si="21"/>
        <v>#N/A</v>
      </c>
    </row>
    <row r="193" spans="2:7">
      <c r="B193" s="67">
        <f t="shared" si="15"/>
        <v>43287</v>
      </c>
      <c r="C193" s="7" t="e">
        <f t="shared" si="21"/>
        <v>#N/A</v>
      </c>
      <c r="D193" s="7" t="e">
        <f t="shared" si="21"/>
        <v>#N/A</v>
      </c>
      <c r="E193" s="7" t="e">
        <f t="shared" si="21"/>
        <v>#N/A</v>
      </c>
      <c r="F193" s="7" t="e">
        <f t="shared" si="21"/>
        <v>#N/A</v>
      </c>
      <c r="G193" s="7" t="e">
        <f t="shared" si="21"/>
        <v>#N/A</v>
      </c>
    </row>
    <row r="194" spans="2:7">
      <c r="B194" s="67">
        <f t="shared" si="15"/>
        <v>43288</v>
      </c>
      <c r="C194" s="7" t="e">
        <f t="shared" si="21"/>
        <v>#N/A</v>
      </c>
      <c r="D194" s="7" t="e">
        <f t="shared" si="21"/>
        <v>#N/A</v>
      </c>
      <c r="E194" s="7" t="e">
        <f t="shared" si="21"/>
        <v>#N/A</v>
      </c>
      <c r="F194" s="7" t="e">
        <f t="shared" si="21"/>
        <v>#N/A</v>
      </c>
      <c r="G194" s="7" t="e">
        <f t="shared" si="21"/>
        <v>#N/A</v>
      </c>
    </row>
    <row r="195" spans="2:7">
      <c r="B195" s="67">
        <f t="shared" si="15"/>
        <v>43289</v>
      </c>
      <c r="C195" s="7" t="e">
        <f t="shared" si="21"/>
        <v>#N/A</v>
      </c>
      <c r="D195" s="7" t="e">
        <f t="shared" si="21"/>
        <v>#N/A</v>
      </c>
      <c r="E195" s="7" t="e">
        <f t="shared" si="21"/>
        <v>#N/A</v>
      </c>
      <c r="F195" s="7" t="e">
        <f t="shared" si="21"/>
        <v>#N/A</v>
      </c>
      <c r="G195" s="7" t="e">
        <f t="shared" si="21"/>
        <v>#N/A</v>
      </c>
    </row>
    <row r="196" spans="2:7">
      <c r="B196" s="67">
        <f t="shared" si="15"/>
        <v>43290</v>
      </c>
      <c r="C196" s="7" t="e">
        <f t="shared" si="21"/>
        <v>#N/A</v>
      </c>
      <c r="D196" s="7" t="e">
        <f t="shared" si="21"/>
        <v>#N/A</v>
      </c>
      <c r="E196" s="7" t="e">
        <f t="shared" si="21"/>
        <v>#N/A</v>
      </c>
      <c r="F196" s="7" t="e">
        <f t="shared" si="21"/>
        <v>#N/A</v>
      </c>
      <c r="G196" s="7" t="e">
        <f t="shared" si="21"/>
        <v>#N/A</v>
      </c>
    </row>
    <row r="197" spans="2:7">
      <c r="B197" s="67">
        <f t="shared" si="15"/>
        <v>43291</v>
      </c>
      <c r="C197" s="7" t="e">
        <f t="shared" ref="C197:G206" si="22">IF(AND($B197&gt;=C$3,$B197&lt;=C$4),C$5,NA())</f>
        <v>#N/A</v>
      </c>
      <c r="D197" s="7" t="e">
        <f t="shared" si="22"/>
        <v>#N/A</v>
      </c>
      <c r="E197" s="7" t="e">
        <f t="shared" si="22"/>
        <v>#N/A</v>
      </c>
      <c r="F197" s="7" t="e">
        <f t="shared" si="22"/>
        <v>#N/A</v>
      </c>
      <c r="G197" s="7" t="e">
        <f t="shared" si="22"/>
        <v>#N/A</v>
      </c>
    </row>
    <row r="198" spans="2:7">
      <c r="B198" s="67">
        <f t="shared" si="15"/>
        <v>43292</v>
      </c>
      <c r="C198" s="7" t="e">
        <f t="shared" si="22"/>
        <v>#N/A</v>
      </c>
      <c r="D198" s="7" t="e">
        <f t="shared" si="22"/>
        <v>#N/A</v>
      </c>
      <c r="E198" s="7" t="e">
        <f t="shared" si="22"/>
        <v>#N/A</v>
      </c>
      <c r="F198" s="7" t="e">
        <f t="shared" si="22"/>
        <v>#N/A</v>
      </c>
      <c r="G198" s="7" t="e">
        <f t="shared" si="22"/>
        <v>#N/A</v>
      </c>
    </row>
    <row r="199" spans="2:7">
      <c r="B199" s="67">
        <f t="shared" si="15"/>
        <v>43293</v>
      </c>
      <c r="C199" s="7" t="e">
        <f t="shared" si="22"/>
        <v>#N/A</v>
      </c>
      <c r="D199" s="7" t="e">
        <f t="shared" si="22"/>
        <v>#N/A</v>
      </c>
      <c r="E199" s="7" t="e">
        <f t="shared" si="22"/>
        <v>#N/A</v>
      </c>
      <c r="F199" s="7" t="e">
        <f t="shared" si="22"/>
        <v>#N/A</v>
      </c>
      <c r="G199" s="7" t="e">
        <f t="shared" si="22"/>
        <v>#N/A</v>
      </c>
    </row>
    <row r="200" spans="2:7">
      <c r="B200" s="67">
        <f t="shared" ref="B200:B263" si="23">B199+1</f>
        <v>43294</v>
      </c>
      <c r="C200" s="7" t="e">
        <f t="shared" si="22"/>
        <v>#N/A</v>
      </c>
      <c r="D200" s="7" t="e">
        <f t="shared" si="22"/>
        <v>#N/A</v>
      </c>
      <c r="E200" s="7" t="e">
        <f t="shared" si="22"/>
        <v>#N/A</v>
      </c>
      <c r="F200" s="7" t="e">
        <f t="shared" si="22"/>
        <v>#N/A</v>
      </c>
      <c r="G200" s="7" t="e">
        <f t="shared" si="22"/>
        <v>#N/A</v>
      </c>
    </row>
    <row r="201" spans="2:7">
      <c r="B201" s="67">
        <f t="shared" si="23"/>
        <v>43295</v>
      </c>
      <c r="C201" s="7" t="e">
        <f t="shared" si="22"/>
        <v>#N/A</v>
      </c>
      <c r="D201" s="7" t="e">
        <f t="shared" si="22"/>
        <v>#N/A</v>
      </c>
      <c r="E201" s="7" t="e">
        <f t="shared" si="22"/>
        <v>#N/A</v>
      </c>
      <c r="F201" s="7" t="e">
        <f t="shared" si="22"/>
        <v>#N/A</v>
      </c>
      <c r="G201" s="7" t="e">
        <f t="shared" si="22"/>
        <v>#N/A</v>
      </c>
    </row>
    <row r="202" spans="2:7">
      <c r="B202" s="67">
        <f t="shared" si="23"/>
        <v>43296</v>
      </c>
      <c r="C202" s="7" t="e">
        <f t="shared" si="22"/>
        <v>#N/A</v>
      </c>
      <c r="D202" s="7" t="e">
        <f t="shared" si="22"/>
        <v>#N/A</v>
      </c>
      <c r="E202" s="7" t="e">
        <f t="shared" si="22"/>
        <v>#N/A</v>
      </c>
      <c r="F202" s="7" t="e">
        <f t="shared" si="22"/>
        <v>#N/A</v>
      </c>
      <c r="G202" s="7" t="e">
        <f t="shared" si="22"/>
        <v>#N/A</v>
      </c>
    </row>
    <row r="203" spans="2:7">
      <c r="B203" s="67">
        <f t="shared" si="23"/>
        <v>43297</v>
      </c>
      <c r="C203" s="7" t="e">
        <f t="shared" si="22"/>
        <v>#N/A</v>
      </c>
      <c r="D203" s="7" t="e">
        <f t="shared" si="22"/>
        <v>#N/A</v>
      </c>
      <c r="E203" s="7" t="e">
        <f t="shared" si="22"/>
        <v>#N/A</v>
      </c>
      <c r="F203" s="7" t="e">
        <f t="shared" si="22"/>
        <v>#N/A</v>
      </c>
      <c r="G203" s="7" t="e">
        <f t="shared" si="22"/>
        <v>#N/A</v>
      </c>
    </row>
    <row r="204" spans="2:7">
      <c r="B204" s="67">
        <f t="shared" si="23"/>
        <v>43298</v>
      </c>
      <c r="C204" s="7" t="e">
        <f t="shared" si="22"/>
        <v>#N/A</v>
      </c>
      <c r="D204" s="7" t="e">
        <f t="shared" si="22"/>
        <v>#N/A</v>
      </c>
      <c r="E204" s="7" t="e">
        <f t="shared" si="22"/>
        <v>#N/A</v>
      </c>
      <c r="F204" s="7" t="e">
        <f t="shared" si="22"/>
        <v>#N/A</v>
      </c>
      <c r="G204" s="7" t="e">
        <f t="shared" si="22"/>
        <v>#N/A</v>
      </c>
    </row>
    <row r="205" spans="2:7">
      <c r="B205" s="67">
        <f t="shared" si="23"/>
        <v>43299</v>
      </c>
      <c r="C205" s="7" t="e">
        <f t="shared" si="22"/>
        <v>#N/A</v>
      </c>
      <c r="D205" s="7" t="e">
        <f t="shared" si="22"/>
        <v>#N/A</v>
      </c>
      <c r="E205" s="7" t="e">
        <f t="shared" si="22"/>
        <v>#N/A</v>
      </c>
      <c r="F205" s="7" t="e">
        <f t="shared" si="22"/>
        <v>#N/A</v>
      </c>
      <c r="G205" s="7" t="e">
        <f t="shared" si="22"/>
        <v>#N/A</v>
      </c>
    </row>
    <row r="206" spans="2:7">
      <c r="B206" s="67">
        <f t="shared" si="23"/>
        <v>43300</v>
      </c>
      <c r="C206" s="7" t="e">
        <f t="shared" si="22"/>
        <v>#N/A</v>
      </c>
      <c r="D206" s="7" t="e">
        <f t="shared" si="22"/>
        <v>#N/A</v>
      </c>
      <c r="E206" s="7" t="e">
        <f t="shared" si="22"/>
        <v>#N/A</v>
      </c>
      <c r="F206" s="7" t="e">
        <f t="shared" si="22"/>
        <v>#N/A</v>
      </c>
      <c r="G206" s="7" t="e">
        <f t="shared" si="22"/>
        <v>#N/A</v>
      </c>
    </row>
    <row r="207" spans="2:7">
      <c r="B207" s="67">
        <f t="shared" si="23"/>
        <v>43301</v>
      </c>
      <c r="C207" s="7" t="e">
        <f t="shared" ref="C207:G216" si="24">IF(AND($B207&gt;=C$3,$B207&lt;=C$4),C$5,NA())</f>
        <v>#N/A</v>
      </c>
      <c r="D207" s="7" t="e">
        <f t="shared" si="24"/>
        <v>#N/A</v>
      </c>
      <c r="E207" s="7" t="e">
        <f t="shared" si="24"/>
        <v>#N/A</v>
      </c>
      <c r="F207" s="7" t="e">
        <f t="shared" si="24"/>
        <v>#N/A</v>
      </c>
      <c r="G207" s="7" t="e">
        <f t="shared" si="24"/>
        <v>#N/A</v>
      </c>
    </row>
    <row r="208" spans="2:7">
      <c r="B208" s="67">
        <f t="shared" si="23"/>
        <v>43302</v>
      </c>
      <c r="C208" s="7" t="e">
        <f t="shared" si="24"/>
        <v>#N/A</v>
      </c>
      <c r="D208" s="7" t="e">
        <f t="shared" si="24"/>
        <v>#N/A</v>
      </c>
      <c r="E208" s="7" t="e">
        <f t="shared" si="24"/>
        <v>#N/A</v>
      </c>
      <c r="F208" s="7" t="e">
        <f t="shared" si="24"/>
        <v>#N/A</v>
      </c>
      <c r="G208" s="7" t="e">
        <f t="shared" si="24"/>
        <v>#N/A</v>
      </c>
    </row>
    <row r="209" spans="2:7">
      <c r="B209" s="67">
        <f t="shared" si="23"/>
        <v>43303</v>
      </c>
      <c r="C209" s="7" t="e">
        <f t="shared" si="24"/>
        <v>#N/A</v>
      </c>
      <c r="D209" s="7" t="e">
        <f t="shared" si="24"/>
        <v>#N/A</v>
      </c>
      <c r="E209" s="7" t="e">
        <f t="shared" si="24"/>
        <v>#N/A</v>
      </c>
      <c r="F209" s="7" t="e">
        <f t="shared" si="24"/>
        <v>#N/A</v>
      </c>
      <c r="G209" s="7" t="e">
        <f t="shared" si="24"/>
        <v>#N/A</v>
      </c>
    </row>
    <row r="210" spans="2:7">
      <c r="B210" s="67">
        <f t="shared" si="23"/>
        <v>43304</v>
      </c>
      <c r="C210" s="7" t="e">
        <f t="shared" si="24"/>
        <v>#N/A</v>
      </c>
      <c r="D210" s="7" t="e">
        <f t="shared" si="24"/>
        <v>#N/A</v>
      </c>
      <c r="E210" s="7" t="e">
        <f t="shared" si="24"/>
        <v>#N/A</v>
      </c>
      <c r="F210" s="7" t="e">
        <f t="shared" si="24"/>
        <v>#N/A</v>
      </c>
      <c r="G210" s="7" t="e">
        <f t="shared" si="24"/>
        <v>#N/A</v>
      </c>
    </row>
    <row r="211" spans="2:7">
      <c r="B211" s="67">
        <f t="shared" si="23"/>
        <v>43305</v>
      </c>
      <c r="C211" s="7" t="e">
        <f t="shared" si="24"/>
        <v>#N/A</v>
      </c>
      <c r="D211" s="7" t="e">
        <f t="shared" si="24"/>
        <v>#N/A</v>
      </c>
      <c r="E211" s="7" t="e">
        <f t="shared" si="24"/>
        <v>#N/A</v>
      </c>
      <c r="F211" s="7" t="e">
        <f t="shared" si="24"/>
        <v>#N/A</v>
      </c>
      <c r="G211" s="7" t="e">
        <f t="shared" si="24"/>
        <v>#N/A</v>
      </c>
    </row>
    <row r="212" spans="2:7">
      <c r="B212" s="67">
        <f t="shared" si="23"/>
        <v>43306</v>
      </c>
      <c r="C212" s="7" t="e">
        <f t="shared" si="24"/>
        <v>#N/A</v>
      </c>
      <c r="D212" s="7" t="e">
        <f t="shared" si="24"/>
        <v>#N/A</v>
      </c>
      <c r="E212" s="7" t="e">
        <f t="shared" si="24"/>
        <v>#N/A</v>
      </c>
      <c r="F212" s="7" t="e">
        <f t="shared" si="24"/>
        <v>#N/A</v>
      </c>
      <c r="G212" s="7" t="e">
        <f t="shared" si="24"/>
        <v>#N/A</v>
      </c>
    </row>
    <row r="213" spans="2:7">
      <c r="B213" s="67">
        <f t="shared" si="23"/>
        <v>43307</v>
      </c>
      <c r="C213" s="7" t="e">
        <f t="shared" si="24"/>
        <v>#N/A</v>
      </c>
      <c r="D213" s="7" t="e">
        <f t="shared" si="24"/>
        <v>#N/A</v>
      </c>
      <c r="E213" s="7" t="e">
        <f t="shared" si="24"/>
        <v>#N/A</v>
      </c>
      <c r="F213" s="7" t="e">
        <f t="shared" si="24"/>
        <v>#N/A</v>
      </c>
      <c r="G213" s="7" t="e">
        <f t="shared" si="24"/>
        <v>#N/A</v>
      </c>
    </row>
    <row r="214" spans="2:7">
      <c r="B214" s="67">
        <f t="shared" si="23"/>
        <v>43308</v>
      </c>
      <c r="C214" s="7" t="e">
        <f t="shared" si="24"/>
        <v>#N/A</v>
      </c>
      <c r="D214" s="7" t="e">
        <f t="shared" si="24"/>
        <v>#N/A</v>
      </c>
      <c r="E214" s="7" t="e">
        <f t="shared" si="24"/>
        <v>#N/A</v>
      </c>
      <c r="F214" s="7" t="e">
        <f t="shared" si="24"/>
        <v>#N/A</v>
      </c>
      <c r="G214" s="7" t="e">
        <f t="shared" si="24"/>
        <v>#N/A</v>
      </c>
    </row>
    <row r="215" spans="2:7">
      <c r="B215" s="67">
        <f t="shared" si="23"/>
        <v>43309</v>
      </c>
      <c r="C215" s="7" t="e">
        <f t="shared" si="24"/>
        <v>#N/A</v>
      </c>
      <c r="D215" s="7" t="e">
        <f t="shared" si="24"/>
        <v>#N/A</v>
      </c>
      <c r="E215" s="7" t="e">
        <f t="shared" si="24"/>
        <v>#N/A</v>
      </c>
      <c r="F215" s="7" t="e">
        <f t="shared" si="24"/>
        <v>#N/A</v>
      </c>
      <c r="G215" s="7" t="e">
        <f t="shared" si="24"/>
        <v>#N/A</v>
      </c>
    </row>
    <row r="216" spans="2:7">
      <c r="B216" s="67">
        <f t="shared" si="23"/>
        <v>43310</v>
      </c>
      <c r="C216" s="7" t="e">
        <f t="shared" si="24"/>
        <v>#N/A</v>
      </c>
      <c r="D216" s="7" t="e">
        <f t="shared" si="24"/>
        <v>#N/A</v>
      </c>
      <c r="E216" s="7" t="e">
        <f t="shared" si="24"/>
        <v>#N/A</v>
      </c>
      <c r="F216" s="7" t="e">
        <f t="shared" si="24"/>
        <v>#N/A</v>
      </c>
      <c r="G216" s="7" t="e">
        <f t="shared" si="24"/>
        <v>#N/A</v>
      </c>
    </row>
    <row r="217" spans="2:7">
      <c r="B217" s="67">
        <f t="shared" si="23"/>
        <v>43311</v>
      </c>
      <c r="C217" s="7" t="e">
        <f t="shared" ref="C217:G226" si="25">IF(AND($B217&gt;=C$3,$B217&lt;=C$4),C$5,NA())</f>
        <v>#N/A</v>
      </c>
      <c r="D217" s="7" t="e">
        <f t="shared" si="25"/>
        <v>#N/A</v>
      </c>
      <c r="E217" s="7" t="e">
        <f t="shared" si="25"/>
        <v>#N/A</v>
      </c>
      <c r="F217" s="7" t="e">
        <f t="shared" si="25"/>
        <v>#N/A</v>
      </c>
      <c r="G217" s="7" t="e">
        <f t="shared" si="25"/>
        <v>#N/A</v>
      </c>
    </row>
    <row r="218" spans="2:7">
      <c r="B218" s="67">
        <f t="shared" si="23"/>
        <v>43312</v>
      </c>
      <c r="C218" s="7" t="e">
        <f t="shared" si="25"/>
        <v>#N/A</v>
      </c>
      <c r="D218" s="7" t="e">
        <f t="shared" si="25"/>
        <v>#N/A</v>
      </c>
      <c r="E218" s="7" t="e">
        <f t="shared" si="25"/>
        <v>#N/A</v>
      </c>
      <c r="F218" s="7" t="e">
        <f t="shared" si="25"/>
        <v>#N/A</v>
      </c>
      <c r="G218" s="7" t="e">
        <f t="shared" si="25"/>
        <v>#N/A</v>
      </c>
    </row>
    <row r="219" spans="2:7">
      <c r="B219" s="67">
        <f t="shared" si="23"/>
        <v>43313</v>
      </c>
      <c r="C219" s="7" t="e">
        <f t="shared" si="25"/>
        <v>#N/A</v>
      </c>
      <c r="D219" s="7" t="e">
        <f t="shared" si="25"/>
        <v>#N/A</v>
      </c>
      <c r="E219" s="7" t="e">
        <f t="shared" si="25"/>
        <v>#N/A</v>
      </c>
      <c r="F219" s="7" t="e">
        <f t="shared" si="25"/>
        <v>#N/A</v>
      </c>
      <c r="G219" s="7" t="e">
        <f t="shared" si="25"/>
        <v>#N/A</v>
      </c>
    </row>
    <row r="220" spans="2:7">
      <c r="B220" s="67">
        <f t="shared" si="23"/>
        <v>43314</v>
      </c>
      <c r="C220" s="7" t="e">
        <f t="shared" si="25"/>
        <v>#N/A</v>
      </c>
      <c r="D220" s="7" t="e">
        <f t="shared" si="25"/>
        <v>#N/A</v>
      </c>
      <c r="E220" s="7" t="e">
        <f t="shared" si="25"/>
        <v>#N/A</v>
      </c>
      <c r="F220" s="7" t="e">
        <f t="shared" si="25"/>
        <v>#N/A</v>
      </c>
      <c r="G220" s="7" t="e">
        <f t="shared" si="25"/>
        <v>#N/A</v>
      </c>
    </row>
    <row r="221" spans="2:7">
      <c r="B221" s="67">
        <f t="shared" si="23"/>
        <v>43315</v>
      </c>
      <c r="C221" s="7" t="e">
        <f t="shared" si="25"/>
        <v>#N/A</v>
      </c>
      <c r="D221" s="7" t="e">
        <f t="shared" si="25"/>
        <v>#N/A</v>
      </c>
      <c r="E221" s="7" t="e">
        <f t="shared" si="25"/>
        <v>#N/A</v>
      </c>
      <c r="F221" s="7" t="e">
        <f t="shared" si="25"/>
        <v>#N/A</v>
      </c>
      <c r="G221" s="7" t="e">
        <f t="shared" si="25"/>
        <v>#N/A</v>
      </c>
    </row>
    <row r="222" spans="2:7">
      <c r="B222" s="67">
        <f t="shared" si="23"/>
        <v>43316</v>
      </c>
      <c r="C222" s="7" t="e">
        <f t="shared" si="25"/>
        <v>#N/A</v>
      </c>
      <c r="D222" s="7" t="e">
        <f t="shared" si="25"/>
        <v>#N/A</v>
      </c>
      <c r="E222" s="7" t="e">
        <f t="shared" si="25"/>
        <v>#N/A</v>
      </c>
      <c r="F222" s="7" t="e">
        <f t="shared" si="25"/>
        <v>#N/A</v>
      </c>
      <c r="G222" s="7" t="e">
        <f t="shared" si="25"/>
        <v>#N/A</v>
      </c>
    </row>
    <row r="223" spans="2:7">
      <c r="B223" s="67">
        <f t="shared" si="23"/>
        <v>43317</v>
      </c>
      <c r="C223" s="7" t="e">
        <f t="shared" si="25"/>
        <v>#N/A</v>
      </c>
      <c r="D223" s="7" t="e">
        <f t="shared" si="25"/>
        <v>#N/A</v>
      </c>
      <c r="E223" s="7" t="e">
        <f t="shared" si="25"/>
        <v>#N/A</v>
      </c>
      <c r="F223" s="7" t="e">
        <f t="shared" si="25"/>
        <v>#N/A</v>
      </c>
      <c r="G223" s="7" t="e">
        <f t="shared" si="25"/>
        <v>#N/A</v>
      </c>
    </row>
    <row r="224" spans="2:7">
      <c r="B224" s="67">
        <f t="shared" si="23"/>
        <v>43318</v>
      </c>
      <c r="C224" s="7" t="e">
        <f t="shared" si="25"/>
        <v>#N/A</v>
      </c>
      <c r="D224" s="7" t="e">
        <f t="shared" si="25"/>
        <v>#N/A</v>
      </c>
      <c r="E224" s="7" t="e">
        <f t="shared" si="25"/>
        <v>#N/A</v>
      </c>
      <c r="F224" s="7" t="e">
        <f t="shared" si="25"/>
        <v>#N/A</v>
      </c>
      <c r="G224" s="7" t="e">
        <f t="shared" si="25"/>
        <v>#N/A</v>
      </c>
    </row>
    <row r="225" spans="2:7">
      <c r="B225" s="67">
        <f t="shared" si="23"/>
        <v>43319</v>
      </c>
      <c r="C225" s="7" t="e">
        <f t="shared" si="25"/>
        <v>#N/A</v>
      </c>
      <c r="D225" s="7" t="e">
        <f t="shared" si="25"/>
        <v>#N/A</v>
      </c>
      <c r="E225" s="7" t="e">
        <f t="shared" si="25"/>
        <v>#N/A</v>
      </c>
      <c r="F225" s="7" t="e">
        <f t="shared" si="25"/>
        <v>#N/A</v>
      </c>
      <c r="G225" s="7" t="e">
        <f t="shared" si="25"/>
        <v>#N/A</v>
      </c>
    </row>
    <row r="226" spans="2:7">
      <c r="B226" s="67">
        <f t="shared" si="23"/>
        <v>43320</v>
      </c>
      <c r="C226" s="7" t="e">
        <f t="shared" si="25"/>
        <v>#N/A</v>
      </c>
      <c r="D226" s="7" t="e">
        <f t="shared" si="25"/>
        <v>#N/A</v>
      </c>
      <c r="E226" s="7" t="e">
        <f t="shared" si="25"/>
        <v>#N/A</v>
      </c>
      <c r="F226" s="7" t="e">
        <f t="shared" si="25"/>
        <v>#N/A</v>
      </c>
      <c r="G226" s="7" t="e">
        <f t="shared" si="25"/>
        <v>#N/A</v>
      </c>
    </row>
    <row r="227" spans="2:7">
      <c r="B227" s="67">
        <f t="shared" si="23"/>
        <v>43321</v>
      </c>
      <c r="C227" s="7" t="e">
        <f t="shared" ref="C227:G236" si="26">IF(AND($B227&gt;=C$3,$B227&lt;=C$4),C$5,NA())</f>
        <v>#N/A</v>
      </c>
      <c r="D227" s="7" t="e">
        <f t="shared" si="26"/>
        <v>#N/A</v>
      </c>
      <c r="E227" s="7" t="e">
        <f t="shared" si="26"/>
        <v>#N/A</v>
      </c>
      <c r="F227" s="7" t="e">
        <f t="shared" si="26"/>
        <v>#N/A</v>
      </c>
      <c r="G227" s="7" t="e">
        <f t="shared" si="26"/>
        <v>#N/A</v>
      </c>
    </row>
    <row r="228" spans="2:7">
      <c r="B228" s="67">
        <f t="shared" si="23"/>
        <v>43322</v>
      </c>
      <c r="C228" s="7" t="e">
        <f t="shared" si="26"/>
        <v>#N/A</v>
      </c>
      <c r="D228" s="7" t="e">
        <f t="shared" si="26"/>
        <v>#N/A</v>
      </c>
      <c r="E228" s="7" t="e">
        <f t="shared" si="26"/>
        <v>#N/A</v>
      </c>
      <c r="F228" s="7" t="e">
        <f t="shared" si="26"/>
        <v>#N/A</v>
      </c>
      <c r="G228" s="7" t="e">
        <f t="shared" si="26"/>
        <v>#N/A</v>
      </c>
    </row>
    <row r="229" spans="2:7">
      <c r="B229" s="67">
        <f t="shared" si="23"/>
        <v>43323</v>
      </c>
      <c r="C229" s="7" t="e">
        <f t="shared" si="26"/>
        <v>#N/A</v>
      </c>
      <c r="D229" s="7" t="e">
        <f t="shared" si="26"/>
        <v>#N/A</v>
      </c>
      <c r="E229" s="7" t="e">
        <f t="shared" si="26"/>
        <v>#N/A</v>
      </c>
      <c r="F229" s="7" t="e">
        <f t="shared" si="26"/>
        <v>#N/A</v>
      </c>
      <c r="G229" s="7" t="e">
        <f t="shared" si="26"/>
        <v>#N/A</v>
      </c>
    </row>
    <row r="230" spans="2:7">
      <c r="B230" s="67">
        <f t="shared" si="23"/>
        <v>43324</v>
      </c>
      <c r="C230" s="7" t="e">
        <f t="shared" si="26"/>
        <v>#N/A</v>
      </c>
      <c r="D230" s="7" t="e">
        <f t="shared" si="26"/>
        <v>#N/A</v>
      </c>
      <c r="E230" s="7" t="e">
        <f t="shared" si="26"/>
        <v>#N/A</v>
      </c>
      <c r="F230" s="7" t="e">
        <f t="shared" si="26"/>
        <v>#N/A</v>
      </c>
      <c r="G230" s="7" t="e">
        <f t="shared" si="26"/>
        <v>#N/A</v>
      </c>
    </row>
    <row r="231" spans="2:7">
      <c r="B231" s="67">
        <f t="shared" si="23"/>
        <v>43325</v>
      </c>
      <c r="C231" s="7" t="e">
        <f t="shared" si="26"/>
        <v>#N/A</v>
      </c>
      <c r="D231" s="7" t="e">
        <f t="shared" si="26"/>
        <v>#N/A</v>
      </c>
      <c r="E231" s="7" t="e">
        <f t="shared" si="26"/>
        <v>#N/A</v>
      </c>
      <c r="F231" s="7" t="e">
        <f t="shared" si="26"/>
        <v>#N/A</v>
      </c>
      <c r="G231" s="7" t="e">
        <f t="shared" si="26"/>
        <v>#N/A</v>
      </c>
    </row>
    <row r="232" spans="2:7">
      <c r="B232" s="67">
        <f t="shared" si="23"/>
        <v>43326</v>
      </c>
      <c r="C232" s="7" t="e">
        <f t="shared" si="26"/>
        <v>#N/A</v>
      </c>
      <c r="D232" s="7" t="e">
        <f t="shared" si="26"/>
        <v>#N/A</v>
      </c>
      <c r="E232" s="7" t="e">
        <f t="shared" si="26"/>
        <v>#N/A</v>
      </c>
      <c r="F232" s="7" t="e">
        <f t="shared" si="26"/>
        <v>#N/A</v>
      </c>
      <c r="G232" s="7" t="e">
        <f t="shared" si="26"/>
        <v>#N/A</v>
      </c>
    </row>
    <row r="233" spans="2:7">
      <c r="B233" s="67">
        <f t="shared" si="23"/>
        <v>43327</v>
      </c>
      <c r="C233" s="7" t="e">
        <f t="shared" si="26"/>
        <v>#N/A</v>
      </c>
      <c r="D233" s="7" t="e">
        <f t="shared" si="26"/>
        <v>#N/A</v>
      </c>
      <c r="E233" s="7" t="e">
        <f t="shared" si="26"/>
        <v>#N/A</v>
      </c>
      <c r="F233" s="7" t="e">
        <f t="shared" si="26"/>
        <v>#N/A</v>
      </c>
      <c r="G233" s="7" t="e">
        <f t="shared" si="26"/>
        <v>#N/A</v>
      </c>
    </row>
    <row r="234" spans="2:7">
      <c r="B234" s="67">
        <f t="shared" si="23"/>
        <v>43328</v>
      </c>
      <c r="C234" s="7" t="e">
        <f t="shared" si="26"/>
        <v>#N/A</v>
      </c>
      <c r="D234" s="7" t="e">
        <f t="shared" si="26"/>
        <v>#N/A</v>
      </c>
      <c r="E234" s="7" t="e">
        <f t="shared" si="26"/>
        <v>#N/A</v>
      </c>
      <c r="F234" s="7" t="e">
        <f t="shared" si="26"/>
        <v>#N/A</v>
      </c>
      <c r="G234" s="7" t="e">
        <f t="shared" si="26"/>
        <v>#N/A</v>
      </c>
    </row>
    <row r="235" spans="2:7">
      <c r="B235" s="67">
        <f t="shared" si="23"/>
        <v>43329</v>
      </c>
      <c r="C235" s="7" t="e">
        <f t="shared" si="26"/>
        <v>#N/A</v>
      </c>
      <c r="D235" s="7" t="e">
        <f t="shared" si="26"/>
        <v>#N/A</v>
      </c>
      <c r="E235" s="7" t="e">
        <f t="shared" si="26"/>
        <v>#N/A</v>
      </c>
      <c r="F235" s="7" t="e">
        <f t="shared" si="26"/>
        <v>#N/A</v>
      </c>
      <c r="G235" s="7" t="e">
        <f t="shared" si="26"/>
        <v>#N/A</v>
      </c>
    </row>
    <row r="236" spans="2:7">
      <c r="B236" s="67">
        <f t="shared" si="23"/>
        <v>43330</v>
      </c>
      <c r="C236" s="7" t="e">
        <f t="shared" si="26"/>
        <v>#N/A</v>
      </c>
      <c r="D236" s="7" t="e">
        <f t="shared" si="26"/>
        <v>#N/A</v>
      </c>
      <c r="E236" s="7" t="e">
        <f t="shared" si="26"/>
        <v>#N/A</v>
      </c>
      <c r="F236" s="7" t="e">
        <f t="shared" si="26"/>
        <v>#N/A</v>
      </c>
      <c r="G236" s="7" t="e">
        <f t="shared" si="26"/>
        <v>#N/A</v>
      </c>
    </row>
    <row r="237" spans="2:7">
      <c r="B237" s="67">
        <f t="shared" si="23"/>
        <v>43331</v>
      </c>
      <c r="C237" s="7" t="e">
        <f t="shared" ref="C237:G246" si="27">IF(AND($B237&gt;=C$3,$B237&lt;=C$4),C$5,NA())</f>
        <v>#N/A</v>
      </c>
      <c r="D237" s="7" t="e">
        <f t="shared" si="27"/>
        <v>#N/A</v>
      </c>
      <c r="E237" s="7" t="e">
        <f t="shared" si="27"/>
        <v>#N/A</v>
      </c>
      <c r="F237" s="7" t="e">
        <f t="shared" si="27"/>
        <v>#N/A</v>
      </c>
      <c r="G237" s="7" t="e">
        <f t="shared" si="27"/>
        <v>#N/A</v>
      </c>
    </row>
    <row r="238" spans="2:7">
      <c r="B238" s="67">
        <f t="shared" si="23"/>
        <v>43332</v>
      </c>
      <c r="C238" s="7" t="e">
        <f t="shared" si="27"/>
        <v>#N/A</v>
      </c>
      <c r="D238" s="7" t="e">
        <f t="shared" si="27"/>
        <v>#N/A</v>
      </c>
      <c r="E238" s="7" t="e">
        <f t="shared" si="27"/>
        <v>#N/A</v>
      </c>
      <c r="F238" s="7" t="e">
        <f t="shared" si="27"/>
        <v>#N/A</v>
      </c>
      <c r="G238" s="7" t="e">
        <f t="shared" si="27"/>
        <v>#N/A</v>
      </c>
    </row>
    <row r="239" spans="2:7">
      <c r="B239" s="67">
        <f t="shared" si="23"/>
        <v>43333</v>
      </c>
      <c r="C239" s="7" t="e">
        <f t="shared" si="27"/>
        <v>#N/A</v>
      </c>
      <c r="D239" s="7" t="e">
        <f t="shared" si="27"/>
        <v>#N/A</v>
      </c>
      <c r="E239" s="7" t="e">
        <f t="shared" si="27"/>
        <v>#N/A</v>
      </c>
      <c r="F239" s="7" t="e">
        <f t="shared" si="27"/>
        <v>#N/A</v>
      </c>
      <c r="G239" s="7" t="e">
        <f t="shared" si="27"/>
        <v>#N/A</v>
      </c>
    </row>
    <row r="240" spans="2:7">
      <c r="B240" s="67">
        <f t="shared" si="23"/>
        <v>43334</v>
      </c>
      <c r="C240" s="7" t="e">
        <f t="shared" si="27"/>
        <v>#N/A</v>
      </c>
      <c r="D240" s="7" t="e">
        <f t="shared" si="27"/>
        <v>#N/A</v>
      </c>
      <c r="E240" s="7" t="e">
        <f t="shared" si="27"/>
        <v>#N/A</v>
      </c>
      <c r="F240" s="7" t="e">
        <f t="shared" si="27"/>
        <v>#N/A</v>
      </c>
      <c r="G240" s="7" t="e">
        <f t="shared" si="27"/>
        <v>#N/A</v>
      </c>
    </row>
    <row r="241" spans="2:7">
      <c r="B241" s="67">
        <f t="shared" si="23"/>
        <v>43335</v>
      </c>
      <c r="C241" s="7" t="e">
        <f t="shared" si="27"/>
        <v>#N/A</v>
      </c>
      <c r="D241" s="7" t="e">
        <f t="shared" si="27"/>
        <v>#N/A</v>
      </c>
      <c r="E241" s="7" t="e">
        <f t="shared" si="27"/>
        <v>#N/A</v>
      </c>
      <c r="F241" s="7" t="e">
        <f t="shared" si="27"/>
        <v>#N/A</v>
      </c>
      <c r="G241" s="7" t="e">
        <f t="shared" si="27"/>
        <v>#N/A</v>
      </c>
    </row>
    <row r="242" spans="2:7">
      <c r="B242" s="67">
        <f t="shared" si="23"/>
        <v>43336</v>
      </c>
      <c r="C242" s="7" t="e">
        <f t="shared" si="27"/>
        <v>#N/A</v>
      </c>
      <c r="D242" s="7" t="e">
        <f t="shared" si="27"/>
        <v>#N/A</v>
      </c>
      <c r="E242" s="7" t="e">
        <f t="shared" si="27"/>
        <v>#N/A</v>
      </c>
      <c r="F242" s="7" t="e">
        <f t="shared" si="27"/>
        <v>#N/A</v>
      </c>
      <c r="G242" s="7" t="e">
        <f t="shared" si="27"/>
        <v>#N/A</v>
      </c>
    </row>
    <row r="243" spans="2:7">
      <c r="B243" s="67">
        <f t="shared" si="23"/>
        <v>43337</v>
      </c>
      <c r="C243" s="7" t="e">
        <f t="shared" si="27"/>
        <v>#N/A</v>
      </c>
      <c r="D243" s="7" t="e">
        <f t="shared" si="27"/>
        <v>#N/A</v>
      </c>
      <c r="E243" s="7" t="e">
        <f t="shared" si="27"/>
        <v>#N/A</v>
      </c>
      <c r="F243" s="7" t="e">
        <f t="shared" si="27"/>
        <v>#N/A</v>
      </c>
      <c r="G243" s="7" t="e">
        <f t="shared" si="27"/>
        <v>#N/A</v>
      </c>
    </row>
    <row r="244" spans="2:7">
      <c r="B244" s="67">
        <f t="shared" si="23"/>
        <v>43338</v>
      </c>
      <c r="C244" s="7" t="e">
        <f t="shared" si="27"/>
        <v>#N/A</v>
      </c>
      <c r="D244" s="7" t="e">
        <f t="shared" si="27"/>
        <v>#N/A</v>
      </c>
      <c r="E244" s="7" t="e">
        <f t="shared" si="27"/>
        <v>#N/A</v>
      </c>
      <c r="F244" s="7" t="e">
        <f t="shared" si="27"/>
        <v>#N/A</v>
      </c>
      <c r="G244" s="7" t="e">
        <f t="shared" si="27"/>
        <v>#N/A</v>
      </c>
    </row>
    <row r="245" spans="2:7">
      <c r="B245" s="67">
        <f t="shared" si="23"/>
        <v>43339</v>
      </c>
      <c r="C245" s="7" t="e">
        <f t="shared" si="27"/>
        <v>#N/A</v>
      </c>
      <c r="D245" s="7" t="e">
        <f t="shared" si="27"/>
        <v>#N/A</v>
      </c>
      <c r="E245" s="7" t="e">
        <f t="shared" si="27"/>
        <v>#N/A</v>
      </c>
      <c r="F245" s="7" t="e">
        <f t="shared" si="27"/>
        <v>#N/A</v>
      </c>
      <c r="G245" s="7" t="e">
        <f t="shared" si="27"/>
        <v>#N/A</v>
      </c>
    </row>
    <row r="246" spans="2:7">
      <c r="B246" s="67">
        <f t="shared" si="23"/>
        <v>43340</v>
      </c>
      <c r="C246" s="7" t="e">
        <f t="shared" si="27"/>
        <v>#N/A</v>
      </c>
      <c r="D246" s="7" t="e">
        <f t="shared" si="27"/>
        <v>#N/A</v>
      </c>
      <c r="E246" s="7" t="e">
        <f t="shared" si="27"/>
        <v>#N/A</v>
      </c>
      <c r="F246" s="7" t="e">
        <f t="shared" si="27"/>
        <v>#N/A</v>
      </c>
      <c r="G246" s="7" t="e">
        <f t="shared" si="27"/>
        <v>#N/A</v>
      </c>
    </row>
    <row r="247" spans="2:7">
      <c r="B247" s="67">
        <f t="shared" si="23"/>
        <v>43341</v>
      </c>
      <c r="C247" s="7" t="e">
        <f t="shared" ref="C247:G256" si="28">IF(AND($B247&gt;=C$3,$B247&lt;=C$4),C$5,NA())</f>
        <v>#N/A</v>
      </c>
      <c r="D247" s="7" t="e">
        <f t="shared" si="28"/>
        <v>#N/A</v>
      </c>
      <c r="E247" s="7" t="e">
        <f t="shared" si="28"/>
        <v>#N/A</v>
      </c>
      <c r="F247" s="7" t="e">
        <f t="shared" si="28"/>
        <v>#N/A</v>
      </c>
      <c r="G247" s="7" t="e">
        <f t="shared" si="28"/>
        <v>#N/A</v>
      </c>
    </row>
    <row r="248" spans="2:7">
      <c r="B248" s="67">
        <f t="shared" si="23"/>
        <v>43342</v>
      </c>
      <c r="C248" s="7" t="e">
        <f t="shared" si="28"/>
        <v>#N/A</v>
      </c>
      <c r="D248" s="7" t="e">
        <f t="shared" si="28"/>
        <v>#N/A</v>
      </c>
      <c r="E248" s="7" t="e">
        <f t="shared" si="28"/>
        <v>#N/A</v>
      </c>
      <c r="F248" s="7" t="e">
        <f t="shared" si="28"/>
        <v>#N/A</v>
      </c>
      <c r="G248" s="7" t="e">
        <f t="shared" si="28"/>
        <v>#N/A</v>
      </c>
    </row>
    <row r="249" spans="2:7">
      <c r="B249" s="67">
        <f t="shared" si="23"/>
        <v>43343</v>
      </c>
      <c r="C249" s="7" t="e">
        <f t="shared" si="28"/>
        <v>#N/A</v>
      </c>
      <c r="D249" s="7" t="e">
        <f t="shared" si="28"/>
        <v>#N/A</v>
      </c>
      <c r="E249" s="7" t="e">
        <f t="shared" si="28"/>
        <v>#N/A</v>
      </c>
      <c r="F249" s="7" t="e">
        <f t="shared" si="28"/>
        <v>#N/A</v>
      </c>
      <c r="G249" s="7" t="e">
        <f t="shared" si="28"/>
        <v>#N/A</v>
      </c>
    </row>
    <row r="250" spans="2:7">
      <c r="B250" s="67">
        <f t="shared" si="23"/>
        <v>43344</v>
      </c>
      <c r="C250" s="7" t="e">
        <f t="shared" si="28"/>
        <v>#N/A</v>
      </c>
      <c r="D250" s="7" t="e">
        <f t="shared" si="28"/>
        <v>#N/A</v>
      </c>
      <c r="E250" s="7" t="e">
        <f t="shared" si="28"/>
        <v>#N/A</v>
      </c>
      <c r="F250" s="7" t="e">
        <f t="shared" si="28"/>
        <v>#N/A</v>
      </c>
      <c r="G250" s="7" t="e">
        <f t="shared" si="28"/>
        <v>#N/A</v>
      </c>
    </row>
    <row r="251" spans="2:7">
      <c r="B251" s="67">
        <f t="shared" si="23"/>
        <v>43345</v>
      </c>
      <c r="C251" s="7" t="e">
        <f t="shared" si="28"/>
        <v>#N/A</v>
      </c>
      <c r="D251" s="7" t="e">
        <f t="shared" si="28"/>
        <v>#N/A</v>
      </c>
      <c r="E251" s="7" t="e">
        <f t="shared" si="28"/>
        <v>#N/A</v>
      </c>
      <c r="F251" s="7" t="e">
        <f t="shared" si="28"/>
        <v>#N/A</v>
      </c>
      <c r="G251" s="7" t="e">
        <f t="shared" si="28"/>
        <v>#N/A</v>
      </c>
    </row>
    <row r="252" spans="2:7">
      <c r="B252" s="67">
        <f t="shared" si="23"/>
        <v>43346</v>
      </c>
      <c r="C252" s="7" t="e">
        <f t="shared" si="28"/>
        <v>#N/A</v>
      </c>
      <c r="D252" s="7" t="e">
        <f t="shared" si="28"/>
        <v>#N/A</v>
      </c>
      <c r="E252" s="7" t="e">
        <f t="shared" si="28"/>
        <v>#N/A</v>
      </c>
      <c r="F252" s="7" t="e">
        <f t="shared" si="28"/>
        <v>#N/A</v>
      </c>
      <c r="G252" s="7" t="e">
        <f t="shared" si="28"/>
        <v>#N/A</v>
      </c>
    </row>
    <row r="253" spans="2:7">
      <c r="B253" s="67">
        <f t="shared" si="23"/>
        <v>43347</v>
      </c>
      <c r="C253" s="7" t="e">
        <f t="shared" si="28"/>
        <v>#N/A</v>
      </c>
      <c r="D253" s="7" t="e">
        <f t="shared" si="28"/>
        <v>#N/A</v>
      </c>
      <c r="E253" s="7" t="e">
        <f t="shared" si="28"/>
        <v>#N/A</v>
      </c>
      <c r="F253" s="7" t="e">
        <f t="shared" si="28"/>
        <v>#N/A</v>
      </c>
      <c r="G253" s="7" t="e">
        <f t="shared" si="28"/>
        <v>#N/A</v>
      </c>
    </row>
    <row r="254" spans="2:7">
      <c r="B254" s="67">
        <f t="shared" si="23"/>
        <v>43348</v>
      </c>
      <c r="C254" s="7" t="e">
        <f t="shared" si="28"/>
        <v>#N/A</v>
      </c>
      <c r="D254" s="7" t="e">
        <f t="shared" si="28"/>
        <v>#N/A</v>
      </c>
      <c r="E254" s="7" t="e">
        <f t="shared" si="28"/>
        <v>#N/A</v>
      </c>
      <c r="F254" s="7" t="e">
        <f t="shared" si="28"/>
        <v>#N/A</v>
      </c>
      <c r="G254" s="7" t="e">
        <f t="shared" si="28"/>
        <v>#N/A</v>
      </c>
    </row>
    <row r="255" spans="2:7">
      <c r="B255" s="67">
        <f t="shared" si="23"/>
        <v>43349</v>
      </c>
      <c r="C255" s="7" t="e">
        <f t="shared" si="28"/>
        <v>#N/A</v>
      </c>
      <c r="D255" s="7" t="e">
        <f t="shared" si="28"/>
        <v>#N/A</v>
      </c>
      <c r="E255" s="7" t="e">
        <f t="shared" si="28"/>
        <v>#N/A</v>
      </c>
      <c r="F255" s="7" t="e">
        <f t="shared" si="28"/>
        <v>#N/A</v>
      </c>
      <c r="G255" s="7" t="e">
        <f t="shared" si="28"/>
        <v>#N/A</v>
      </c>
    </row>
    <row r="256" spans="2:7">
      <c r="B256" s="67">
        <f t="shared" si="23"/>
        <v>43350</v>
      </c>
      <c r="C256" s="7" t="e">
        <f t="shared" si="28"/>
        <v>#N/A</v>
      </c>
      <c r="D256" s="7" t="e">
        <f t="shared" si="28"/>
        <v>#N/A</v>
      </c>
      <c r="E256" s="7" t="e">
        <f t="shared" si="28"/>
        <v>#N/A</v>
      </c>
      <c r="F256" s="7" t="e">
        <f t="shared" si="28"/>
        <v>#N/A</v>
      </c>
      <c r="G256" s="7" t="e">
        <f t="shared" si="28"/>
        <v>#N/A</v>
      </c>
    </row>
    <row r="257" spans="2:7">
      <c r="B257" s="67">
        <f t="shared" si="23"/>
        <v>43351</v>
      </c>
      <c r="C257" s="7" t="e">
        <f t="shared" ref="C257:G266" si="29">IF(AND($B257&gt;=C$3,$B257&lt;=C$4),C$5,NA())</f>
        <v>#N/A</v>
      </c>
      <c r="D257" s="7" t="e">
        <f t="shared" si="29"/>
        <v>#N/A</v>
      </c>
      <c r="E257" s="7" t="e">
        <f t="shared" si="29"/>
        <v>#N/A</v>
      </c>
      <c r="F257" s="7" t="e">
        <f t="shared" si="29"/>
        <v>#N/A</v>
      </c>
      <c r="G257" s="7" t="e">
        <f t="shared" si="29"/>
        <v>#N/A</v>
      </c>
    </row>
    <row r="258" spans="2:7">
      <c r="B258" s="67">
        <f t="shared" si="23"/>
        <v>43352</v>
      </c>
      <c r="C258" s="7" t="e">
        <f t="shared" si="29"/>
        <v>#N/A</v>
      </c>
      <c r="D258" s="7" t="e">
        <f t="shared" si="29"/>
        <v>#N/A</v>
      </c>
      <c r="E258" s="7" t="e">
        <f t="shared" si="29"/>
        <v>#N/A</v>
      </c>
      <c r="F258" s="7" t="e">
        <f t="shared" si="29"/>
        <v>#N/A</v>
      </c>
      <c r="G258" s="7" t="e">
        <f t="shared" si="29"/>
        <v>#N/A</v>
      </c>
    </row>
    <row r="259" spans="2:7">
      <c r="B259" s="67">
        <f t="shared" si="23"/>
        <v>43353</v>
      </c>
      <c r="C259" s="7" t="e">
        <f t="shared" si="29"/>
        <v>#N/A</v>
      </c>
      <c r="D259" s="7" t="e">
        <f t="shared" si="29"/>
        <v>#N/A</v>
      </c>
      <c r="E259" s="7" t="e">
        <f t="shared" si="29"/>
        <v>#N/A</v>
      </c>
      <c r="F259" s="7" t="e">
        <f t="shared" si="29"/>
        <v>#N/A</v>
      </c>
      <c r="G259" s="7" t="e">
        <f t="shared" si="29"/>
        <v>#N/A</v>
      </c>
    </row>
    <row r="260" spans="2:7">
      <c r="B260" s="67">
        <f t="shared" si="23"/>
        <v>43354</v>
      </c>
      <c r="C260" s="7" t="e">
        <f t="shared" si="29"/>
        <v>#N/A</v>
      </c>
      <c r="D260" s="7" t="e">
        <f t="shared" si="29"/>
        <v>#N/A</v>
      </c>
      <c r="E260" s="7" t="e">
        <f t="shared" si="29"/>
        <v>#N/A</v>
      </c>
      <c r="F260" s="7" t="e">
        <f t="shared" si="29"/>
        <v>#N/A</v>
      </c>
      <c r="G260" s="7" t="e">
        <f t="shared" si="29"/>
        <v>#N/A</v>
      </c>
    </row>
    <row r="261" spans="2:7">
      <c r="B261" s="67">
        <f t="shared" si="23"/>
        <v>43355</v>
      </c>
      <c r="C261" s="7" t="e">
        <f t="shared" si="29"/>
        <v>#N/A</v>
      </c>
      <c r="D261" s="7" t="e">
        <f t="shared" si="29"/>
        <v>#N/A</v>
      </c>
      <c r="E261" s="7" t="e">
        <f t="shared" si="29"/>
        <v>#N/A</v>
      </c>
      <c r="F261" s="7" t="e">
        <f t="shared" si="29"/>
        <v>#N/A</v>
      </c>
      <c r="G261" s="7" t="e">
        <f t="shared" si="29"/>
        <v>#N/A</v>
      </c>
    </row>
    <row r="262" spans="2:7">
      <c r="B262" s="67">
        <f t="shared" si="23"/>
        <v>43356</v>
      </c>
      <c r="C262" s="7" t="e">
        <f t="shared" si="29"/>
        <v>#N/A</v>
      </c>
      <c r="D262" s="7" t="e">
        <f t="shared" si="29"/>
        <v>#N/A</v>
      </c>
      <c r="E262" s="7" t="e">
        <f t="shared" si="29"/>
        <v>#N/A</v>
      </c>
      <c r="F262" s="7" t="e">
        <f t="shared" si="29"/>
        <v>#N/A</v>
      </c>
      <c r="G262" s="7" t="e">
        <f t="shared" si="29"/>
        <v>#N/A</v>
      </c>
    </row>
    <row r="263" spans="2:7">
      <c r="B263" s="67">
        <f t="shared" si="23"/>
        <v>43357</v>
      </c>
      <c r="C263" s="7" t="e">
        <f t="shared" si="29"/>
        <v>#N/A</v>
      </c>
      <c r="D263" s="7" t="e">
        <f t="shared" si="29"/>
        <v>#N/A</v>
      </c>
      <c r="E263" s="7" t="e">
        <f t="shared" si="29"/>
        <v>#N/A</v>
      </c>
      <c r="F263" s="7" t="e">
        <f t="shared" si="29"/>
        <v>#N/A</v>
      </c>
      <c r="G263" s="7" t="e">
        <f t="shared" si="29"/>
        <v>#N/A</v>
      </c>
    </row>
    <row r="264" spans="2:7">
      <c r="B264" s="67">
        <f t="shared" ref="B264:B327" si="30">B263+1</f>
        <v>43358</v>
      </c>
      <c r="C264" s="7" t="e">
        <f t="shared" si="29"/>
        <v>#N/A</v>
      </c>
      <c r="D264" s="7" t="e">
        <f t="shared" si="29"/>
        <v>#N/A</v>
      </c>
      <c r="E264" s="7" t="e">
        <f t="shared" si="29"/>
        <v>#N/A</v>
      </c>
      <c r="F264" s="7" t="e">
        <f t="shared" si="29"/>
        <v>#N/A</v>
      </c>
      <c r="G264" s="7" t="e">
        <f t="shared" si="29"/>
        <v>#N/A</v>
      </c>
    </row>
    <row r="265" spans="2:7">
      <c r="B265" s="67">
        <f t="shared" si="30"/>
        <v>43359</v>
      </c>
      <c r="C265" s="7" t="e">
        <f t="shared" si="29"/>
        <v>#N/A</v>
      </c>
      <c r="D265" s="7" t="e">
        <f t="shared" si="29"/>
        <v>#N/A</v>
      </c>
      <c r="E265" s="7" t="e">
        <f t="shared" si="29"/>
        <v>#N/A</v>
      </c>
      <c r="F265" s="7" t="e">
        <f t="shared" si="29"/>
        <v>#N/A</v>
      </c>
      <c r="G265" s="7" t="e">
        <f t="shared" si="29"/>
        <v>#N/A</v>
      </c>
    </row>
    <row r="266" spans="2:7">
      <c r="B266" s="67">
        <f t="shared" si="30"/>
        <v>43360</v>
      </c>
      <c r="C266" s="7" t="e">
        <f t="shared" si="29"/>
        <v>#N/A</v>
      </c>
      <c r="D266" s="7" t="e">
        <f t="shared" si="29"/>
        <v>#N/A</v>
      </c>
      <c r="E266" s="7" t="e">
        <f t="shared" si="29"/>
        <v>#N/A</v>
      </c>
      <c r="F266" s="7" t="e">
        <f t="shared" si="29"/>
        <v>#N/A</v>
      </c>
      <c r="G266" s="7" t="e">
        <f t="shared" si="29"/>
        <v>#N/A</v>
      </c>
    </row>
    <row r="267" spans="2:7">
      <c r="B267" s="67">
        <f t="shared" si="30"/>
        <v>43361</v>
      </c>
      <c r="C267" s="7" t="e">
        <f t="shared" ref="C267:G276" si="31">IF(AND($B267&gt;=C$3,$B267&lt;=C$4),C$5,NA())</f>
        <v>#N/A</v>
      </c>
      <c r="D267" s="7" t="e">
        <f t="shared" si="31"/>
        <v>#N/A</v>
      </c>
      <c r="E267" s="7" t="e">
        <f t="shared" si="31"/>
        <v>#N/A</v>
      </c>
      <c r="F267" s="7" t="e">
        <f t="shared" si="31"/>
        <v>#N/A</v>
      </c>
      <c r="G267" s="7" t="e">
        <f t="shared" si="31"/>
        <v>#N/A</v>
      </c>
    </row>
    <row r="268" spans="2:7">
      <c r="B268" s="67">
        <f t="shared" si="30"/>
        <v>43362</v>
      </c>
      <c r="C268" s="7" t="e">
        <f t="shared" si="31"/>
        <v>#N/A</v>
      </c>
      <c r="D268" s="7" t="e">
        <f t="shared" si="31"/>
        <v>#N/A</v>
      </c>
      <c r="E268" s="7" t="e">
        <f t="shared" si="31"/>
        <v>#N/A</v>
      </c>
      <c r="F268" s="7" t="e">
        <f t="shared" si="31"/>
        <v>#N/A</v>
      </c>
      <c r="G268" s="7" t="e">
        <f t="shared" si="31"/>
        <v>#N/A</v>
      </c>
    </row>
    <row r="269" spans="2:7">
      <c r="B269" s="67">
        <f t="shared" si="30"/>
        <v>43363</v>
      </c>
      <c r="C269" s="7" t="e">
        <f t="shared" si="31"/>
        <v>#N/A</v>
      </c>
      <c r="D269" s="7" t="e">
        <f t="shared" si="31"/>
        <v>#N/A</v>
      </c>
      <c r="E269" s="7" t="e">
        <f t="shared" si="31"/>
        <v>#N/A</v>
      </c>
      <c r="F269" s="7" t="e">
        <f t="shared" si="31"/>
        <v>#N/A</v>
      </c>
      <c r="G269" s="7" t="e">
        <f t="shared" si="31"/>
        <v>#N/A</v>
      </c>
    </row>
    <row r="270" spans="2:7">
      <c r="B270" s="67">
        <f t="shared" si="30"/>
        <v>43364</v>
      </c>
      <c r="C270" s="7" t="e">
        <f t="shared" si="31"/>
        <v>#N/A</v>
      </c>
      <c r="D270" s="7" t="e">
        <f t="shared" si="31"/>
        <v>#N/A</v>
      </c>
      <c r="E270" s="7" t="e">
        <f t="shared" si="31"/>
        <v>#N/A</v>
      </c>
      <c r="F270" s="7" t="e">
        <f t="shared" si="31"/>
        <v>#N/A</v>
      </c>
      <c r="G270" s="7" t="e">
        <f t="shared" si="31"/>
        <v>#N/A</v>
      </c>
    </row>
    <row r="271" spans="2:7">
      <c r="B271" s="67">
        <f t="shared" si="30"/>
        <v>43365</v>
      </c>
      <c r="C271" s="7" t="e">
        <f t="shared" si="31"/>
        <v>#N/A</v>
      </c>
      <c r="D271" s="7" t="e">
        <f t="shared" si="31"/>
        <v>#N/A</v>
      </c>
      <c r="E271" s="7" t="e">
        <f t="shared" si="31"/>
        <v>#N/A</v>
      </c>
      <c r="F271" s="7" t="e">
        <f t="shared" si="31"/>
        <v>#N/A</v>
      </c>
      <c r="G271" s="7" t="e">
        <f t="shared" si="31"/>
        <v>#N/A</v>
      </c>
    </row>
    <row r="272" spans="2:7">
      <c r="B272" s="67">
        <f t="shared" si="30"/>
        <v>43366</v>
      </c>
      <c r="C272" s="7" t="e">
        <f t="shared" si="31"/>
        <v>#N/A</v>
      </c>
      <c r="D272" s="7" t="e">
        <f t="shared" si="31"/>
        <v>#N/A</v>
      </c>
      <c r="E272" s="7" t="e">
        <f t="shared" si="31"/>
        <v>#N/A</v>
      </c>
      <c r="F272" s="7" t="e">
        <f t="shared" si="31"/>
        <v>#N/A</v>
      </c>
      <c r="G272" s="7" t="e">
        <f t="shared" si="31"/>
        <v>#N/A</v>
      </c>
    </row>
    <row r="273" spans="2:7">
      <c r="B273" s="67">
        <f t="shared" si="30"/>
        <v>43367</v>
      </c>
      <c r="C273" s="7" t="e">
        <f t="shared" si="31"/>
        <v>#N/A</v>
      </c>
      <c r="D273" s="7" t="e">
        <f t="shared" si="31"/>
        <v>#N/A</v>
      </c>
      <c r="E273" s="7" t="e">
        <f t="shared" si="31"/>
        <v>#N/A</v>
      </c>
      <c r="F273" s="7" t="e">
        <f t="shared" si="31"/>
        <v>#N/A</v>
      </c>
      <c r="G273" s="7" t="e">
        <f t="shared" si="31"/>
        <v>#N/A</v>
      </c>
    </row>
    <row r="274" spans="2:7">
      <c r="B274" s="67">
        <f t="shared" si="30"/>
        <v>43368</v>
      </c>
      <c r="C274" s="7" t="e">
        <f t="shared" si="31"/>
        <v>#N/A</v>
      </c>
      <c r="D274" s="7" t="e">
        <f t="shared" si="31"/>
        <v>#N/A</v>
      </c>
      <c r="E274" s="7" t="e">
        <f t="shared" si="31"/>
        <v>#N/A</v>
      </c>
      <c r="F274" s="7" t="e">
        <f t="shared" si="31"/>
        <v>#N/A</v>
      </c>
      <c r="G274" s="7" t="e">
        <f t="shared" si="31"/>
        <v>#N/A</v>
      </c>
    </row>
    <row r="275" spans="2:7">
      <c r="B275" s="67">
        <f t="shared" si="30"/>
        <v>43369</v>
      </c>
      <c r="C275" s="7" t="e">
        <f t="shared" si="31"/>
        <v>#N/A</v>
      </c>
      <c r="D275" s="7" t="e">
        <f t="shared" si="31"/>
        <v>#N/A</v>
      </c>
      <c r="E275" s="7" t="e">
        <f t="shared" si="31"/>
        <v>#N/A</v>
      </c>
      <c r="F275" s="7" t="e">
        <f t="shared" si="31"/>
        <v>#N/A</v>
      </c>
      <c r="G275" s="7" t="e">
        <f t="shared" si="31"/>
        <v>#N/A</v>
      </c>
    </row>
    <row r="276" spans="2:7">
      <c r="B276" s="67">
        <f t="shared" si="30"/>
        <v>43370</v>
      </c>
      <c r="C276" s="7" t="e">
        <f t="shared" si="31"/>
        <v>#N/A</v>
      </c>
      <c r="D276" s="7" t="e">
        <f t="shared" si="31"/>
        <v>#N/A</v>
      </c>
      <c r="E276" s="7" t="e">
        <f t="shared" si="31"/>
        <v>#N/A</v>
      </c>
      <c r="F276" s="7" t="e">
        <f t="shared" si="31"/>
        <v>#N/A</v>
      </c>
      <c r="G276" s="7" t="e">
        <f t="shared" si="31"/>
        <v>#N/A</v>
      </c>
    </row>
    <row r="277" spans="2:7">
      <c r="B277" s="67">
        <f t="shared" si="30"/>
        <v>43371</v>
      </c>
      <c r="C277" s="7" t="e">
        <f t="shared" ref="C277:G286" si="32">IF(AND($B277&gt;=C$3,$B277&lt;=C$4),C$5,NA())</f>
        <v>#N/A</v>
      </c>
      <c r="D277" s="7" t="e">
        <f t="shared" si="32"/>
        <v>#N/A</v>
      </c>
      <c r="E277" s="7" t="e">
        <f t="shared" si="32"/>
        <v>#N/A</v>
      </c>
      <c r="F277" s="7" t="e">
        <f t="shared" si="32"/>
        <v>#N/A</v>
      </c>
      <c r="G277" s="7" t="e">
        <f t="shared" si="32"/>
        <v>#N/A</v>
      </c>
    </row>
    <row r="278" spans="2:7">
      <c r="B278" s="67">
        <f t="shared" si="30"/>
        <v>43372</v>
      </c>
      <c r="C278" s="7" t="e">
        <f t="shared" si="32"/>
        <v>#N/A</v>
      </c>
      <c r="D278" s="7" t="e">
        <f t="shared" si="32"/>
        <v>#N/A</v>
      </c>
      <c r="E278" s="7" t="e">
        <f t="shared" si="32"/>
        <v>#N/A</v>
      </c>
      <c r="F278" s="7" t="e">
        <f t="shared" si="32"/>
        <v>#N/A</v>
      </c>
      <c r="G278" s="7" t="e">
        <f t="shared" si="32"/>
        <v>#N/A</v>
      </c>
    </row>
    <row r="279" spans="2:7">
      <c r="B279" s="67">
        <f t="shared" si="30"/>
        <v>43373</v>
      </c>
      <c r="C279" s="7" t="e">
        <f t="shared" si="32"/>
        <v>#N/A</v>
      </c>
      <c r="D279" s="7" t="e">
        <f t="shared" si="32"/>
        <v>#N/A</v>
      </c>
      <c r="E279" s="7" t="e">
        <f t="shared" si="32"/>
        <v>#N/A</v>
      </c>
      <c r="F279" s="7" t="e">
        <f t="shared" si="32"/>
        <v>#N/A</v>
      </c>
      <c r="G279" s="7" t="e">
        <f t="shared" si="32"/>
        <v>#N/A</v>
      </c>
    </row>
    <row r="280" spans="2:7">
      <c r="B280" s="67">
        <f t="shared" si="30"/>
        <v>43374</v>
      </c>
      <c r="C280" s="7" t="e">
        <f t="shared" si="32"/>
        <v>#N/A</v>
      </c>
      <c r="D280" s="7" t="e">
        <f t="shared" si="32"/>
        <v>#N/A</v>
      </c>
      <c r="E280" s="7" t="e">
        <f t="shared" si="32"/>
        <v>#N/A</v>
      </c>
      <c r="F280" s="7" t="e">
        <f t="shared" si="32"/>
        <v>#N/A</v>
      </c>
      <c r="G280" s="7" t="e">
        <f t="shared" si="32"/>
        <v>#N/A</v>
      </c>
    </row>
    <row r="281" spans="2:7">
      <c r="B281" s="67">
        <f t="shared" si="30"/>
        <v>43375</v>
      </c>
      <c r="C281" s="7" t="e">
        <f t="shared" si="32"/>
        <v>#N/A</v>
      </c>
      <c r="D281" s="7" t="e">
        <f t="shared" si="32"/>
        <v>#N/A</v>
      </c>
      <c r="E281" s="7" t="e">
        <f t="shared" si="32"/>
        <v>#N/A</v>
      </c>
      <c r="F281" s="7" t="e">
        <f t="shared" si="32"/>
        <v>#N/A</v>
      </c>
      <c r="G281" s="7" t="e">
        <f t="shared" si="32"/>
        <v>#N/A</v>
      </c>
    </row>
    <row r="282" spans="2:7">
      <c r="B282" s="67">
        <f t="shared" si="30"/>
        <v>43376</v>
      </c>
      <c r="C282" s="7" t="e">
        <f t="shared" si="32"/>
        <v>#N/A</v>
      </c>
      <c r="D282" s="7" t="e">
        <f t="shared" si="32"/>
        <v>#N/A</v>
      </c>
      <c r="E282" s="7" t="e">
        <f t="shared" si="32"/>
        <v>#N/A</v>
      </c>
      <c r="F282" s="7" t="e">
        <f t="shared" si="32"/>
        <v>#N/A</v>
      </c>
      <c r="G282" s="7" t="e">
        <f t="shared" si="32"/>
        <v>#N/A</v>
      </c>
    </row>
    <row r="283" spans="2:7">
      <c r="B283" s="67">
        <f t="shared" si="30"/>
        <v>43377</v>
      </c>
      <c r="C283" s="7" t="e">
        <f t="shared" si="32"/>
        <v>#N/A</v>
      </c>
      <c r="D283" s="7" t="e">
        <f t="shared" si="32"/>
        <v>#N/A</v>
      </c>
      <c r="E283" s="7" t="e">
        <f t="shared" si="32"/>
        <v>#N/A</v>
      </c>
      <c r="F283" s="7" t="e">
        <f t="shared" si="32"/>
        <v>#N/A</v>
      </c>
      <c r="G283" s="7" t="e">
        <f t="shared" si="32"/>
        <v>#N/A</v>
      </c>
    </row>
    <row r="284" spans="2:7">
      <c r="B284" s="67">
        <f t="shared" si="30"/>
        <v>43378</v>
      </c>
      <c r="C284" s="7" t="e">
        <f t="shared" si="32"/>
        <v>#N/A</v>
      </c>
      <c r="D284" s="7" t="e">
        <f t="shared" si="32"/>
        <v>#N/A</v>
      </c>
      <c r="E284" s="7" t="e">
        <f t="shared" si="32"/>
        <v>#N/A</v>
      </c>
      <c r="F284" s="7" t="e">
        <f t="shared" si="32"/>
        <v>#N/A</v>
      </c>
      <c r="G284" s="7" t="e">
        <f t="shared" si="32"/>
        <v>#N/A</v>
      </c>
    </row>
    <row r="285" spans="2:7">
      <c r="B285" s="67">
        <f t="shared" si="30"/>
        <v>43379</v>
      </c>
      <c r="C285" s="7" t="e">
        <f t="shared" si="32"/>
        <v>#N/A</v>
      </c>
      <c r="D285" s="7" t="e">
        <f t="shared" si="32"/>
        <v>#N/A</v>
      </c>
      <c r="E285" s="7" t="e">
        <f t="shared" si="32"/>
        <v>#N/A</v>
      </c>
      <c r="F285" s="7" t="e">
        <f t="shared" si="32"/>
        <v>#N/A</v>
      </c>
      <c r="G285" s="7" t="e">
        <f t="shared" si="32"/>
        <v>#N/A</v>
      </c>
    </row>
    <row r="286" spans="2:7">
      <c r="B286" s="67">
        <f t="shared" si="30"/>
        <v>43380</v>
      </c>
      <c r="C286" s="7" t="e">
        <f t="shared" si="32"/>
        <v>#N/A</v>
      </c>
      <c r="D286" s="7" t="e">
        <f t="shared" si="32"/>
        <v>#N/A</v>
      </c>
      <c r="E286" s="7" t="e">
        <f t="shared" si="32"/>
        <v>#N/A</v>
      </c>
      <c r="F286" s="7" t="e">
        <f t="shared" si="32"/>
        <v>#N/A</v>
      </c>
      <c r="G286" s="7" t="e">
        <f t="shared" si="32"/>
        <v>#N/A</v>
      </c>
    </row>
    <row r="287" spans="2:7">
      <c r="B287" s="67">
        <f t="shared" si="30"/>
        <v>43381</v>
      </c>
      <c r="C287" s="7" t="e">
        <f t="shared" ref="C287:G296" si="33">IF(AND($B287&gt;=C$3,$B287&lt;=C$4),C$5,NA())</f>
        <v>#N/A</v>
      </c>
      <c r="D287" s="7" t="e">
        <f t="shared" si="33"/>
        <v>#N/A</v>
      </c>
      <c r="E287" s="7" t="e">
        <f t="shared" si="33"/>
        <v>#N/A</v>
      </c>
      <c r="F287" s="7" t="e">
        <f t="shared" si="33"/>
        <v>#N/A</v>
      </c>
      <c r="G287" s="7" t="e">
        <f t="shared" si="33"/>
        <v>#N/A</v>
      </c>
    </row>
    <row r="288" spans="2:7">
      <c r="B288" s="67">
        <f t="shared" si="30"/>
        <v>43382</v>
      </c>
      <c r="C288" s="7" t="e">
        <f t="shared" si="33"/>
        <v>#N/A</v>
      </c>
      <c r="D288" s="7" t="e">
        <f t="shared" si="33"/>
        <v>#N/A</v>
      </c>
      <c r="E288" s="7" t="e">
        <f t="shared" si="33"/>
        <v>#N/A</v>
      </c>
      <c r="F288" s="7" t="e">
        <f t="shared" si="33"/>
        <v>#N/A</v>
      </c>
      <c r="G288" s="7" t="e">
        <f t="shared" si="33"/>
        <v>#N/A</v>
      </c>
    </row>
    <row r="289" spans="2:7">
      <c r="B289" s="67">
        <f t="shared" si="30"/>
        <v>43383</v>
      </c>
      <c r="C289" s="7" t="e">
        <f t="shared" si="33"/>
        <v>#N/A</v>
      </c>
      <c r="D289" s="7" t="e">
        <f t="shared" si="33"/>
        <v>#N/A</v>
      </c>
      <c r="E289" s="7" t="e">
        <f t="shared" si="33"/>
        <v>#N/A</v>
      </c>
      <c r="F289" s="7" t="e">
        <f t="shared" si="33"/>
        <v>#N/A</v>
      </c>
      <c r="G289" s="7" t="e">
        <f t="shared" si="33"/>
        <v>#N/A</v>
      </c>
    </row>
    <row r="290" spans="2:7">
      <c r="B290" s="67">
        <f t="shared" si="30"/>
        <v>43384</v>
      </c>
      <c r="C290" s="7" t="e">
        <f t="shared" si="33"/>
        <v>#N/A</v>
      </c>
      <c r="D290" s="7" t="e">
        <f t="shared" si="33"/>
        <v>#N/A</v>
      </c>
      <c r="E290" s="7" t="e">
        <f t="shared" si="33"/>
        <v>#N/A</v>
      </c>
      <c r="F290" s="7" t="e">
        <f t="shared" si="33"/>
        <v>#N/A</v>
      </c>
      <c r="G290" s="7" t="e">
        <f t="shared" si="33"/>
        <v>#N/A</v>
      </c>
    </row>
    <row r="291" spans="2:7">
      <c r="B291" s="67">
        <f t="shared" si="30"/>
        <v>43385</v>
      </c>
      <c r="C291" s="7" t="e">
        <f t="shared" si="33"/>
        <v>#N/A</v>
      </c>
      <c r="D291" s="7" t="e">
        <f t="shared" si="33"/>
        <v>#N/A</v>
      </c>
      <c r="E291" s="7" t="e">
        <f t="shared" si="33"/>
        <v>#N/A</v>
      </c>
      <c r="F291" s="7" t="e">
        <f t="shared" si="33"/>
        <v>#N/A</v>
      </c>
      <c r="G291" s="7" t="e">
        <f t="shared" si="33"/>
        <v>#N/A</v>
      </c>
    </row>
    <row r="292" spans="2:7">
      <c r="B292" s="67">
        <f t="shared" si="30"/>
        <v>43386</v>
      </c>
      <c r="C292" s="7" t="e">
        <f t="shared" si="33"/>
        <v>#N/A</v>
      </c>
      <c r="D292" s="7" t="e">
        <f t="shared" si="33"/>
        <v>#N/A</v>
      </c>
      <c r="E292" s="7" t="e">
        <f t="shared" si="33"/>
        <v>#N/A</v>
      </c>
      <c r="F292" s="7" t="e">
        <f t="shared" si="33"/>
        <v>#N/A</v>
      </c>
      <c r="G292" s="7" t="e">
        <f t="shared" si="33"/>
        <v>#N/A</v>
      </c>
    </row>
    <row r="293" spans="2:7">
      <c r="B293" s="67">
        <f t="shared" si="30"/>
        <v>43387</v>
      </c>
      <c r="C293" s="7" t="e">
        <f t="shared" si="33"/>
        <v>#N/A</v>
      </c>
      <c r="D293" s="7" t="e">
        <f t="shared" si="33"/>
        <v>#N/A</v>
      </c>
      <c r="E293" s="7" t="e">
        <f t="shared" si="33"/>
        <v>#N/A</v>
      </c>
      <c r="F293" s="7" t="e">
        <f t="shared" si="33"/>
        <v>#N/A</v>
      </c>
      <c r="G293" s="7" t="e">
        <f t="shared" si="33"/>
        <v>#N/A</v>
      </c>
    </row>
    <row r="294" spans="2:7">
      <c r="B294" s="67">
        <f t="shared" si="30"/>
        <v>43388</v>
      </c>
      <c r="C294" s="7" t="e">
        <f t="shared" si="33"/>
        <v>#N/A</v>
      </c>
      <c r="D294" s="7" t="e">
        <f t="shared" si="33"/>
        <v>#N/A</v>
      </c>
      <c r="E294" s="7" t="e">
        <f t="shared" si="33"/>
        <v>#N/A</v>
      </c>
      <c r="F294" s="7" t="e">
        <f t="shared" si="33"/>
        <v>#N/A</v>
      </c>
      <c r="G294" s="7" t="e">
        <f t="shared" si="33"/>
        <v>#N/A</v>
      </c>
    </row>
    <row r="295" spans="2:7">
      <c r="B295" s="67">
        <f t="shared" si="30"/>
        <v>43389</v>
      </c>
      <c r="C295" s="7" t="e">
        <f t="shared" si="33"/>
        <v>#N/A</v>
      </c>
      <c r="D295" s="7" t="e">
        <f t="shared" si="33"/>
        <v>#N/A</v>
      </c>
      <c r="E295" s="7" t="e">
        <f t="shared" si="33"/>
        <v>#N/A</v>
      </c>
      <c r="F295" s="7" t="e">
        <f t="shared" si="33"/>
        <v>#N/A</v>
      </c>
      <c r="G295" s="7" t="e">
        <f t="shared" si="33"/>
        <v>#N/A</v>
      </c>
    </row>
    <row r="296" spans="2:7">
      <c r="B296" s="67">
        <f t="shared" si="30"/>
        <v>43390</v>
      </c>
      <c r="C296" s="7" t="e">
        <f t="shared" si="33"/>
        <v>#N/A</v>
      </c>
      <c r="D296" s="7" t="e">
        <f t="shared" si="33"/>
        <v>#N/A</v>
      </c>
      <c r="E296" s="7" t="e">
        <f t="shared" si="33"/>
        <v>#N/A</v>
      </c>
      <c r="F296" s="7" t="e">
        <f t="shared" si="33"/>
        <v>#N/A</v>
      </c>
      <c r="G296" s="7" t="e">
        <f t="shared" si="33"/>
        <v>#N/A</v>
      </c>
    </row>
    <row r="297" spans="2:7">
      <c r="B297" s="67">
        <f t="shared" si="30"/>
        <v>43391</v>
      </c>
      <c r="C297" s="7" t="e">
        <f t="shared" ref="C297:G306" si="34">IF(AND($B297&gt;=C$3,$B297&lt;=C$4),C$5,NA())</f>
        <v>#N/A</v>
      </c>
      <c r="D297" s="7" t="e">
        <f t="shared" si="34"/>
        <v>#N/A</v>
      </c>
      <c r="E297" s="7" t="e">
        <f t="shared" si="34"/>
        <v>#N/A</v>
      </c>
      <c r="F297" s="7" t="e">
        <f t="shared" si="34"/>
        <v>#N/A</v>
      </c>
      <c r="G297" s="7" t="e">
        <f t="shared" si="34"/>
        <v>#N/A</v>
      </c>
    </row>
    <row r="298" spans="2:7">
      <c r="B298" s="67">
        <f t="shared" si="30"/>
        <v>43392</v>
      </c>
      <c r="C298" s="7" t="e">
        <f t="shared" si="34"/>
        <v>#N/A</v>
      </c>
      <c r="D298" s="7" t="e">
        <f t="shared" si="34"/>
        <v>#N/A</v>
      </c>
      <c r="E298" s="7" t="e">
        <f t="shared" si="34"/>
        <v>#N/A</v>
      </c>
      <c r="F298" s="7" t="e">
        <f t="shared" si="34"/>
        <v>#N/A</v>
      </c>
      <c r="G298" s="7" t="e">
        <f t="shared" si="34"/>
        <v>#N/A</v>
      </c>
    </row>
    <row r="299" spans="2:7">
      <c r="B299" s="67">
        <f t="shared" si="30"/>
        <v>43393</v>
      </c>
      <c r="C299" s="7" t="e">
        <f t="shared" si="34"/>
        <v>#N/A</v>
      </c>
      <c r="D299" s="7" t="e">
        <f t="shared" si="34"/>
        <v>#N/A</v>
      </c>
      <c r="E299" s="7" t="e">
        <f t="shared" si="34"/>
        <v>#N/A</v>
      </c>
      <c r="F299" s="7" t="e">
        <f t="shared" si="34"/>
        <v>#N/A</v>
      </c>
      <c r="G299" s="7" t="e">
        <f t="shared" si="34"/>
        <v>#N/A</v>
      </c>
    </row>
    <row r="300" spans="2:7">
      <c r="B300" s="67">
        <f t="shared" si="30"/>
        <v>43394</v>
      </c>
      <c r="C300" s="7" t="e">
        <f t="shared" si="34"/>
        <v>#N/A</v>
      </c>
      <c r="D300" s="7" t="e">
        <f t="shared" si="34"/>
        <v>#N/A</v>
      </c>
      <c r="E300" s="7" t="e">
        <f t="shared" si="34"/>
        <v>#N/A</v>
      </c>
      <c r="F300" s="7" t="e">
        <f t="shared" si="34"/>
        <v>#N/A</v>
      </c>
      <c r="G300" s="7" t="e">
        <f t="shared" si="34"/>
        <v>#N/A</v>
      </c>
    </row>
    <row r="301" spans="2:7">
      <c r="B301" s="67">
        <f t="shared" si="30"/>
        <v>43395</v>
      </c>
      <c r="C301" s="7" t="e">
        <f t="shared" si="34"/>
        <v>#N/A</v>
      </c>
      <c r="D301" s="7" t="e">
        <f t="shared" si="34"/>
        <v>#N/A</v>
      </c>
      <c r="E301" s="7" t="e">
        <f t="shared" si="34"/>
        <v>#N/A</v>
      </c>
      <c r="F301" s="7" t="e">
        <f t="shared" si="34"/>
        <v>#N/A</v>
      </c>
      <c r="G301" s="7" t="e">
        <f t="shared" si="34"/>
        <v>#N/A</v>
      </c>
    </row>
    <row r="302" spans="2:7">
      <c r="B302" s="67">
        <f t="shared" si="30"/>
        <v>43396</v>
      </c>
      <c r="C302" s="7" t="e">
        <f t="shared" si="34"/>
        <v>#N/A</v>
      </c>
      <c r="D302" s="7" t="e">
        <f t="shared" si="34"/>
        <v>#N/A</v>
      </c>
      <c r="E302" s="7" t="e">
        <f t="shared" si="34"/>
        <v>#N/A</v>
      </c>
      <c r="F302" s="7" t="e">
        <f t="shared" si="34"/>
        <v>#N/A</v>
      </c>
      <c r="G302" s="7" t="e">
        <f t="shared" si="34"/>
        <v>#N/A</v>
      </c>
    </row>
    <row r="303" spans="2:7">
      <c r="B303" s="67">
        <f t="shared" si="30"/>
        <v>43397</v>
      </c>
      <c r="C303" s="7" t="e">
        <f t="shared" si="34"/>
        <v>#N/A</v>
      </c>
      <c r="D303" s="7" t="e">
        <f t="shared" si="34"/>
        <v>#N/A</v>
      </c>
      <c r="E303" s="7" t="e">
        <f t="shared" si="34"/>
        <v>#N/A</v>
      </c>
      <c r="F303" s="7" t="e">
        <f t="shared" si="34"/>
        <v>#N/A</v>
      </c>
      <c r="G303" s="7" t="e">
        <f t="shared" si="34"/>
        <v>#N/A</v>
      </c>
    </row>
    <row r="304" spans="2:7">
      <c r="B304" s="67">
        <f t="shared" si="30"/>
        <v>43398</v>
      </c>
      <c r="C304" s="7" t="e">
        <f t="shared" si="34"/>
        <v>#N/A</v>
      </c>
      <c r="D304" s="7" t="e">
        <f t="shared" si="34"/>
        <v>#N/A</v>
      </c>
      <c r="E304" s="7" t="e">
        <f t="shared" si="34"/>
        <v>#N/A</v>
      </c>
      <c r="F304" s="7" t="e">
        <f t="shared" si="34"/>
        <v>#N/A</v>
      </c>
      <c r="G304" s="7" t="e">
        <f t="shared" si="34"/>
        <v>#N/A</v>
      </c>
    </row>
    <row r="305" spans="2:7">
      <c r="B305" s="67">
        <f t="shared" si="30"/>
        <v>43399</v>
      </c>
      <c r="C305" s="7" t="e">
        <f t="shared" si="34"/>
        <v>#N/A</v>
      </c>
      <c r="D305" s="7" t="e">
        <f t="shared" si="34"/>
        <v>#N/A</v>
      </c>
      <c r="E305" s="7" t="e">
        <f t="shared" si="34"/>
        <v>#N/A</v>
      </c>
      <c r="F305" s="7" t="e">
        <f t="shared" si="34"/>
        <v>#N/A</v>
      </c>
      <c r="G305" s="7" t="e">
        <f t="shared" si="34"/>
        <v>#N/A</v>
      </c>
    </row>
    <row r="306" spans="2:7">
      <c r="B306" s="67">
        <f t="shared" si="30"/>
        <v>43400</v>
      </c>
      <c r="C306" s="7" t="e">
        <f t="shared" si="34"/>
        <v>#N/A</v>
      </c>
      <c r="D306" s="7" t="e">
        <f t="shared" si="34"/>
        <v>#N/A</v>
      </c>
      <c r="E306" s="7" t="e">
        <f t="shared" si="34"/>
        <v>#N/A</v>
      </c>
      <c r="F306" s="7" t="e">
        <f t="shared" si="34"/>
        <v>#N/A</v>
      </c>
      <c r="G306" s="7" t="e">
        <f t="shared" si="34"/>
        <v>#N/A</v>
      </c>
    </row>
    <row r="307" spans="2:7">
      <c r="B307" s="67">
        <f t="shared" si="30"/>
        <v>43401</v>
      </c>
      <c r="C307" s="7" t="e">
        <f t="shared" ref="C307:G316" si="35">IF(AND($B307&gt;=C$3,$B307&lt;=C$4),C$5,NA())</f>
        <v>#N/A</v>
      </c>
      <c r="D307" s="7" t="e">
        <f t="shared" si="35"/>
        <v>#N/A</v>
      </c>
      <c r="E307" s="7" t="e">
        <f t="shared" si="35"/>
        <v>#N/A</v>
      </c>
      <c r="F307" s="7" t="e">
        <f t="shared" si="35"/>
        <v>#N/A</v>
      </c>
      <c r="G307" s="7" t="e">
        <f t="shared" si="35"/>
        <v>#N/A</v>
      </c>
    </row>
    <row r="308" spans="2:7">
      <c r="B308" s="67">
        <f t="shared" si="30"/>
        <v>43402</v>
      </c>
      <c r="C308" s="7" t="e">
        <f t="shared" si="35"/>
        <v>#N/A</v>
      </c>
      <c r="D308" s="7" t="e">
        <f t="shared" si="35"/>
        <v>#N/A</v>
      </c>
      <c r="E308" s="7" t="e">
        <f t="shared" si="35"/>
        <v>#N/A</v>
      </c>
      <c r="F308" s="7" t="e">
        <f t="shared" si="35"/>
        <v>#N/A</v>
      </c>
      <c r="G308" s="7" t="e">
        <f t="shared" si="35"/>
        <v>#N/A</v>
      </c>
    </row>
    <row r="309" spans="2:7">
      <c r="B309" s="67">
        <f t="shared" si="30"/>
        <v>43403</v>
      </c>
      <c r="C309" s="7" t="e">
        <f t="shared" si="35"/>
        <v>#N/A</v>
      </c>
      <c r="D309" s="7" t="e">
        <f t="shared" si="35"/>
        <v>#N/A</v>
      </c>
      <c r="E309" s="7" t="e">
        <f t="shared" si="35"/>
        <v>#N/A</v>
      </c>
      <c r="F309" s="7" t="e">
        <f t="shared" si="35"/>
        <v>#N/A</v>
      </c>
      <c r="G309" s="7" t="e">
        <f t="shared" si="35"/>
        <v>#N/A</v>
      </c>
    </row>
    <row r="310" spans="2:7">
      <c r="B310" s="67">
        <f t="shared" si="30"/>
        <v>43404</v>
      </c>
      <c r="C310" s="7" t="e">
        <f t="shared" si="35"/>
        <v>#N/A</v>
      </c>
      <c r="D310" s="7" t="e">
        <f t="shared" si="35"/>
        <v>#N/A</v>
      </c>
      <c r="E310" s="7" t="e">
        <f t="shared" si="35"/>
        <v>#N/A</v>
      </c>
      <c r="F310" s="7" t="e">
        <f t="shared" si="35"/>
        <v>#N/A</v>
      </c>
      <c r="G310" s="7" t="e">
        <f t="shared" si="35"/>
        <v>#N/A</v>
      </c>
    </row>
    <row r="311" spans="2:7">
      <c r="B311" s="67">
        <f t="shared" si="30"/>
        <v>43405</v>
      </c>
      <c r="C311" s="7" t="e">
        <f t="shared" si="35"/>
        <v>#N/A</v>
      </c>
      <c r="D311" s="7" t="e">
        <f t="shared" si="35"/>
        <v>#N/A</v>
      </c>
      <c r="E311" s="7" t="e">
        <f t="shared" si="35"/>
        <v>#N/A</v>
      </c>
      <c r="F311" s="7" t="e">
        <f t="shared" si="35"/>
        <v>#N/A</v>
      </c>
      <c r="G311" s="7" t="e">
        <f t="shared" si="35"/>
        <v>#N/A</v>
      </c>
    </row>
    <row r="312" spans="2:7">
      <c r="B312" s="67">
        <f t="shared" si="30"/>
        <v>43406</v>
      </c>
      <c r="C312" s="7" t="e">
        <f t="shared" si="35"/>
        <v>#N/A</v>
      </c>
      <c r="D312" s="7" t="e">
        <f t="shared" si="35"/>
        <v>#N/A</v>
      </c>
      <c r="E312" s="7" t="e">
        <f t="shared" si="35"/>
        <v>#N/A</v>
      </c>
      <c r="F312" s="7" t="e">
        <f t="shared" si="35"/>
        <v>#N/A</v>
      </c>
      <c r="G312" s="7" t="e">
        <f t="shared" si="35"/>
        <v>#N/A</v>
      </c>
    </row>
    <row r="313" spans="2:7">
      <c r="B313" s="67">
        <f t="shared" si="30"/>
        <v>43407</v>
      </c>
      <c r="C313" s="7" t="e">
        <f t="shared" si="35"/>
        <v>#N/A</v>
      </c>
      <c r="D313" s="7" t="e">
        <f t="shared" si="35"/>
        <v>#N/A</v>
      </c>
      <c r="E313" s="7" t="e">
        <f t="shared" si="35"/>
        <v>#N/A</v>
      </c>
      <c r="F313" s="7" t="e">
        <f t="shared" si="35"/>
        <v>#N/A</v>
      </c>
      <c r="G313" s="7" t="e">
        <f t="shared" si="35"/>
        <v>#N/A</v>
      </c>
    </row>
    <row r="314" spans="2:7">
      <c r="B314" s="67">
        <f t="shared" si="30"/>
        <v>43408</v>
      </c>
      <c r="C314" s="7" t="e">
        <f t="shared" si="35"/>
        <v>#N/A</v>
      </c>
      <c r="D314" s="7" t="e">
        <f t="shared" si="35"/>
        <v>#N/A</v>
      </c>
      <c r="E314" s="7" t="e">
        <f t="shared" si="35"/>
        <v>#N/A</v>
      </c>
      <c r="F314" s="7" t="e">
        <f t="shared" si="35"/>
        <v>#N/A</v>
      </c>
      <c r="G314" s="7" t="e">
        <f t="shared" si="35"/>
        <v>#N/A</v>
      </c>
    </row>
    <row r="315" spans="2:7">
      <c r="B315" s="67">
        <f t="shared" si="30"/>
        <v>43409</v>
      </c>
      <c r="C315" s="7" t="e">
        <f t="shared" si="35"/>
        <v>#N/A</v>
      </c>
      <c r="D315" s="7" t="e">
        <f t="shared" si="35"/>
        <v>#N/A</v>
      </c>
      <c r="E315" s="7" t="e">
        <f t="shared" si="35"/>
        <v>#N/A</v>
      </c>
      <c r="F315" s="7" t="e">
        <f t="shared" si="35"/>
        <v>#N/A</v>
      </c>
      <c r="G315" s="7" t="e">
        <f t="shared" si="35"/>
        <v>#N/A</v>
      </c>
    </row>
    <row r="316" spans="2:7">
      <c r="B316" s="67">
        <f t="shared" si="30"/>
        <v>43410</v>
      </c>
      <c r="C316" s="7" t="e">
        <f t="shared" si="35"/>
        <v>#N/A</v>
      </c>
      <c r="D316" s="7" t="e">
        <f t="shared" si="35"/>
        <v>#N/A</v>
      </c>
      <c r="E316" s="7" t="e">
        <f t="shared" si="35"/>
        <v>#N/A</v>
      </c>
      <c r="F316" s="7" t="e">
        <f t="shared" si="35"/>
        <v>#N/A</v>
      </c>
      <c r="G316" s="7" t="e">
        <f t="shared" si="35"/>
        <v>#N/A</v>
      </c>
    </row>
    <row r="317" spans="2:7">
      <c r="B317" s="67">
        <f t="shared" si="30"/>
        <v>43411</v>
      </c>
      <c r="C317" s="7" t="e">
        <f t="shared" ref="C317:G326" si="36">IF(AND($B317&gt;=C$3,$B317&lt;=C$4),C$5,NA())</f>
        <v>#N/A</v>
      </c>
      <c r="D317" s="7" t="e">
        <f t="shared" si="36"/>
        <v>#N/A</v>
      </c>
      <c r="E317" s="7" t="e">
        <f t="shared" si="36"/>
        <v>#N/A</v>
      </c>
      <c r="F317" s="7" t="e">
        <f t="shared" si="36"/>
        <v>#N/A</v>
      </c>
      <c r="G317" s="7" t="e">
        <f t="shared" si="36"/>
        <v>#N/A</v>
      </c>
    </row>
    <row r="318" spans="2:7">
      <c r="B318" s="67">
        <f t="shared" si="30"/>
        <v>43412</v>
      </c>
      <c r="C318" s="7" t="e">
        <f t="shared" si="36"/>
        <v>#N/A</v>
      </c>
      <c r="D318" s="7" t="e">
        <f t="shared" si="36"/>
        <v>#N/A</v>
      </c>
      <c r="E318" s="7" t="e">
        <f t="shared" si="36"/>
        <v>#N/A</v>
      </c>
      <c r="F318" s="7" t="e">
        <f t="shared" si="36"/>
        <v>#N/A</v>
      </c>
      <c r="G318" s="7" t="e">
        <f t="shared" si="36"/>
        <v>#N/A</v>
      </c>
    </row>
    <row r="319" spans="2:7">
      <c r="B319" s="67">
        <f t="shared" si="30"/>
        <v>43413</v>
      </c>
      <c r="C319" s="7" t="e">
        <f t="shared" si="36"/>
        <v>#N/A</v>
      </c>
      <c r="D319" s="7" t="e">
        <f t="shared" si="36"/>
        <v>#N/A</v>
      </c>
      <c r="E319" s="7" t="e">
        <f t="shared" si="36"/>
        <v>#N/A</v>
      </c>
      <c r="F319" s="7" t="e">
        <f t="shared" si="36"/>
        <v>#N/A</v>
      </c>
      <c r="G319" s="7" t="e">
        <f t="shared" si="36"/>
        <v>#N/A</v>
      </c>
    </row>
    <row r="320" spans="2:7">
      <c r="B320" s="67">
        <f t="shared" si="30"/>
        <v>43414</v>
      </c>
      <c r="C320" s="7" t="e">
        <f t="shared" si="36"/>
        <v>#N/A</v>
      </c>
      <c r="D320" s="7" t="e">
        <f t="shared" si="36"/>
        <v>#N/A</v>
      </c>
      <c r="E320" s="7" t="e">
        <f t="shared" si="36"/>
        <v>#N/A</v>
      </c>
      <c r="F320" s="7" t="e">
        <f t="shared" si="36"/>
        <v>#N/A</v>
      </c>
      <c r="G320" s="7" t="e">
        <f t="shared" si="36"/>
        <v>#N/A</v>
      </c>
    </row>
    <row r="321" spans="2:7">
      <c r="B321" s="67">
        <f t="shared" si="30"/>
        <v>43415</v>
      </c>
      <c r="C321" s="7" t="e">
        <f t="shared" si="36"/>
        <v>#N/A</v>
      </c>
      <c r="D321" s="7" t="e">
        <f t="shared" si="36"/>
        <v>#N/A</v>
      </c>
      <c r="E321" s="7" t="e">
        <f t="shared" si="36"/>
        <v>#N/A</v>
      </c>
      <c r="F321" s="7" t="e">
        <f t="shared" si="36"/>
        <v>#N/A</v>
      </c>
      <c r="G321" s="7" t="e">
        <f t="shared" si="36"/>
        <v>#N/A</v>
      </c>
    </row>
    <row r="322" spans="2:7">
      <c r="B322" s="67">
        <f t="shared" si="30"/>
        <v>43416</v>
      </c>
      <c r="C322" s="7" t="e">
        <f t="shared" si="36"/>
        <v>#N/A</v>
      </c>
      <c r="D322" s="7" t="e">
        <f t="shared" si="36"/>
        <v>#N/A</v>
      </c>
      <c r="E322" s="7" t="e">
        <f t="shared" si="36"/>
        <v>#N/A</v>
      </c>
      <c r="F322" s="7" t="e">
        <f t="shared" si="36"/>
        <v>#N/A</v>
      </c>
      <c r="G322" s="7" t="e">
        <f t="shared" si="36"/>
        <v>#N/A</v>
      </c>
    </row>
    <row r="323" spans="2:7">
      <c r="B323" s="67">
        <f t="shared" si="30"/>
        <v>43417</v>
      </c>
      <c r="C323" s="7">
        <f t="shared" si="36"/>
        <v>5</v>
      </c>
      <c r="D323" s="7" t="e">
        <f t="shared" si="36"/>
        <v>#N/A</v>
      </c>
      <c r="E323" s="7" t="e">
        <f t="shared" si="36"/>
        <v>#N/A</v>
      </c>
      <c r="F323" s="7" t="e">
        <f t="shared" si="36"/>
        <v>#N/A</v>
      </c>
      <c r="G323" s="7" t="e">
        <f t="shared" si="36"/>
        <v>#N/A</v>
      </c>
    </row>
    <row r="324" spans="2:7">
      <c r="B324" s="67">
        <f t="shared" si="30"/>
        <v>43418</v>
      </c>
      <c r="C324" s="7">
        <f t="shared" si="36"/>
        <v>5</v>
      </c>
      <c r="D324" s="7" t="e">
        <f t="shared" si="36"/>
        <v>#N/A</v>
      </c>
      <c r="E324" s="7" t="e">
        <f t="shared" si="36"/>
        <v>#N/A</v>
      </c>
      <c r="F324" s="7" t="e">
        <f t="shared" si="36"/>
        <v>#N/A</v>
      </c>
      <c r="G324" s="7" t="e">
        <f t="shared" si="36"/>
        <v>#N/A</v>
      </c>
    </row>
    <row r="325" spans="2:7">
      <c r="B325" s="67">
        <f t="shared" si="30"/>
        <v>43419</v>
      </c>
      <c r="C325" s="7">
        <f t="shared" si="36"/>
        <v>5</v>
      </c>
      <c r="D325" s="7" t="e">
        <f t="shared" si="36"/>
        <v>#N/A</v>
      </c>
      <c r="E325" s="7" t="e">
        <f t="shared" si="36"/>
        <v>#N/A</v>
      </c>
      <c r="F325" s="7" t="e">
        <f t="shared" si="36"/>
        <v>#N/A</v>
      </c>
      <c r="G325" s="7" t="e">
        <f t="shared" si="36"/>
        <v>#N/A</v>
      </c>
    </row>
    <row r="326" spans="2:7">
      <c r="B326" s="67">
        <f t="shared" si="30"/>
        <v>43420</v>
      </c>
      <c r="C326" s="7">
        <f t="shared" si="36"/>
        <v>5</v>
      </c>
      <c r="D326" s="7" t="e">
        <f t="shared" si="36"/>
        <v>#N/A</v>
      </c>
      <c r="E326" s="7" t="e">
        <f t="shared" si="36"/>
        <v>#N/A</v>
      </c>
      <c r="F326" s="7" t="e">
        <f t="shared" si="36"/>
        <v>#N/A</v>
      </c>
      <c r="G326" s="7" t="e">
        <f t="shared" si="36"/>
        <v>#N/A</v>
      </c>
    </row>
    <row r="327" spans="2:7">
      <c r="B327" s="67">
        <f t="shared" si="30"/>
        <v>43421</v>
      </c>
      <c r="C327" s="7">
        <f t="shared" ref="C327:G336" si="37">IF(AND($B327&gt;=C$3,$B327&lt;=C$4),C$5,NA())</f>
        <v>5</v>
      </c>
      <c r="D327" s="7" t="e">
        <f t="shared" si="37"/>
        <v>#N/A</v>
      </c>
      <c r="E327" s="7" t="e">
        <f t="shared" si="37"/>
        <v>#N/A</v>
      </c>
      <c r="F327" s="7" t="e">
        <f t="shared" si="37"/>
        <v>#N/A</v>
      </c>
      <c r="G327" s="7" t="e">
        <f t="shared" si="37"/>
        <v>#N/A</v>
      </c>
    </row>
    <row r="328" spans="2:7">
      <c r="B328" s="67">
        <f t="shared" ref="B328:B391" si="38">B327+1</f>
        <v>43422</v>
      </c>
      <c r="C328" s="7">
        <f t="shared" si="37"/>
        <v>5</v>
      </c>
      <c r="D328" s="7" t="e">
        <f t="shared" si="37"/>
        <v>#N/A</v>
      </c>
      <c r="E328" s="7" t="e">
        <f t="shared" si="37"/>
        <v>#N/A</v>
      </c>
      <c r="F328" s="7" t="e">
        <f t="shared" si="37"/>
        <v>#N/A</v>
      </c>
      <c r="G328" s="7" t="e">
        <f t="shared" si="37"/>
        <v>#N/A</v>
      </c>
    </row>
    <row r="329" spans="2:7">
      <c r="B329" s="67">
        <f t="shared" si="38"/>
        <v>43423</v>
      </c>
      <c r="C329" s="7">
        <f t="shared" si="37"/>
        <v>5</v>
      </c>
      <c r="D329" s="7" t="e">
        <f t="shared" si="37"/>
        <v>#N/A</v>
      </c>
      <c r="E329" s="7" t="e">
        <f t="shared" si="37"/>
        <v>#N/A</v>
      </c>
      <c r="F329" s="7" t="e">
        <f t="shared" si="37"/>
        <v>#N/A</v>
      </c>
      <c r="G329" s="7" t="e">
        <f t="shared" si="37"/>
        <v>#N/A</v>
      </c>
    </row>
    <row r="330" spans="2:7">
      <c r="B330" s="67">
        <f t="shared" si="38"/>
        <v>43424</v>
      </c>
      <c r="C330" s="7">
        <f t="shared" si="37"/>
        <v>5</v>
      </c>
      <c r="D330" s="7" t="e">
        <f t="shared" si="37"/>
        <v>#N/A</v>
      </c>
      <c r="E330" s="7" t="e">
        <f t="shared" si="37"/>
        <v>#N/A</v>
      </c>
      <c r="F330" s="7" t="e">
        <f t="shared" si="37"/>
        <v>#N/A</v>
      </c>
      <c r="G330" s="7" t="e">
        <f t="shared" si="37"/>
        <v>#N/A</v>
      </c>
    </row>
    <row r="331" spans="2:7">
      <c r="B331" s="67">
        <f t="shared" si="38"/>
        <v>43425</v>
      </c>
      <c r="C331" s="7">
        <f t="shared" si="37"/>
        <v>5</v>
      </c>
      <c r="D331" s="7" t="e">
        <f t="shared" si="37"/>
        <v>#N/A</v>
      </c>
      <c r="E331" s="7" t="e">
        <f t="shared" si="37"/>
        <v>#N/A</v>
      </c>
      <c r="F331" s="7" t="e">
        <f t="shared" si="37"/>
        <v>#N/A</v>
      </c>
      <c r="G331" s="7" t="e">
        <f t="shared" si="37"/>
        <v>#N/A</v>
      </c>
    </row>
    <row r="332" spans="2:7">
      <c r="B332" s="67">
        <f t="shared" si="38"/>
        <v>43426</v>
      </c>
      <c r="C332" s="7">
        <f t="shared" si="37"/>
        <v>5</v>
      </c>
      <c r="D332" s="7" t="e">
        <f t="shared" si="37"/>
        <v>#N/A</v>
      </c>
      <c r="E332" s="7" t="e">
        <f t="shared" si="37"/>
        <v>#N/A</v>
      </c>
      <c r="F332" s="7" t="e">
        <f t="shared" si="37"/>
        <v>#N/A</v>
      </c>
      <c r="G332" s="7" t="e">
        <f t="shared" si="37"/>
        <v>#N/A</v>
      </c>
    </row>
    <row r="333" spans="2:7">
      <c r="B333" s="67">
        <f t="shared" si="38"/>
        <v>43427</v>
      </c>
      <c r="C333" s="7">
        <f t="shared" si="37"/>
        <v>5</v>
      </c>
      <c r="D333" s="7" t="e">
        <f t="shared" si="37"/>
        <v>#N/A</v>
      </c>
      <c r="E333" s="7" t="e">
        <f t="shared" si="37"/>
        <v>#N/A</v>
      </c>
      <c r="F333" s="7" t="e">
        <f t="shared" si="37"/>
        <v>#N/A</v>
      </c>
      <c r="G333" s="7" t="e">
        <f t="shared" si="37"/>
        <v>#N/A</v>
      </c>
    </row>
    <row r="334" spans="2:7">
      <c r="B334" s="67">
        <f t="shared" si="38"/>
        <v>43428</v>
      </c>
      <c r="C334" s="7">
        <f t="shared" si="37"/>
        <v>5</v>
      </c>
      <c r="D334" s="7" t="e">
        <f t="shared" si="37"/>
        <v>#N/A</v>
      </c>
      <c r="E334" s="7" t="e">
        <f t="shared" si="37"/>
        <v>#N/A</v>
      </c>
      <c r="F334" s="7" t="e">
        <f t="shared" si="37"/>
        <v>#N/A</v>
      </c>
      <c r="G334" s="7" t="e">
        <f t="shared" si="37"/>
        <v>#N/A</v>
      </c>
    </row>
    <row r="335" spans="2:7">
      <c r="B335" s="67">
        <f t="shared" si="38"/>
        <v>43429</v>
      </c>
      <c r="C335" s="7">
        <f t="shared" si="37"/>
        <v>5</v>
      </c>
      <c r="D335" s="7" t="e">
        <f t="shared" si="37"/>
        <v>#N/A</v>
      </c>
      <c r="E335" s="7" t="e">
        <f t="shared" si="37"/>
        <v>#N/A</v>
      </c>
      <c r="F335" s="7" t="e">
        <f t="shared" si="37"/>
        <v>#N/A</v>
      </c>
      <c r="G335" s="7" t="e">
        <f t="shared" si="37"/>
        <v>#N/A</v>
      </c>
    </row>
    <row r="336" spans="2:7">
      <c r="B336" s="67">
        <f t="shared" si="38"/>
        <v>43430</v>
      </c>
      <c r="C336" s="7">
        <f t="shared" si="37"/>
        <v>5</v>
      </c>
      <c r="D336" s="7" t="e">
        <f t="shared" si="37"/>
        <v>#N/A</v>
      </c>
      <c r="E336" s="7" t="e">
        <f t="shared" si="37"/>
        <v>#N/A</v>
      </c>
      <c r="F336" s="7" t="e">
        <f t="shared" si="37"/>
        <v>#N/A</v>
      </c>
      <c r="G336" s="7" t="e">
        <f t="shared" si="37"/>
        <v>#N/A</v>
      </c>
    </row>
    <row r="337" spans="2:7">
      <c r="B337" s="67">
        <f t="shared" si="38"/>
        <v>43431</v>
      </c>
      <c r="C337" s="7">
        <f t="shared" ref="C337:G346" si="39">IF(AND($B337&gt;=C$3,$B337&lt;=C$4),C$5,NA())</f>
        <v>5</v>
      </c>
      <c r="D337" s="7" t="e">
        <f t="shared" si="39"/>
        <v>#N/A</v>
      </c>
      <c r="E337" s="7" t="e">
        <f t="shared" si="39"/>
        <v>#N/A</v>
      </c>
      <c r="F337" s="7" t="e">
        <f t="shared" si="39"/>
        <v>#N/A</v>
      </c>
      <c r="G337" s="7" t="e">
        <f t="shared" si="39"/>
        <v>#N/A</v>
      </c>
    </row>
    <row r="338" spans="2:7">
      <c r="B338" s="67">
        <f t="shared" si="38"/>
        <v>43432</v>
      </c>
      <c r="C338" s="7">
        <f t="shared" si="39"/>
        <v>5</v>
      </c>
      <c r="D338" s="7" t="e">
        <f t="shared" si="39"/>
        <v>#N/A</v>
      </c>
      <c r="E338" s="7" t="e">
        <f t="shared" si="39"/>
        <v>#N/A</v>
      </c>
      <c r="F338" s="7" t="e">
        <f t="shared" si="39"/>
        <v>#N/A</v>
      </c>
      <c r="G338" s="7" t="e">
        <f t="shared" si="39"/>
        <v>#N/A</v>
      </c>
    </row>
    <row r="339" spans="2:7">
      <c r="B339" s="67">
        <f t="shared" si="38"/>
        <v>43433</v>
      </c>
      <c r="C339" s="7">
        <f t="shared" si="39"/>
        <v>5</v>
      </c>
      <c r="D339" s="7" t="e">
        <f t="shared" si="39"/>
        <v>#N/A</v>
      </c>
      <c r="E339" s="7" t="e">
        <f t="shared" si="39"/>
        <v>#N/A</v>
      </c>
      <c r="F339" s="7" t="e">
        <f t="shared" si="39"/>
        <v>#N/A</v>
      </c>
      <c r="G339" s="7" t="e">
        <f t="shared" si="39"/>
        <v>#N/A</v>
      </c>
    </row>
    <row r="340" spans="2:7">
      <c r="B340" s="67">
        <f t="shared" si="38"/>
        <v>43434</v>
      </c>
      <c r="C340" s="7">
        <f t="shared" si="39"/>
        <v>5</v>
      </c>
      <c r="D340" s="7" t="e">
        <f t="shared" si="39"/>
        <v>#N/A</v>
      </c>
      <c r="E340" s="7" t="e">
        <f t="shared" si="39"/>
        <v>#N/A</v>
      </c>
      <c r="F340" s="7" t="e">
        <f t="shared" si="39"/>
        <v>#N/A</v>
      </c>
      <c r="G340" s="7" t="e">
        <f t="shared" si="39"/>
        <v>#N/A</v>
      </c>
    </row>
    <row r="341" spans="2:7">
      <c r="B341" s="67">
        <f t="shared" si="38"/>
        <v>43435</v>
      </c>
      <c r="C341" s="7">
        <f t="shared" si="39"/>
        <v>5</v>
      </c>
      <c r="D341" s="7" t="e">
        <f t="shared" si="39"/>
        <v>#N/A</v>
      </c>
      <c r="E341" s="7" t="e">
        <f t="shared" si="39"/>
        <v>#N/A</v>
      </c>
      <c r="F341" s="7" t="e">
        <f t="shared" si="39"/>
        <v>#N/A</v>
      </c>
      <c r="G341" s="7" t="e">
        <f t="shared" si="39"/>
        <v>#N/A</v>
      </c>
    </row>
    <row r="342" spans="2:7">
      <c r="B342" s="67">
        <f t="shared" si="38"/>
        <v>43436</v>
      </c>
      <c r="C342" s="7">
        <f t="shared" si="39"/>
        <v>5</v>
      </c>
      <c r="D342" s="7" t="e">
        <f t="shared" si="39"/>
        <v>#N/A</v>
      </c>
      <c r="E342" s="7" t="e">
        <f t="shared" si="39"/>
        <v>#N/A</v>
      </c>
      <c r="F342" s="7" t="e">
        <f t="shared" si="39"/>
        <v>#N/A</v>
      </c>
      <c r="G342" s="7" t="e">
        <f t="shared" si="39"/>
        <v>#N/A</v>
      </c>
    </row>
    <row r="343" spans="2:7">
      <c r="B343" s="67">
        <f t="shared" si="38"/>
        <v>43437</v>
      </c>
      <c r="C343" s="7">
        <f t="shared" si="39"/>
        <v>5</v>
      </c>
      <c r="D343" s="7" t="e">
        <f t="shared" si="39"/>
        <v>#N/A</v>
      </c>
      <c r="E343" s="7" t="e">
        <f t="shared" si="39"/>
        <v>#N/A</v>
      </c>
      <c r="F343" s="7" t="e">
        <f t="shared" si="39"/>
        <v>#N/A</v>
      </c>
      <c r="G343" s="7" t="e">
        <f t="shared" si="39"/>
        <v>#N/A</v>
      </c>
    </row>
    <row r="344" spans="2:7">
      <c r="B344" s="67">
        <f t="shared" si="38"/>
        <v>43438</v>
      </c>
      <c r="C344" s="7">
        <f t="shared" si="39"/>
        <v>5</v>
      </c>
      <c r="D344" s="7" t="e">
        <f t="shared" si="39"/>
        <v>#N/A</v>
      </c>
      <c r="E344" s="7" t="e">
        <f t="shared" si="39"/>
        <v>#N/A</v>
      </c>
      <c r="F344" s="7" t="e">
        <f t="shared" si="39"/>
        <v>#N/A</v>
      </c>
      <c r="G344" s="7" t="e">
        <f t="shared" si="39"/>
        <v>#N/A</v>
      </c>
    </row>
    <row r="345" spans="2:7">
      <c r="B345" s="67">
        <f t="shared" si="38"/>
        <v>43439</v>
      </c>
      <c r="C345" s="7">
        <f t="shared" si="39"/>
        <v>5</v>
      </c>
      <c r="D345" s="7" t="e">
        <f t="shared" si="39"/>
        <v>#N/A</v>
      </c>
      <c r="E345" s="7" t="e">
        <f t="shared" si="39"/>
        <v>#N/A</v>
      </c>
      <c r="F345" s="7" t="e">
        <f t="shared" si="39"/>
        <v>#N/A</v>
      </c>
      <c r="G345" s="7" t="e">
        <f t="shared" si="39"/>
        <v>#N/A</v>
      </c>
    </row>
    <row r="346" spans="2:7">
      <c r="B346" s="67">
        <f t="shared" si="38"/>
        <v>43440</v>
      </c>
      <c r="C346" s="7">
        <f t="shared" si="39"/>
        <v>5</v>
      </c>
      <c r="D346" s="7" t="e">
        <f t="shared" si="39"/>
        <v>#N/A</v>
      </c>
      <c r="E346" s="7" t="e">
        <f t="shared" si="39"/>
        <v>#N/A</v>
      </c>
      <c r="F346" s="7" t="e">
        <f t="shared" si="39"/>
        <v>#N/A</v>
      </c>
      <c r="G346" s="7" t="e">
        <f t="shared" si="39"/>
        <v>#N/A</v>
      </c>
    </row>
    <row r="347" spans="2:7">
      <c r="B347" s="67">
        <f t="shared" si="38"/>
        <v>43441</v>
      </c>
      <c r="C347" s="7">
        <f t="shared" ref="C347:G356" si="40">IF(AND($B347&gt;=C$3,$B347&lt;=C$4),C$5,NA())</f>
        <v>5</v>
      </c>
      <c r="D347" s="7" t="e">
        <f t="shared" si="40"/>
        <v>#N/A</v>
      </c>
      <c r="E347" s="7" t="e">
        <f t="shared" si="40"/>
        <v>#N/A</v>
      </c>
      <c r="F347" s="7" t="e">
        <f t="shared" si="40"/>
        <v>#N/A</v>
      </c>
      <c r="G347" s="7" t="e">
        <f t="shared" si="40"/>
        <v>#N/A</v>
      </c>
    </row>
    <row r="348" spans="2:7">
      <c r="B348" s="67">
        <f t="shared" si="38"/>
        <v>43442</v>
      </c>
      <c r="C348" s="7">
        <f t="shared" si="40"/>
        <v>5</v>
      </c>
      <c r="D348" s="7" t="e">
        <f t="shared" si="40"/>
        <v>#N/A</v>
      </c>
      <c r="E348" s="7" t="e">
        <f t="shared" si="40"/>
        <v>#N/A</v>
      </c>
      <c r="F348" s="7" t="e">
        <f t="shared" si="40"/>
        <v>#N/A</v>
      </c>
      <c r="G348" s="7" t="e">
        <f t="shared" si="40"/>
        <v>#N/A</v>
      </c>
    </row>
    <row r="349" spans="2:7">
      <c r="B349" s="67">
        <f t="shared" si="38"/>
        <v>43443</v>
      </c>
      <c r="C349" s="7">
        <f t="shared" si="40"/>
        <v>5</v>
      </c>
      <c r="D349" s="7" t="e">
        <f t="shared" si="40"/>
        <v>#N/A</v>
      </c>
      <c r="E349" s="7" t="e">
        <f t="shared" si="40"/>
        <v>#N/A</v>
      </c>
      <c r="F349" s="7" t="e">
        <f t="shared" si="40"/>
        <v>#N/A</v>
      </c>
      <c r="G349" s="7" t="e">
        <f t="shared" si="40"/>
        <v>#N/A</v>
      </c>
    </row>
    <row r="350" spans="2:7">
      <c r="B350" s="67">
        <f t="shared" si="38"/>
        <v>43444</v>
      </c>
      <c r="C350" s="7">
        <f t="shared" si="40"/>
        <v>5</v>
      </c>
      <c r="D350" s="7" t="e">
        <f t="shared" si="40"/>
        <v>#N/A</v>
      </c>
      <c r="E350" s="7" t="e">
        <f t="shared" si="40"/>
        <v>#N/A</v>
      </c>
      <c r="F350" s="7" t="e">
        <f t="shared" si="40"/>
        <v>#N/A</v>
      </c>
      <c r="G350" s="7" t="e">
        <f t="shared" si="40"/>
        <v>#N/A</v>
      </c>
    </row>
    <row r="351" spans="2:7">
      <c r="B351" s="67">
        <f t="shared" si="38"/>
        <v>43445</v>
      </c>
      <c r="C351" s="7">
        <f t="shared" si="40"/>
        <v>5</v>
      </c>
      <c r="D351" s="7" t="e">
        <f t="shared" si="40"/>
        <v>#N/A</v>
      </c>
      <c r="E351" s="7" t="e">
        <f t="shared" si="40"/>
        <v>#N/A</v>
      </c>
      <c r="F351" s="7" t="e">
        <f t="shared" si="40"/>
        <v>#N/A</v>
      </c>
      <c r="G351" s="7" t="e">
        <f t="shared" si="40"/>
        <v>#N/A</v>
      </c>
    </row>
    <row r="352" spans="2:7">
      <c r="B352" s="67">
        <f t="shared" si="38"/>
        <v>43446</v>
      </c>
      <c r="C352" s="7">
        <f t="shared" si="40"/>
        <v>5</v>
      </c>
      <c r="D352" s="7" t="e">
        <f t="shared" si="40"/>
        <v>#N/A</v>
      </c>
      <c r="E352" s="7" t="e">
        <f t="shared" si="40"/>
        <v>#N/A</v>
      </c>
      <c r="F352" s="7" t="e">
        <f t="shared" si="40"/>
        <v>#N/A</v>
      </c>
      <c r="G352" s="7" t="e">
        <f t="shared" si="40"/>
        <v>#N/A</v>
      </c>
    </row>
    <row r="353" spans="2:7">
      <c r="B353" s="67">
        <f t="shared" si="38"/>
        <v>43447</v>
      </c>
      <c r="C353" s="7">
        <f t="shared" si="40"/>
        <v>5</v>
      </c>
      <c r="D353" s="7" t="e">
        <f t="shared" si="40"/>
        <v>#N/A</v>
      </c>
      <c r="E353" s="7" t="e">
        <f t="shared" si="40"/>
        <v>#N/A</v>
      </c>
      <c r="F353" s="7" t="e">
        <f t="shared" si="40"/>
        <v>#N/A</v>
      </c>
      <c r="G353" s="7" t="e">
        <f t="shared" si="40"/>
        <v>#N/A</v>
      </c>
    </row>
    <row r="354" spans="2:7">
      <c r="B354" s="67">
        <f t="shared" si="38"/>
        <v>43448</v>
      </c>
      <c r="C354" s="7">
        <f t="shared" si="40"/>
        <v>5</v>
      </c>
      <c r="D354" s="7" t="e">
        <f t="shared" si="40"/>
        <v>#N/A</v>
      </c>
      <c r="E354" s="7" t="e">
        <f t="shared" si="40"/>
        <v>#N/A</v>
      </c>
      <c r="F354" s="7" t="e">
        <f t="shared" si="40"/>
        <v>#N/A</v>
      </c>
      <c r="G354" s="7" t="e">
        <f t="shared" si="40"/>
        <v>#N/A</v>
      </c>
    </row>
    <row r="355" spans="2:7">
      <c r="B355" s="67">
        <f t="shared" si="38"/>
        <v>43449</v>
      </c>
      <c r="C355" s="7">
        <f t="shared" si="40"/>
        <v>5</v>
      </c>
      <c r="D355" s="7" t="e">
        <f t="shared" si="40"/>
        <v>#N/A</v>
      </c>
      <c r="E355" s="7" t="e">
        <f t="shared" si="40"/>
        <v>#N/A</v>
      </c>
      <c r="F355" s="7" t="e">
        <f t="shared" si="40"/>
        <v>#N/A</v>
      </c>
      <c r="G355" s="7" t="e">
        <f t="shared" si="40"/>
        <v>#N/A</v>
      </c>
    </row>
    <row r="356" spans="2:7">
      <c r="B356" s="67">
        <f t="shared" si="38"/>
        <v>43450</v>
      </c>
      <c r="C356" s="7">
        <f t="shared" si="40"/>
        <v>5</v>
      </c>
      <c r="D356" s="7" t="e">
        <f t="shared" si="40"/>
        <v>#N/A</v>
      </c>
      <c r="E356" s="7" t="e">
        <f t="shared" si="40"/>
        <v>#N/A</v>
      </c>
      <c r="F356" s="7" t="e">
        <f t="shared" si="40"/>
        <v>#N/A</v>
      </c>
      <c r="G356" s="7" t="e">
        <f t="shared" si="40"/>
        <v>#N/A</v>
      </c>
    </row>
    <row r="357" spans="2:7">
      <c r="B357" s="67">
        <f t="shared" si="38"/>
        <v>43451</v>
      </c>
      <c r="C357" s="7">
        <f t="shared" ref="C357:G366" si="41">IF(AND($B357&gt;=C$3,$B357&lt;=C$4),C$5,NA())</f>
        <v>5</v>
      </c>
      <c r="D357" s="7" t="e">
        <f t="shared" si="41"/>
        <v>#N/A</v>
      </c>
      <c r="E357" s="7" t="e">
        <f t="shared" si="41"/>
        <v>#N/A</v>
      </c>
      <c r="F357" s="7" t="e">
        <f t="shared" si="41"/>
        <v>#N/A</v>
      </c>
      <c r="G357" s="7" t="e">
        <f t="shared" si="41"/>
        <v>#N/A</v>
      </c>
    </row>
    <row r="358" spans="2:7">
      <c r="B358" s="67">
        <f t="shared" si="38"/>
        <v>43452</v>
      </c>
      <c r="C358" s="7">
        <f t="shared" si="41"/>
        <v>5</v>
      </c>
      <c r="D358" s="7" t="e">
        <f t="shared" si="41"/>
        <v>#N/A</v>
      </c>
      <c r="E358" s="7" t="e">
        <f t="shared" si="41"/>
        <v>#N/A</v>
      </c>
      <c r="F358" s="7" t="e">
        <f t="shared" si="41"/>
        <v>#N/A</v>
      </c>
      <c r="G358" s="7" t="e">
        <f t="shared" si="41"/>
        <v>#N/A</v>
      </c>
    </row>
    <row r="359" spans="2:7">
      <c r="B359" s="67">
        <f t="shared" si="38"/>
        <v>43453</v>
      </c>
      <c r="C359" s="7">
        <f t="shared" si="41"/>
        <v>5</v>
      </c>
      <c r="D359" s="7" t="e">
        <f t="shared" si="41"/>
        <v>#N/A</v>
      </c>
      <c r="E359" s="7" t="e">
        <f t="shared" si="41"/>
        <v>#N/A</v>
      </c>
      <c r="F359" s="7" t="e">
        <f t="shared" si="41"/>
        <v>#N/A</v>
      </c>
      <c r="G359" s="7" t="e">
        <f t="shared" si="41"/>
        <v>#N/A</v>
      </c>
    </row>
    <row r="360" spans="2:7">
      <c r="B360" s="67">
        <f t="shared" si="38"/>
        <v>43454</v>
      </c>
      <c r="C360" s="7">
        <f t="shared" si="41"/>
        <v>5</v>
      </c>
      <c r="D360" s="7" t="e">
        <f t="shared" si="41"/>
        <v>#N/A</v>
      </c>
      <c r="E360" s="7" t="e">
        <f t="shared" si="41"/>
        <v>#N/A</v>
      </c>
      <c r="F360" s="7" t="e">
        <f t="shared" si="41"/>
        <v>#N/A</v>
      </c>
      <c r="G360" s="7" t="e">
        <f t="shared" si="41"/>
        <v>#N/A</v>
      </c>
    </row>
    <row r="361" spans="2:7">
      <c r="B361" s="67">
        <f t="shared" si="38"/>
        <v>43455</v>
      </c>
      <c r="C361" s="7">
        <f t="shared" si="41"/>
        <v>5</v>
      </c>
      <c r="D361" s="7" t="e">
        <f t="shared" si="41"/>
        <v>#N/A</v>
      </c>
      <c r="E361" s="7" t="e">
        <f t="shared" si="41"/>
        <v>#N/A</v>
      </c>
      <c r="F361" s="7" t="e">
        <f t="shared" si="41"/>
        <v>#N/A</v>
      </c>
      <c r="G361" s="7" t="e">
        <f t="shared" si="41"/>
        <v>#N/A</v>
      </c>
    </row>
    <row r="362" spans="2:7">
      <c r="B362" s="67">
        <f t="shared" si="38"/>
        <v>43456</v>
      </c>
      <c r="C362" s="7">
        <f t="shared" si="41"/>
        <v>5</v>
      </c>
      <c r="D362" s="7" t="e">
        <f t="shared" si="41"/>
        <v>#N/A</v>
      </c>
      <c r="E362" s="7" t="e">
        <f t="shared" si="41"/>
        <v>#N/A</v>
      </c>
      <c r="F362" s="7" t="e">
        <f t="shared" si="41"/>
        <v>#N/A</v>
      </c>
      <c r="G362" s="7" t="e">
        <f t="shared" si="41"/>
        <v>#N/A</v>
      </c>
    </row>
    <row r="363" spans="2:7">
      <c r="B363" s="67">
        <f t="shared" si="38"/>
        <v>43457</v>
      </c>
      <c r="C363" s="7">
        <f t="shared" si="41"/>
        <v>5</v>
      </c>
      <c r="D363" s="7" t="e">
        <f t="shared" si="41"/>
        <v>#N/A</v>
      </c>
      <c r="E363" s="7" t="e">
        <f t="shared" si="41"/>
        <v>#N/A</v>
      </c>
      <c r="F363" s="7" t="e">
        <f t="shared" si="41"/>
        <v>#N/A</v>
      </c>
      <c r="G363" s="7" t="e">
        <f t="shared" si="41"/>
        <v>#N/A</v>
      </c>
    </row>
    <row r="364" spans="2:7">
      <c r="B364" s="67">
        <f t="shared" si="38"/>
        <v>43458</v>
      </c>
      <c r="C364" s="7">
        <f t="shared" si="41"/>
        <v>5</v>
      </c>
      <c r="D364" s="7" t="e">
        <f t="shared" si="41"/>
        <v>#N/A</v>
      </c>
      <c r="E364" s="7" t="e">
        <f t="shared" si="41"/>
        <v>#N/A</v>
      </c>
      <c r="F364" s="7" t="e">
        <f t="shared" si="41"/>
        <v>#N/A</v>
      </c>
      <c r="G364" s="7" t="e">
        <f t="shared" si="41"/>
        <v>#N/A</v>
      </c>
    </row>
    <row r="365" spans="2:7">
      <c r="B365" s="67">
        <f t="shared" si="38"/>
        <v>43459</v>
      </c>
      <c r="C365" s="7">
        <f t="shared" si="41"/>
        <v>5</v>
      </c>
      <c r="D365" s="7" t="e">
        <f t="shared" si="41"/>
        <v>#N/A</v>
      </c>
      <c r="E365" s="7" t="e">
        <f t="shared" si="41"/>
        <v>#N/A</v>
      </c>
      <c r="F365" s="7" t="e">
        <f t="shared" si="41"/>
        <v>#N/A</v>
      </c>
      <c r="G365" s="7" t="e">
        <f t="shared" si="41"/>
        <v>#N/A</v>
      </c>
    </row>
    <row r="366" spans="2:7">
      <c r="B366" s="67">
        <f t="shared" si="38"/>
        <v>43460</v>
      </c>
      <c r="C366" s="7">
        <f t="shared" si="41"/>
        <v>5</v>
      </c>
      <c r="D366" s="7" t="e">
        <f t="shared" si="41"/>
        <v>#N/A</v>
      </c>
      <c r="E366" s="7" t="e">
        <f t="shared" si="41"/>
        <v>#N/A</v>
      </c>
      <c r="F366" s="7" t="e">
        <f t="shared" si="41"/>
        <v>#N/A</v>
      </c>
      <c r="G366" s="7" t="e">
        <f t="shared" si="41"/>
        <v>#N/A</v>
      </c>
    </row>
    <row r="367" spans="2:7">
      <c r="B367" s="67">
        <f t="shared" si="38"/>
        <v>43461</v>
      </c>
      <c r="C367" s="7">
        <f t="shared" ref="C367:G376" si="42">IF(AND($B367&gt;=C$3,$B367&lt;=C$4),C$5,NA())</f>
        <v>5</v>
      </c>
      <c r="D367" s="7" t="e">
        <f t="shared" si="42"/>
        <v>#N/A</v>
      </c>
      <c r="E367" s="7" t="e">
        <f t="shared" si="42"/>
        <v>#N/A</v>
      </c>
      <c r="F367" s="7" t="e">
        <f t="shared" si="42"/>
        <v>#N/A</v>
      </c>
      <c r="G367" s="7" t="e">
        <f t="shared" si="42"/>
        <v>#N/A</v>
      </c>
    </row>
    <row r="368" spans="2:7">
      <c r="B368" s="67">
        <f t="shared" si="38"/>
        <v>43462</v>
      </c>
      <c r="C368" s="7">
        <f t="shared" si="42"/>
        <v>5</v>
      </c>
      <c r="D368" s="7" t="e">
        <f t="shared" si="42"/>
        <v>#N/A</v>
      </c>
      <c r="E368" s="7" t="e">
        <f t="shared" si="42"/>
        <v>#N/A</v>
      </c>
      <c r="F368" s="7" t="e">
        <f t="shared" si="42"/>
        <v>#N/A</v>
      </c>
      <c r="G368" s="7" t="e">
        <f t="shared" si="42"/>
        <v>#N/A</v>
      </c>
    </row>
    <row r="369" spans="2:7">
      <c r="B369" s="67">
        <f t="shared" si="38"/>
        <v>43463</v>
      </c>
      <c r="C369" s="7">
        <f t="shared" si="42"/>
        <v>5</v>
      </c>
      <c r="D369" s="7" t="e">
        <f t="shared" si="42"/>
        <v>#N/A</v>
      </c>
      <c r="E369" s="7" t="e">
        <f t="shared" si="42"/>
        <v>#N/A</v>
      </c>
      <c r="F369" s="7" t="e">
        <f t="shared" si="42"/>
        <v>#N/A</v>
      </c>
      <c r="G369" s="7" t="e">
        <f t="shared" si="42"/>
        <v>#N/A</v>
      </c>
    </row>
    <row r="370" spans="2:7">
      <c r="B370" s="67">
        <f t="shared" si="38"/>
        <v>43464</v>
      </c>
      <c r="C370" s="7">
        <f t="shared" si="42"/>
        <v>5</v>
      </c>
      <c r="D370" s="7" t="e">
        <f t="shared" si="42"/>
        <v>#N/A</v>
      </c>
      <c r="E370" s="7" t="e">
        <f t="shared" si="42"/>
        <v>#N/A</v>
      </c>
      <c r="F370" s="7" t="e">
        <f t="shared" si="42"/>
        <v>#N/A</v>
      </c>
      <c r="G370" s="7" t="e">
        <f t="shared" si="42"/>
        <v>#N/A</v>
      </c>
    </row>
    <row r="371" spans="2:7">
      <c r="B371" s="67">
        <f t="shared" si="38"/>
        <v>43465</v>
      </c>
      <c r="C371" s="7">
        <f t="shared" si="42"/>
        <v>5</v>
      </c>
      <c r="D371" s="7" t="e">
        <f t="shared" si="42"/>
        <v>#N/A</v>
      </c>
      <c r="E371" s="7" t="e">
        <f t="shared" si="42"/>
        <v>#N/A</v>
      </c>
      <c r="F371" s="7" t="e">
        <f t="shared" si="42"/>
        <v>#N/A</v>
      </c>
      <c r="G371" s="7" t="e">
        <f t="shared" si="42"/>
        <v>#N/A</v>
      </c>
    </row>
    <row r="372" spans="2:7">
      <c r="B372" s="67">
        <f t="shared" si="38"/>
        <v>43466</v>
      </c>
      <c r="C372" s="7">
        <f t="shared" si="42"/>
        <v>5</v>
      </c>
      <c r="D372" s="7" t="e">
        <f t="shared" si="42"/>
        <v>#N/A</v>
      </c>
      <c r="E372" s="7" t="e">
        <f t="shared" si="42"/>
        <v>#N/A</v>
      </c>
      <c r="F372" s="7" t="e">
        <f t="shared" si="42"/>
        <v>#N/A</v>
      </c>
      <c r="G372" s="7" t="e">
        <f t="shared" si="42"/>
        <v>#N/A</v>
      </c>
    </row>
    <row r="373" spans="2:7">
      <c r="B373" s="67">
        <f t="shared" si="38"/>
        <v>43467</v>
      </c>
      <c r="C373" s="7">
        <f t="shared" si="42"/>
        <v>5</v>
      </c>
      <c r="D373" s="7" t="e">
        <f t="shared" si="42"/>
        <v>#N/A</v>
      </c>
      <c r="E373" s="7" t="e">
        <f t="shared" si="42"/>
        <v>#N/A</v>
      </c>
      <c r="F373" s="7" t="e">
        <f t="shared" si="42"/>
        <v>#N/A</v>
      </c>
      <c r="G373" s="7" t="e">
        <f t="shared" si="42"/>
        <v>#N/A</v>
      </c>
    </row>
    <row r="374" spans="2:7">
      <c r="B374" s="67">
        <f t="shared" si="38"/>
        <v>43468</v>
      </c>
      <c r="C374" s="7">
        <f t="shared" si="42"/>
        <v>5</v>
      </c>
      <c r="D374" s="7" t="e">
        <f t="shared" si="42"/>
        <v>#N/A</v>
      </c>
      <c r="E374" s="7" t="e">
        <f t="shared" si="42"/>
        <v>#N/A</v>
      </c>
      <c r="F374" s="7" t="e">
        <f t="shared" si="42"/>
        <v>#N/A</v>
      </c>
      <c r="G374" s="7" t="e">
        <f t="shared" si="42"/>
        <v>#N/A</v>
      </c>
    </row>
    <row r="375" spans="2:7">
      <c r="B375" s="67">
        <f t="shared" si="38"/>
        <v>43469</v>
      </c>
      <c r="C375" s="7">
        <f t="shared" si="42"/>
        <v>5</v>
      </c>
      <c r="D375" s="7" t="e">
        <f t="shared" si="42"/>
        <v>#N/A</v>
      </c>
      <c r="E375" s="7" t="e">
        <f t="shared" si="42"/>
        <v>#N/A</v>
      </c>
      <c r="F375" s="7" t="e">
        <f t="shared" si="42"/>
        <v>#N/A</v>
      </c>
      <c r="G375" s="7" t="e">
        <f t="shared" si="42"/>
        <v>#N/A</v>
      </c>
    </row>
    <row r="376" spans="2:7">
      <c r="B376" s="67">
        <f t="shared" si="38"/>
        <v>43470</v>
      </c>
      <c r="C376" s="7">
        <f t="shared" si="42"/>
        <v>5</v>
      </c>
      <c r="D376" s="7" t="e">
        <f t="shared" si="42"/>
        <v>#N/A</v>
      </c>
      <c r="E376" s="7" t="e">
        <f t="shared" si="42"/>
        <v>#N/A</v>
      </c>
      <c r="F376" s="7" t="e">
        <f t="shared" si="42"/>
        <v>#N/A</v>
      </c>
      <c r="G376" s="7" t="e">
        <f t="shared" si="42"/>
        <v>#N/A</v>
      </c>
    </row>
    <row r="377" spans="2:7">
      <c r="B377" s="67">
        <f t="shared" si="38"/>
        <v>43471</v>
      </c>
      <c r="C377" s="7">
        <f t="shared" ref="C377:G386" si="43">IF(AND($B377&gt;=C$3,$B377&lt;=C$4),C$5,NA())</f>
        <v>5</v>
      </c>
      <c r="D377" s="7" t="e">
        <f t="shared" si="43"/>
        <v>#N/A</v>
      </c>
      <c r="E377" s="7" t="e">
        <f t="shared" si="43"/>
        <v>#N/A</v>
      </c>
      <c r="F377" s="7" t="e">
        <f t="shared" si="43"/>
        <v>#N/A</v>
      </c>
      <c r="G377" s="7" t="e">
        <f t="shared" si="43"/>
        <v>#N/A</v>
      </c>
    </row>
    <row r="378" spans="2:7">
      <c r="B378" s="67">
        <f t="shared" si="38"/>
        <v>43472</v>
      </c>
      <c r="C378" s="7">
        <f t="shared" si="43"/>
        <v>5</v>
      </c>
      <c r="D378" s="7" t="e">
        <f t="shared" si="43"/>
        <v>#N/A</v>
      </c>
      <c r="E378" s="7" t="e">
        <f t="shared" si="43"/>
        <v>#N/A</v>
      </c>
      <c r="F378" s="7" t="e">
        <f t="shared" si="43"/>
        <v>#N/A</v>
      </c>
      <c r="G378" s="7" t="e">
        <f t="shared" si="43"/>
        <v>#N/A</v>
      </c>
    </row>
    <row r="379" spans="2:7">
      <c r="B379" s="67">
        <f t="shared" si="38"/>
        <v>43473</v>
      </c>
      <c r="C379" s="7">
        <f t="shared" si="43"/>
        <v>5</v>
      </c>
      <c r="D379" s="7" t="e">
        <f t="shared" si="43"/>
        <v>#N/A</v>
      </c>
      <c r="E379" s="7" t="e">
        <f t="shared" si="43"/>
        <v>#N/A</v>
      </c>
      <c r="F379" s="7" t="e">
        <f t="shared" si="43"/>
        <v>#N/A</v>
      </c>
      <c r="G379" s="7" t="e">
        <f t="shared" si="43"/>
        <v>#N/A</v>
      </c>
    </row>
    <row r="380" spans="2:7">
      <c r="B380" s="67">
        <f t="shared" si="38"/>
        <v>43474</v>
      </c>
      <c r="C380" s="7">
        <f t="shared" si="43"/>
        <v>5</v>
      </c>
      <c r="D380" s="7" t="e">
        <f t="shared" si="43"/>
        <v>#N/A</v>
      </c>
      <c r="E380" s="7" t="e">
        <f t="shared" si="43"/>
        <v>#N/A</v>
      </c>
      <c r="F380" s="7" t="e">
        <f t="shared" si="43"/>
        <v>#N/A</v>
      </c>
      <c r="G380" s="7" t="e">
        <f t="shared" si="43"/>
        <v>#N/A</v>
      </c>
    </row>
    <row r="381" spans="2:7">
      <c r="B381" s="67">
        <f t="shared" si="38"/>
        <v>43475</v>
      </c>
      <c r="C381" s="7">
        <f t="shared" si="43"/>
        <v>5</v>
      </c>
      <c r="D381" s="7" t="e">
        <f t="shared" si="43"/>
        <v>#N/A</v>
      </c>
      <c r="E381" s="7" t="e">
        <f t="shared" si="43"/>
        <v>#N/A</v>
      </c>
      <c r="F381" s="7" t="e">
        <f t="shared" si="43"/>
        <v>#N/A</v>
      </c>
      <c r="G381" s="7" t="e">
        <f t="shared" si="43"/>
        <v>#N/A</v>
      </c>
    </row>
    <row r="382" spans="2:7">
      <c r="B382" s="67">
        <f t="shared" si="38"/>
        <v>43476</v>
      </c>
      <c r="C382" s="7">
        <f t="shared" si="43"/>
        <v>5</v>
      </c>
      <c r="D382" s="7" t="e">
        <f t="shared" si="43"/>
        <v>#N/A</v>
      </c>
      <c r="E382" s="7" t="e">
        <f t="shared" si="43"/>
        <v>#N/A</v>
      </c>
      <c r="F382" s="7" t="e">
        <f t="shared" si="43"/>
        <v>#N/A</v>
      </c>
      <c r="G382" s="7" t="e">
        <f t="shared" si="43"/>
        <v>#N/A</v>
      </c>
    </row>
    <row r="383" spans="2:7">
      <c r="B383" s="67">
        <f t="shared" si="38"/>
        <v>43477</v>
      </c>
      <c r="C383" s="7">
        <f t="shared" si="43"/>
        <v>5</v>
      </c>
      <c r="D383" s="7" t="e">
        <f t="shared" si="43"/>
        <v>#N/A</v>
      </c>
      <c r="E383" s="7" t="e">
        <f t="shared" si="43"/>
        <v>#N/A</v>
      </c>
      <c r="F383" s="7" t="e">
        <f t="shared" si="43"/>
        <v>#N/A</v>
      </c>
      <c r="G383" s="7" t="e">
        <f t="shared" si="43"/>
        <v>#N/A</v>
      </c>
    </row>
    <row r="384" spans="2:7">
      <c r="B384" s="67">
        <f t="shared" si="38"/>
        <v>43478</v>
      </c>
      <c r="C384" s="7">
        <f t="shared" si="43"/>
        <v>5</v>
      </c>
      <c r="D384" s="7" t="e">
        <f t="shared" si="43"/>
        <v>#N/A</v>
      </c>
      <c r="E384" s="7" t="e">
        <f t="shared" si="43"/>
        <v>#N/A</v>
      </c>
      <c r="F384" s="7" t="e">
        <f t="shared" si="43"/>
        <v>#N/A</v>
      </c>
      <c r="G384" s="7" t="e">
        <f t="shared" si="43"/>
        <v>#N/A</v>
      </c>
    </row>
    <row r="385" spans="2:7">
      <c r="B385" s="67">
        <f t="shared" si="38"/>
        <v>43479</v>
      </c>
      <c r="C385" s="7">
        <f t="shared" si="43"/>
        <v>5</v>
      </c>
      <c r="D385" s="7" t="e">
        <f t="shared" si="43"/>
        <v>#N/A</v>
      </c>
      <c r="E385" s="7" t="e">
        <f t="shared" si="43"/>
        <v>#N/A</v>
      </c>
      <c r="F385" s="7" t="e">
        <f t="shared" si="43"/>
        <v>#N/A</v>
      </c>
      <c r="G385" s="7" t="e">
        <f t="shared" si="43"/>
        <v>#N/A</v>
      </c>
    </row>
    <row r="386" spans="2:7">
      <c r="B386" s="67">
        <f t="shared" si="38"/>
        <v>43480</v>
      </c>
      <c r="C386" s="7">
        <f t="shared" si="43"/>
        <v>5</v>
      </c>
      <c r="D386" s="7" t="e">
        <f t="shared" si="43"/>
        <v>#N/A</v>
      </c>
      <c r="E386" s="7" t="e">
        <f t="shared" si="43"/>
        <v>#N/A</v>
      </c>
      <c r="F386" s="7" t="e">
        <f t="shared" si="43"/>
        <v>#N/A</v>
      </c>
      <c r="G386" s="7" t="e">
        <f t="shared" si="43"/>
        <v>#N/A</v>
      </c>
    </row>
    <row r="387" spans="2:7">
      <c r="B387" s="67">
        <f t="shared" si="38"/>
        <v>43481</v>
      </c>
      <c r="C387" s="7">
        <f t="shared" ref="C387:G396" si="44">IF(AND($B387&gt;=C$3,$B387&lt;=C$4),C$5,NA())</f>
        <v>5</v>
      </c>
      <c r="D387" s="7" t="e">
        <f t="shared" si="44"/>
        <v>#N/A</v>
      </c>
      <c r="E387" s="7" t="e">
        <f t="shared" si="44"/>
        <v>#N/A</v>
      </c>
      <c r="F387" s="7" t="e">
        <f t="shared" si="44"/>
        <v>#N/A</v>
      </c>
      <c r="G387" s="7" t="e">
        <f t="shared" si="44"/>
        <v>#N/A</v>
      </c>
    </row>
    <row r="388" spans="2:7">
      <c r="B388" s="67">
        <f t="shared" si="38"/>
        <v>43482</v>
      </c>
      <c r="C388" s="7">
        <f t="shared" si="44"/>
        <v>5</v>
      </c>
      <c r="D388" s="7" t="e">
        <f t="shared" si="44"/>
        <v>#N/A</v>
      </c>
      <c r="E388" s="7" t="e">
        <f t="shared" si="44"/>
        <v>#N/A</v>
      </c>
      <c r="F388" s="7" t="e">
        <f t="shared" si="44"/>
        <v>#N/A</v>
      </c>
      <c r="G388" s="7" t="e">
        <f t="shared" si="44"/>
        <v>#N/A</v>
      </c>
    </row>
    <row r="389" spans="2:7">
      <c r="B389" s="67">
        <f t="shared" si="38"/>
        <v>43483</v>
      </c>
      <c r="C389" s="7">
        <f t="shared" si="44"/>
        <v>5</v>
      </c>
      <c r="D389" s="7" t="e">
        <f t="shared" si="44"/>
        <v>#N/A</v>
      </c>
      <c r="E389" s="7" t="e">
        <f t="shared" si="44"/>
        <v>#N/A</v>
      </c>
      <c r="F389" s="7" t="e">
        <f t="shared" si="44"/>
        <v>#N/A</v>
      </c>
      <c r="G389" s="7" t="e">
        <f t="shared" si="44"/>
        <v>#N/A</v>
      </c>
    </row>
    <row r="390" spans="2:7">
      <c r="B390" s="67">
        <f t="shared" si="38"/>
        <v>43484</v>
      </c>
      <c r="C390" s="7">
        <f t="shared" si="44"/>
        <v>5</v>
      </c>
      <c r="D390" s="7" t="e">
        <f t="shared" si="44"/>
        <v>#N/A</v>
      </c>
      <c r="E390" s="7" t="e">
        <f t="shared" si="44"/>
        <v>#N/A</v>
      </c>
      <c r="F390" s="7" t="e">
        <f t="shared" si="44"/>
        <v>#N/A</v>
      </c>
      <c r="G390" s="7" t="e">
        <f t="shared" si="44"/>
        <v>#N/A</v>
      </c>
    </row>
    <row r="391" spans="2:7">
      <c r="B391" s="67">
        <f t="shared" si="38"/>
        <v>43485</v>
      </c>
      <c r="C391" s="7">
        <f t="shared" si="44"/>
        <v>5</v>
      </c>
      <c r="D391" s="7" t="e">
        <f t="shared" si="44"/>
        <v>#N/A</v>
      </c>
      <c r="E391" s="7" t="e">
        <f t="shared" si="44"/>
        <v>#N/A</v>
      </c>
      <c r="F391" s="7" t="e">
        <f t="shared" si="44"/>
        <v>#N/A</v>
      </c>
      <c r="G391" s="7" t="e">
        <f t="shared" si="44"/>
        <v>#N/A</v>
      </c>
    </row>
    <row r="392" spans="2:7">
      <c r="B392" s="67">
        <f t="shared" ref="B392:B455" si="45">B391+1</f>
        <v>43486</v>
      </c>
      <c r="C392" s="7">
        <f t="shared" si="44"/>
        <v>5</v>
      </c>
      <c r="D392" s="7" t="e">
        <f t="shared" si="44"/>
        <v>#N/A</v>
      </c>
      <c r="E392" s="7" t="e">
        <f t="shared" si="44"/>
        <v>#N/A</v>
      </c>
      <c r="F392" s="7" t="e">
        <f t="shared" si="44"/>
        <v>#N/A</v>
      </c>
      <c r="G392" s="7" t="e">
        <f t="shared" si="44"/>
        <v>#N/A</v>
      </c>
    </row>
    <row r="393" spans="2:7">
      <c r="B393" s="67">
        <f t="shared" si="45"/>
        <v>43487</v>
      </c>
      <c r="C393" s="7">
        <f t="shared" si="44"/>
        <v>5</v>
      </c>
      <c r="D393" s="7" t="e">
        <f t="shared" si="44"/>
        <v>#N/A</v>
      </c>
      <c r="E393" s="7" t="e">
        <f t="shared" si="44"/>
        <v>#N/A</v>
      </c>
      <c r="F393" s="7" t="e">
        <f t="shared" si="44"/>
        <v>#N/A</v>
      </c>
      <c r="G393" s="7" t="e">
        <f t="shared" si="44"/>
        <v>#N/A</v>
      </c>
    </row>
    <row r="394" spans="2:7">
      <c r="B394" s="67">
        <f t="shared" si="45"/>
        <v>43488</v>
      </c>
      <c r="C394" s="7">
        <f t="shared" si="44"/>
        <v>5</v>
      </c>
      <c r="D394" s="7" t="e">
        <f t="shared" si="44"/>
        <v>#N/A</v>
      </c>
      <c r="E394" s="7" t="e">
        <f t="shared" si="44"/>
        <v>#N/A</v>
      </c>
      <c r="F394" s="7" t="e">
        <f t="shared" si="44"/>
        <v>#N/A</v>
      </c>
      <c r="G394" s="7" t="e">
        <f t="shared" si="44"/>
        <v>#N/A</v>
      </c>
    </row>
    <row r="395" spans="2:7">
      <c r="B395" s="67">
        <f t="shared" si="45"/>
        <v>43489</v>
      </c>
      <c r="C395" s="7">
        <f t="shared" si="44"/>
        <v>5</v>
      </c>
      <c r="D395" s="7" t="e">
        <f t="shared" si="44"/>
        <v>#N/A</v>
      </c>
      <c r="E395" s="7" t="e">
        <f t="shared" si="44"/>
        <v>#N/A</v>
      </c>
      <c r="F395" s="7" t="e">
        <f t="shared" si="44"/>
        <v>#N/A</v>
      </c>
      <c r="G395" s="7" t="e">
        <f t="shared" si="44"/>
        <v>#N/A</v>
      </c>
    </row>
    <row r="396" spans="2:7">
      <c r="B396" s="67">
        <f t="shared" si="45"/>
        <v>43490</v>
      </c>
      <c r="C396" s="7">
        <f t="shared" si="44"/>
        <v>5</v>
      </c>
      <c r="D396" s="7" t="e">
        <f t="shared" si="44"/>
        <v>#N/A</v>
      </c>
      <c r="E396" s="7" t="e">
        <f t="shared" si="44"/>
        <v>#N/A</v>
      </c>
      <c r="F396" s="7" t="e">
        <f t="shared" si="44"/>
        <v>#N/A</v>
      </c>
      <c r="G396" s="7" t="e">
        <f t="shared" si="44"/>
        <v>#N/A</v>
      </c>
    </row>
    <row r="397" spans="2:7">
      <c r="B397" s="67">
        <f t="shared" si="45"/>
        <v>43491</v>
      </c>
      <c r="C397" s="7">
        <f t="shared" ref="C397:G406" si="46">IF(AND($B397&gt;=C$3,$B397&lt;=C$4),C$5,NA())</f>
        <v>5</v>
      </c>
      <c r="D397" s="7" t="e">
        <f t="shared" si="46"/>
        <v>#N/A</v>
      </c>
      <c r="E397" s="7" t="e">
        <f t="shared" si="46"/>
        <v>#N/A</v>
      </c>
      <c r="F397" s="7" t="e">
        <f t="shared" si="46"/>
        <v>#N/A</v>
      </c>
      <c r="G397" s="7" t="e">
        <f t="shared" si="46"/>
        <v>#N/A</v>
      </c>
    </row>
    <row r="398" spans="2:7">
      <c r="B398" s="67">
        <f t="shared" si="45"/>
        <v>43492</v>
      </c>
      <c r="C398" s="7">
        <f t="shared" si="46"/>
        <v>5</v>
      </c>
      <c r="D398" s="7" t="e">
        <f t="shared" si="46"/>
        <v>#N/A</v>
      </c>
      <c r="E398" s="7" t="e">
        <f t="shared" si="46"/>
        <v>#N/A</v>
      </c>
      <c r="F398" s="7" t="e">
        <f t="shared" si="46"/>
        <v>#N/A</v>
      </c>
      <c r="G398" s="7" t="e">
        <f t="shared" si="46"/>
        <v>#N/A</v>
      </c>
    </row>
    <row r="399" spans="2:7">
      <c r="B399" s="67">
        <f t="shared" si="45"/>
        <v>43493</v>
      </c>
      <c r="C399" s="7">
        <f t="shared" si="46"/>
        <v>5</v>
      </c>
      <c r="D399" s="7" t="e">
        <f t="shared" si="46"/>
        <v>#N/A</v>
      </c>
      <c r="E399" s="7" t="e">
        <f t="shared" si="46"/>
        <v>#N/A</v>
      </c>
      <c r="F399" s="7" t="e">
        <f t="shared" si="46"/>
        <v>#N/A</v>
      </c>
      <c r="G399" s="7" t="e">
        <f t="shared" si="46"/>
        <v>#N/A</v>
      </c>
    </row>
    <row r="400" spans="2:7">
      <c r="B400" s="67">
        <f t="shared" si="45"/>
        <v>43494</v>
      </c>
      <c r="C400" s="7">
        <f t="shared" si="46"/>
        <v>5</v>
      </c>
      <c r="D400" s="7" t="e">
        <f t="shared" si="46"/>
        <v>#N/A</v>
      </c>
      <c r="E400" s="7" t="e">
        <f t="shared" si="46"/>
        <v>#N/A</v>
      </c>
      <c r="F400" s="7" t="e">
        <f t="shared" si="46"/>
        <v>#N/A</v>
      </c>
      <c r="G400" s="7" t="e">
        <f t="shared" si="46"/>
        <v>#N/A</v>
      </c>
    </row>
    <row r="401" spans="2:7">
      <c r="B401" s="67">
        <f t="shared" si="45"/>
        <v>43495</v>
      </c>
      <c r="C401" s="7">
        <f t="shared" si="46"/>
        <v>5</v>
      </c>
      <c r="D401" s="7" t="e">
        <f t="shared" si="46"/>
        <v>#N/A</v>
      </c>
      <c r="E401" s="7" t="e">
        <f t="shared" si="46"/>
        <v>#N/A</v>
      </c>
      <c r="F401" s="7" t="e">
        <f t="shared" si="46"/>
        <v>#N/A</v>
      </c>
      <c r="G401" s="7" t="e">
        <f t="shared" si="46"/>
        <v>#N/A</v>
      </c>
    </row>
    <row r="402" spans="2:7">
      <c r="B402" s="67">
        <f t="shared" si="45"/>
        <v>43496</v>
      </c>
      <c r="C402" s="7">
        <f t="shared" si="46"/>
        <v>5</v>
      </c>
      <c r="D402" s="7" t="e">
        <f t="shared" si="46"/>
        <v>#N/A</v>
      </c>
      <c r="E402" s="7" t="e">
        <f t="shared" si="46"/>
        <v>#N/A</v>
      </c>
      <c r="F402" s="7" t="e">
        <f t="shared" si="46"/>
        <v>#N/A</v>
      </c>
      <c r="G402" s="7" t="e">
        <f t="shared" si="46"/>
        <v>#N/A</v>
      </c>
    </row>
    <row r="403" spans="2:7">
      <c r="B403" s="67">
        <f t="shared" si="45"/>
        <v>43497</v>
      </c>
      <c r="C403" s="7">
        <f t="shared" si="46"/>
        <v>5</v>
      </c>
      <c r="D403" s="7" t="e">
        <f t="shared" si="46"/>
        <v>#N/A</v>
      </c>
      <c r="E403" s="7" t="e">
        <f t="shared" si="46"/>
        <v>#N/A</v>
      </c>
      <c r="F403" s="7" t="e">
        <f t="shared" si="46"/>
        <v>#N/A</v>
      </c>
      <c r="G403" s="7" t="e">
        <f t="shared" si="46"/>
        <v>#N/A</v>
      </c>
    </row>
    <row r="404" spans="2:7">
      <c r="B404" s="67">
        <f t="shared" si="45"/>
        <v>43498</v>
      </c>
      <c r="C404" s="7">
        <f t="shared" si="46"/>
        <v>5</v>
      </c>
      <c r="D404" s="7" t="e">
        <f t="shared" si="46"/>
        <v>#N/A</v>
      </c>
      <c r="E404" s="7" t="e">
        <f t="shared" si="46"/>
        <v>#N/A</v>
      </c>
      <c r="F404" s="7" t="e">
        <f t="shared" si="46"/>
        <v>#N/A</v>
      </c>
      <c r="G404" s="7" t="e">
        <f t="shared" si="46"/>
        <v>#N/A</v>
      </c>
    </row>
    <row r="405" spans="2:7">
      <c r="B405" s="67">
        <f t="shared" si="45"/>
        <v>43499</v>
      </c>
      <c r="C405" s="7">
        <f t="shared" si="46"/>
        <v>5</v>
      </c>
      <c r="D405" s="7" t="e">
        <f t="shared" si="46"/>
        <v>#N/A</v>
      </c>
      <c r="E405" s="7" t="e">
        <f t="shared" si="46"/>
        <v>#N/A</v>
      </c>
      <c r="F405" s="7" t="e">
        <f t="shared" si="46"/>
        <v>#N/A</v>
      </c>
      <c r="G405" s="7" t="e">
        <f t="shared" si="46"/>
        <v>#N/A</v>
      </c>
    </row>
    <row r="406" spans="2:7">
      <c r="B406" s="67">
        <f t="shared" si="45"/>
        <v>43500</v>
      </c>
      <c r="C406" s="7">
        <f t="shared" si="46"/>
        <v>5</v>
      </c>
      <c r="D406" s="7" t="e">
        <f t="shared" si="46"/>
        <v>#N/A</v>
      </c>
      <c r="E406" s="7" t="e">
        <f t="shared" si="46"/>
        <v>#N/A</v>
      </c>
      <c r="F406" s="7" t="e">
        <f t="shared" si="46"/>
        <v>#N/A</v>
      </c>
      <c r="G406" s="7" t="e">
        <f t="shared" si="46"/>
        <v>#N/A</v>
      </c>
    </row>
    <row r="407" spans="2:7">
      <c r="B407" s="67">
        <f t="shared" si="45"/>
        <v>43501</v>
      </c>
      <c r="C407" s="7">
        <f t="shared" ref="C407:G416" si="47">IF(AND($B407&gt;=C$3,$B407&lt;=C$4),C$5,NA())</f>
        <v>5</v>
      </c>
      <c r="D407" s="7" t="e">
        <f t="shared" si="47"/>
        <v>#N/A</v>
      </c>
      <c r="E407" s="7" t="e">
        <f t="shared" si="47"/>
        <v>#N/A</v>
      </c>
      <c r="F407" s="7" t="e">
        <f t="shared" si="47"/>
        <v>#N/A</v>
      </c>
      <c r="G407" s="7" t="e">
        <f t="shared" si="47"/>
        <v>#N/A</v>
      </c>
    </row>
    <row r="408" spans="2:7">
      <c r="B408" s="67">
        <f t="shared" si="45"/>
        <v>43502</v>
      </c>
      <c r="C408" s="7">
        <f t="shared" si="47"/>
        <v>5</v>
      </c>
      <c r="D408" s="7" t="e">
        <f t="shared" si="47"/>
        <v>#N/A</v>
      </c>
      <c r="E408" s="7" t="e">
        <f t="shared" si="47"/>
        <v>#N/A</v>
      </c>
      <c r="F408" s="7" t="e">
        <f t="shared" si="47"/>
        <v>#N/A</v>
      </c>
      <c r="G408" s="7" t="e">
        <f t="shared" si="47"/>
        <v>#N/A</v>
      </c>
    </row>
    <row r="409" spans="2:7">
      <c r="B409" s="67">
        <f t="shared" si="45"/>
        <v>43503</v>
      </c>
      <c r="C409" s="7">
        <f t="shared" si="47"/>
        <v>5</v>
      </c>
      <c r="D409" s="7" t="e">
        <f t="shared" si="47"/>
        <v>#N/A</v>
      </c>
      <c r="E409" s="7" t="e">
        <f t="shared" si="47"/>
        <v>#N/A</v>
      </c>
      <c r="F409" s="7" t="e">
        <f t="shared" si="47"/>
        <v>#N/A</v>
      </c>
      <c r="G409" s="7" t="e">
        <f t="shared" si="47"/>
        <v>#N/A</v>
      </c>
    </row>
    <row r="410" spans="2:7">
      <c r="B410" s="67">
        <f t="shared" si="45"/>
        <v>43504</v>
      </c>
      <c r="C410" s="7">
        <f t="shared" si="47"/>
        <v>5</v>
      </c>
      <c r="D410" s="7" t="e">
        <f t="shared" si="47"/>
        <v>#N/A</v>
      </c>
      <c r="E410" s="7" t="e">
        <f t="shared" si="47"/>
        <v>#N/A</v>
      </c>
      <c r="F410" s="7" t="e">
        <f t="shared" si="47"/>
        <v>#N/A</v>
      </c>
      <c r="G410" s="7" t="e">
        <f t="shared" si="47"/>
        <v>#N/A</v>
      </c>
    </row>
    <row r="411" spans="2:7">
      <c r="B411" s="67">
        <f t="shared" si="45"/>
        <v>43505</v>
      </c>
      <c r="C411" s="7">
        <f t="shared" si="47"/>
        <v>5</v>
      </c>
      <c r="D411" s="7" t="e">
        <f t="shared" si="47"/>
        <v>#N/A</v>
      </c>
      <c r="E411" s="7" t="e">
        <f t="shared" si="47"/>
        <v>#N/A</v>
      </c>
      <c r="F411" s="7" t="e">
        <f t="shared" si="47"/>
        <v>#N/A</v>
      </c>
      <c r="G411" s="7" t="e">
        <f t="shared" si="47"/>
        <v>#N/A</v>
      </c>
    </row>
    <row r="412" spans="2:7">
      <c r="B412" s="67">
        <f t="shared" si="45"/>
        <v>43506</v>
      </c>
      <c r="C412" s="7">
        <f t="shared" si="47"/>
        <v>5</v>
      </c>
      <c r="D412" s="7" t="e">
        <f t="shared" si="47"/>
        <v>#N/A</v>
      </c>
      <c r="E412" s="7" t="e">
        <f t="shared" si="47"/>
        <v>#N/A</v>
      </c>
      <c r="F412" s="7" t="e">
        <f t="shared" si="47"/>
        <v>#N/A</v>
      </c>
      <c r="G412" s="7" t="e">
        <f t="shared" si="47"/>
        <v>#N/A</v>
      </c>
    </row>
    <row r="413" spans="2:7">
      <c r="B413" s="67">
        <f t="shared" si="45"/>
        <v>43507</v>
      </c>
      <c r="C413" s="7">
        <f t="shared" si="47"/>
        <v>5</v>
      </c>
      <c r="D413" s="7" t="e">
        <f t="shared" si="47"/>
        <v>#N/A</v>
      </c>
      <c r="E413" s="7" t="e">
        <f t="shared" si="47"/>
        <v>#N/A</v>
      </c>
      <c r="F413" s="7" t="e">
        <f t="shared" si="47"/>
        <v>#N/A</v>
      </c>
      <c r="G413" s="7" t="e">
        <f t="shared" si="47"/>
        <v>#N/A</v>
      </c>
    </row>
    <row r="414" spans="2:7">
      <c r="B414" s="67">
        <f t="shared" si="45"/>
        <v>43508</v>
      </c>
      <c r="C414" s="7">
        <f t="shared" si="47"/>
        <v>5</v>
      </c>
      <c r="D414" s="7" t="e">
        <f t="shared" si="47"/>
        <v>#N/A</v>
      </c>
      <c r="E414" s="7" t="e">
        <f t="shared" si="47"/>
        <v>#N/A</v>
      </c>
      <c r="F414" s="7" t="e">
        <f t="shared" si="47"/>
        <v>#N/A</v>
      </c>
      <c r="G414" s="7" t="e">
        <f t="shared" si="47"/>
        <v>#N/A</v>
      </c>
    </row>
    <row r="415" spans="2:7">
      <c r="B415" s="67">
        <f t="shared" si="45"/>
        <v>43509</v>
      </c>
      <c r="C415" s="7">
        <f t="shared" si="47"/>
        <v>5</v>
      </c>
      <c r="D415" s="7" t="e">
        <f t="shared" si="47"/>
        <v>#N/A</v>
      </c>
      <c r="E415" s="7" t="e">
        <f t="shared" si="47"/>
        <v>#N/A</v>
      </c>
      <c r="F415" s="7" t="e">
        <f t="shared" si="47"/>
        <v>#N/A</v>
      </c>
      <c r="G415" s="7" t="e">
        <f t="shared" si="47"/>
        <v>#N/A</v>
      </c>
    </row>
    <row r="416" spans="2:7">
      <c r="B416" s="67">
        <f t="shared" si="45"/>
        <v>43510</v>
      </c>
      <c r="C416" s="7">
        <f t="shared" si="47"/>
        <v>5</v>
      </c>
      <c r="D416" s="7" t="e">
        <f t="shared" si="47"/>
        <v>#N/A</v>
      </c>
      <c r="E416" s="7" t="e">
        <f t="shared" si="47"/>
        <v>#N/A</v>
      </c>
      <c r="F416" s="7" t="e">
        <f t="shared" si="47"/>
        <v>#N/A</v>
      </c>
      <c r="G416" s="7" t="e">
        <f t="shared" si="47"/>
        <v>#N/A</v>
      </c>
    </row>
    <row r="417" spans="2:7">
      <c r="B417" s="67">
        <f t="shared" si="45"/>
        <v>43511</v>
      </c>
      <c r="C417" s="7">
        <f t="shared" ref="C417:G426" si="48">IF(AND($B417&gt;=C$3,$B417&lt;=C$4),C$5,NA())</f>
        <v>5</v>
      </c>
      <c r="D417" s="7" t="e">
        <f t="shared" si="48"/>
        <v>#N/A</v>
      </c>
      <c r="E417" s="7" t="e">
        <f t="shared" si="48"/>
        <v>#N/A</v>
      </c>
      <c r="F417" s="7" t="e">
        <f t="shared" si="48"/>
        <v>#N/A</v>
      </c>
      <c r="G417" s="7" t="e">
        <f t="shared" si="48"/>
        <v>#N/A</v>
      </c>
    </row>
    <row r="418" spans="2:7">
      <c r="B418" s="67">
        <f t="shared" si="45"/>
        <v>43512</v>
      </c>
      <c r="C418" s="7">
        <f t="shared" si="48"/>
        <v>5</v>
      </c>
      <c r="D418" s="7" t="e">
        <f t="shared" si="48"/>
        <v>#N/A</v>
      </c>
      <c r="E418" s="7" t="e">
        <f t="shared" si="48"/>
        <v>#N/A</v>
      </c>
      <c r="F418" s="7" t="e">
        <f t="shared" si="48"/>
        <v>#N/A</v>
      </c>
      <c r="G418" s="7" t="e">
        <f t="shared" si="48"/>
        <v>#N/A</v>
      </c>
    </row>
    <row r="419" spans="2:7">
      <c r="B419" s="67">
        <f t="shared" si="45"/>
        <v>43513</v>
      </c>
      <c r="C419" s="7">
        <f t="shared" si="48"/>
        <v>5</v>
      </c>
      <c r="D419" s="7" t="e">
        <f t="shared" si="48"/>
        <v>#N/A</v>
      </c>
      <c r="E419" s="7" t="e">
        <f t="shared" si="48"/>
        <v>#N/A</v>
      </c>
      <c r="F419" s="7" t="e">
        <f t="shared" si="48"/>
        <v>#N/A</v>
      </c>
      <c r="G419" s="7" t="e">
        <f t="shared" si="48"/>
        <v>#N/A</v>
      </c>
    </row>
    <row r="420" spans="2:7">
      <c r="B420" s="67">
        <f t="shared" si="45"/>
        <v>43514</v>
      </c>
      <c r="C420" s="7">
        <f t="shared" si="48"/>
        <v>5</v>
      </c>
      <c r="D420" s="7" t="e">
        <f t="shared" si="48"/>
        <v>#N/A</v>
      </c>
      <c r="E420" s="7" t="e">
        <f t="shared" si="48"/>
        <v>#N/A</v>
      </c>
      <c r="F420" s="7" t="e">
        <f t="shared" si="48"/>
        <v>#N/A</v>
      </c>
      <c r="G420" s="7" t="e">
        <f t="shared" si="48"/>
        <v>#N/A</v>
      </c>
    </row>
    <row r="421" spans="2:7">
      <c r="B421" s="67">
        <f t="shared" si="45"/>
        <v>43515</v>
      </c>
      <c r="C421" s="7">
        <f t="shared" si="48"/>
        <v>5</v>
      </c>
      <c r="D421" s="7" t="e">
        <f t="shared" si="48"/>
        <v>#N/A</v>
      </c>
      <c r="E421" s="7" t="e">
        <f t="shared" si="48"/>
        <v>#N/A</v>
      </c>
      <c r="F421" s="7" t="e">
        <f t="shared" si="48"/>
        <v>#N/A</v>
      </c>
      <c r="G421" s="7" t="e">
        <f t="shared" si="48"/>
        <v>#N/A</v>
      </c>
    </row>
    <row r="422" spans="2:7">
      <c r="B422" s="67">
        <f t="shared" si="45"/>
        <v>43516</v>
      </c>
      <c r="C422" s="7">
        <f t="shared" si="48"/>
        <v>5</v>
      </c>
      <c r="D422" s="7" t="e">
        <f t="shared" si="48"/>
        <v>#N/A</v>
      </c>
      <c r="E422" s="7" t="e">
        <f t="shared" si="48"/>
        <v>#N/A</v>
      </c>
      <c r="F422" s="7" t="e">
        <f t="shared" si="48"/>
        <v>#N/A</v>
      </c>
      <c r="G422" s="7" t="e">
        <f t="shared" si="48"/>
        <v>#N/A</v>
      </c>
    </row>
    <row r="423" spans="2:7">
      <c r="B423" s="67">
        <f t="shared" si="45"/>
        <v>43517</v>
      </c>
      <c r="C423" s="7">
        <f t="shared" si="48"/>
        <v>5</v>
      </c>
      <c r="D423" s="7" t="e">
        <f t="shared" si="48"/>
        <v>#N/A</v>
      </c>
      <c r="E423" s="7" t="e">
        <f t="shared" si="48"/>
        <v>#N/A</v>
      </c>
      <c r="F423" s="7" t="e">
        <f t="shared" si="48"/>
        <v>#N/A</v>
      </c>
      <c r="G423" s="7" t="e">
        <f t="shared" si="48"/>
        <v>#N/A</v>
      </c>
    </row>
    <row r="424" spans="2:7">
      <c r="B424" s="67">
        <f t="shared" si="45"/>
        <v>43518</v>
      </c>
      <c r="C424" s="7">
        <f t="shared" si="48"/>
        <v>5</v>
      </c>
      <c r="D424" s="7" t="e">
        <f t="shared" si="48"/>
        <v>#N/A</v>
      </c>
      <c r="E424" s="7" t="e">
        <f t="shared" si="48"/>
        <v>#N/A</v>
      </c>
      <c r="F424" s="7" t="e">
        <f t="shared" si="48"/>
        <v>#N/A</v>
      </c>
      <c r="G424" s="7" t="e">
        <f t="shared" si="48"/>
        <v>#N/A</v>
      </c>
    </row>
    <row r="425" spans="2:7">
      <c r="B425" s="67">
        <f t="shared" si="45"/>
        <v>43519</v>
      </c>
      <c r="C425" s="7">
        <f t="shared" si="48"/>
        <v>5</v>
      </c>
      <c r="D425" s="7" t="e">
        <f t="shared" si="48"/>
        <v>#N/A</v>
      </c>
      <c r="E425" s="7" t="e">
        <f t="shared" si="48"/>
        <v>#N/A</v>
      </c>
      <c r="F425" s="7" t="e">
        <f t="shared" si="48"/>
        <v>#N/A</v>
      </c>
      <c r="G425" s="7" t="e">
        <f t="shared" si="48"/>
        <v>#N/A</v>
      </c>
    </row>
    <row r="426" spans="2:7">
      <c r="B426" s="67">
        <f t="shared" si="45"/>
        <v>43520</v>
      </c>
      <c r="C426" s="7">
        <f t="shared" si="48"/>
        <v>5</v>
      </c>
      <c r="D426" s="7" t="e">
        <f t="shared" si="48"/>
        <v>#N/A</v>
      </c>
      <c r="E426" s="7" t="e">
        <f t="shared" si="48"/>
        <v>#N/A</v>
      </c>
      <c r="F426" s="7" t="e">
        <f t="shared" si="48"/>
        <v>#N/A</v>
      </c>
      <c r="G426" s="7" t="e">
        <f t="shared" si="48"/>
        <v>#N/A</v>
      </c>
    </row>
    <row r="427" spans="2:7">
      <c r="B427" s="67">
        <f t="shared" si="45"/>
        <v>43521</v>
      </c>
      <c r="C427" s="7">
        <f t="shared" ref="C427:G436" si="49">IF(AND($B427&gt;=C$3,$B427&lt;=C$4),C$5,NA())</f>
        <v>5</v>
      </c>
      <c r="D427" s="7" t="e">
        <f t="shared" si="49"/>
        <v>#N/A</v>
      </c>
      <c r="E427" s="7" t="e">
        <f t="shared" si="49"/>
        <v>#N/A</v>
      </c>
      <c r="F427" s="7" t="e">
        <f t="shared" si="49"/>
        <v>#N/A</v>
      </c>
      <c r="G427" s="7" t="e">
        <f t="shared" si="49"/>
        <v>#N/A</v>
      </c>
    </row>
    <row r="428" spans="2:7">
      <c r="B428" s="67">
        <f t="shared" si="45"/>
        <v>43522</v>
      </c>
      <c r="C428" s="7">
        <f t="shared" si="49"/>
        <v>5</v>
      </c>
      <c r="D428" s="7" t="e">
        <f t="shared" si="49"/>
        <v>#N/A</v>
      </c>
      <c r="E428" s="7" t="e">
        <f t="shared" si="49"/>
        <v>#N/A</v>
      </c>
      <c r="F428" s="7" t="e">
        <f t="shared" si="49"/>
        <v>#N/A</v>
      </c>
      <c r="G428" s="7" t="e">
        <f t="shared" si="49"/>
        <v>#N/A</v>
      </c>
    </row>
    <row r="429" spans="2:7">
      <c r="B429" s="67">
        <f t="shared" si="45"/>
        <v>43523</v>
      </c>
      <c r="C429" s="7">
        <f t="shared" si="49"/>
        <v>5</v>
      </c>
      <c r="D429" s="7" t="e">
        <f t="shared" si="49"/>
        <v>#N/A</v>
      </c>
      <c r="E429" s="7" t="e">
        <f t="shared" si="49"/>
        <v>#N/A</v>
      </c>
      <c r="F429" s="7" t="e">
        <f t="shared" si="49"/>
        <v>#N/A</v>
      </c>
      <c r="G429" s="7" t="e">
        <f t="shared" si="49"/>
        <v>#N/A</v>
      </c>
    </row>
    <row r="430" spans="2:7">
      <c r="B430" s="67">
        <f t="shared" si="45"/>
        <v>43524</v>
      </c>
      <c r="C430" s="7">
        <f t="shared" si="49"/>
        <v>5</v>
      </c>
      <c r="D430" s="7" t="e">
        <f t="shared" si="49"/>
        <v>#N/A</v>
      </c>
      <c r="E430" s="7" t="e">
        <f t="shared" si="49"/>
        <v>#N/A</v>
      </c>
      <c r="F430" s="7" t="e">
        <f t="shared" si="49"/>
        <v>#N/A</v>
      </c>
      <c r="G430" s="7" t="e">
        <f t="shared" si="49"/>
        <v>#N/A</v>
      </c>
    </row>
    <row r="431" spans="2:7">
      <c r="B431" s="67">
        <f t="shared" si="45"/>
        <v>43525</v>
      </c>
      <c r="C431" s="7">
        <f t="shared" si="49"/>
        <v>5</v>
      </c>
      <c r="D431" s="7" t="e">
        <f t="shared" si="49"/>
        <v>#N/A</v>
      </c>
      <c r="E431" s="7" t="e">
        <f t="shared" si="49"/>
        <v>#N/A</v>
      </c>
      <c r="F431" s="7" t="e">
        <f t="shared" si="49"/>
        <v>#N/A</v>
      </c>
      <c r="G431" s="7" t="e">
        <f t="shared" si="49"/>
        <v>#N/A</v>
      </c>
    </row>
    <row r="432" spans="2:7">
      <c r="B432" s="67">
        <f t="shared" si="45"/>
        <v>43526</v>
      </c>
      <c r="C432" s="7">
        <f t="shared" si="49"/>
        <v>5</v>
      </c>
      <c r="D432" s="7" t="e">
        <f t="shared" si="49"/>
        <v>#N/A</v>
      </c>
      <c r="E432" s="7" t="e">
        <f t="shared" si="49"/>
        <v>#N/A</v>
      </c>
      <c r="F432" s="7" t="e">
        <f t="shared" si="49"/>
        <v>#N/A</v>
      </c>
      <c r="G432" s="7" t="e">
        <f t="shared" si="49"/>
        <v>#N/A</v>
      </c>
    </row>
    <row r="433" spans="2:7">
      <c r="B433" s="67">
        <f t="shared" si="45"/>
        <v>43527</v>
      </c>
      <c r="C433" s="7">
        <f t="shared" si="49"/>
        <v>5</v>
      </c>
      <c r="D433" s="7" t="e">
        <f t="shared" si="49"/>
        <v>#N/A</v>
      </c>
      <c r="E433" s="7" t="e">
        <f t="shared" si="49"/>
        <v>#N/A</v>
      </c>
      <c r="F433" s="7" t="e">
        <f t="shared" si="49"/>
        <v>#N/A</v>
      </c>
      <c r="G433" s="7" t="e">
        <f t="shared" si="49"/>
        <v>#N/A</v>
      </c>
    </row>
    <row r="434" spans="2:7">
      <c r="B434" s="67">
        <f t="shared" si="45"/>
        <v>43528</v>
      </c>
      <c r="C434" s="7">
        <f t="shared" si="49"/>
        <v>5</v>
      </c>
      <c r="D434" s="7" t="e">
        <f t="shared" si="49"/>
        <v>#N/A</v>
      </c>
      <c r="E434" s="7" t="e">
        <f t="shared" si="49"/>
        <v>#N/A</v>
      </c>
      <c r="F434" s="7" t="e">
        <f t="shared" si="49"/>
        <v>#N/A</v>
      </c>
      <c r="G434" s="7" t="e">
        <f t="shared" si="49"/>
        <v>#N/A</v>
      </c>
    </row>
    <row r="435" spans="2:7">
      <c r="B435" s="67">
        <f t="shared" si="45"/>
        <v>43529</v>
      </c>
      <c r="C435" s="7">
        <f t="shared" si="49"/>
        <v>5</v>
      </c>
      <c r="D435" s="7" t="e">
        <f t="shared" si="49"/>
        <v>#N/A</v>
      </c>
      <c r="E435" s="7" t="e">
        <f t="shared" si="49"/>
        <v>#N/A</v>
      </c>
      <c r="F435" s="7" t="e">
        <f t="shared" si="49"/>
        <v>#N/A</v>
      </c>
      <c r="G435" s="7" t="e">
        <f t="shared" si="49"/>
        <v>#N/A</v>
      </c>
    </row>
    <row r="436" spans="2:7">
      <c r="B436" s="67">
        <f t="shared" si="45"/>
        <v>43530</v>
      </c>
      <c r="C436" s="7">
        <f t="shared" si="49"/>
        <v>5</v>
      </c>
      <c r="D436" s="7" t="e">
        <f t="shared" si="49"/>
        <v>#N/A</v>
      </c>
      <c r="E436" s="7" t="e">
        <f t="shared" si="49"/>
        <v>#N/A</v>
      </c>
      <c r="F436" s="7" t="e">
        <f t="shared" si="49"/>
        <v>#N/A</v>
      </c>
      <c r="G436" s="7" t="e">
        <f t="shared" si="49"/>
        <v>#N/A</v>
      </c>
    </row>
    <row r="437" spans="2:7">
      <c r="B437" s="67">
        <f t="shared" si="45"/>
        <v>43531</v>
      </c>
      <c r="C437" s="7">
        <f t="shared" ref="C437:G446" si="50">IF(AND($B437&gt;=C$3,$B437&lt;=C$4),C$5,NA())</f>
        <v>5</v>
      </c>
      <c r="D437" s="7" t="e">
        <f t="shared" si="50"/>
        <v>#N/A</v>
      </c>
      <c r="E437" s="7" t="e">
        <f t="shared" si="50"/>
        <v>#N/A</v>
      </c>
      <c r="F437" s="7" t="e">
        <f t="shared" si="50"/>
        <v>#N/A</v>
      </c>
      <c r="G437" s="7" t="e">
        <f t="shared" si="50"/>
        <v>#N/A</v>
      </c>
    </row>
    <row r="438" spans="2:7">
      <c r="B438" s="67">
        <f t="shared" si="45"/>
        <v>43532</v>
      </c>
      <c r="C438" s="7">
        <f t="shared" si="50"/>
        <v>5</v>
      </c>
      <c r="D438" s="7" t="e">
        <f t="shared" si="50"/>
        <v>#N/A</v>
      </c>
      <c r="E438" s="7" t="e">
        <f t="shared" si="50"/>
        <v>#N/A</v>
      </c>
      <c r="F438" s="7" t="e">
        <f t="shared" si="50"/>
        <v>#N/A</v>
      </c>
      <c r="G438" s="7" t="e">
        <f t="shared" si="50"/>
        <v>#N/A</v>
      </c>
    </row>
    <row r="439" spans="2:7">
      <c r="B439" s="67">
        <f t="shared" si="45"/>
        <v>43533</v>
      </c>
      <c r="C439" s="7">
        <f t="shared" si="50"/>
        <v>5</v>
      </c>
      <c r="D439" s="7" t="e">
        <f t="shared" si="50"/>
        <v>#N/A</v>
      </c>
      <c r="E439" s="7" t="e">
        <f t="shared" si="50"/>
        <v>#N/A</v>
      </c>
      <c r="F439" s="7" t="e">
        <f t="shared" si="50"/>
        <v>#N/A</v>
      </c>
      <c r="G439" s="7" t="e">
        <f t="shared" si="50"/>
        <v>#N/A</v>
      </c>
    </row>
    <row r="440" spans="2:7">
      <c r="B440" s="67">
        <f t="shared" si="45"/>
        <v>43534</v>
      </c>
      <c r="C440" s="7">
        <f t="shared" si="50"/>
        <v>5</v>
      </c>
      <c r="D440" s="7" t="e">
        <f t="shared" si="50"/>
        <v>#N/A</v>
      </c>
      <c r="E440" s="7" t="e">
        <f t="shared" si="50"/>
        <v>#N/A</v>
      </c>
      <c r="F440" s="7" t="e">
        <f t="shared" si="50"/>
        <v>#N/A</v>
      </c>
      <c r="G440" s="7" t="e">
        <f t="shared" si="50"/>
        <v>#N/A</v>
      </c>
    </row>
    <row r="441" spans="2:7">
      <c r="B441" s="67">
        <f t="shared" si="45"/>
        <v>43535</v>
      </c>
      <c r="C441" s="7">
        <f t="shared" si="50"/>
        <v>5</v>
      </c>
      <c r="D441" s="7" t="e">
        <f t="shared" si="50"/>
        <v>#N/A</v>
      </c>
      <c r="E441" s="7" t="e">
        <f t="shared" si="50"/>
        <v>#N/A</v>
      </c>
      <c r="F441" s="7" t="e">
        <f t="shared" si="50"/>
        <v>#N/A</v>
      </c>
      <c r="G441" s="7" t="e">
        <f t="shared" si="50"/>
        <v>#N/A</v>
      </c>
    </row>
    <row r="442" spans="2:7">
      <c r="B442" s="67">
        <f t="shared" si="45"/>
        <v>43536</v>
      </c>
      <c r="C442" s="7">
        <f t="shared" si="50"/>
        <v>5</v>
      </c>
      <c r="D442" s="7" t="e">
        <f t="shared" si="50"/>
        <v>#N/A</v>
      </c>
      <c r="E442" s="7" t="e">
        <f t="shared" si="50"/>
        <v>#N/A</v>
      </c>
      <c r="F442" s="7" t="e">
        <f t="shared" si="50"/>
        <v>#N/A</v>
      </c>
      <c r="G442" s="7" t="e">
        <f t="shared" si="50"/>
        <v>#N/A</v>
      </c>
    </row>
    <row r="443" spans="2:7">
      <c r="B443" s="67">
        <f t="shared" si="45"/>
        <v>43537</v>
      </c>
      <c r="C443" s="7">
        <f t="shared" si="50"/>
        <v>5</v>
      </c>
      <c r="D443" s="7" t="e">
        <f t="shared" si="50"/>
        <v>#N/A</v>
      </c>
      <c r="E443" s="7" t="e">
        <f t="shared" si="50"/>
        <v>#N/A</v>
      </c>
      <c r="F443" s="7" t="e">
        <f t="shared" si="50"/>
        <v>#N/A</v>
      </c>
      <c r="G443" s="7" t="e">
        <f t="shared" si="50"/>
        <v>#N/A</v>
      </c>
    </row>
    <row r="444" spans="2:7">
      <c r="B444" s="67">
        <f t="shared" si="45"/>
        <v>43538</v>
      </c>
      <c r="C444" s="7">
        <f t="shared" si="50"/>
        <v>5</v>
      </c>
      <c r="D444" s="7" t="e">
        <f t="shared" si="50"/>
        <v>#N/A</v>
      </c>
      <c r="E444" s="7" t="e">
        <f t="shared" si="50"/>
        <v>#N/A</v>
      </c>
      <c r="F444" s="7" t="e">
        <f t="shared" si="50"/>
        <v>#N/A</v>
      </c>
      <c r="G444" s="7" t="e">
        <f t="shared" si="50"/>
        <v>#N/A</v>
      </c>
    </row>
    <row r="445" spans="2:7">
      <c r="B445" s="67">
        <f t="shared" si="45"/>
        <v>43539</v>
      </c>
      <c r="C445" s="7">
        <f t="shared" si="50"/>
        <v>5</v>
      </c>
      <c r="D445" s="7" t="e">
        <f t="shared" si="50"/>
        <v>#N/A</v>
      </c>
      <c r="E445" s="7" t="e">
        <f t="shared" si="50"/>
        <v>#N/A</v>
      </c>
      <c r="F445" s="7" t="e">
        <f t="shared" si="50"/>
        <v>#N/A</v>
      </c>
      <c r="G445" s="7" t="e">
        <f t="shared" si="50"/>
        <v>#N/A</v>
      </c>
    </row>
    <row r="446" spans="2:7">
      <c r="B446" s="67">
        <f t="shared" si="45"/>
        <v>43540</v>
      </c>
      <c r="C446" s="7">
        <f t="shared" si="50"/>
        <v>5</v>
      </c>
      <c r="D446" s="7" t="e">
        <f t="shared" si="50"/>
        <v>#N/A</v>
      </c>
      <c r="E446" s="7" t="e">
        <f t="shared" si="50"/>
        <v>#N/A</v>
      </c>
      <c r="F446" s="7" t="e">
        <f t="shared" si="50"/>
        <v>#N/A</v>
      </c>
      <c r="G446" s="7" t="e">
        <f t="shared" si="50"/>
        <v>#N/A</v>
      </c>
    </row>
    <row r="447" spans="2:7">
      <c r="B447" s="67">
        <f t="shared" si="45"/>
        <v>43541</v>
      </c>
      <c r="C447" s="7">
        <f t="shared" ref="C447:G456" si="51">IF(AND($B447&gt;=C$3,$B447&lt;=C$4),C$5,NA())</f>
        <v>5</v>
      </c>
      <c r="D447" s="7" t="e">
        <f t="shared" si="51"/>
        <v>#N/A</v>
      </c>
      <c r="E447" s="7" t="e">
        <f t="shared" si="51"/>
        <v>#N/A</v>
      </c>
      <c r="F447" s="7" t="e">
        <f t="shared" si="51"/>
        <v>#N/A</v>
      </c>
      <c r="G447" s="7" t="e">
        <f t="shared" si="51"/>
        <v>#N/A</v>
      </c>
    </row>
    <row r="448" spans="2:7">
      <c r="B448" s="67">
        <f t="shared" si="45"/>
        <v>43542</v>
      </c>
      <c r="C448" s="7">
        <f t="shared" si="51"/>
        <v>5</v>
      </c>
      <c r="D448" s="7" t="e">
        <f t="shared" si="51"/>
        <v>#N/A</v>
      </c>
      <c r="E448" s="7" t="e">
        <f t="shared" si="51"/>
        <v>#N/A</v>
      </c>
      <c r="F448" s="7" t="e">
        <f t="shared" si="51"/>
        <v>#N/A</v>
      </c>
      <c r="G448" s="7" t="e">
        <f t="shared" si="51"/>
        <v>#N/A</v>
      </c>
    </row>
    <row r="449" spans="2:7">
      <c r="B449" s="67">
        <f t="shared" si="45"/>
        <v>43543</v>
      </c>
      <c r="C449" s="7">
        <f t="shared" si="51"/>
        <v>5</v>
      </c>
      <c r="D449" s="7" t="e">
        <f t="shared" si="51"/>
        <v>#N/A</v>
      </c>
      <c r="E449" s="7" t="e">
        <f t="shared" si="51"/>
        <v>#N/A</v>
      </c>
      <c r="F449" s="7" t="e">
        <f t="shared" si="51"/>
        <v>#N/A</v>
      </c>
      <c r="G449" s="7" t="e">
        <f t="shared" si="51"/>
        <v>#N/A</v>
      </c>
    </row>
    <row r="450" spans="2:7">
      <c r="B450" s="67">
        <f t="shared" si="45"/>
        <v>43544</v>
      </c>
      <c r="C450" s="7">
        <f t="shared" si="51"/>
        <v>5</v>
      </c>
      <c r="D450" s="7" t="e">
        <f t="shared" si="51"/>
        <v>#N/A</v>
      </c>
      <c r="E450" s="7" t="e">
        <f t="shared" si="51"/>
        <v>#N/A</v>
      </c>
      <c r="F450" s="7" t="e">
        <f t="shared" si="51"/>
        <v>#N/A</v>
      </c>
      <c r="G450" s="7" t="e">
        <f t="shared" si="51"/>
        <v>#N/A</v>
      </c>
    </row>
    <row r="451" spans="2:7">
      <c r="B451" s="67">
        <f t="shared" si="45"/>
        <v>43545</v>
      </c>
      <c r="C451" s="7">
        <f t="shared" si="51"/>
        <v>5</v>
      </c>
      <c r="D451" s="7" t="e">
        <f t="shared" si="51"/>
        <v>#N/A</v>
      </c>
      <c r="E451" s="7" t="e">
        <f t="shared" si="51"/>
        <v>#N/A</v>
      </c>
      <c r="F451" s="7" t="e">
        <f t="shared" si="51"/>
        <v>#N/A</v>
      </c>
      <c r="G451" s="7" t="e">
        <f t="shared" si="51"/>
        <v>#N/A</v>
      </c>
    </row>
    <row r="452" spans="2:7">
      <c r="B452" s="67">
        <f t="shared" si="45"/>
        <v>43546</v>
      </c>
      <c r="C452" s="7">
        <f t="shared" si="51"/>
        <v>5</v>
      </c>
      <c r="D452" s="7" t="e">
        <f t="shared" si="51"/>
        <v>#N/A</v>
      </c>
      <c r="E452" s="7" t="e">
        <f t="shared" si="51"/>
        <v>#N/A</v>
      </c>
      <c r="F452" s="7" t="e">
        <f t="shared" si="51"/>
        <v>#N/A</v>
      </c>
      <c r="G452" s="7" t="e">
        <f t="shared" si="51"/>
        <v>#N/A</v>
      </c>
    </row>
    <row r="453" spans="2:7">
      <c r="B453" s="67">
        <f t="shared" si="45"/>
        <v>43547</v>
      </c>
      <c r="C453" s="7">
        <f t="shared" si="51"/>
        <v>5</v>
      </c>
      <c r="D453" s="7" t="e">
        <f t="shared" si="51"/>
        <v>#N/A</v>
      </c>
      <c r="E453" s="7" t="e">
        <f t="shared" si="51"/>
        <v>#N/A</v>
      </c>
      <c r="F453" s="7" t="e">
        <f t="shared" si="51"/>
        <v>#N/A</v>
      </c>
      <c r="G453" s="7" t="e">
        <f t="shared" si="51"/>
        <v>#N/A</v>
      </c>
    </row>
    <row r="454" spans="2:7">
      <c r="B454" s="67">
        <f t="shared" si="45"/>
        <v>43548</v>
      </c>
      <c r="C454" s="7">
        <f t="shared" si="51"/>
        <v>5</v>
      </c>
      <c r="D454" s="7" t="e">
        <f t="shared" si="51"/>
        <v>#N/A</v>
      </c>
      <c r="E454" s="7" t="e">
        <f t="shared" si="51"/>
        <v>#N/A</v>
      </c>
      <c r="F454" s="7" t="e">
        <f t="shared" si="51"/>
        <v>#N/A</v>
      </c>
      <c r="G454" s="7" t="e">
        <f t="shared" si="51"/>
        <v>#N/A</v>
      </c>
    </row>
    <row r="455" spans="2:7">
      <c r="B455" s="67">
        <f t="shared" si="45"/>
        <v>43549</v>
      </c>
      <c r="C455" s="7">
        <f t="shared" si="51"/>
        <v>5</v>
      </c>
      <c r="D455" s="7" t="e">
        <f t="shared" si="51"/>
        <v>#N/A</v>
      </c>
      <c r="E455" s="7" t="e">
        <f t="shared" si="51"/>
        <v>#N/A</v>
      </c>
      <c r="F455" s="7" t="e">
        <f t="shared" si="51"/>
        <v>#N/A</v>
      </c>
      <c r="G455" s="7" t="e">
        <f t="shared" si="51"/>
        <v>#N/A</v>
      </c>
    </row>
    <row r="456" spans="2:7">
      <c r="B456" s="67">
        <f t="shared" ref="B456:B519" si="52">B455+1</f>
        <v>43550</v>
      </c>
      <c r="C456" s="7">
        <f t="shared" si="51"/>
        <v>5</v>
      </c>
      <c r="D456" s="7" t="e">
        <f t="shared" si="51"/>
        <v>#N/A</v>
      </c>
      <c r="E456" s="7" t="e">
        <f t="shared" si="51"/>
        <v>#N/A</v>
      </c>
      <c r="F456" s="7" t="e">
        <f t="shared" si="51"/>
        <v>#N/A</v>
      </c>
      <c r="G456" s="7" t="e">
        <f t="shared" si="51"/>
        <v>#N/A</v>
      </c>
    </row>
    <row r="457" spans="2:7">
      <c r="B457" s="67">
        <f t="shared" si="52"/>
        <v>43551</v>
      </c>
      <c r="C457" s="7">
        <f t="shared" ref="C457:G466" si="53">IF(AND($B457&gt;=C$3,$B457&lt;=C$4),C$5,NA())</f>
        <v>5</v>
      </c>
      <c r="D457" s="7" t="e">
        <f t="shared" si="53"/>
        <v>#N/A</v>
      </c>
      <c r="E457" s="7" t="e">
        <f t="shared" si="53"/>
        <v>#N/A</v>
      </c>
      <c r="F457" s="7" t="e">
        <f t="shared" si="53"/>
        <v>#N/A</v>
      </c>
      <c r="G457" s="7" t="e">
        <f t="shared" si="53"/>
        <v>#N/A</v>
      </c>
    </row>
    <row r="458" spans="2:7">
      <c r="B458" s="67">
        <f t="shared" si="52"/>
        <v>43552</v>
      </c>
      <c r="C458" s="7">
        <f t="shared" si="53"/>
        <v>5</v>
      </c>
      <c r="D458" s="7" t="e">
        <f t="shared" si="53"/>
        <v>#N/A</v>
      </c>
      <c r="E458" s="7" t="e">
        <f t="shared" si="53"/>
        <v>#N/A</v>
      </c>
      <c r="F458" s="7" t="e">
        <f t="shared" si="53"/>
        <v>#N/A</v>
      </c>
      <c r="G458" s="7" t="e">
        <f t="shared" si="53"/>
        <v>#N/A</v>
      </c>
    </row>
    <row r="459" spans="2:7">
      <c r="B459" s="67">
        <f t="shared" si="52"/>
        <v>43553</v>
      </c>
      <c r="C459" s="7">
        <f t="shared" si="53"/>
        <v>5</v>
      </c>
      <c r="D459" s="7" t="e">
        <f t="shared" si="53"/>
        <v>#N/A</v>
      </c>
      <c r="E459" s="7" t="e">
        <f t="shared" si="53"/>
        <v>#N/A</v>
      </c>
      <c r="F459" s="7" t="e">
        <f t="shared" si="53"/>
        <v>#N/A</v>
      </c>
      <c r="G459" s="7" t="e">
        <f t="shared" si="53"/>
        <v>#N/A</v>
      </c>
    </row>
    <row r="460" spans="2:7">
      <c r="B460" s="67">
        <f t="shared" si="52"/>
        <v>43554</v>
      </c>
      <c r="C460" s="7">
        <f t="shared" si="53"/>
        <v>5</v>
      </c>
      <c r="D460" s="7" t="e">
        <f t="shared" si="53"/>
        <v>#N/A</v>
      </c>
      <c r="E460" s="7" t="e">
        <f t="shared" si="53"/>
        <v>#N/A</v>
      </c>
      <c r="F460" s="7" t="e">
        <f t="shared" si="53"/>
        <v>#N/A</v>
      </c>
      <c r="G460" s="7" t="e">
        <f t="shared" si="53"/>
        <v>#N/A</v>
      </c>
    </row>
    <row r="461" spans="2:7">
      <c r="B461" s="67">
        <f t="shared" si="52"/>
        <v>43555</v>
      </c>
      <c r="C461" s="7">
        <f t="shared" si="53"/>
        <v>5</v>
      </c>
      <c r="D461" s="7" t="e">
        <f t="shared" si="53"/>
        <v>#N/A</v>
      </c>
      <c r="E461" s="7" t="e">
        <f t="shared" si="53"/>
        <v>#N/A</v>
      </c>
      <c r="F461" s="7" t="e">
        <f t="shared" si="53"/>
        <v>#N/A</v>
      </c>
      <c r="G461" s="7" t="e">
        <f t="shared" si="53"/>
        <v>#N/A</v>
      </c>
    </row>
    <row r="462" spans="2:7">
      <c r="B462" s="67">
        <f t="shared" si="52"/>
        <v>43556</v>
      </c>
      <c r="C462" s="7">
        <f t="shared" si="53"/>
        <v>5</v>
      </c>
      <c r="D462" s="7" t="e">
        <f t="shared" si="53"/>
        <v>#N/A</v>
      </c>
      <c r="E462" s="7" t="e">
        <f t="shared" si="53"/>
        <v>#N/A</v>
      </c>
      <c r="F462" s="7" t="e">
        <f t="shared" si="53"/>
        <v>#N/A</v>
      </c>
      <c r="G462" s="7" t="e">
        <f t="shared" si="53"/>
        <v>#N/A</v>
      </c>
    </row>
    <row r="463" spans="2:7">
      <c r="B463" s="67">
        <f t="shared" si="52"/>
        <v>43557</v>
      </c>
      <c r="C463" s="7">
        <f t="shared" si="53"/>
        <v>5</v>
      </c>
      <c r="D463" s="7" t="e">
        <f t="shared" si="53"/>
        <v>#N/A</v>
      </c>
      <c r="E463" s="7" t="e">
        <f t="shared" si="53"/>
        <v>#N/A</v>
      </c>
      <c r="F463" s="7" t="e">
        <f t="shared" si="53"/>
        <v>#N/A</v>
      </c>
      <c r="G463" s="7" t="e">
        <f t="shared" si="53"/>
        <v>#N/A</v>
      </c>
    </row>
    <row r="464" spans="2:7">
      <c r="B464" s="67">
        <f t="shared" si="52"/>
        <v>43558</v>
      </c>
      <c r="C464" s="7">
        <f t="shared" si="53"/>
        <v>5</v>
      </c>
      <c r="D464" s="7" t="e">
        <f t="shared" si="53"/>
        <v>#N/A</v>
      </c>
      <c r="E464" s="7" t="e">
        <f t="shared" si="53"/>
        <v>#N/A</v>
      </c>
      <c r="F464" s="7" t="e">
        <f t="shared" si="53"/>
        <v>#N/A</v>
      </c>
      <c r="G464" s="7" t="e">
        <f t="shared" si="53"/>
        <v>#N/A</v>
      </c>
    </row>
    <row r="465" spans="2:7">
      <c r="B465" s="67">
        <f t="shared" si="52"/>
        <v>43559</v>
      </c>
      <c r="C465" s="7">
        <f t="shared" si="53"/>
        <v>5</v>
      </c>
      <c r="D465" s="7" t="e">
        <f t="shared" si="53"/>
        <v>#N/A</v>
      </c>
      <c r="E465" s="7" t="e">
        <f t="shared" si="53"/>
        <v>#N/A</v>
      </c>
      <c r="F465" s="7" t="e">
        <f t="shared" si="53"/>
        <v>#N/A</v>
      </c>
      <c r="G465" s="7" t="e">
        <f t="shared" si="53"/>
        <v>#N/A</v>
      </c>
    </row>
    <row r="466" spans="2:7">
      <c r="B466" s="67">
        <f t="shared" si="52"/>
        <v>43560</v>
      </c>
      <c r="C466" s="7">
        <f t="shared" si="53"/>
        <v>5</v>
      </c>
      <c r="D466" s="7" t="e">
        <f t="shared" si="53"/>
        <v>#N/A</v>
      </c>
      <c r="E466" s="7" t="e">
        <f t="shared" si="53"/>
        <v>#N/A</v>
      </c>
      <c r="F466" s="7" t="e">
        <f t="shared" si="53"/>
        <v>#N/A</v>
      </c>
      <c r="G466" s="7" t="e">
        <f t="shared" si="53"/>
        <v>#N/A</v>
      </c>
    </row>
    <row r="467" spans="2:7">
      <c r="B467" s="67">
        <f t="shared" si="52"/>
        <v>43561</v>
      </c>
      <c r="C467" s="7">
        <f t="shared" ref="C467:G476" si="54">IF(AND($B467&gt;=C$3,$B467&lt;=C$4),C$5,NA())</f>
        <v>5</v>
      </c>
      <c r="D467" s="7" t="e">
        <f t="shared" si="54"/>
        <v>#N/A</v>
      </c>
      <c r="E467" s="7" t="e">
        <f t="shared" si="54"/>
        <v>#N/A</v>
      </c>
      <c r="F467" s="7" t="e">
        <f t="shared" si="54"/>
        <v>#N/A</v>
      </c>
      <c r="G467" s="7" t="e">
        <f t="shared" si="54"/>
        <v>#N/A</v>
      </c>
    </row>
    <row r="468" spans="2:7">
      <c r="B468" s="67">
        <f t="shared" si="52"/>
        <v>43562</v>
      </c>
      <c r="C468" s="7">
        <f t="shared" si="54"/>
        <v>5</v>
      </c>
      <c r="D468" s="7" t="e">
        <f t="shared" si="54"/>
        <v>#N/A</v>
      </c>
      <c r="E468" s="7" t="e">
        <f t="shared" si="54"/>
        <v>#N/A</v>
      </c>
      <c r="F468" s="7" t="e">
        <f t="shared" si="54"/>
        <v>#N/A</v>
      </c>
      <c r="G468" s="7" t="e">
        <f t="shared" si="54"/>
        <v>#N/A</v>
      </c>
    </row>
    <row r="469" spans="2:7">
      <c r="B469" s="67">
        <f t="shared" si="52"/>
        <v>43563</v>
      </c>
      <c r="C469" s="7">
        <f t="shared" si="54"/>
        <v>5</v>
      </c>
      <c r="D469" s="7" t="e">
        <f t="shared" si="54"/>
        <v>#N/A</v>
      </c>
      <c r="E469" s="7" t="e">
        <f t="shared" si="54"/>
        <v>#N/A</v>
      </c>
      <c r="F469" s="7" t="e">
        <f t="shared" si="54"/>
        <v>#N/A</v>
      </c>
      <c r="G469" s="7" t="e">
        <f t="shared" si="54"/>
        <v>#N/A</v>
      </c>
    </row>
    <row r="470" spans="2:7">
      <c r="B470" s="67">
        <f t="shared" si="52"/>
        <v>43564</v>
      </c>
      <c r="C470" s="7">
        <f t="shared" si="54"/>
        <v>5</v>
      </c>
      <c r="D470" s="7" t="e">
        <f t="shared" si="54"/>
        <v>#N/A</v>
      </c>
      <c r="E470" s="7" t="e">
        <f t="shared" si="54"/>
        <v>#N/A</v>
      </c>
      <c r="F470" s="7" t="e">
        <f t="shared" si="54"/>
        <v>#N/A</v>
      </c>
      <c r="G470" s="7" t="e">
        <f t="shared" si="54"/>
        <v>#N/A</v>
      </c>
    </row>
    <row r="471" spans="2:7">
      <c r="B471" s="67">
        <f t="shared" si="52"/>
        <v>43565</v>
      </c>
      <c r="C471" s="7">
        <f t="shared" si="54"/>
        <v>5</v>
      </c>
      <c r="D471" s="7" t="e">
        <f t="shared" si="54"/>
        <v>#N/A</v>
      </c>
      <c r="E471" s="7" t="e">
        <f t="shared" si="54"/>
        <v>#N/A</v>
      </c>
      <c r="F471" s="7" t="e">
        <f t="shared" si="54"/>
        <v>#N/A</v>
      </c>
      <c r="G471" s="7" t="e">
        <f t="shared" si="54"/>
        <v>#N/A</v>
      </c>
    </row>
    <row r="472" spans="2:7">
      <c r="B472" s="67">
        <f t="shared" si="52"/>
        <v>43566</v>
      </c>
      <c r="C472" s="7">
        <f t="shared" si="54"/>
        <v>5</v>
      </c>
      <c r="D472" s="7" t="e">
        <f t="shared" si="54"/>
        <v>#N/A</v>
      </c>
      <c r="E472" s="7" t="e">
        <f t="shared" si="54"/>
        <v>#N/A</v>
      </c>
      <c r="F472" s="7" t="e">
        <f t="shared" si="54"/>
        <v>#N/A</v>
      </c>
      <c r="G472" s="7" t="e">
        <f t="shared" si="54"/>
        <v>#N/A</v>
      </c>
    </row>
    <row r="473" spans="2:7">
      <c r="B473" s="67">
        <f t="shared" si="52"/>
        <v>43567</v>
      </c>
      <c r="C473" s="7">
        <f t="shared" si="54"/>
        <v>5</v>
      </c>
      <c r="D473" s="7" t="e">
        <f t="shared" si="54"/>
        <v>#N/A</v>
      </c>
      <c r="E473" s="7" t="e">
        <f t="shared" si="54"/>
        <v>#N/A</v>
      </c>
      <c r="F473" s="7" t="e">
        <f t="shared" si="54"/>
        <v>#N/A</v>
      </c>
      <c r="G473" s="7" t="e">
        <f t="shared" si="54"/>
        <v>#N/A</v>
      </c>
    </row>
    <row r="474" spans="2:7">
      <c r="B474" s="67">
        <f t="shared" si="52"/>
        <v>43568</v>
      </c>
      <c r="C474" s="7">
        <f t="shared" si="54"/>
        <v>5</v>
      </c>
      <c r="D474" s="7" t="e">
        <f t="shared" si="54"/>
        <v>#N/A</v>
      </c>
      <c r="E474" s="7" t="e">
        <f t="shared" si="54"/>
        <v>#N/A</v>
      </c>
      <c r="F474" s="7" t="e">
        <f t="shared" si="54"/>
        <v>#N/A</v>
      </c>
      <c r="G474" s="7" t="e">
        <f t="shared" si="54"/>
        <v>#N/A</v>
      </c>
    </row>
    <row r="475" spans="2:7">
      <c r="B475" s="67">
        <f t="shared" si="52"/>
        <v>43569</v>
      </c>
      <c r="C475" s="7">
        <f t="shared" si="54"/>
        <v>5</v>
      </c>
      <c r="D475" s="7" t="e">
        <f t="shared" si="54"/>
        <v>#N/A</v>
      </c>
      <c r="E475" s="7" t="e">
        <f t="shared" si="54"/>
        <v>#N/A</v>
      </c>
      <c r="F475" s="7" t="e">
        <f t="shared" si="54"/>
        <v>#N/A</v>
      </c>
      <c r="G475" s="7" t="e">
        <f t="shared" si="54"/>
        <v>#N/A</v>
      </c>
    </row>
    <row r="476" spans="2:7">
      <c r="B476" s="67">
        <f t="shared" si="52"/>
        <v>43570</v>
      </c>
      <c r="C476" s="7">
        <f t="shared" si="54"/>
        <v>5</v>
      </c>
      <c r="D476" s="7" t="e">
        <f t="shared" si="54"/>
        <v>#N/A</v>
      </c>
      <c r="E476" s="7" t="e">
        <f t="shared" si="54"/>
        <v>#N/A</v>
      </c>
      <c r="F476" s="7" t="e">
        <f t="shared" si="54"/>
        <v>#N/A</v>
      </c>
      <c r="G476" s="7" t="e">
        <f t="shared" si="54"/>
        <v>#N/A</v>
      </c>
    </row>
    <row r="477" spans="2:7">
      <c r="B477" s="67">
        <f t="shared" si="52"/>
        <v>43571</v>
      </c>
      <c r="C477" s="7">
        <f t="shared" ref="C477:G486" si="55">IF(AND($B477&gt;=C$3,$B477&lt;=C$4),C$5,NA())</f>
        <v>5</v>
      </c>
      <c r="D477" s="7" t="e">
        <f t="shared" si="55"/>
        <v>#N/A</v>
      </c>
      <c r="E477" s="7" t="e">
        <f t="shared" si="55"/>
        <v>#N/A</v>
      </c>
      <c r="F477" s="7" t="e">
        <f t="shared" si="55"/>
        <v>#N/A</v>
      </c>
      <c r="G477" s="7" t="e">
        <f t="shared" si="55"/>
        <v>#N/A</v>
      </c>
    </row>
    <row r="478" spans="2:7">
      <c r="B478" s="67">
        <f t="shared" si="52"/>
        <v>43572</v>
      </c>
      <c r="C478" s="7">
        <f t="shared" si="55"/>
        <v>5</v>
      </c>
      <c r="D478" s="7" t="e">
        <f t="shared" si="55"/>
        <v>#N/A</v>
      </c>
      <c r="E478" s="7" t="e">
        <f t="shared" si="55"/>
        <v>#N/A</v>
      </c>
      <c r="F478" s="7" t="e">
        <f t="shared" si="55"/>
        <v>#N/A</v>
      </c>
      <c r="G478" s="7" t="e">
        <f t="shared" si="55"/>
        <v>#N/A</v>
      </c>
    </row>
    <row r="479" spans="2:7">
      <c r="B479" s="67">
        <f t="shared" si="52"/>
        <v>43573</v>
      </c>
      <c r="C479" s="7">
        <f t="shared" si="55"/>
        <v>5</v>
      </c>
      <c r="D479" s="7" t="e">
        <f t="shared" si="55"/>
        <v>#N/A</v>
      </c>
      <c r="E479" s="7" t="e">
        <f t="shared" si="55"/>
        <v>#N/A</v>
      </c>
      <c r="F479" s="7" t="e">
        <f t="shared" si="55"/>
        <v>#N/A</v>
      </c>
      <c r="G479" s="7" t="e">
        <f t="shared" si="55"/>
        <v>#N/A</v>
      </c>
    </row>
    <row r="480" spans="2:7">
      <c r="B480" s="67">
        <f t="shared" si="52"/>
        <v>43574</v>
      </c>
      <c r="C480" s="7">
        <f t="shared" si="55"/>
        <v>5</v>
      </c>
      <c r="D480" s="7" t="e">
        <f t="shared" si="55"/>
        <v>#N/A</v>
      </c>
      <c r="E480" s="7" t="e">
        <f t="shared" si="55"/>
        <v>#N/A</v>
      </c>
      <c r="F480" s="7" t="e">
        <f t="shared" si="55"/>
        <v>#N/A</v>
      </c>
      <c r="G480" s="7" t="e">
        <f t="shared" si="55"/>
        <v>#N/A</v>
      </c>
    </row>
    <row r="481" spans="2:7">
      <c r="B481" s="67">
        <f t="shared" si="52"/>
        <v>43575</v>
      </c>
      <c r="C481" s="7">
        <f t="shared" si="55"/>
        <v>5</v>
      </c>
      <c r="D481" s="7" t="e">
        <f t="shared" si="55"/>
        <v>#N/A</v>
      </c>
      <c r="E481" s="7" t="e">
        <f t="shared" si="55"/>
        <v>#N/A</v>
      </c>
      <c r="F481" s="7" t="e">
        <f t="shared" si="55"/>
        <v>#N/A</v>
      </c>
      <c r="G481" s="7" t="e">
        <f t="shared" si="55"/>
        <v>#N/A</v>
      </c>
    </row>
    <row r="482" spans="2:7">
      <c r="B482" s="67">
        <f t="shared" si="52"/>
        <v>43576</v>
      </c>
      <c r="C482" s="7">
        <f t="shared" si="55"/>
        <v>5</v>
      </c>
      <c r="D482" s="7" t="e">
        <f t="shared" si="55"/>
        <v>#N/A</v>
      </c>
      <c r="E482" s="7" t="e">
        <f t="shared" si="55"/>
        <v>#N/A</v>
      </c>
      <c r="F482" s="7" t="e">
        <f t="shared" si="55"/>
        <v>#N/A</v>
      </c>
      <c r="G482" s="7" t="e">
        <f t="shared" si="55"/>
        <v>#N/A</v>
      </c>
    </row>
    <row r="483" spans="2:7">
      <c r="B483" s="67">
        <f t="shared" si="52"/>
        <v>43577</v>
      </c>
      <c r="C483" s="7">
        <f t="shared" si="55"/>
        <v>5</v>
      </c>
      <c r="D483" s="7" t="e">
        <f t="shared" si="55"/>
        <v>#N/A</v>
      </c>
      <c r="E483" s="7" t="e">
        <f t="shared" si="55"/>
        <v>#N/A</v>
      </c>
      <c r="F483" s="7" t="e">
        <f t="shared" si="55"/>
        <v>#N/A</v>
      </c>
      <c r="G483" s="7" t="e">
        <f t="shared" si="55"/>
        <v>#N/A</v>
      </c>
    </row>
    <row r="484" spans="2:7">
      <c r="B484" s="67">
        <f t="shared" si="52"/>
        <v>43578</v>
      </c>
      <c r="C484" s="7">
        <f t="shared" si="55"/>
        <v>5</v>
      </c>
      <c r="D484" s="7" t="e">
        <f t="shared" si="55"/>
        <v>#N/A</v>
      </c>
      <c r="E484" s="7" t="e">
        <f t="shared" si="55"/>
        <v>#N/A</v>
      </c>
      <c r="F484" s="7" t="e">
        <f t="shared" si="55"/>
        <v>#N/A</v>
      </c>
      <c r="G484" s="7" t="e">
        <f t="shared" si="55"/>
        <v>#N/A</v>
      </c>
    </row>
    <row r="485" spans="2:7">
      <c r="B485" s="67">
        <f t="shared" si="52"/>
        <v>43579</v>
      </c>
      <c r="C485" s="7">
        <f t="shared" si="55"/>
        <v>5</v>
      </c>
      <c r="D485" s="7" t="e">
        <f t="shared" si="55"/>
        <v>#N/A</v>
      </c>
      <c r="E485" s="7" t="e">
        <f t="shared" si="55"/>
        <v>#N/A</v>
      </c>
      <c r="F485" s="7" t="e">
        <f t="shared" si="55"/>
        <v>#N/A</v>
      </c>
      <c r="G485" s="7" t="e">
        <f t="shared" si="55"/>
        <v>#N/A</v>
      </c>
    </row>
    <row r="486" spans="2:7">
      <c r="B486" s="67">
        <f t="shared" si="52"/>
        <v>43580</v>
      </c>
      <c r="C486" s="7">
        <f t="shared" si="55"/>
        <v>5</v>
      </c>
      <c r="D486" s="7" t="e">
        <f t="shared" si="55"/>
        <v>#N/A</v>
      </c>
      <c r="E486" s="7" t="e">
        <f t="shared" si="55"/>
        <v>#N/A</v>
      </c>
      <c r="F486" s="7" t="e">
        <f t="shared" si="55"/>
        <v>#N/A</v>
      </c>
      <c r="G486" s="7" t="e">
        <f t="shared" si="55"/>
        <v>#N/A</v>
      </c>
    </row>
    <row r="487" spans="2:7">
      <c r="B487" s="67">
        <f t="shared" si="52"/>
        <v>43581</v>
      </c>
      <c r="C487" s="7">
        <f t="shared" ref="C487:G496" si="56">IF(AND($B487&gt;=C$3,$B487&lt;=C$4),C$5,NA())</f>
        <v>5</v>
      </c>
      <c r="D487" s="7" t="e">
        <f t="shared" si="56"/>
        <v>#N/A</v>
      </c>
      <c r="E487" s="7" t="e">
        <f t="shared" si="56"/>
        <v>#N/A</v>
      </c>
      <c r="F487" s="7" t="e">
        <f t="shared" si="56"/>
        <v>#N/A</v>
      </c>
      <c r="G487" s="7" t="e">
        <f t="shared" si="56"/>
        <v>#N/A</v>
      </c>
    </row>
    <row r="488" spans="2:7">
      <c r="B488" s="67">
        <f t="shared" si="52"/>
        <v>43582</v>
      </c>
      <c r="C488" s="7">
        <f t="shared" si="56"/>
        <v>5</v>
      </c>
      <c r="D488" s="7" t="e">
        <f t="shared" si="56"/>
        <v>#N/A</v>
      </c>
      <c r="E488" s="7" t="e">
        <f t="shared" si="56"/>
        <v>#N/A</v>
      </c>
      <c r="F488" s="7" t="e">
        <f t="shared" si="56"/>
        <v>#N/A</v>
      </c>
      <c r="G488" s="7" t="e">
        <f t="shared" si="56"/>
        <v>#N/A</v>
      </c>
    </row>
    <row r="489" spans="2:7">
      <c r="B489" s="67">
        <f t="shared" si="52"/>
        <v>43583</v>
      </c>
      <c r="C489" s="7">
        <f t="shared" si="56"/>
        <v>5</v>
      </c>
      <c r="D489" s="7" t="e">
        <f t="shared" si="56"/>
        <v>#N/A</v>
      </c>
      <c r="E489" s="7" t="e">
        <f t="shared" si="56"/>
        <v>#N/A</v>
      </c>
      <c r="F489" s="7" t="e">
        <f t="shared" si="56"/>
        <v>#N/A</v>
      </c>
      <c r="G489" s="7" t="e">
        <f t="shared" si="56"/>
        <v>#N/A</v>
      </c>
    </row>
    <row r="490" spans="2:7">
      <c r="B490" s="67">
        <f t="shared" si="52"/>
        <v>43584</v>
      </c>
      <c r="C490" s="7">
        <f t="shared" si="56"/>
        <v>5</v>
      </c>
      <c r="D490" s="7" t="e">
        <f t="shared" si="56"/>
        <v>#N/A</v>
      </c>
      <c r="E490" s="7" t="e">
        <f t="shared" si="56"/>
        <v>#N/A</v>
      </c>
      <c r="F490" s="7" t="e">
        <f t="shared" si="56"/>
        <v>#N/A</v>
      </c>
      <c r="G490" s="7" t="e">
        <f t="shared" si="56"/>
        <v>#N/A</v>
      </c>
    </row>
    <row r="491" spans="2:7">
      <c r="B491" s="67">
        <f t="shared" si="52"/>
        <v>43585</v>
      </c>
      <c r="C491" s="7">
        <f t="shared" si="56"/>
        <v>5</v>
      </c>
      <c r="D491" s="7" t="e">
        <f t="shared" si="56"/>
        <v>#N/A</v>
      </c>
      <c r="E491" s="7" t="e">
        <f t="shared" si="56"/>
        <v>#N/A</v>
      </c>
      <c r="F491" s="7" t="e">
        <f t="shared" si="56"/>
        <v>#N/A</v>
      </c>
      <c r="G491" s="7" t="e">
        <f t="shared" si="56"/>
        <v>#N/A</v>
      </c>
    </row>
    <row r="492" spans="2:7">
      <c r="B492" s="67">
        <f t="shared" si="52"/>
        <v>43586</v>
      </c>
      <c r="C492" s="7">
        <f t="shared" si="56"/>
        <v>5</v>
      </c>
      <c r="D492" s="7" t="e">
        <f t="shared" si="56"/>
        <v>#N/A</v>
      </c>
      <c r="E492" s="7" t="e">
        <f t="shared" si="56"/>
        <v>#N/A</v>
      </c>
      <c r="F492" s="7" t="e">
        <f t="shared" si="56"/>
        <v>#N/A</v>
      </c>
      <c r="G492" s="7" t="e">
        <f t="shared" si="56"/>
        <v>#N/A</v>
      </c>
    </row>
    <row r="493" spans="2:7">
      <c r="B493" s="67">
        <f t="shared" si="52"/>
        <v>43587</v>
      </c>
      <c r="C493" s="7">
        <f t="shared" si="56"/>
        <v>5</v>
      </c>
      <c r="D493" s="7" t="e">
        <f t="shared" si="56"/>
        <v>#N/A</v>
      </c>
      <c r="E493" s="7" t="e">
        <f t="shared" si="56"/>
        <v>#N/A</v>
      </c>
      <c r="F493" s="7" t="e">
        <f t="shared" si="56"/>
        <v>#N/A</v>
      </c>
      <c r="G493" s="7" t="e">
        <f t="shared" si="56"/>
        <v>#N/A</v>
      </c>
    </row>
    <row r="494" spans="2:7">
      <c r="B494" s="67">
        <f t="shared" si="52"/>
        <v>43588</v>
      </c>
      <c r="C494" s="7">
        <f t="shared" si="56"/>
        <v>5</v>
      </c>
      <c r="D494" s="7" t="e">
        <f t="shared" si="56"/>
        <v>#N/A</v>
      </c>
      <c r="E494" s="7" t="e">
        <f t="shared" si="56"/>
        <v>#N/A</v>
      </c>
      <c r="F494" s="7" t="e">
        <f t="shared" si="56"/>
        <v>#N/A</v>
      </c>
      <c r="G494" s="7" t="e">
        <f t="shared" si="56"/>
        <v>#N/A</v>
      </c>
    </row>
    <row r="495" spans="2:7">
      <c r="B495" s="67">
        <f t="shared" si="52"/>
        <v>43589</v>
      </c>
      <c r="C495" s="7">
        <f t="shared" si="56"/>
        <v>5</v>
      </c>
      <c r="D495" s="7" t="e">
        <f t="shared" si="56"/>
        <v>#N/A</v>
      </c>
      <c r="E495" s="7" t="e">
        <f t="shared" si="56"/>
        <v>#N/A</v>
      </c>
      <c r="F495" s="7" t="e">
        <f t="shared" si="56"/>
        <v>#N/A</v>
      </c>
      <c r="G495" s="7" t="e">
        <f t="shared" si="56"/>
        <v>#N/A</v>
      </c>
    </row>
    <row r="496" spans="2:7">
      <c r="B496" s="67">
        <f t="shared" si="52"/>
        <v>43590</v>
      </c>
      <c r="C496" s="7">
        <f t="shared" si="56"/>
        <v>5</v>
      </c>
      <c r="D496" s="7" t="e">
        <f t="shared" si="56"/>
        <v>#N/A</v>
      </c>
      <c r="E496" s="7" t="e">
        <f t="shared" si="56"/>
        <v>#N/A</v>
      </c>
      <c r="F496" s="7" t="e">
        <f t="shared" si="56"/>
        <v>#N/A</v>
      </c>
      <c r="G496" s="7" t="e">
        <f t="shared" si="56"/>
        <v>#N/A</v>
      </c>
    </row>
    <row r="497" spans="2:7">
      <c r="B497" s="67">
        <f t="shared" si="52"/>
        <v>43591</v>
      </c>
      <c r="C497" s="7">
        <f t="shared" ref="C497:G506" si="57">IF(AND($B497&gt;=C$3,$B497&lt;=C$4),C$5,NA())</f>
        <v>5</v>
      </c>
      <c r="D497" s="7" t="e">
        <f t="shared" si="57"/>
        <v>#N/A</v>
      </c>
      <c r="E497" s="7" t="e">
        <f t="shared" si="57"/>
        <v>#N/A</v>
      </c>
      <c r="F497" s="7" t="e">
        <f t="shared" si="57"/>
        <v>#N/A</v>
      </c>
      <c r="G497" s="7" t="e">
        <f t="shared" si="57"/>
        <v>#N/A</v>
      </c>
    </row>
    <row r="498" spans="2:7">
      <c r="B498" s="67">
        <f t="shared" si="52"/>
        <v>43592</v>
      </c>
      <c r="C498" s="7">
        <f t="shared" si="57"/>
        <v>5</v>
      </c>
      <c r="D498" s="7" t="e">
        <f t="shared" si="57"/>
        <v>#N/A</v>
      </c>
      <c r="E498" s="7" t="e">
        <f t="shared" si="57"/>
        <v>#N/A</v>
      </c>
      <c r="F498" s="7" t="e">
        <f t="shared" si="57"/>
        <v>#N/A</v>
      </c>
      <c r="G498" s="7" t="e">
        <f t="shared" si="57"/>
        <v>#N/A</v>
      </c>
    </row>
    <row r="499" spans="2:7">
      <c r="B499" s="67">
        <f t="shared" si="52"/>
        <v>43593</v>
      </c>
      <c r="C499" s="7">
        <f t="shared" si="57"/>
        <v>5</v>
      </c>
      <c r="D499" s="7" t="e">
        <f t="shared" si="57"/>
        <v>#N/A</v>
      </c>
      <c r="E499" s="7" t="e">
        <f t="shared" si="57"/>
        <v>#N/A</v>
      </c>
      <c r="F499" s="7" t="e">
        <f t="shared" si="57"/>
        <v>#N/A</v>
      </c>
      <c r="G499" s="7" t="e">
        <f t="shared" si="57"/>
        <v>#N/A</v>
      </c>
    </row>
    <row r="500" spans="2:7">
      <c r="B500" s="67">
        <f t="shared" si="52"/>
        <v>43594</v>
      </c>
      <c r="C500" s="7">
        <f t="shared" si="57"/>
        <v>5</v>
      </c>
      <c r="D500" s="7" t="e">
        <f t="shared" si="57"/>
        <v>#N/A</v>
      </c>
      <c r="E500" s="7" t="e">
        <f t="shared" si="57"/>
        <v>#N/A</v>
      </c>
      <c r="F500" s="7" t="e">
        <f t="shared" si="57"/>
        <v>#N/A</v>
      </c>
      <c r="G500" s="7" t="e">
        <f t="shared" si="57"/>
        <v>#N/A</v>
      </c>
    </row>
    <row r="501" spans="2:7">
      <c r="B501" s="67">
        <f t="shared" si="52"/>
        <v>43595</v>
      </c>
      <c r="C501" s="7">
        <f t="shared" si="57"/>
        <v>5</v>
      </c>
      <c r="D501" s="7" t="e">
        <f t="shared" si="57"/>
        <v>#N/A</v>
      </c>
      <c r="E501" s="7" t="e">
        <f t="shared" si="57"/>
        <v>#N/A</v>
      </c>
      <c r="F501" s="7" t="e">
        <f t="shared" si="57"/>
        <v>#N/A</v>
      </c>
      <c r="G501" s="7" t="e">
        <f t="shared" si="57"/>
        <v>#N/A</v>
      </c>
    </row>
    <row r="502" spans="2:7">
      <c r="B502" s="67">
        <f t="shared" si="52"/>
        <v>43596</v>
      </c>
      <c r="C502" s="7">
        <f t="shared" si="57"/>
        <v>5</v>
      </c>
      <c r="D502" s="7" t="e">
        <f t="shared" si="57"/>
        <v>#N/A</v>
      </c>
      <c r="E502" s="7" t="e">
        <f t="shared" si="57"/>
        <v>#N/A</v>
      </c>
      <c r="F502" s="7" t="e">
        <f t="shared" si="57"/>
        <v>#N/A</v>
      </c>
      <c r="G502" s="7" t="e">
        <f t="shared" si="57"/>
        <v>#N/A</v>
      </c>
    </row>
    <row r="503" spans="2:7">
      <c r="B503" s="67">
        <f t="shared" si="52"/>
        <v>43597</v>
      </c>
      <c r="C503" s="7">
        <f t="shared" si="57"/>
        <v>5</v>
      </c>
      <c r="D503" s="7" t="e">
        <f t="shared" si="57"/>
        <v>#N/A</v>
      </c>
      <c r="E503" s="7" t="e">
        <f t="shared" si="57"/>
        <v>#N/A</v>
      </c>
      <c r="F503" s="7" t="e">
        <f t="shared" si="57"/>
        <v>#N/A</v>
      </c>
      <c r="G503" s="7" t="e">
        <f t="shared" si="57"/>
        <v>#N/A</v>
      </c>
    </row>
    <row r="504" spans="2:7">
      <c r="B504" s="67">
        <f t="shared" si="52"/>
        <v>43598</v>
      </c>
      <c r="C504" s="7">
        <f t="shared" si="57"/>
        <v>5</v>
      </c>
      <c r="D504" s="7" t="e">
        <f t="shared" si="57"/>
        <v>#N/A</v>
      </c>
      <c r="E504" s="7" t="e">
        <f t="shared" si="57"/>
        <v>#N/A</v>
      </c>
      <c r="F504" s="7" t="e">
        <f t="shared" si="57"/>
        <v>#N/A</v>
      </c>
      <c r="G504" s="7" t="e">
        <f t="shared" si="57"/>
        <v>#N/A</v>
      </c>
    </row>
    <row r="505" spans="2:7">
      <c r="B505" s="67">
        <f t="shared" si="52"/>
        <v>43599</v>
      </c>
      <c r="C505" s="7">
        <f t="shared" si="57"/>
        <v>5</v>
      </c>
      <c r="D505" s="7" t="e">
        <f t="shared" si="57"/>
        <v>#N/A</v>
      </c>
      <c r="E505" s="7" t="e">
        <f t="shared" si="57"/>
        <v>#N/A</v>
      </c>
      <c r="F505" s="7" t="e">
        <f t="shared" si="57"/>
        <v>#N/A</v>
      </c>
      <c r="G505" s="7" t="e">
        <f t="shared" si="57"/>
        <v>#N/A</v>
      </c>
    </row>
    <row r="506" spans="2:7">
      <c r="B506" s="67">
        <f t="shared" si="52"/>
        <v>43600</v>
      </c>
      <c r="C506" s="7">
        <f t="shared" si="57"/>
        <v>5</v>
      </c>
      <c r="D506" s="7" t="e">
        <f t="shared" si="57"/>
        <v>#N/A</v>
      </c>
      <c r="E506" s="7" t="e">
        <f t="shared" si="57"/>
        <v>#N/A</v>
      </c>
      <c r="F506" s="7" t="e">
        <f t="shared" si="57"/>
        <v>#N/A</v>
      </c>
      <c r="G506" s="7" t="e">
        <f t="shared" si="57"/>
        <v>#N/A</v>
      </c>
    </row>
    <row r="507" spans="2:7">
      <c r="B507" s="67">
        <f t="shared" si="52"/>
        <v>43601</v>
      </c>
      <c r="C507" s="7">
        <f t="shared" ref="C507:G516" si="58">IF(AND($B507&gt;=C$3,$B507&lt;=C$4),C$5,NA())</f>
        <v>5</v>
      </c>
      <c r="D507" s="7" t="e">
        <f t="shared" si="58"/>
        <v>#N/A</v>
      </c>
      <c r="E507" s="7" t="e">
        <f t="shared" si="58"/>
        <v>#N/A</v>
      </c>
      <c r="F507" s="7" t="e">
        <f t="shared" si="58"/>
        <v>#N/A</v>
      </c>
      <c r="G507" s="7" t="e">
        <f t="shared" si="58"/>
        <v>#N/A</v>
      </c>
    </row>
    <row r="508" spans="2:7">
      <c r="B508" s="67">
        <f t="shared" si="52"/>
        <v>43602</v>
      </c>
      <c r="C508" s="7">
        <f t="shared" si="58"/>
        <v>5</v>
      </c>
      <c r="D508" s="7" t="e">
        <f t="shared" si="58"/>
        <v>#N/A</v>
      </c>
      <c r="E508" s="7" t="e">
        <f t="shared" si="58"/>
        <v>#N/A</v>
      </c>
      <c r="F508" s="7" t="e">
        <f t="shared" si="58"/>
        <v>#N/A</v>
      </c>
      <c r="G508" s="7" t="e">
        <f t="shared" si="58"/>
        <v>#N/A</v>
      </c>
    </row>
    <row r="509" spans="2:7">
      <c r="B509" s="67">
        <f t="shared" si="52"/>
        <v>43603</v>
      </c>
      <c r="C509" s="7">
        <f t="shared" si="58"/>
        <v>5</v>
      </c>
      <c r="D509" s="7" t="e">
        <f t="shared" si="58"/>
        <v>#N/A</v>
      </c>
      <c r="E509" s="7" t="e">
        <f t="shared" si="58"/>
        <v>#N/A</v>
      </c>
      <c r="F509" s="7" t="e">
        <f t="shared" si="58"/>
        <v>#N/A</v>
      </c>
      <c r="G509" s="7" t="e">
        <f t="shared" si="58"/>
        <v>#N/A</v>
      </c>
    </row>
    <row r="510" spans="2:7">
      <c r="B510" s="67">
        <f t="shared" si="52"/>
        <v>43604</v>
      </c>
      <c r="C510" s="7">
        <f t="shared" si="58"/>
        <v>5</v>
      </c>
      <c r="D510" s="7" t="e">
        <f t="shared" si="58"/>
        <v>#N/A</v>
      </c>
      <c r="E510" s="7" t="e">
        <f t="shared" si="58"/>
        <v>#N/A</v>
      </c>
      <c r="F510" s="7" t="e">
        <f t="shared" si="58"/>
        <v>#N/A</v>
      </c>
      <c r="G510" s="7" t="e">
        <f t="shared" si="58"/>
        <v>#N/A</v>
      </c>
    </row>
    <row r="511" spans="2:7">
      <c r="B511" s="67">
        <f t="shared" si="52"/>
        <v>43605</v>
      </c>
      <c r="C511" s="7">
        <f t="shared" si="58"/>
        <v>5</v>
      </c>
      <c r="D511" s="7" t="e">
        <f t="shared" si="58"/>
        <v>#N/A</v>
      </c>
      <c r="E511" s="7" t="e">
        <f t="shared" si="58"/>
        <v>#N/A</v>
      </c>
      <c r="F511" s="7" t="e">
        <f t="shared" si="58"/>
        <v>#N/A</v>
      </c>
      <c r="G511" s="7" t="e">
        <f t="shared" si="58"/>
        <v>#N/A</v>
      </c>
    </row>
    <row r="512" spans="2:7">
      <c r="B512" s="67">
        <f t="shared" si="52"/>
        <v>43606</v>
      </c>
      <c r="C512" s="7">
        <f t="shared" si="58"/>
        <v>5</v>
      </c>
      <c r="D512" s="7" t="e">
        <f t="shared" si="58"/>
        <v>#N/A</v>
      </c>
      <c r="E512" s="7" t="e">
        <f t="shared" si="58"/>
        <v>#N/A</v>
      </c>
      <c r="F512" s="7" t="e">
        <f t="shared" si="58"/>
        <v>#N/A</v>
      </c>
      <c r="G512" s="7" t="e">
        <f t="shared" si="58"/>
        <v>#N/A</v>
      </c>
    </row>
    <row r="513" spans="2:7">
      <c r="B513" s="67">
        <f t="shared" si="52"/>
        <v>43607</v>
      </c>
      <c r="C513" s="7">
        <f t="shared" si="58"/>
        <v>5</v>
      </c>
      <c r="D513" s="7" t="e">
        <f t="shared" si="58"/>
        <v>#N/A</v>
      </c>
      <c r="E513" s="7" t="e">
        <f t="shared" si="58"/>
        <v>#N/A</v>
      </c>
      <c r="F513" s="7" t="e">
        <f t="shared" si="58"/>
        <v>#N/A</v>
      </c>
      <c r="G513" s="7" t="e">
        <f t="shared" si="58"/>
        <v>#N/A</v>
      </c>
    </row>
    <row r="514" spans="2:7">
      <c r="B514" s="67">
        <f t="shared" si="52"/>
        <v>43608</v>
      </c>
      <c r="C514" s="7">
        <f t="shared" si="58"/>
        <v>5</v>
      </c>
      <c r="D514" s="7" t="e">
        <f t="shared" si="58"/>
        <v>#N/A</v>
      </c>
      <c r="E514" s="7" t="e">
        <f t="shared" si="58"/>
        <v>#N/A</v>
      </c>
      <c r="F514" s="7" t="e">
        <f t="shared" si="58"/>
        <v>#N/A</v>
      </c>
      <c r="G514" s="7" t="e">
        <f t="shared" si="58"/>
        <v>#N/A</v>
      </c>
    </row>
    <row r="515" spans="2:7">
      <c r="B515" s="67">
        <f t="shared" si="52"/>
        <v>43609</v>
      </c>
      <c r="C515" s="7">
        <f t="shared" si="58"/>
        <v>5</v>
      </c>
      <c r="D515" s="7" t="e">
        <f t="shared" si="58"/>
        <v>#N/A</v>
      </c>
      <c r="E515" s="7" t="e">
        <f t="shared" si="58"/>
        <v>#N/A</v>
      </c>
      <c r="F515" s="7" t="e">
        <f t="shared" si="58"/>
        <v>#N/A</v>
      </c>
      <c r="G515" s="7" t="e">
        <f t="shared" si="58"/>
        <v>#N/A</v>
      </c>
    </row>
    <row r="516" spans="2:7">
      <c r="B516" s="67">
        <f t="shared" si="52"/>
        <v>43610</v>
      </c>
      <c r="C516" s="7">
        <f t="shared" si="58"/>
        <v>5</v>
      </c>
      <c r="D516" s="7" t="e">
        <f t="shared" si="58"/>
        <v>#N/A</v>
      </c>
      <c r="E516" s="7" t="e">
        <f t="shared" si="58"/>
        <v>#N/A</v>
      </c>
      <c r="F516" s="7" t="e">
        <f t="shared" si="58"/>
        <v>#N/A</v>
      </c>
      <c r="G516" s="7" t="e">
        <f t="shared" si="58"/>
        <v>#N/A</v>
      </c>
    </row>
    <row r="517" spans="2:7">
      <c r="B517" s="67">
        <f t="shared" si="52"/>
        <v>43611</v>
      </c>
      <c r="C517" s="7">
        <f t="shared" ref="C517:G526" si="59">IF(AND($B517&gt;=C$3,$B517&lt;=C$4),C$5,NA())</f>
        <v>5</v>
      </c>
      <c r="D517" s="7" t="e">
        <f t="shared" si="59"/>
        <v>#N/A</v>
      </c>
      <c r="E517" s="7" t="e">
        <f t="shared" si="59"/>
        <v>#N/A</v>
      </c>
      <c r="F517" s="7" t="e">
        <f t="shared" si="59"/>
        <v>#N/A</v>
      </c>
      <c r="G517" s="7" t="e">
        <f t="shared" si="59"/>
        <v>#N/A</v>
      </c>
    </row>
    <row r="518" spans="2:7">
      <c r="B518" s="67">
        <f t="shared" si="52"/>
        <v>43612</v>
      </c>
      <c r="C518" s="7">
        <f t="shared" si="59"/>
        <v>5</v>
      </c>
      <c r="D518" s="7" t="e">
        <f t="shared" si="59"/>
        <v>#N/A</v>
      </c>
      <c r="E518" s="7" t="e">
        <f t="shared" si="59"/>
        <v>#N/A</v>
      </c>
      <c r="F518" s="7" t="e">
        <f t="shared" si="59"/>
        <v>#N/A</v>
      </c>
      <c r="G518" s="7" t="e">
        <f t="shared" si="59"/>
        <v>#N/A</v>
      </c>
    </row>
    <row r="519" spans="2:7">
      <c r="B519" s="67">
        <f t="shared" si="52"/>
        <v>43613</v>
      </c>
      <c r="C519" s="7">
        <f t="shared" si="59"/>
        <v>5</v>
      </c>
      <c r="D519" s="7" t="e">
        <f t="shared" si="59"/>
        <v>#N/A</v>
      </c>
      <c r="E519" s="7" t="e">
        <f t="shared" si="59"/>
        <v>#N/A</v>
      </c>
      <c r="F519" s="7" t="e">
        <f t="shared" si="59"/>
        <v>#N/A</v>
      </c>
      <c r="G519" s="7" t="e">
        <f t="shared" si="59"/>
        <v>#N/A</v>
      </c>
    </row>
    <row r="520" spans="2:7">
      <c r="B520" s="67">
        <f t="shared" ref="B520:B583" si="60">B519+1</f>
        <v>43614</v>
      </c>
      <c r="C520" s="7">
        <f t="shared" si="59"/>
        <v>5</v>
      </c>
      <c r="D520" s="7" t="e">
        <f t="shared" si="59"/>
        <v>#N/A</v>
      </c>
      <c r="E520" s="7" t="e">
        <f t="shared" si="59"/>
        <v>#N/A</v>
      </c>
      <c r="F520" s="7" t="e">
        <f t="shared" si="59"/>
        <v>#N/A</v>
      </c>
      <c r="G520" s="7" t="e">
        <f t="shared" si="59"/>
        <v>#N/A</v>
      </c>
    </row>
    <row r="521" spans="2:7">
      <c r="B521" s="67">
        <f t="shared" si="60"/>
        <v>43615</v>
      </c>
      <c r="C521" s="7">
        <f t="shared" si="59"/>
        <v>5</v>
      </c>
      <c r="D521" s="7" t="e">
        <f t="shared" si="59"/>
        <v>#N/A</v>
      </c>
      <c r="E521" s="7" t="e">
        <f t="shared" si="59"/>
        <v>#N/A</v>
      </c>
      <c r="F521" s="7" t="e">
        <f t="shared" si="59"/>
        <v>#N/A</v>
      </c>
      <c r="G521" s="7" t="e">
        <f t="shared" si="59"/>
        <v>#N/A</v>
      </c>
    </row>
    <row r="522" spans="2:7">
      <c r="B522" s="67">
        <f t="shared" si="60"/>
        <v>43616</v>
      </c>
      <c r="C522" s="7">
        <f t="shared" si="59"/>
        <v>5</v>
      </c>
      <c r="D522" s="7" t="e">
        <f t="shared" si="59"/>
        <v>#N/A</v>
      </c>
      <c r="E522" s="7" t="e">
        <f t="shared" si="59"/>
        <v>#N/A</v>
      </c>
      <c r="F522" s="7" t="e">
        <f t="shared" si="59"/>
        <v>#N/A</v>
      </c>
      <c r="G522" s="7" t="e">
        <f t="shared" si="59"/>
        <v>#N/A</v>
      </c>
    </row>
    <row r="523" spans="2:7">
      <c r="B523" s="67">
        <f t="shared" si="60"/>
        <v>43617</v>
      </c>
      <c r="C523" s="7">
        <f t="shared" si="59"/>
        <v>5</v>
      </c>
      <c r="D523" s="7" t="e">
        <f t="shared" si="59"/>
        <v>#N/A</v>
      </c>
      <c r="E523" s="7" t="e">
        <f t="shared" si="59"/>
        <v>#N/A</v>
      </c>
      <c r="F523" s="7" t="e">
        <f t="shared" si="59"/>
        <v>#N/A</v>
      </c>
      <c r="G523" s="7" t="e">
        <f t="shared" si="59"/>
        <v>#N/A</v>
      </c>
    </row>
    <row r="524" spans="2:7">
      <c r="B524" s="67">
        <f t="shared" si="60"/>
        <v>43618</v>
      </c>
      <c r="C524" s="7">
        <f t="shared" si="59"/>
        <v>5</v>
      </c>
      <c r="D524" s="7" t="e">
        <f t="shared" si="59"/>
        <v>#N/A</v>
      </c>
      <c r="E524" s="7" t="e">
        <f t="shared" si="59"/>
        <v>#N/A</v>
      </c>
      <c r="F524" s="7" t="e">
        <f t="shared" si="59"/>
        <v>#N/A</v>
      </c>
      <c r="G524" s="7" t="e">
        <f t="shared" si="59"/>
        <v>#N/A</v>
      </c>
    </row>
    <row r="525" spans="2:7">
      <c r="B525" s="67">
        <f t="shared" si="60"/>
        <v>43619</v>
      </c>
      <c r="C525" s="7">
        <f t="shared" si="59"/>
        <v>5</v>
      </c>
      <c r="D525" s="7" t="e">
        <f t="shared" si="59"/>
        <v>#N/A</v>
      </c>
      <c r="E525" s="7" t="e">
        <f t="shared" si="59"/>
        <v>#N/A</v>
      </c>
      <c r="F525" s="7" t="e">
        <f t="shared" si="59"/>
        <v>#N/A</v>
      </c>
      <c r="G525" s="7" t="e">
        <f t="shared" si="59"/>
        <v>#N/A</v>
      </c>
    </row>
    <row r="526" spans="2:7">
      <c r="B526" s="67">
        <f t="shared" si="60"/>
        <v>43620</v>
      </c>
      <c r="C526" s="7">
        <f t="shared" si="59"/>
        <v>5</v>
      </c>
      <c r="D526" s="7" t="e">
        <f t="shared" si="59"/>
        <v>#N/A</v>
      </c>
      <c r="E526" s="7" t="e">
        <f t="shared" si="59"/>
        <v>#N/A</v>
      </c>
      <c r="F526" s="7" t="e">
        <f t="shared" si="59"/>
        <v>#N/A</v>
      </c>
      <c r="G526" s="7" t="e">
        <f t="shared" si="59"/>
        <v>#N/A</v>
      </c>
    </row>
    <row r="527" spans="2:7">
      <c r="B527" s="67">
        <f t="shared" si="60"/>
        <v>43621</v>
      </c>
      <c r="C527" s="7">
        <f t="shared" ref="C527:G536" si="61">IF(AND($B527&gt;=C$3,$B527&lt;=C$4),C$5,NA())</f>
        <v>5</v>
      </c>
      <c r="D527" s="7" t="e">
        <f t="shared" si="61"/>
        <v>#N/A</v>
      </c>
      <c r="E527" s="7" t="e">
        <f t="shared" si="61"/>
        <v>#N/A</v>
      </c>
      <c r="F527" s="7" t="e">
        <f t="shared" si="61"/>
        <v>#N/A</v>
      </c>
      <c r="G527" s="7" t="e">
        <f t="shared" si="61"/>
        <v>#N/A</v>
      </c>
    </row>
    <row r="528" spans="2:7">
      <c r="B528" s="67">
        <f t="shared" si="60"/>
        <v>43622</v>
      </c>
      <c r="C528" s="7">
        <f t="shared" si="61"/>
        <v>5</v>
      </c>
      <c r="D528" s="7" t="e">
        <f t="shared" si="61"/>
        <v>#N/A</v>
      </c>
      <c r="E528" s="7" t="e">
        <f t="shared" si="61"/>
        <v>#N/A</v>
      </c>
      <c r="F528" s="7" t="e">
        <f t="shared" si="61"/>
        <v>#N/A</v>
      </c>
      <c r="G528" s="7" t="e">
        <f t="shared" si="61"/>
        <v>#N/A</v>
      </c>
    </row>
    <row r="529" spans="2:7">
      <c r="B529" s="67">
        <f t="shared" si="60"/>
        <v>43623</v>
      </c>
      <c r="C529" s="7">
        <f t="shared" si="61"/>
        <v>5</v>
      </c>
      <c r="D529" s="7" t="e">
        <f t="shared" si="61"/>
        <v>#N/A</v>
      </c>
      <c r="E529" s="7" t="e">
        <f t="shared" si="61"/>
        <v>#N/A</v>
      </c>
      <c r="F529" s="7" t="e">
        <f t="shared" si="61"/>
        <v>#N/A</v>
      </c>
      <c r="G529" s="7" t="e">
        <f t="shared" si="61"/>
        <v>#N/A</v>
      </c>
    </row>
    <row r="530" spans="2:7">
      <c r="B530" s="67">
        <f t="shared" si="60"/>
        <v>43624</v>
      </c>
      <c r="C530" s="7">
        <f t="shared" si="61"/>
        <v>5</v>
      </c>
      <c r="D530" s="7" t="e">
        <f t="shared" si="61"/>
        <v>#N/A</v>
      </c>
      <c r="E530" s="7" t="e">
        <f t="shared" si="61"/>
        <v>#N/A</v>
      </c>
      <c r="F530" s="7" t="e">
        <f t="shared" si="61"/>
        <v>#N/A</v>
      </c>
      <c r="G530" s="7" t="e">
        <f t="shared" si="61"/>
        <v>#N/A</v>
      </c>
    </row>
    <row r="531" spans="2:7">
      <c r="B531" s="67">
        <f t="shared" si="60"/>
        <v>43625</v>
      </c>
      <c r="C531" s="7">
        <f t="shared" si="61"/>
        <v>5</v>
      </c>
      <c r="D531" s="7" t="e">
        <f t="shared" si="61"/>
        <v>#N/A</v>
      </c>
      <c r="E531" s="7" t="e">
        <f t="shared" si="61"/>
        <v>#N/A</v>
      </c>
      <c r="F531" s="7" t="e">
        <f t="shared" si="61"/>
        <v>#N/A</v>
      </c>
      <c r="G531" s="7" t="e">
        <f t="shared" si="61"/>
        <v>#N/A</v>
      </c>
    </row>
    <row r="532" spans="2:7">
      <c r="B532" s="67">
        <f t="shared" si="60"/>
        <v>43626</v>
      </c>
      <c r="C532" s="7">
        <f t="shared" si="61"/>
        <v>5</v>
      </c>
      <c r="D532" s="7" t="e">
        <f t="shared" si="61"/>
        <v>#N/A</v>
      </c>
      <c r="E532" s="7" t="e">
        <f t="shared" si="61"/>
        <v>#N/A</v>
      </c>
      <c r="F532" s="7" t="e">
        <f t="shared" si="61"/>
        <v>#N/A</v>
      </c>
      <c r="G532" s="7" t="e">
        <f t="shared" si="61"/>
        <v>#N/A</v>
      </c>
    </row>
    <row r="533" spans="2:7">
      <c r="B533" s="67">
        <f t="shared" si="60"/>
        <v>43627</v>
      </c>
      <c r="C533" s="7">
        <f t="shared" si="61"/>
        <v>5</v>
      </c>
      <c r="D533" s="7" t="e">
        <f t="shared" si="61"/>
        <v>#N/A</v>
      </c>
      <c r="E533" s="7" t="e">
        <f t="shared" si="61"/>
        <v>#N/A</v>
      </c>
      <c r="F533" s="7" t="e">
        <f t="shared" si="61"/>
        <v>#N/A</v>
      </c>
      <c r="G533" s="7" t="e">
        <f t="shared" si="61"/>
        <v>#N/A</v>
      </c>
    </row>
    <row r="534" spans="2:7">
      <c r="B534" s="67">
        <f t="shared" si="60"/>
        <v>43628</v>
      </c>
      <c r="C534" s="7">
        <f t="shared" si="61"/>
        <v>5</v>
      </c>
      <c r="D534" s="7" t="e">
        <f t="shared" si="61"/>
        <v>#N/A</v>
      </c>
      <c r="E534" s="7" t="e">
        <f t="shared" si="61"/>
        <v>#N/A</v>
      </c>
      <c r="F534" s="7" t="e">
        <f t="shared" si="61"/>
        <v>#N/A</v>
      </c>
      <c r="G534" s="7" t="e">
        <f t="shared" si="61"/>
        <v>#N/A</v>
      </c>
    </row>
    <row r="535" spans="2:7">
      <c r="B535" s="67">
        <f t="shared" si="60"/>
        <v>43629</v>
      </c>
      <c r="C535" s="7">
        <f t="shared" si="61"/>
        <v>5</v>
      </c>
      <c r="D535" s="7" t="e">
        <f t="shared" si="61"/>
        <v>#N/A</v>
      </c>
      <c r="E535" s="7" t="e">
        <f t="shared" si="61"/>
        <v>#N/A</v>
      </c>
      <c r="F535" s="7" t="e">
        <f t="shared" si="61"/>
        <v>#N/A</v>
      </c>
      <c r="G535" s="7" t="e">
        <f t="shared" si="61"/>
        <v>#N/A</v>
      </c>
    </row>
    <row r="536" spans="2:7">
      <c r="B536" s="67">
        <f t="shared" si="60"/>
        <v>43630</v>
      </c>
      <c r="C536" s="7">
        <f t="shared" si="61"/>
        <v>5</v>
      </c>
      <c r="D536" s="7" t="e">
        <f t="shared" si="61"/>
        <v>#N/A</v>
      </c>
      <c r="E536" s="7" t="e">
        <f t="shared" si="61"/>
        <v>#N/A</v>
      </c>
      <c r="F536" s="7" t="e">
        <f t="shared" si="61"/>
        <v>#N/A</v>
      </c>
      <c r="G536" s="7" t="e">
        <f t="shared" si="61"/>
        <v>#N/A</v>
      </c>
    </row>
    <row r="537" spans="2:7">
      <c r="B537" s="67">
        <f t="shared" si="60"/>
        <v>43631</v>
      </c>
      <c r="C537" s="7">
        <f t="shared" ref="C537:G546" si="62">IF(AND($B537&gt;=C$3,$B537&lt;=C$4),C$5,NA())</f>
        <v>5</v>
      </c>
      <c r="D537" s="7" t="e">
        <f t="shared" si="62"/>
        <v>#N/A</v>
      </c>
      <c r="E537" s="7" t="e">
        <f t="shared" si="62"/>
        <v>#N/A</v>
      </c>
      <c r="F537" s="7" t="e">
        <f t="shared" si="62"/>
        <v>#N/A</v>
      </c>
      <c r="G537" s="7" t="e">
        <f t="shared" si="62"/>
        <v>#N/A</v>
      </c>
    </row>
    <row r="538" spans="2:7">
      <c r="B538" s="67">
        <f t="shared" si="60"/>
        <v>43632</v>
      </c>
      <c r="C538" s="7">
        <f t="shared" si="62"/>
        <v>5</v>
      </c>
      <c r="D538" s="7" t="e">
        <f t="shared" si="62"/>
        <v>#N/A</v>
      </c>
      <c r="E538" s="7" t="e">
        <f t="shared" si="62"/>
        <v>#N/A</v>
      </c>
      <c r="F538" s="7" t="e">
        <f t="shared" si="62"/>
        <v>#N/A</v>
      </c>
      <c r="G538" s="7" t="e">
        <f t="shared" si="62"/>
        <v>#N/A</v>
      </c>
    </row>
    <row r="539" spans="2:7">
      <c r="B539" s="67">
        <f t="shared" si="60"/>
        <v>43633</v>
      </c>
      <c r="C539" s="7">
        <f t="shared" si="62"/>
        <v>5</v>
      </c>
      <c r="D539" s="7" t="e">
        <f t="shared" si="62"/>
        <v>#N/A</v>
      </c>
      <c r="E539" s="7" t="e">
        <f t="shared" si="62"/>
        <v>#N/A</v>
      </c>
      <c r="F539" s="7" t="e">
        <f t="shared" si="62"/>
        <v>#N/A</v>
      </c>
      <c r="G539" s="7" t="e">
        <f t="shared" si="62"/>
        <v>#N/A</v>
      </c>
    </row>
    <row r="540" spans="2:7">
      <c r="B540" s="67">
        <f t="shared" si="60"/>
        <v>43634</v>
      </c>
      <c r="C540" s="7">
        <f t="shared" si="62"/>
        <v>5</v>
      </c>
      <c r="D540" s="7" t="e">
        <f t="shared" si="62"/>
        <v>#N/A</v>
      </c>
      <c r="E540" s="7" t="e">
        <f t="shared" si="62"/>
        <v>#N/A</v>
      </c>
      <c r="F540" s="7" t="e">
        <f t="shared" si="62"/>
        <v>#N/A</v>
      </c>
      <c r="G540" s="7" t="e">
        <f t="shared" si="62"/>
        <v>#N/A</v>
      </c>
    </row>
    <row r="541" spans="2:7">
      <c r="B541" s="67">
        <f t="shared" si="60"/>
        <v>43635</v>
      </c>
      <c r="C541" s="7">
        <f t="shared" si="62"/>
        <v>5</v>
      </c>
      <c r="D541" s="7" t="e">
        <f t="shared" si="62"/>
        <v>#N/A</v>
      </c>
      <c r="E541" s="7" t="e">
        <f t="shared" si="62"/>
        <v>#N/A</v>
      </c>
      <c r="F541" s="7" t="e">
        <f t="shared" si="62"/>
        <v>#N/A</v>
      </c>
      <c r="G541" s="7" t="e">
        <f t="shared" si="62"/>
        <v>#N/A</v>
      </c>
    </row>
    <row r="542" spans="2:7">
      <c r="B542" s="67">
        <f t="shared" si="60"/>
        <v>43636</v>
      </c>
      <c r="C542" s="7">
        <f t="shared" si="62"/>
        <v>5</v>
      </c>
      <c r="D542" s="7" t="e">
        <f t="shared" si="62"/>
        <v>#N/A</v>
      </c>
      <c r="E542" s="7" t="e">
        <f t="shared" si="62"/>
        <v>#N/A</v>
      </c>
      <c r="F542" s="7" t="e">
        <f t="shared" si="62"/>
        <v>#N/A</v>
      </c>
      <c r="G542" s="7" t="e">
        <f t="shared" si="62"/>
        <v>#N/A</v>
      </c>
    </row>
    <row r="543" spans="2:7">
      <c r="B543" s="67">
        <f t="shared" si="60"/>
        <v>43637</v>
      </c>
      <c r="C543" s="7">
        <f t="shared" si="62"/>
        <v>5</v>
      </c>
      <c r="D543" s="7" t="e">
        <f t="shared" si="62"/>
        <v>#N/A</v>
      </c>
      <c r="E543" s="7" t="e">
        <f t="shared" si="62"/>
        <v>#N/A</v>
      </c>
      <c r="F543" s="7" t="e">
        <f t="shared" si="62"/>
        <v>#N/A</v>
      </c>
      <c r="G543" s="7" t="e">
        <f t="shared" si="62"/>
        <v>#N/A</v>
      </c>
    </row>
    <row r="544" spans="2:7">
      <c r="B544" s="67">
        <f t="shared" si="60"/>
        <v>43638</v>
      </c>
      <c r="C544" s="7">
        <f t="shared" si="62"/>
        <v>5</v>
      </c>
      <c r="D544" s="7" t="e">
        <f t="shared" si="62"/>
        <v>#N/A</v>
      </c>
      <c r="E544" s="7" t="e">
        <f t="shared" si="62"/>
        <v>#N/A</v>
      </c>
      <c r="F544" s="7" t="e">
        <f t="shared" si="62"/>
        <v>#N/A</v>
      </c>
      <c r="G544" s="7" t="e">
        <f t="shared" si="62"/>
        <v>#N/A</v>
      </c>
    </row>
    <row r="545" spans="2:7">
      <c r="B545" s="67">
        <f t="shared" si="60"/>
        <v>43639</v>
      </c>
      <c r="C545" s="7">
        <f t="shared" si="62"/>
        <v>5</v>
      </c>
      <c r="D545" s="7" t="e">
        <f t="shared" si="62"/>
        <v>#N/A</v>
      </c>
      <c r="E545" s="7" t="e">
        <f t="shared" si="62"/>
        <v>#N/A</v>
      </c>
      <c r="F545" s="7" t="e">
        <f t="shared" si="62"/>
        <v>#N/A</v>
      </c>
      <c r="G545" s="7" t="e">
        <f t="shared" si="62"/>
        <v>#N/A</v>
      </c>
    </row>
    <row r="546" spans="2:7">
      <c r="B546" s="67">
        <f t="shared" si="60"/>
        <v>43640</v>
      </c>
      <c r="C546" s="7">
        <f t="shared" si="62"/>
        <v>5</v>
      </c>
      <c r="D546" s="7" t="e">
        <f t="shared" si="62"/>
        <v>#N/A</v>
      </c>
      <c r="E546" s="7" t="e">
        <f t="shared" si="62"/>
        <v>#N/A</v>
      </c>
      <c r="F546" s="7" t="e">
        <f t="shared" si="62"/>
        <v>#N/A</v>
      </c>
      <c r="G546" s="7" t="e">
        <f t="shared" si="62"/>
        <v>#N/A</v>
      </c>
    </row>
    <row r="547" spans="2:7">
      <c r="B547" s="67">
        <f t="shared" si="60"/>
        <v>43641</v>
      </c>
      <c r="C547" s="7">
        <f t="shared" ref="C547:G556" si="63">IF(AND($B547&gt;=C$3,$B547&lt;=C$4),C$5,NA())</f>
        <v>5</v>
      </c>
      <c r="D547" s="7" t="e">
        <f t="shared" si="63"/>
        <v>#N/A</v>
      </c>
      <c r="E547" s="7" t="e">
        <f t="shared" si="63"/>
        <v>#N/A</v>
      </c>
      <c r="F547" s="7" t="e">
        <f t="shared" si="63"/>
        <v>#N/A</v>
      </c>
      <c r="G547" s="7" t="e">
        <f t="shared" si="63"/>
        <v>#N/A</v>
      </c>
    </row>
    <row r="548" spans="2:7">
      <c r="B548" s="67">
        <f t="shared" si="60"/>
        <v>43642</v>
      </c>
      <c r="C548" s="7">
        <f t="shared" si="63"/>
        <v>5</v>
      </c>
      <c r="D548" s="7" t="e">
        <f t="shared" si="63"/>
        <v>#N/A</v>
      </c>
      <c r="E548" s="7" t="e">
        <f t="shared" si="63"/>
        <v>#N/A</v>
      </c>
      <c r="F548" s="7" t="e">
        <f t="shared" si="63"/>
        <v>#N/A</v>
      </c>
      <c r="G548" s="7" t="e">
        <f t="shared" si="63"/>
        <v>#N/A</v>
      </c>
    </row>
    <row r="549" spans="2:7">
      <c r="B549" s="67">
        <f t="shared" si="60"/>
        <v>43643</v>
      </c>
      <c r="C549" s="7">
        <f t="shared" si="63"/>
        <v>5</v>
      </c>
      <c r="D549" s="7" t="e">
        <f t="shared" si="63"/>
        <v>#N/A</v>
      </c>
      <c r="E549" s="7" t="e">
        <f t="shared" si="63"/>
        <v>#N/A</v>
      </c>
      <c r="F549" s="7" t="e">
        <f t="shared" si="63"/>
        <v>#N/A</v>
      </c>
      <c r="G549" s="7" t="e">
        <f t="shared" si="63"/>
        <v>#N/A</v>
      </c>
    </row>
    <row r="550" spans="2:7">
      <c r="B550" s="67">
        <f t="shared" si="60"/>
        <v>43644</v>
      </c>
      <c r="C550" s="7">
        <f t="shared" si="63"/>
        <v>5</v>
      </c>
      <c r="D550" s="7" t="e">
        <f t="shared" si="63"/>
        <v>#N/A</v>
      </c>
      <c r="E550" s="7" t="e">
        <f t="shared" si="63"/>
        <v>#N/A</v>
      </c>
      <c r="F550" s="7" t="e">
        <f t="shared" si="63"/>
        <v>#N/A</v>
      </c>
      <c r="G550" s="7" t="e">
        <f t="shared" si="63"/>
        <v>#N/A</v>
      </c>
    </row>
    <row r="551" spans="2:7">
      <c r="B551" s="67">
        <f t="shared" si="60"/>
        <v>43645</v>
      </c>
      <c r="C551" s="7">
        <f t="shared" si="63"/>
        <v>5</v>
      </c>
      <c r="D551" s="7" t="e">
        <f t="shared" si="63"/>
        <v>#N/A</v>
      </c>
      <c r="E551" s="7" t="e">
        <f t="shared" si="63"/>
        <v>#N/A</v>
      </c>
      <c r="F551" s="7" t="e">
        <f t="shared" si="63"/>
        <v>#N/A</v>
      </c>
      <c r="G551" s="7" t="e">
        <f t="shared" si="63"/>
        <v>#N/A</v>
      </c>
    </row>
    <row r="552" spans="2:7">
      <c r="B552" s="67">
        <f t="shared" si="60"/>
        <v>43646</v>
      </c>
      <c r="C552" s="7">
        <f t="shared" si="63"/>
        <v>5</v>
      </c>
      <c r="D552" s="7" t="e">
        <f t="shared" si="63"/>
        <v>#N/A</v>
      </c>
      <c r="E552" s="7" t="e">
        <f t="shared" si="63"/>
        <v>#N/A</v>
      </c>
      <c r="F552" s="7" t="e">
        <f t="shared" si="63"/>
        <v>#N/A</v>
      </c>
      <c r="G552" s="7" t="e">
        <f t="shared" si="63"/>
        <v>#N/A</v>
      </c>
    </row>
    <row r="553" spans="2:7">
      <c r="B553" s="67">
        <f t="shared" si="60"/>
        <v>43647</v>
      </c>
      <c r="C553" s="7">
        <f t="shared" si="63"/>
        <v>5</v>
      </c>
      <c r="D553" s="7" t="e">
        <f t="shared" si="63"/>
        <v>#N/A</v>
      </c>
      <c r="E553" s="7" t="e">
        <f t="shared" si="63"/>
        <v>#N/A</v>
      </c>
      <c r="F553" s="7" t="e">
        <f t="shared" si="63"/>
        <v>#N/A</v>
      </c>
      <c r="G553" s="7" t="e">
        <f t="shared" si="63"/>
        <v>#N/A</v>
      </c>
    </row>
    <row r="554" spans="2:7">
      <c r="B554" s="67">
        <f t="shared" si="60"/>
        <v>43648</v>
      </c>
      <c r="C554" s="7">
        <f t="shared" si="63"/>
        <v>5</v>
      </c>
      <c r="D554" s="7" t="e">
        <f t="shared" si="63"/>
        <v>#N/A</v>
      </c>
      <c r="E554" s="7" t="e">
        <f t="shared" si="63"/>
        <v>#N/A</v>
      </c>
      <c r="F554" s="7" t="e">
        <f t="shared" si="63"/>
        <v>#N/A</v>
      </c>
      <c r="G554" s="7" t="e">
        <f t="shared" si="63"/>
        <v>#N/A</v>
      </c>
    </row>
    <row r="555" spans="2:7">
      <c r="B555" s="67">
        <f t="shared" si="60"/>
        <v>43649</v>
      </c>
      <c r="C555" s="7">
        <f t="shared" si="63"/>
        <v>5</v>
      </c>
      <c r="D555" s="7" t="e">
        <f t="shared" si="63"/>
        <v>#N/A</v>
      </c>
      <c r="E555" s="7" t="e">
        <f t="shared" si="63"/>
        <v>#N/A</v>
      </c>
      <c r="F555" s="7" t="e">
        <f t="shared" si="63"/>
        <v>#N/A</v>
      </c>
      <c r="G555" s="7" t="e">
        <f t="shared" si="63"/>
        <v>#N/A</v>
      </c>
    </row>
    <row r="556" spans="2:7">
      <c r="B556" s="67">
        <f t="shared" si="60"/>
        <v>43650</v>
      </c>
      <c r="C556" s="7">
        <f t="shared" si="63"/>
        <v>5</v>
      </c>
      <c r="D556" s="7" t="e">
        <f t="shared" si="63"/>
        <v>#N/A</v>
      </c>
      <c r="E556" s="7" t="e">
        <f t="shared" si="63"/>
        <v>#N/A</v>
      </c>
      <c r="F556" s="7" t="e">
        <f t="shared" si="63"/>
        <v>#N/A</v>
      </c>
      <c r="G556" s="7" t="e">
        <f t="shared" si="63"/>
        <v>#N/A</v>
      </c>
    </row>
    <row r="557" spans="2:7">
      <c r="B557" s="67">
        <f t="shared" si="60"/>
        <v>43651</v>
      </c>
      <c r="C557" s="7">
        <f t="shared" ref="C557:G566" si="64">IF(AND($B557&gt;=C$3,$B557&lt;=C$4),C$5,NA())</f>
        <v>5</v>
      </c>
      <c r="D557" s="7" t="e">
        <f t="shared" si="64"/>
        <v>#N/A</v>
      </c>
      <c r="E557" s="7" t="e">
        <f t="shared" si="64"/>
        <v>#N/A</v>
      </c>
      <c r="F557" s="7" t="e">
        <f t="shared" si="64"/>
        <v>#N/A</v>
      </c>
      <c r="G557" s="7" t="e">
        <f t="shared" si="64"/>
        <v>#N/A</v>
      </c>
    </row>
    <row r="558" spans="2:7">
      <c r="B558" s="67">
        <f t="shared" si="60"/>
        <v>43652</v>
      </c>
      <c r="C558" s="7">
        <f t="shared" si="64"/>
        <v>5</v>
      </c>
      <c r="D558" s="7" t="e">
        <f t="shared" si="64"/>
        <v>#N/A</v>
      </c>
      <c r="E558" s="7" t="e">
        <f t="shared" si="64"/>
        <v>#N/A</v>
      </c>
      <c r="F558" s="7" t="e">
        <f t="shared" si="64"/>
        <v>#N/A</v>
      </c>
      <c r="G558" s="7" t="e">
        <f t="shared" si="64"/>
        <v>#N/A</v>
      </c>
    </row>
    <row r="559" spans="2:7">
      <c r="B559" s="67">
        <f t="shared" si="60"/>
        <v>43653</v>
      </c>
      <c r="C559" s="7">
        <f t="shared" si="64"/>
        <v>5</v>
      </c>
      <c r="D559" s="7" t="e">
        <f t="shared" si="64"/>
        <v>#N/A</v>
      </c>
      <c r="E559" s="7" t="e">
        <f t="shared" si="64"/>
        <v>#N/A</v>
      </c>
      <c r="F559" s="7" t="e">
        <f t="shared" si="64"/>
        <v>#N/A</v>
      </c>
      <c r="G559" s="7" t="e">
        <f t="shared" si="64"/>
        <v>#N/A</v>
      </c>
    </row>
    <row r="560" spans="2:7">
      <c r="B560" s="67">
        <f t="shared" si="60"/>
        <v>43654</v>
      </c>
      <c r="C560" s="7">
        <f t="shared" si="64"/>
        <v>5</v>
      </c>
      <c r="D560" s="7" t="e">
        <f t="shared" si="64"/>
        <v>#N/A</v>
      </c>
      <c r="E560" s="7" t="e">
        <f t="shared" si="64"/>
        <v>#N/A</v>
      </c>
      <c r="F560" s="7" t="e">
        <f t="shared" si="64"/>
        <v>#N/A</v>
      </c>
      <c r="G560" s="7" t="e">
        <f t="shared" si="64"/>
        <v>#N/A</v>
      </c>
    </row>
    <row r="561" spans="2:7">
      <c r="B561" s="67">
        <f t="shared" si="60"/>
        <v>43655</v>
      </c>
      <c r="C561" s="7">
        <f t="shared" si="64"/>
        <v>5</v>
      </c>
      <c r="D561" s="7" t="e">
        <f t="shared" si="64"/>
        <v>#N/A</v>
      </c>
      <c r="E561" s="7" t="e">
        <f t="shared" si="64"/>
        <v>#N/A</v>
      </c>
      <c r="F561" s="7" t="e">
        <f t="shared" si="64"/>
        <v>#N/A</v>
      </c>
      <c r="G561" s="7" t="e">
        <f t="shared" si="64"/>
        <v>#N/A</v>
      </c>
    </row>
    <row r="562" spans="2:7">
      <c r="B562" s="67">
        <f t="shared" si="60"/>
        <v>43656</v>
      </c>
      <c r="C562" s="7">
        <f t="shared" si="64"/>
        <v>5</v>
      </c>
      <c r="D562" s="7" t="e">
        <f t="shared" si="64"/>
        <v>#N/A</v>
      </c>
      <c r="E562" s="7" t="e">
        <f t="shared" si="64"/>
        <v>#N/A</v>
      </c>
      <c r="F562" s="7" t="e">
        <f t="shared" si="64"/>
        <v>#N/A</v>
      </c>
      <c r="G562" s="7" t="e">
        <f t="shared" si="64"/>
        <v>#N/A</v>
      </c>
    </row>
    <row r="563" spans="2:7">
      <c r="B563" s="67">
        <f t="shared" si="60"/>
        <v>43657</v>
      </c>
      <c r="C563" s="7">
        <f t="shared" si="64"/>
        <v>5</v>
      </c>
      <c r="D563" s="7" t="e">
        <f t="shared" si="64"/>
        <v>#N/A</v>
      </c>
      <c r="E563" s="7" t="e">
        <f t="shared" si="64"/>
        <v>#N/A</v>
      </c>
      <c r="F563" s="7" t="e">
        <f t="shared" si="64"/>
        <v>#N/A</v>
      </c>
      <c r="G563" s="7" t="e">
        <f t="shared" si="64"/>
        <v>#N/A</v>
      </c>
    </row>
    <row r="564" spans="2:7">
      <c r="B564" s="67">
        <f t="shared" si="60"/>
        <v>43658</v>
      </c>
      <c r="C564" s="7">
        <f t="shared" si="64"/>
        <v>5</v>
      </c>
      <c r="D564" s="7" t="e">
        <f t="shared" si="64"/>
        <v>#N/A</v>
      </c>
      <c r="E564" s="7" t="e">
        <f t="shared" si="64"/>
        <v>#N/A</v>
      </c>
      <c r="F564" s="7" t="e">
        <f t="shared" si="64"/>
        <v>#N/A</v>
      </c>
      <c r="G564" s="7" t="e">
        <f t="shared" si="64"/>
        <v>#N/A</v>
      </c>
    </row>
    <row r="565" spans="2:7">
      <c r="B565" s="67">
        <f t="shared" si="60"/>
        <v>43659</v>
      </c>
      <c r="C565" s="7">
        <f t="shared" si="64"/>
        <v>5</v>
      </c>
      <c r="D565" s="7" t="e">
        <f t="shared" si="64"/>
        <v>#N/A</v>
      </c>
      <c r="E565" s="7" t="e">
        <f t="shared" si="64"/>
        <v>#N/A</v>
      </c>
      <c r="F565" s="7" t="e">
        <f t="shared" si="64"/>
        <v>#N/A</v>
      </c>
      <c r="G565" s="7" t="e">
        <f t="shared" si="64"/>
        <v>#N/A</v>
      </c>
    </row>
    <row r="566" spans="2:7">
      <c r="B566" s="67">
        <f t="shared" si="60"/>
        <v>43660</v>
      </c>
      <c r="C566" s="7">
        <f t="shared" si="64"/>
        <v>5</v>
      </c>
      <c r="D566" s="7" t="e">
        <f t="shared" si="64"/>
        <v>#N/A</v>
      </c>
      <c r="E566" s="7" t="e">
        <f t="shared" si="64"/>
        <v>#N/A</v>
      </c>
      <c r="F566" s="7" t="e">
        <f t="shared" si="64"/>
        <v>#N/A</v>
      </c>
      <c r="G566" s="7" t="e">
        <f t="shared" si="64"/>
        <v>#N/A</v>
      </c>
    </row>
    <row r="567" spans="2:7">
      <c r="B567" s="67">
        <f t="shared" si="60"/>
        <v>43661</v>
      </c>
      <c r="C567" s="7">
        <f t="shared" ref="C567:G576" si="65">IF(AND($B567&gt;=C$3,$B567&lt;=C$4),C$5,NA())</f>
        <v>5</v>
      </c>
      <c r="D567" s="7" t="e">
        <f t="shared" si="65"/>
        <v>#N/A</v>
      </c>
      <c r="E567" s="7" t="e">
        <f t="shared" si="65"/>
        <v>#N/A</v>
      </c>
      <c r="F567" s="7" t="e">
        <f t="shared" si="65"/>
        <v>#N/A</v>
      </c>
      <c r="G567" s="7" t="e">
        <f t="shared" si="65"/>
        <v>#N/A</v>
      </c>
    </row>
    <row r="568" spans="2:7">
      <c r="B568" s="67">
        <f t="shared" si="60"/>
        <v>43662</v>
      </c>
      <c r="C568" s="7">
        <f t="shared" si="65"/>
        <v>5</v>
      </c>
      <c r="D568" s="7" t="e">
        <f t="shared" si="65"/>
        <v>#N/A</v>
      </c>
      <c r="E568" s="7" t="e">
        <f t="shared" si="65"/>
        <v>#N/A</v>
      </c>
      <c r="F568" s="7" t="e">
        <f t="shared" si="65"/>
        <v>#N/A</v>
      </c>
      <c r="G568" s="7" t="e">
        <f t="shared" si="65"/>
        <v>#N/A</v>
      </c>
    </row>
    <row r="569" spans="2:7">
      <c r="B569" s="67">
        <f t="shared" si="60"/>
        <v>43663</v>
      </c>
      <c r="C569" s="7">
        <f t="shared" si="65"/>
        <v>5</v>
      </c>
      <c r="D569" s="7" t="e">
        <f t="shared" si="65"/>
        <v>#N/A</v>
      </c>
      <c r="E569" s="7" t="e">
        <f t="shared" si="65"/>
        <v>#N/A</v>
      </c>
      <c r="F569" s="7" t="e">
        <f t="shared" si="65"/>
        <v>#N/A</v>
      </c>
      <c r="G569" s="7" t="e">
        <f t="shared" si="65"/>
        <v>#N/A</v>
      </c>
    </row>
    <row r="570" spans="2:7">
      <c r="B570" s="67">
        <f t="shared" si="60"/>
        <v>43664</v>
      </c>
      <c r="C570" s="7">
        <f t="shared" si="65"/>
        <v>5</v>
      </c>
      <c r="D570" s="7" t="e">
        <f t="shared" si="65"/>
        <v>#N/A</v>
      </c>
      <c r="E570" s="7" t="e">
        <f t="shared" si="65"/>
        <v>#N/A</v>
      </c>
      <c r="F570" s="7" t="e">
        <f t="shared" si="65"/>
        <v>#N/A</v>
      </c>
      <c r="G570" s="7" t="e">
        <f t="shared" si="65"/>
        <v>#N/A</v>
      </c>
    </row>
    <row r="571" spans="2:7">
      <c r="B571" s="67">
        <f t="shared" si="60"/>
        <v>43665</v>
      </c>
      <c r="C571" s="7">
        <f t="shared" si="65"/>
        <v>5</v>
      </c>
      <c r="D571" s="7" t="e">
        <f t="shared" si="65"/>
        <v>#N/A</v>
      </c>
      <c r="E571" s="7" t="e">
        <f t="shared" si="65"/>
        <v>#N/A</v>
      </c>
      <c r="F571" s="7" t="e">
        <f t="shared" si="65"/>
        <v>#N/A</v>
      </c>
      <c r="G571" s="7" t="e">
        <f t="shared" si="65"/>
        <v>#N/A</v>
      </c>
    </row>
    <row r="572" spans="2:7">
      <c r="B572" s="67">
        <f t="shared" si="60"/>
        <v>43666</v>
      </c>
      <c r="C572" s="7">
        <f t="shared" si="65"/>
        <v>5</v>
      </c>
      <c r="D572" s="7" t="e">
        <f t="shared" si="65"/>
        <v>#N/A</v>
      </c>
      <c r="E572" s="7" t="e">
        <f t="shared" si="65"/>
        <v>#N/A</v>
      </c>
      <c r="F572" s="7" t="e">
        <f t="shared" si="65"/>
        <v>#N/A</v>
      </c>
      <c r="G572" s="7" t="e">
        <f t="shared" si="65"/>
        <v>#N/A</v>
      </c>
    </row>
    <row r="573" spans="2:7">
      <c r="B573" s="67">
        <f t="shared" si="60"/>
        <v>43667</v>
      </c>
      <c r="C573" s="7">
        <f t="shared" si="65"/>
        <v>5</v>
      </c>
      <c r="D573" s="7" t="e">
        <f t="shared" si="65"/>
        <v>#N/A</v>
      </c>
      <c r="E573" s="7" t="e">
        <f t="shared" si="65"/>
        <v>#N/A</v>
      </c>
      <c r="F573" s="7" t="e">
        <f t="shared" si="65"/>
        <v>#N/A</v>
      </c>
      <c r="G573" s="7" t="e">
        <f t="shared" si="65"/>
        <v>#N/A</v>
      </c>
    </row>
    <row r="574" spans="2:7">
      <c r="B574" s="67">
        <f t="shared" si="60"/>
        <v>43668</v>
      </c>
      <c r="C574" s="7">
        <f t="shared" si="65"/>
        <v>5</v>
      </c>
      <c r="D574" s="7" t="e">
        <f t="shared" si="65"/>
        <v>#N/A</v>
      </c>
      <c r="E574" s="7" t="e">
        <f t="shared" si="65"/>
        <v>#N/A</v>
      </c>
      <c r="F574" s="7" t="e">
        <f t="shared" si="65"/>
        <v>#N/A</v>
      </c>
      <c r="G574" s="7" t="e">
        <f t="shared" si="65"/>
        <v>#N/A</v>
      </c>
    </row>
    <row r="575" spans="2:7">
      <c r="B575" s="67">
        <f t="shared" si="60"/>
        <v>43669</v>
      </c>
      <c r="C575" s="7">
        <f t="shared" si="65"/>
        <v>5</v>
      </c>
      <c r="D575" s="7" t="e">
        <f t="shared" si="65"/>
        <v>#N/A</v>
      </c>
      <c r="E575" s="7" t="e">
        <f t="shared" si="65"/>
        <v>#N/A</v>
      </c>
      <c r="F575" s="7" t="e">
        <f t="shared" si="65"/>
        <v>#N/A</v>
      </c>
      <c r="G575" s="7" t="e">
        <f t="shared" si="65"/>
        <v>#N/A</v>
      </c>
    </row>
    <row r="576" spans="2:7">
      <c r="B576" s="67">
        <f t="shared" si="60"/>
        <v>43670</v>
      </c>
      <c r="C576" s="7">
        <f t="shared" si="65"/>
        <v>5</v>
      </c>
      <c r="D576" s="7" t="e">
        <f t="shared" si="65"/>
        <v>#N/A</v>
      </c>
      <c r="E576" s="7" t="e">
        <f t="shared" si="65"/>
        <v>#N/A</v>
      </c>
      <c r="F576" s="7" t="e">
        <f t="shared" si="65"/>
        <v>#N/A</v>
      </c>
      <c r="G576" s="7" t="e">
        <f t="shared" si="65"/>
        <v>#N/A</v>
      </c>
    </row>
    <row r="577" spans="2:7">
      <c r="B577" s="67">
        <f t="shared" si="60"/>
        <v>43671</v>
      </c>
      <c r="C577" s="7">
        <f t="shared" ref="C577:G586" si="66">IF(AND($B577&gt;=C$3,$B577&lt;=C$4),C$5,NA())</f>
        <v>5</v>
      </c>
      <c r="D577" s="7" t="e">
        <f t="shared" si="66"/>
        <v>#N/A</v>
      </c>
      <c r="E577" s="7" t="e">
        <f t="shared" si="66"/>
        <v>#N/A</v>
      </c>
      <c r="F577" s="7" t="e">
        <f t="shared" si="66"/>
        <v>#N/A</v>
      </c>
      <c r="G577" s="7" t="e">
        <f t="shared" si="66"/>
        <v>#N/A</v>
      </c>
    </row>
    <row r="578" spans="2:7">
      <c r="B578" s="67">
        <f t="shared" si="60"/>
        <v>43672</v>
      </c>
      <c r="C578" s="7">
        <f t="shared" si="66"/>
        <v>5</v>
      </c>
      <c r="D578" s="7" t="e">
        <f t="shared" si="66"/>
        <v>#N/A</v>
      </c>
      <c r="E578" s="7" t="e">
        <f t="shared" si="66"/>
        <v>#N/A</v>
      </c>
      <c r="F578" s="7" t="e">
        <f t="shared" si="66"/>
        <v>#N/A</v>
      </c>
      <c r="G578" s="7" t="e">
        <f t="shared" si="66"/>
        <v>#N/A</v>
      </c>
    </row>
    <row r="579" spans="2:7">
      <c r="B579" s="67">
        <f t="shared" si="60"/>
        <v>43673</v>
      </c>
      <c r="C579" s="7">
        <f t="shared" si="66"/>
        <v>5</v>
      </c>
      <c r="D579" s="7" t="e">
        <f t="shared" si="66"/>
        <v>#N/A</v>
      </c>
      <c r="E579" s="7" t="e">
        <f t="shared" si="66"/>
        <v>#N/A</v>
      </c>
      <c r="F579" s="7" t="e">
        <f t="shared" si="66"/>
        <v>#N/A</v>
      </c>
      <c r="G579" s="7" t="e">
        <f t="shared" si="66"/>
        <v>#N/A</v>
      </c>
    </row>
    <row r="580" spans="2:7">
      <c r="B580" s="67">
        <f t="shared" si="60"/>
        <v>43674</v>
      </c>
      <c r="C580" s="7">
        <f t="shared" si="66"/>
        <v>5</v>
      </c>
      <c r="D580" s="7" t="e">
        <f t="shared" si="66"/>
        <v>#N/A</v>
      </c>
      <c r="E580" s="7" t="e">
        <f t="shared" si="66"/>
        <v>#N/A</v>
      </c>
      <c r="F580" s="7" t="e">
        <f t="shared" si="66"/>
        <v>#N/A</v>
      </c>
      <c r="G580" s="7" t="e">
        <f t="shared" si="66"/>
        <v>#N/A</v>
      </c>
    </row>
    <row r="581" spans="2:7">
      <c r="B581" s="67">
        <f t="shared" si="60"/>
        <v>43675</v>
      </c>
      <c r="C581" s="7">
        <f t="shared" si="66"/>
        <v>5</v>
      </c>
      <c r="D581" s="7" t="e">
        <f t="shared" si="66"/>
        <v>#N/A</v>
      </c>
      <c r="E581" s="7" t="e">
        <f t="shared" si="66"/>
        <v>#N/A</v>
      </c>
      <c r="F581" s="7" t="e">
        <f t="shared" si="66"/>
        <v>#N/A</v>
      </c>
      <c r="G581" s="7" t="e">
        <f t="shared" si="66"/>
        <v>#N/A</v>
      </c>
    </row>
    <row r="582" spans="2:7">
      <c r="B582" s="67">
        <f t="shared" si="60"/>
        <v>43676</v>
      </c>
      <c r="C582" s="7">
        <f t="shared" si="66"/>
        <v>5</v>
      </c>
      <c r="D582" s="7" t="e">
        <f t="shared" si="66"/>
        <v>#N/A</v>
      </c>
      <c r="E582" s="7" t="e">
        <f t="shared" si="66"/>
        <v>#N/A</v>
      </c>
      <c r="F582" s="7" t="e">
        <f t="shared" si="66"/>
        <v>#N/A</v>
      </c>
      <c r="G582" s="7" t="e">
        <f t="shared" si="66"/>
        <v>#N/A</v>
      </c>
    </row>
    <row r="583" spans="2:7">
      <c r="B583" s="67">
        <f t="shared" si="60"/>
        <v>43677</v>
      </c>
      <c r="C583" s="7">
        <f t="shared" si="66"/>
        <v>5</v>
      </c>
      <c r="D583" s="7" t="e">
        <f t="shared" si="66"/>
        <v>#N/A</v>
      </c>
      <c r="E583" s="7" t="e">
        <f t="shared" si="66"/>
        <v>#N/A</v>
      </c>
      <c r="F583" s="7" t="e">
        <f t="shared" si="66"/>
        <v>#N/A</v>
      </c>
      <c r="G583" s="7" t="e">
        <f t="shared" si="66"/>
        <v>#N/A</v>
      </c>
    </row>
    <row r="584" spans="2:7">
      <c r="B584" s="67">
        <f t="shared" ref="B584:B647" si="67">B583+1</f>
        <v>43678</v>
      </c>
      <c r="C584" s="7">
        <f t="shared" si="66"/>
        <v>5</v>
      </c>
      <c r="D584" s="7" t="e">
        <f t="shared" si="66"/>
        <v>#N/A</v>
      </c>
      <c r="E584" s="7" t="e">
        <f t="shared" si="66"/>
        <v>#N/A</v>
      </c>
      <c r="F584" s="7" t="e">
        <f t="shared" si="66"/>
        <v>#N/A</v>
      </c>
      <c r="G584" s="7" t="e">
        <f t="shared" si="66"/>
        <v>#N/A</v>
      </c>
    </row>
    <row r="585" spans="2:7">
      <c r="B585" s="67">
        <f t="shared" si="67"/>
        <v>43679</v>
      </c>
      <c r="C585" s="7">
        <f t="shared" si="66"/>
        <v>5</v>
      </c>
      <c r="D585" s="7" t="e">
        <f t="shared" si="66"/>
        <v>#N/A</v>
      </c>
      <c r="E585" s="7" t="e">
        <f t="shared" si="66"/>
        <v>#N/A</v>
      </c>
      <c r="F585" s="7" t="e">
        <f t="shared" si="66"/>
        <v>#N/A</v>
      </c>
      <c r="G585" s="7" t="e">
        <f t="shared" si="66"/>
        <v>#N/A</v>
      </c>
    </row>
    <row r="586" spans="2:7">
      <c r="B586" s="67">
        <f t="shared" si="67"/>
        <v>43680</v>
      </c>
      <c r="C586" s="7">
        <f t="shared" si="66"/>
        <v>5</v>
      </c>
      <c r="D586" s="7" t="e">
        <f t="shared" si="66"/>
        <v>#N/A</v>
      </c>
      <c r="E586" s="7" t="e">
        <f t="shared" si="66"/>
        <v>#N/A</v>
      </c>
      <c r="F586" s="7" t="e">
        <f t="shared" si="66"/>
        <v>#N/A</v>
      </c>
      <c r="G586" s="7" t="e">
        <f t="shared" si="66"/>
        <v>#N/A</v>
      </c>
    </row>
    <row r="587" spans="2:7">
      <c r="B587" s="67">
        <f t="shared" si="67"/>
        <v>43681</v>
      </c>
      <c r="C587" s="7">
        <f t="shared" ref="C587:G596" si="68">IF(AND($B587&gt;=C$3,$B587&lt;=C$4),C$5,NA())</f>
        <v>5</v>
      </c>
      <c r="D587" s="7" t="e">
        <f t="shared" si="68"/>
        <v>#N/A</v>
      </c>
      <c r="E587" s="7" t="e">
        <f t="shared" si="68"/>
        <v>#N/A</v>
      </c>
      <c r="F587" s="7" t="e">
        <f t="shared" si="68"/>
        <v>#N/A</v>
      </c>
      <c r="G587" s="7" t="e">
        <f t="shared" si="68"/>
        <v>#N/A</v>
      </c>
    </row>
    <row r="588" spans="2:7">
      <c r="B588" s="67">
        <f t="shared" si="67"/>
        <v>43682</v>
      </c>
      <c r="C588" s="7">
        <f t="shared" si="68"/>
        <v>5</v>
      </c>
      <c r="D588" s="7" t="e">
        <f t="shared" si="68"/>
        <v>#N/A</v>
      </c>
      <c r="E588" s="7" t="e">
        <f t="shared" si="68"/>
        <v>#N/A</v>
      </c>
      <c r="F588" s="7" t="e">
        <f t="shared" si="68"/>
        <v>#N/A</v>
      </c>
      <c r="G588" s="7" t="e">
        <f t="shared" si="68"/>
        <v>#N/A</v>
      </c>
    </row>
    <row r="589" spans="2:7">
      <c r="B589" s="67">
        <f t="shared" si="67"/>
        <v>43683</v>
      </c>
      <c r="C589" s="7">
        <f t="shared" si="68"/>
        <v>5</v>
      </c>
      <c r="D589" s="7" t="e">
        <f t="shared" si="68"/>
        <v>#N/A</v>
      </c>
      <c r="E589" s="7" t="e">
        <f t="shared" si="68"/>
        <v>#N/A</v>
      </c>
      <c r="F589" s="7" t="e">
        <f t="shared" si="68"/>
        <v>#N/A</v>
      </c>
      <c r="G589" s="7" t="e">
        <f t="shared" si="68"/>
        <v>#N/A</v>
      </c>
    </row>
    <row r="590" spans="2:7">
      <c r="B590" s="67">
        <f t="shared" si="67"/>
        <v>43684</v>
      </c>
      <c r="C590" s="7">
        <f t="shared" si="68"/>
        <v>5</v>
      </c>
      <c r="D590" s="7" t="e">
        <f t="shared" si="68"/>
        <v>#N/A</v>
      </c>
      <c r="E590" s="7" t="e">
        <f t="shared" si="68"/>
        <v>#N/A</v>
      </c>
      <c r="F590" s="7" t="e">
        <f t="shared" si="68"/>
        <v>#N/A</v>
      </c>
      <c r="G590" s="7" t="e">
        <f t="shared" si="68"/>
        <v>#N/A</v>
      </c>
    </row>
    <row r="591" spans="2:7">
      <c r="B591" s="67">
        <f t="shared" si="67"/>
        <v>43685</v>
      </c>
      <c r="C591" s="7">
        <f t="shared" si="68"/>
        <v>5</v>
      </c>
      <c r="D591" s="7" t="e">
        <f t="shared" si="68"/>
        <v>#N/A</v>
      </c>
      <c r="E591" s="7" t="e">
        <f t="shared" si="68"/>
        <v>#N/A</v>
      </c>
      <c r="F591" s="7" t="e">
        <f t="shared" si="68"/>
        <v>#N/A</v>
      </c>
      <c r="G591" s="7" t="e">
        <f t="shared" si="68"/>
        <v>#N/A</v>
      </c>
    </row>
    <row r="592" spans="2:7">
      <c r="B592" s="67">
        <f t="shared" si="67"/>
        <v>43686</v>
      </c>
      <c r="C592" s="7">
        <f t="shared" si="68"/>
        <v>5</v>
      </c>
      <c r="D592" s="7" t="e">
        <f t="shared" si="68"/>
        <v>#N/A</v>
      </c>
      <c r="E592" s="7" t="e">
        <f t="shared" si="68"/>
        <v>#N/A</v>
      </c>
      <c r="F592" s="7" t="e">
        <f t="shared" si="68"/>
        <v>#N/A</v>
      </c>
      <c r="G592" s="7" t="e">
        <f t="shared" si="68"/>
        <v>#N/A</v>
      </c>
    </row>
    <row r="593" spans="2:7">
      <c r="B593" s="67">
        <f t="shared" si="67"/>
        <v>43687</v>
      </c>
      <c r="C593" s="7">
        <f t="shared" si="68"/>
        <v>5</v>
      </c>
      <c r="D593" s="7" t="e">
        <f t="shared" si="68"/>
        <v>#N/A</v>
      </c>
      <c r="E593" s="7" t="e">
        <f t="shared" si="68"/>
        <v>#N/A</v>
      </c>
      <c r="F593" s="7" t="e">
        <f t="shared" si="68"/>
        <v>#N/A</v>
      </c>
      <c r="G593" s="7" t="e">
        <f t="shared" si="68"/>
        <v>#N/A</v>
      </c>
    </row>
    <row r="594" spans="2:7">
      <c r="B594" s="67">
        <f t="shared" si="67"/>
        <v>43688</v>
      </c>
      <c r="C594" s="7">
        <f t="shared" si="68"/>
        <v>5</v>
      </c>
      <c r="D594" s="7" t="e">
        <f t="shared" si="68"/>
        <v>#N/A</v>
      </c>
      <c r="E594" s="7" t="e">
        <f t="shared" si="68"/>
        <v>#N/A</v>
      </c>
      <c r="F594" s="7" t="e">
        <f t="shared" si="68"/>
        <v>#N/A</v>
      </c>
      <c r="G594" s="7" t="e">
        <f t="shared" si="68"/>
        <v>#N/A</v>
      </c>
    </row>
    <row r="595" spans="2:7">
      <c r="B595" s="67">
        <f t="shared" si="67"/>
        <v>43689</v>
      </c>
      <c r="C595" s="7">
        <f t="shared" si="68"/>
        <v>5</v>
      </c>
      <c r="D595" s="7" t="e">
        <f t="shared" si="68"/>
        <v>#N/A</v>
      </c>
      <c r="E595" s="7" t="e">
        <f t="shared" si="68"/>
        <v>#N/A</v>
      </c>
      <c r="F595" s="7" t="e">
        <f t="shared" si="68"/>
        <v>#N/A</v>
      </c>
      <c r="G595" s="7" t="e">
        <f t="shared" si="68"/>
        <v>#N/A</v>
      </c>
    </row>
    <row r="596" spans="2:7">
      <c r="B596" s="67">
        <f t="shared" si="67"/>
        <v>43690</v>
      </c>
      <c r="C596" s="7">
        <f t="shared" si="68"/>
        <v>5</v>
      </c>
      <c r="D596" s="7" t="e">
        <f t="shared" si="68"/>
        <v>#N/A</v>
      </c>
      <c r="E596" s="7" t="e">
        <f t="shared" si="68"/>
        <v>#N/A</v>
      </c>
      <c r="F596" s="7" t="e">
        <f t="shared" si="68"/>
        <v>#N/A</v>
      </c>
      <c r="G596" s="7" t="e">
        <f t="shared" si="68"/>
        <v>#N/A</v>
      </c>
    </row>
    <row r="597" spans="2:7">
      <c r="B597" s="67">
        <f t="shared" si="67"/>
        <v>43691</v>
      </c>
      <c r="C597" s="7">
        <f t="shared" ref="C597:G606" si="69">IF(AND($B597&gt;=C$3,$B597&lt;=C$4),C$5,NA())</f>
        <v>5</v>
      </c>
      <c r="D597" s="7" t="e">
        <f t="shared" si="69"/>
        <v>#N/A</v>
      </c>
      <c r="E597" s="7" t="e">
        <f t="shared" si="69"/>
        <v>#N/A</v>
      </c>
      <c r="F597" s="7" t="e">
        <f t="shared" si="69"/>
        <v>#N/A</v>
      </c>
      <c r="G597" s="7" t="e">
        <f t="shared" si="69"/>
        <v>#N/A</v>
      </c>
    </row>
    <row r="598" spans="2:7">
      <c r="B598" s="67">
        <f t="shared" si="67"/>
        <v>43692</v>
      </c>
      <c r="C598" s="7">
        <f t="shared" si="69"/>
        <v>5</v>
      </c>
      <c r="D598" s="7" t="e">
        <f t="shared" si="69"/>
        <v>#N/A</v>
      </c>
      <c r="E598" s="7" t="e">
        <f t="shared" si="69"/>
        <v>#N/A</v>
      </c>
      <c r="F598" s="7" t="e">
        <f t="shared" si="69"/>
        <v>#N/A</v>
      </c>
      <c r="G598" s="7" t="e">
        <f t="shared" si="69"/>
        <v>#N/A</v>
      </c>
    </row>
    <row r="599" spans="2:7">
      <c r="B599" s="67">
        <f t="shared" si="67"/>
        <v>43693</v>
      </c>
      <c r="C599" s="7">
        <f t="shared" si="69"/>
        <v>5</v>
      </c>
      <c r="D599" s="7">
        <f t="shared" si="69"/>
        <v>4</v>
      </c>
      <c r="E599" s="7" t="e">
        <f t="shared" si="69"/>
        <v>#N/A</v>
      </c>
      <c r="F599" s="7" t="e">
        <f t="shared" si="69"/>
        <v>#N/A</v>
      </c>
      <c r="G599" s="7" t="e">
        <f t="shared" si="69"/>
        <v>#N/A</v>
      </c>
    </row>
    <row r="600" spans="2:7">
      <c r="B600" s="67">
        <f t="shared" si="67"/>
        <v>43694</v>
      </c>
      <c r="C600" s="7">
        <f t="shared" si="69"/>
        <v>5</v>
      </c>
      <c r="D600" s="7">
        <f t="shared" si="69"/>
        <v>4</v>
      </c>
      <c r="E600" s="7" t="e">
        <f t="shared" si="69"/>
        <v>#N/A</v>
      </c>
      <c r="F600" s="7" t="e">
        <f t="shared" si="69"/>
        <v>#N/A</v>
      </c>
      <c r="G600" s="7" t="e">
        <f t="shared" si="69"/>
        <v>#N/A</v>
      </c>
    </row>
    <row r="601" spans="2:7">
      <c r="B601" s="67">
        <f t="shared" si="67"/>
        <v>43695</v>
      </c>
      <c r="C601" s="7">
        <f t="shared" si="69"/>
        <v>5</v>
      </c>
      <c r="D601" s="7">
        <f t="shared" si="69"/>
        <v>4</v>
      </c>
      <c r="E601" s="7" t="e">
        <f t="shared" si="69"/>
        <v>#N/A</v>
      </c>
      <c r="F601" s="7" t="e">
        <f t="shared" si="69"/>
        <v>#N/A</v>
      </c>
      <c r="G601" s="7" t="e">
        <f t="shared" si="69"/>
        <v>#N/A</v>
      </c>
    </row>
    <row r="602" spans="2:7">
      <c r="B602" s="67">
        <f t="shared" si="67"/>
        <v>43696</v>
      </c>
      <c r="C602" s="7">
        <f t="shared" si="69"/>
        <v>5</v>
      </c>
      <c r="D602" s="7">
        <f t="shared" si="69"/>
        <v>4</v>
      </c>
      <c r="E602" s="7" t="e">
        <f t="shared" si="69"/>
        <v>#N/A</v>
      </c>
      <c r="F602" s="7" t="e">
        <f t="shared" si="69"/>
        <v>#N/A</v>
      </c>
      <c r="G602" s="7" t="e">
        <f t="shared" si="69"/>
        <v>#N/A</v>
      </c>
    </row>
    <row r="603" spans="2:7">
      <c r="B603" s="67">
        <f t="shared" si="67"/>
        <v>43697</v>
      </c>
      <c r="C603" s="7">
        <f t="shared" si="69"/>
        <v>5</v>
      </c>
      <c r="D603" s="7">
        <f t="shared" si="69"/>
        <v>4</v>
      </c>
      <c r="E603" s="7" t="e">
        <f t="shared" si="69"/>
        <v>#N/A</v>
      </c>
      <c r="F603" s="7" t="e">
        <f t="shared" si="69"/>
        <v>#N/A</v>
      </c>
      <c r="G603" s="7" t="e">
        <f t="shared" si="69"/>
        <v>#N/A</v>
      </c>
    </row>
    <row r="604" spans="2:7">
      <c r="B604" s="67">
        <f t="shared" si="67"/>
        <v>43698</v>
      </c>
      <c r="C604" s="7">
        <f t="shared" si="69"/>
        <v>5</v>
      </c>
      <c r="D604" s="7">
        <f t="shared" si="69"/>
        <v>4</v>
      </c>
      <c r="E604" s="7" t="e">
        <f t="shared" si="69"/>
        <v>#N/A</v>
      </c>
      <c r="F604" s="7" t="e">
        <f t="shared" si="69"/>
        <v>#N/A</v>
      </c>
      <c r="G604" s="7" t="e">
        <f t="shared" si="69"/>
        <v>#N/A</v>
      </c>
    </row>
    <row r="605" spans="2:7">
      <c r="B605" s="67">
        <f t="shared" si="67"/>
        <v>43699</v>
      </c>
      <c r="C605" s="7">
        <f t="shared" si="69"/>
        <v>5</v>
      </c>
      <c r="D605" s="7">
        <f t="shared" si="69"/>
        <v>4</v>
      </c>
      <c r="E605" s="7" t="e">
        <f t="shared" si="69"/>
        <v>#N/A</v>
      </c>
      <c r="F605" s="7" t="e">
        <f t="shared" si="69"/>
        <v>#N/A</v>
      </c>
      <c r="G605" s="7" t="e">
        <f t="shared" si="69"/>
        <v>#N/A</v>
      </c>
    </row>
    <row r="606" spans="2:7">
      <c r="B606" s="67">
        <f t="shared" si="67"/>
        <v>43700</v>
      </c>
      <c r="C606" s="7">
        <f t="shared" si="69"/>
        <v>5</v>
      </c>
      <c r="D606" s="7">
        <f t="shared" si="69"/>
        <v>4</v>
      </c>
      <c r="E606" s="7" t="e">
        <f t="shared" si="69"/>
        <v>#N/A</v>
      </c>
      <c r="F606" s="7" t="e">
        <f t="shared" si="69"/>
        <v>#N/A</v>
      </c>
      <c r="G606" s="7" t="e">
        <f t="shared" si="69"/>
        <v>#N/A</v>
      </c>
    </row>
    <row r="607" spans="2:7">
      <c r="B607" s="67">
        <f t="shared" si="67"/>
        <v>43701</v>
      </c>
      <c r="C607" s="7">
        <f t="shared" ref="C607:G616" si="70">IF(AND($B607&gt;=C$3,$B607&lt;=C$4),C$5,NA())</f>
        <v>5</v>
      </c>
      <c r="D607" s="7">
        <f t="shared" si="70"/>
        <v>4</v>
      </c>
      <c r="E607" s="7" t="e">
        <f t="shared" si="70"/>
        <v>#N/A</v>
      </c>
      <c r="F607" s="7" t="e">
        <f t="shared" si="70"/>
        <v>#N/A</v>
      </c>
      <c r="G607" s="7" t="e">
        <f t="shared" si="70"/>
        <v>#N/A</v>
      </c>
    </row>
    <row r="608" spans="2:7">
      <c r="B608" s="67">
        <f t="shared" si="67"/>
        <v>43702</v>
      </c>
      <c r="C608" s="7">
        <f t="shared" si="70"/>
        <v>5</v>
      </c>
      <c r="D608" s="7">
        <f t="shared" si="70"/>
        <v>4</v>
      </c>
      <c r="E608" s="7" t="e">
        <f t="shared" si="70"/>
        <v>#N/A</v>
      </c>
      <c r="F608" s="7" t="e">
        <f t="shared" si="70"/>
        <v>#N/A</v>
      </c>
      <c r="G608" s="7" t="e">
        <f t="shared" si="70"/>
        <v>#N/A</v>
      </c>
    </row>
    <row r="609" spans="2:7">
      <c r="B609" s="67">
        <f t="shared" si="67"/>
        <v>43703</v>
      </c>
      <c r="C609" s="7">
        <f t="shared" si="70"/>
        <v>5</v>
      </c>
      <c r="D609" s="7">
        <f t="shared" si="70"/>
        <v>4</v>
      </c>
      <c r="E609" s="7" t="e">
        <f t="shared" si="70"/>
        <v>#N/A</v>
      </c>
      <c r="F609" s="7" t="e">
        <f t="shared" si="70"/>
        <v>#N/A</v>
      </c>
      <c r="G609" s="7" t="e">
        <f t="shared" si="70"/>
        <v>#N/A</v>
      </c>
    </row>
    <row r="610" spans="2:7">
      <c r="B610" s="67">
        <f t="shared" si="67"/>
        <v>43704</v>
      </c>
      <c r="C610" s="7">
        <f t="shared" si="70"/>
        <v>5</v>
      </c>
      <c r="D610" s="7">
        <f t="shared" si="70"/>
        <v>4</v>
      </c>
      <c r="E610" s="7" t="e">
        <f t="shared" si="70"/>
        <v>#N/A</v>
      </c>
      <c r="F610" s="7" t="e">
        <f t="shared" si="70"/>
        <v>#N/A</v>
      </c>
      <c r="G610" s="7" t="e">
        <f t="shared" si="70"/>
        <v>#N/A</v>
      </c>
    </row>
    <row r="611" spans="2:7">
      <c r="B611" s="67">
        <f t="shared" si="67"/>
        <v>43705</v>
      </c>
      <c r="C611" s="7">
        <f t="shared" si="70"/>
        <v>5</v>
      </c>
      <c r="D611" s="7">
        <f t="shared" si="70"/>
        <v>4</v>
      </c>
      <c r="E611" s="7" t="e">
        <f t="shared" si="70"/>
        <v>#N/A</v>
      </c>
      <c r="F611" s="7" t="e">
        <f t="shared" si="70"/>
        <v>#N/A</v>
      </c>
      <c r="G611" s="7" t="e">
        <f t="shared" si="70"/>
        <v>#N/A</v>
      </c>
    </row>
    <row r="612" spans="2:7">
      <c r="B612" s="67">
        <f t="shared" si="67"/>
        <v>43706</v>
      </c>
      <c r="C612" s="7">
        <f t="shared" si="70"/>
        <v>5</v>
      </c>
      <c r="D612" s="7">
        <f t="shared" si="70"/>
        <v>4</v>
      </c>
      <c r="E612" s="7" t="e">
        <f t="shared" si="70"/>
        <v>#N/A</v>
      </c>
      <c r="F612" s="7" t="e">
        <f t="shared" si="70"/>
        <v>#N/A</v>
      </c>
      <c r="G612" s="7" t="e">
        <f t="shared" si="70"/>
        <v>#N/A</v>
      </c>
    </row>
    <row r="613" spans="2:7">
      <c r="B613" s="67">
        <f t="shared" si="67"/>
        <v>43707</v>
      </c>
      <c r="C613" s="7">
        <f t="shared" si="70"/>
        <v>5</v>
      </c>
      <c r="D613" s="7">
        <f t="shared" si="70"/>
        <v>4</v>
      </c>
      <c r="E613" s="7" t="e">
        <f t="shared" si="70"/>
        <v>#N/A</v>
      </c>
      <c r="F613" s="7" t="e">
        <f t="shared" si="70"/>
        <v>#N/A</v>
      </c>
      <c r="G613" s="7" t="e">
        <f t="shared" si="70"/>
        <v>#N/A</v>
      </c>
    </row>
    <row r="614" spans="2:7">
      <c r="B614" s="67">
        <f t="shared" si="67"/>
        <v>43708</v>
      </c>
      <c r="C614" s="7">
        <f t="shared" si="70"/>
        <v>5</v>
      </c>
      <c r="D614" s="7">
        <f t="shared" si="70"/>
        <v>4</v>
      </c>
      <c r="E614" s="7" t="e">
        <f t="shared" si="70"/>
        <v>#N/A</v>
      </c>
      <c r="F614" s="7" t="e">
        <f t="shared" si="70"/>
        <v>#N/A</v>
      </c>
      <c r="G614" s="7" t="e">
        <f t="shared" si="70"/>
        <v>#N/A</v>
      </c>
    </row>
    <row r="615" spans="2:7">
      <c r="B615" s="67">
        <f t="shared" si="67"/>
        <v>43709</v>
      </c>
      <c r="C615" s="7">
        <f t="shared" si="70"/>
        <v>5</v>
      </c>
      <c r="D615" s="7">
        <f t="shared" si="70"/>
        <v>4</v>
      </c>
      <c r="E615" s="7" t="e">
        <f t="shared" si="70"/>
        <v>#N/A</v>
      </c>
      <c r="F615" s="7" t="e">
        <f t="shared" si="70"/>
        <v>#N/A</v>
      </c>
      <c r="G615" s="7" t="e">
        <f t="shared" si="70"/>
        <v>#N/A</v>
      </c>
    </row>
    <row r="616" spans="2:7">
      <c r="B616" s="67">
        <f t="shared" si="67"/>
        <v>43710</v>
      </c>
      <c r="C616" s="7">
        <f t="shared" si="70"/>
        <v>5</v>
      </c>
      <c r="D616" s="7">
        <f t="shared" si="70"/>
        <v>4</v>
      </c>
      <c r="E616" s="7" t="e">
        <f t="shared" si="70"/>
        <v>#N/A</v>
      </c>
      <c r="F616" s="7" t="e">
        <f t="shared" si="70"/>
        <v>#N/A</v>
      </c>
      <c r="G616" s="7" t="e">
        <f t="shared" si="70"/>
        <v>#N/A</v>
      </c>
    </row>
    <row r="617" spans="2:7">
      <c r="B617" s="67">
        <f t="shared" si="67"/>
        <v>43711</v>
      </c>
      <c r="C617" s="7">
        <f t="shared" ref="C617:G626" si="71">IF(AND($B617&gt;=C$3,$B617&lt;=C$4),C$5,NA())</f>
        <v>5</v>
      </c>
      <c r="D617" s="7">
        <f t="shared" si="71"/>
        <v>4</v>
      </c>
      <c r="E617" s="7" t="e">
        <f t="shared" si="71"/>
        <v>#N/A</v>
      </c>
      <c r="F617" s="7" t="e">
        <f t="shared" si="71"/>
        <v>#N/A</v>
      </c>
      <c r="G617" s="7" t="e">
        <f t="shared" si="71"/>
        <v>#N/A</v>
      </c>
    </row>
    <row r="618" spans="2:7">
      <c r="B618" s="67">
        <f t="shared" si="67"/>
        <v>43712</v>
      </c>
      <c r="C618" s="7">
        <f t="shared" si="71"/>
        <v>5</v>
      </c>
      <c r="D618" s="7">
        <f t="shared" si="71"/>
        <v>4</v>
      </c>
      <c r="E618" s="7" t="e">
        <f t="shared" si="71"/>
        <v>#N/A</v>
      </c>
      <c r="F618" s="7" t="e">
        <f t="shared" si="71"/>
        <v>#N/A</v>
      </c>
      <c r="G618" s="7" t="e">
        <f t="shared" si="71"/>
        <v>#N/A</v>
      </c>
    </row>
    <row r="619" spans="2:7">
      <c r="B619" s="67">
        <f t="shared" si="67"/>
        <v>43713</v>
      </c>
      <c r="C619" s="7">
        <f t="shared" si="71"/>
        <v>5</v>
      </c>
      <c r="D619" s="7">
        <f t="shared" si="71"/>
        <v>4</v>
      </c>
      <c r="E619" s="7" t="e">
        <f t="shared" si="71"/>
        <v>#N/A</v>
      </c>
      <c r="F619" s="7" t="e">
        <f t="shared" si="71"/>
        <v>#N/A</v>
      </c>
      <c r="G619" s="7" t="e">
        <f t="shared" si="71"/>
        <v>#N/A</v>
      </c>
    </row>
    <row r="620" spans="2:7">
      <c r="B620" s="67">
        <f t="shared" si="67"/>
        <v>43714</v>
      </c>
      <c r="C620" s="7">
        <f t="shared" si="71"/>
        <v>5</v>
      </c>
      <c r="D620" s="7">
        <f t="shared" si="71"/>
        <v>4</v>
      </c>
      <c r="E620" s="7" t="e">
        <f t="shared" si="71"/>
        <v>#N/A</v>
      </c>
      <c r="F620" s="7" t="e">
        <f t="shared" si="71"/>
        <v>#N/A</v>
      </c>
      <c r="G620" s="7" t="e">
        <f t="shared" si="71"/>
        <v>#N/A</v>
      </c>
    </row>
    <row r="621" spans="2:7">
      <c r="B621" s="67">
        <f t="shared" si="67"/>
        <v>43715</v>
      </c>
      <c r="C621" s="7">
        <f t="shared" si="71"/>
        <v>5</v>
      </c>
      <c r="D621" s="7">
        <f t="shared" si="71"/>
        <v>4</v>
      </c>
      <c r="E621" s="7" t="e">
        <f t="shared" si="71"/>
        <v>#N/A</v>
      </c>
      <c r="F621" s="7" t="e">
        <f t="shared" si="71"/>
        <v>#N/A</v>
      </c>
      <c r="G621" s="7" t="e">
        <f t="shared" si="71"/>
        <v>#N/A</v>
      </c>
    </row>
    <row r="622" spans="2:7">
      <c r="B622" s="67">
        <f t="shared" si="67"/>
        <v>43716</v>
      </c>
      <c r="C622" s="7">
        <f t="shared" si="71"/>
        <v>5</v>
      </c>
      <c r="D622" s="7">
        <f t="shared" si="71"/>
        <v>4</v>
      </c>
      <c r="E622" s="7" t="e">
        <f t="shared" si="71"/>
        <v>#N/A</v>
      </c>
      <c r="F622" s="7" t="e">
        <f t="shared" si="71"/>
        <v>#N/A</v>
      </c>
      <c r="G622" s="7" t="e">
        <f t="shared" si="71"/>
        <v>#N/A</v>
      </c>
    </row>
    <row r="623" spans="2:7">
      <c r="B623" s="67">
        <f t="shared" si="67"/>
        <v>43717</v>
      </c>
      <c r="C623" s="7">
        <f t="shared" si="71"/>
        <v>5</v>
      </c>
      <c r="D623" s="7">
        <f t="shared" si="71"/>
        <v>4</v>
      </c>
      <c r="E623" s="7" t="e">
        <f t="shared" si="71"/>
        <v>#N/A</v>
      </c>
      <c r="F623" s="7" t="e">
        <f t="shared" si="71"/>
        <v>#N/A</v>
      </c>
      <c r="G623" s="7" t="e">
        <f t="shared" si="71"/>
        <v>#N/A</v>
      </c>
    </row>
    <row r="624" spans="2:7">
      <c r="B624" s="67">
        <f t="shared" si="67"/>
        <v>43718</v>
      </c>
      <c r="C624" s="7">
        <f t="shared" si="71"/>
        <v>5</v>
      </c>
      <c r="D624" s="7">
        <f t="shared" si="71"/>
        <v>4</v>
      </c>
      <c r="E624" s="7" t="e">
        <f t="shared" si="71"/>
        <v>#N/A</v>
      </c>
      <c r="F624" s="7" t="e">
        <f t="shared" si="71"/>
        <v>#N/A</v>
      </c>
      <c r="G624" s="7" t="e">
        <f t="shared" si="71"/>
        <v>#N/A</v>
      </c>
    </row>
    <row r="625" spans="2:7">
      <c r="B625" s="67">
        <f t="shared" si="67"/>
        <v>43719</v>
      </c>
      <c r="C625" s="7">
        <f t="shared" si="71"/>
        <v>5</v>
      </c>
      <c r="D625" s="7">
        <f t="shared" si="71"/>
        <v>4</v>
      </c>
      <c r="E625" s="7" t="e">
        <f t="shared" si="71"/>
        <v>#N/A</v>
      </c>
      <c r="F625" s="7" t="e">
        <f t="shared" si="71"/>
        <v>#N/A</v>
      </c>
      <c r="G625" s="7" t="e">
        <f t="shared" si="71"/>
        <v>#N/A</v>
      </c>
    </row>
    <row r="626" spans="2:7">
      <c r="B626" s="67">
        <f t="shared" si="67"/>
        <v>43720</v>
      </c>
      <c r="C626" s="7">
        <f t="shared" si="71"/>
        <v>5</v>
      </c>
      <c r="D626" s="7">
        <f t="shared" si="71"/>
        <v>4</v>
      </c>
      <c r="E626" s="7" t="e">
        <f t="shared" si="71"/>
        <v>#N/A</v>
      </c>
      <c r="F626" s="7" t="e">
        <f t="shared" si="71"/>
        <v>#N/A</v>
      </c>
      <c r="G626" s="7" t="e">
        <f t="shared" si="71"/>
        <v>#N/A</v>
      </c>
    </row>
    <row r="627" spans="2:7">
      <c r="B627" s="67">
        <f t="shared" si="67"/>
        <v>43721</v>
      </c>
      <c r="C627" s="7">
        <f t="shared" ref="C627:G636" si="72">IF(AND($B627&gt;=C$3,$B627&lt;=C$4),C$5,NA())</f>
        <v>5</v>
      </c>
      <c r="D627" s="7">
        <f t="shared" si="72"/>
        <v>4</v>
      </c>
      <c r="E627" s="7" t="e">
        <f t="shared" si="72"/>
        <v>#N/A</v>
      </c>
      <c r="F627" s="7" t="e">
        <f t="shared" si="72"/>
        <v>#N/A</v>
      </c>
      <c r="G627" s="7" t="e">
        <f t="shared" si="72"/>
        <v>#N/A</v>
      </c>
    </row>
    <row r="628" spans="2:7">
      <c r="B628" s="67">
        <f t="shared" si="67"/>
        <v>43722</v>
      </c>
      <c r="C628" s="7">
        <f t="shared" si="72"/>
        <v>5</v>
      </c>
      <c r="D628" s="7">
        <f t="shared" si="72"/>
        <v>4</v>
      </c>
      <c r="E628" s="7" t="e">
        <f t="shared" si="72"/>
        <v>#N/A</v>
      </c>
      <c r="F628" s="7" t="e">
        <f t="shared" si="72"/>
        <v>#N/A</v>
      </c>
      <c r="G628" s="7" t="e">
        <f t="shared" si="72"/>
        <v>#N/A</v>
      </c>
    </row>
    <row r="629" spans="2:7">
      <c r="B629" s="67">
        <f t="shared" si="67"/>
        <v>43723</v>
      </c>
      <c r="C629" s="7">
        <f t="shared" si="72"/>
        <v>5</v>
      </c>
      <c r="D629" s="7">
        <f t="shared" si="72"/>
        <v>4</v>
      </c>
      <c r="E629" s="7" t="e">
        <f t="shared" si="72"/>
        <v>#N/A</v>
      </c>
      <c r="F629" s="7" t="e">
        <f t="shared" si="72"/>
        <v>#N/A</v>
      </c>
      <c r="G629" s="7" t="e">
        <f t="shared" si="72"/>
        <v>#N/A</v>
      </c>
    </row>
    <row r="630" spans="2:7">
      <c r="B630" s="67">
        <f t="shared" si="67"/>
        <v>43724</v>
      </c>
      <c r="C630" s="7">
        <f t="shared" si="72"/>
        <v>5</v>
      </c>
      <c r="D630" s="7">
        <f t="shared" si="72"/>
        <v>4</v>
      </c>
      <c r="E630" s="7" t="e">
        <f t="shared" si="72"/>
        <v>#N/A</v>
      </c>
      <c r="F630" s="7" t="e">
        <f t="shared" si="72"/>
        <v>#N/A</v>
      </c>
      <c r="G630" s="7" t="e">
        <f t="shared" si="72"/>
        <v>#N/A</v>
      </c>
    </row>
    <row r="631" spans="2:7">
      <c r="B631" s="67">
        <f t="shared" si="67"/>
        <v>43725</v>
      </c>
      <c r="C631" s="7">
        <f t="shared" si="72"/>
        <v>5</v>
      </c>
      <c r="D631" s="7">
        <f t="shared" si="72"/>
        <v>4</v>
      </c>
      <c r="E631" s="7" t="e">
        <f t="shared" si="72"/>
        <v>#N/A</v>
      </c>
      <c r="F631" s="7" t="e">
        <f t="shared" si="72"/>
        <v>#N/A</v>
      </c>
      <c r="G631" s="7" t="e">
        <f t="shared" si="72"/>
        <v>#N/A</v>
      </c>
    </row>
    <row r="632" spans="2:7">
      <c r="B632" s="67">
        <f t="shared" si="67"/>
        <v>43726</v>
      </c>
      <c r="C632" s="7">
        <f t="shared" si="72"/>
        <v>5</v>
      </c>
      <c r="D632" s="7">
        <f t="shared" si="72"/>
        <v>4</v>
      </c>
      <c r="E632" s="7" t="e">
        <f t="shared" si="72"/>
        <v>#N/A</v>
      </c>
      <c r="F632" s="7" t="e">
        <f t="shared" si="72"/>
        <v>#N/A</v>
      </c>
      <c r="G632" s="7" t="e">
        <f t="shared" si="72"/>
        <v>#N/A</v>
      </c>
    </row>
    <row r="633" spans="2:7">
      <c r="B633" s="67">
        <f t="shared" si="67"/>
        <v>43727</v>
      </c>
      <c r="C633" s="7">
        <f t="shared" si="72"/>
        <v>5</v>
      </c>
      <c r="D633" s="7">
        <f t="shared" si="72"/>
        <v>4</v>
      </c>
      <c r="E633" s="7" t="e">
        <f t="shared" si="72"/>
        <v>#N/A</v>
      </c>
      <c r="F633" s="7" t="e">
        <f t="shared" si="72"/>
        <v>#N/A</v>
      </c>
      <c r="G633" s="7" t="e">
        <f t="shared" si="72"/>
        <v>#N/A</v>
      </c>
    </row>
    <row r="634" spans="2:7">
      <c r="B634" s="67">
        <f t="shared" si="67"/>
        <v>43728</v>
      </c>
      <c r="C634" s="7">
        <f t="shared" si="72"/>
        <v>5</v>
      </c>
      <c r="D634" s="7">
        <f t="shared" si="72"/>
        <v>4</v>
      </c>
      <c r="E634" s="7" t="e">
        <f t="shared" si="72"/>
        <v>#N/A</v>
      </c>
      <c r="F634" s="7" t="e">
        <f t="shared" si="72"/>
        <v>#N/A</v>
      </c>
      <c r="G634" s="7" t="e">
        <f t="shared" si="72"/>
        <v>#N/A</v>
      </c>
    </row>
    <row r="635" spans="2:7">
      <c r="B635" s="67">
        <f t="shared" si="67"/>
        <v>43729</v>
      </c>
      <c r="C635" s="7">
        <f t="shared" si="72"/>
        <v>5</v>
      </c>
      <c r="D635" s="7">
        <f t="shared" si="72"/>
        <v>4</v>
      </c>
      <c r="E635" s="7" t="e">
        <f t="shared" si="72"/>
        <v>#N/A</v>
      </c>
      <c r="F635" s="7" t="e">
        <f t="shared" si="72"/>
        <v>#N/A</v>
      </c>
      <c r="G635" s="7" t="e">
        <f t="shared" si="72"/>
        <v>#N/A</v>
      </c>
    </row>
    <row r="636" spans="2:7">
      <c r="B636" s="67">
        <f t="shared" si="67"/>
        <v>43730</v>
      </c>
      <c r="C636" s="7">
        <f t="shared" si="72"/>
        <v>5</v>
      </c>
      <c r="D636" s="7">
        <f t="shared" si="72"/>
        <v>4</v>
      </c>
      <c r="E636" s="7" t="e">
        <f t="shared" si="72"/>
        <v>#N/A</v>
      </c>
      <c r="F636" s="7" t="e">
        <f t="shared" si="72"/>
        <v>#N/A</v>
      </c>
      <c r="G636" s="7" t="e">
        <f t="shared" si="72"/>
        <v>#N/A</v>
      </c>
    </row>
    <row r="637" spans="2:7">
      <c r="B637" s="67">
        <f t="shared" si="67"/>
        <v>43731</v>
      </c>
      <c r="C637" s="7">
        <f t="shared" ref="C637:G646" si="73">IF(AND($B637&gt;=C$3,$B637&lt;=C$4),C$5,NA())</f>
        <v>5</v>
      </c>
      <c r="D637" s="7">
        <f t="shared" si="73"/>
        <v>4</v>
      </c>
      <c r="E637" s="7" t="e">
        <f t="shared" si="73"/>
        <v>#N/A</v>
      </c>
      <c r="F637" s="7" t="e">
        <f t="shared" si="73"/>
        <v>#N/A</v>
      </c>
      <c r="G637" s="7" t="e">
        <f t="shared" si="73"/>
        <v>#N/A</v>
      </c>
    </row>
    <row r="638" spans="2:7">
      <c r="B638" s="67">
        <f t="shared" si="67"/>
        <v>43732</v>
      </c>
      <c r="C638" s="7">
        <f t="shared" si="73"/>
        <v>5</v>
      </c>
      <c r="D638" s="7">
        <f t="shared" si="73"/>
        <v>4</v>
      </c>
      <c r="E638" s="7" t="e">
        <f t="shared" si="73"/>
        <v>#N/A</v>
      </c>
      <c r="F638" s="7" t="e">
        <f t="shared" si="73"/>
        <v>#N/A</v>
      </c>
      <c r="G638" s="7" t="e">
        <f t="shared" si="73"/>
        <v>#N/A</v>
      </c>
    </row>
    <row r="639" spans="2:7">
      <c r="B639" s="67">
        <f t="shared" si="67"/>
        <v>43733</v>
      </c>
      <c r="C639" s="7">
        <f t="shared" si="73"/>
        <v>5</v>
      </c>
      <c r="D639" s="7">
        <f t="shared" si="73"/>
        <v>4</v>
      </c>
      <c r="E639" s="7" t="e">
        <f t="shared" si="73"/>
        <v>#N/A</v>
      </c>
      <c r="F639" s="7" t="e">
        <f t="shared" si="73"/>
        <v>#N/A</v>
      </c>
      <c r="G639" s="7" t="e">
        <f t="shared" si="73"/>
        <v>#N/A</v>
      </c>
    </row>
    <row r="640" spans="2:7">
      <c r="B640" s="67">
        <f t="shared" si="67"/>
        <v>43734</v>
      </c>
      <c r="C640" s="7">
        <f t="shared" si="73"/>
        <v>5</v>
      </c>
      <c r="D640" s="7">
        <f t="shared" si="73"/>
        <v>4</v>
      </c>
      <c r="E640" s="7" t="e">
        <f t="shared" si="73"/>
        <v>#N/A</v>
      </c>
      <c r="F640" s="7" t="e">
        <f t="shared" si="73"/>
        <v>#N/A</v>
      </c>
      <c r="G640" s="7" t="e">
        <f t="shared" si="73"/>
        <v>#N/A</v>
      </c>
    </row>
    <row r="641" spans="2:7">
      <c r="B641" s="67">
        <f t="shared" si="67"/>
        <v>43735</v>
      </c>
      <c r="C641" s="7">
        <f t="shared" si="73"/>
        <v>5</v>
      </c>
      <c r="D641" s="7">
        <f t="shared" si="73"/>
        <v>4</v>
      </c>
      <c r="E641" s="7" t="e">
        <f t="shared" si="73"/>
        <v>#N/A</v>
      </c>
      <c r="F641" s="7" t="e">
        <f t="shared" si="73"/>
        <v>#N/A</v>
      </c>
      <c r="G641" s="7" t="e">
        <f t="shared" si="73"/>
        <v>#N/A</v>
      </c>
    </row>
    <row r="642" spans="2:7">
      <c r="B642" s="67">
        <f t="shared" si="67"/>
        <v>43736</v>
      </c>
      <c r="C642" s="7">
        <f t="shared" si="73"/>
        <v>5</v>
      </c>
      <c r="D642" s="7">
        <f t="shared" si="73"/>
        <v>4</v>
      </c>
      <c r="E642" s="7" t="e">
        <f t="shared" si="73"/>
        <v>#N/A</v>
      </c>
      <c r="F642" s="7" t="e">
        <f t="shared" si="73"/>
        <v>#N/A</v>
      </c>
      <c r="G642" s="7" t="e">
        <f t="shared" si="73"/>
        <v>#N/A</v>
      </c>
    </row>
    <row r="643" spans="2:7">
      <c r="B643" s="67">
        <f t="shared" si="67"/>
        <v>43737</v>
      </c>
      <c r="C643" s="7">
        <f t="shared" si="73"/>
        <v>5</v>
      </c>
      <c r="D643" s="7">
        <f t="shared" si="73"/>
        <v>4</v>
      </c>
      <c r="E643" s="7" t="e">
        <f t="shared" si="73"/>
        <v>#N/A</v>
      </c>
      <c r="F643" s="7" t="e">
        <f t="shared" si="73"/>
        <v>#N/A</v>
      </c>
      <c r="G643" s="7" t="e">
        <f t="shared" si="73"/>
        <v>#N/A</v>
      </c>
    </row>
    <row r="644" spans="2:7">
      <c r="B644" s="67">
        <f t="shared" si="67"/>
        <v>43738</v>
      </c>
      <c r="C644" s="7">
        <f t="shared" si="73"/>
        <v>5</v>
      </c>
      <c r="D644" s="7">
        <f t="shared" si="73"/>
        <v>4</v>
      </c>
      <c r="E644" s="7" t="e">
        <f t="shared" si="73"/>
        <v>#N/A</v>
      </c>
      <c r="F644" s="7" t="e">
        <f t="shared" si="73"/>
        <v>#N/A</v>
      </c>
      <c r="G644" s="7" t="e">
        <f t="shared" si="73"/>
        <v>#N/A</v>
      </c>
    </row>
    <row r="645" spans="2:7">
      <c r="B645" s="67">
        <f t="shared" si="67"/>
        <v>43739</v>
      </c>
      <c r="C645" s="7">
        <f t="shared" si="73"/>
        <v>5</v>
      </c>
      <c r="D645" s="7">
        <f t="shared" si="73"/>
        <v>4</v>
      </c>
      <c r="E645" s="7" t="e">
        <f t="shared" si="73"/>
        <v>#N/A</v>
      </c>
      <c r="F645" s="7" t="e">
        <f t="shared" si="73"/>
        <v>#N/A</v>
      </c>
      <c r="G645" s="7" t="e">
        <f t="shared" si="73"/>
        <v>#N/A</v>
      </c>
    </row>
    <row r="646" spans="2:7">
      <c r="B646" s="67">
        <f t="shared" si="67"/>
        <v>43740</v>
      </c>
      <c r="C646" s="7">
        <f t="shared" si="73"/>
        <v>5</v>
      </c>
      <c r="D646" s="7">
        <f t="shared" si="73"/>
        <v>4</v>
      </c>
      <c r="E646" s="7" t="e">
        <f t="shared" si="73"/>
        <v>#N/A</v>
      </c>
      <c r="F646" s="7" t="e">
        <f t="shared" si="73"/>
        <v>#N/A</v>
      </c>
      <c r="G646" s="7" t="e">
        <f t="shared" si="73"/>
        <v>#N/A</v>
      </c>
    </row>
    <row r="647" spans="2:7">
      <c r="B647" s="67">
        <f t="shared" si="67"/>
        <v>43741</v>
      </c>
      <c r="C647" s="7">
        <f t="shared" ref="C647:G656" si="74">IF(AND($B647&gt;=C$3,$B647&lt;=C$4),C$5,NA())</f>
        <v>5</v>
      </c>
      <c r="D647" s="7">
        <f t="shared" si="74"/>
        <v>4</v>
      </c>
      <c r="E647" s="7" t="e">
        <f t="shared" si="74"/>
        <v>#N/A</v>
      </c>
      <c r="F647" s="7" t="e">
        <f t="shared" si="74"/>
        <v>#N/A</v>
      </c>
      <c r="G647" s="7" t="e">
        <f t="shared" si="74"/>
        <v>#N/A</v>
      </c>
    </row>
    <row r="648" spans="2:7">
      <c r="B648" s="67">
        <f t="shared" ref="B648:B711" si="75">B647+1</f>
        <v>43742</v>
      </c>
      <c r="C648" s="7">
        <f t="shared" si="74"/>
        <v>5</v>
      </c>
      <c r="D648" s="7">
        <f t="shared" si="74"/>
        <v>4</v>
      </c>
      <c r="E648" s="7" t="e">
        <f t="shared" si="74"/>
        <v>#N/A</v>
      </c>
      <c r="F648" s="7" t="e">
        <f t="shared" si="74"/>
        <v>#N/A</v>
      </c>
      <c r="G648" s="7" t="e">
        <f t="shared" si="74"/>
        <v>#N/A</v>
      </c>
    </row>
    <row r="649" spans="2:7">
      <c r="B649" s="67">
        <f t="shared" si="75"/>
        <v>43743</v>
      </c>
      <c r="C649" s="7">
        <f t="shared" si="74"/>
        <v>5</v>
      </c>
      <c r="D649" s="7">
        <f t="shared" si="74"/>
        <v>4</v>
      </c>
      <c r="E649" s="7" t="e">
        <f t="shared" si="74"/>
        <v>#N/A</v>
      </c>
      <c r="F649" s="7" t="e">
        <f t="shared" si="74"/>
        <v>#N/A</v>
      </c>
      <c r="G649" s="7" t="e">
        <f t="shared" si="74"/>
        <v>#N/A</v>
      </c>
    </row>
    <row r="650" spans="2:7">
      <c r="B650" s="67">
        <f t="shared" si="75"/>
        <v>43744</v>
      </c>
      <c r="C650" s="7">
        <f t="shared" si="74"/>
        <v>5</v>
      </c>
      <c r="D650" s="7">
        <f t="shared" si="74"/>
        <v>4</v>
      </c>
      <c r="E650" s="7" t="e">
        <f t="shared" si="74"/>
        <v>#N/A</v>
      </c>
      <c r="F650" s="7" t="e">
        <f t="shared" si="74"/>
        <v>#N/A</v>
      </c>
      <c r="G650" s="7" t="e">
        <f t="shared" si="74"/>
        <v>#N/A</v>
      </c>
    </row>
    <row r="651" spans="2:7">
      <c r="B651" s="67">
        <f t="shared" si="75"/>
        <v>43745</v>
      </c>
      <c r="C651" s="7">
        <f t="shared" si="74"/>
        <v>5</v>
      </c>
      <c r="D651" s="7">
        <f t="shared" si="74"/>
        <v>4</v>
      </c>
      <c r="E651" s="7" t="e">
        <f t="shared" si="74"/>
        <v>#N/A</v>
      </c>
      <c r="F651" s="7" t="e">
        <f t="shared" si="74"/>
        <v>#N/A</v>
      </c>
      <c r="G651" s="7" t="e">
        <f t="shared" si="74"/>
        <v>#N/A</v>
      </c>
    </row>
    <row r="652" spans="2:7">
      <c r="B652" s="67">
        <f t="shared" si="75"/>
        <v>43746</v>
      </c>
      <c r="C652" s="7">
        <f t="shared" si="74"/>
        <v>5</v>
      </c>
      <c r="D652" s="7">
        <f t="shared" si="74"/>
        <v>4</v>
      </c>
      <c r="E652" s="7" t="e">
        <f t="shared" si="74"/>
        <v>#N/A</v>
      </c>
      <c r="F652" s="7" t="e">
        <f t="shared" si="74"/>
        <v>#N/A</v>
      </c>
      <c r="G652" s="7" t="e">
        <f t="shared" si="74"/>
        <v>#N/A</v>
      </c>
    </row>
    <row r="653" spans="2:7">
      <c r="B653" s="67">
        <f t="shared" si="75"/>
        <v>43747</v>
      </c>
      <c r="C653" s="7">
        <f t="shared" si="74"/>
        <v>5</v>
      </c>
      <c r="D653" s="7">
        <f t="shared" si="74"/>
        <v>4</v>
      </c>
      <c r="E653" s="7" t="e">
        <f t="shared" si="74"/>
        <v>#N/A</v>
      </c>
      <c r="F653" s="7" t="e">
        <f t="shared" si="74"/>
        <v>#N/A</v>
      </c>
      <c r="G653" s="7" t="e">
        <f t="shared" si="74"/>
        <v>#N/A</v>
      </c>
    </row>
    <row r="654" spans="2:7">
      <c r="B654" s="67">
        <f t="shared" si="75"/>
        <v>43748</v>
      </c>
      <c r="C654" s="7">
        <f t="shared" si="74"/>
        <v>5</v>
      </c>
      <c r="D654" s="7">
        <f t="shared" si="74"/>
        <v>4</v>
      </c>
      <c r="E654" s="7" t="e">
        <f t="shared" si="74"/>
        <v>#N/A</v>
      </c>
      <c r="F654" s="7" t="e">
        <f t="shared" si="74"/>
        <v>#N/A</v>
      </c>
      <c r="G654" s="7" t="e">
        <f t="shared" si="74"/>
        <v>#N/A</v>
      </c>
    </row>
    <row r="655" spans="2:7">
      <c r="B655" s="67">
        <f t="shared" si="75"/>
        <v>43749</v>
      </c>
      <c r="C655" s="7">
        <f t="shared" si="74"/>
        <v>5</v>
      </c>
      <c r="D655" s="7">
        <f t="shared" si="74"/>
        <v>4</v>
      </c>
      <c r="E655" s="7" t="e">
        <f t="shared" si="74"/>
        <v>#N/A</v>
      </c>
      <c r="F655" s="7" t="e">
        <f t="shared" si="74"/>
        <v>#N/A</v>
      </c>
      <c r="G655" s="7" t="e">
        <f t="shared" si="74"/>
        <v>#N/A</v>
      </c>
    </row>
    <row r="656" spans="2:7">
      <c r="B656" s="67">
        <f t="shared" si="75"/>
        <v>43750</v>
      </c>
      <c r="C656" s="7">
        <f t="shared" si="74"/>
        <v>5</v>
      </c>
      <c r="D656" s="7">
        <f t="shared" si="74"/>
        <v>4</v>
      </c>
      <c r="E656" s="7" t="e">
        <f t="shared" si="74"/>
        <v>#N/A</v>
      </c>
      <c r="F656" s="7" t="e">
        <f t="shared" si="74"/>
        <v>#N/A</v>
      </c>
      <c r="G656" s="7" t="e">
        <f t="shared" si="74"/>
        <v>#N/A</v>
      </c>
    </row>
    <row r="657" spans="2:7">
      <c r="B657" s="67">
        <f t="shared" si="75"/>
        <v>43751</v>
      </c>
      <c r="C657" s="7">
        <f t="shared" ref="C657:G666" si="76">IF(AND($B657&gt;=C$3,$B657&lt;=C$4),C$5,NA())</f>
        <v>5</v>
      </c>
      <c r="D657" s="7">
        <f t="shared" si="76"/>
        <v>4</v>
      </c>
      <c r="E657" s="7" t="e">
        <f t="shared" si="76"/>
        <v>#N/A</v>
      </c>
      <c r="F657" s="7" t="e">
        <f t="shared" si="76"/>
        <v>#N/A</v>
      </c>
      <c r="G657" s="7" t="e">
        <f t="shared" si="76"/>
        <v>#N/A</v>
      </c>
    </row>
    <row r="658" spans="2:7">
      <c r="B658" s="67">
        <f t="shared" si="75"/>
        <v>43752</v>
      </c>
      <c r="C658" s="7">
        <f t="shared" si="76"/>
        <v>5</v>
      </c>
      <c r="D658" s="7">
        <f t="shared" si="76"/>
        <v>4</v>
      </c>
      <c r="E658" s="7" t="e">
        <f t="shared" si="76"/>
        <v>#N/A</v>
      </c>
      <c r="F658" s="7" t="e">
        <f t="shared" si="76"/>
        <v>#N/A</v>
      </c>
      <c r="G658" s="7" t="e">
        <f t="shared" si="76"/>
        <v>#N/A</v>
      </c>
    </row>
    <row r="659" spans="2:7">
      <c r="B659" s="67">
        <f t="shared" si="75"/>
        <v>43753</v>
      </c>
      <c r="C659" s="7">
        <f t="shared" si="76"/>
        <v>5</v>
      </c>
      <c r="D659" s="7">
        <f t="shared" si="76"/>
        <v>4</v>
      </c>
      <c r="E659" s="7" t="e">
        <f t="shared" si="76"/>
        <v>#N/A</v>
      </c>
      <c r="F659" s="7" t="e">
        <f t="shared" si="76"/>
        <v>#N/A</v>
      </c>
      <c r="G659" s="7" t="e">
        <f t="shared" si="76"/>
        <v>#N/A</v>
      </c>
    </row>
    <row r="660" spans="2:7">
      <c r="B660" s="67">
        <f t="shared" si="75"/>
        <v>43754</v>
      </c>
      <c r="C660" s="7">
        <f t="shared" si="76"/>
        <v>5</v>
      </c>
      <c r="D660" s="7">
        <f t="shared" si="76"/>
        <v>4</v>
      </c>
      <c r="E660" s="7" t="e">
        <f t="shared" si="76"/>
        <v>#N/A</v>
      </c>
      <c r="F660" s="7" t="e">
        <f t="shared" si="76"/>
        <v>#N/A</v>
      </c>
      <c r="G660" s="7" t="e">
        <f t="shared" si="76"/>
        <v>#N/A</v>
      </c>
    </row>
    <row r="661" spans="2:7">
      <c r="B661" s="67">
        <f t="shared" si="75"/>
        <v>43755</v>
      </c>
      <c r="C661" s="7">
        <f t="shared" si="76"/>
        <v>5</v>
      </c>
      <c r="D661" s="7">
        <f t="shared" si="76"/>
        <v>4</v>
      </c>
      <c r="E661" s="7" t="e">
        <f t="shared" si="76"/>
        <v>#N/A</v>
      </c>
      <c r="F661" s="7" t="e">
        <f t="shared" si="76"/>
        <v>#N/A</v>
      </c>
      <c r="G661" s="7" t="e">
        <f t="shared" si="76"/>
        <v>#N/A</v>
      </c>
    </row>
    <row r="662" spans="2:7">
      <c r="B662" s="67">
        <f t="shared" si="75"/>
        <v>43756</v>
      </c>
      <c r="C662" s="7">
        <f t="shared" si="76"/>
        <v>5</v>
      </c>
      <c r="D662" s="7">
        <f t="shared" si="76"/>
        <v>4</v>
      </c>
      <c r="E662" s="7" t="e">
        <f t="shared" si="76"/>
        <v>#N/A</v>
      </c>
      <c r="F662" s="7" t="e">
        <f t="shared" si="76"/>
        <v>#N/A</v>
      </c>
      <c r="G662" s="7" t="e">
        <f t="shared" si="76"/>
        <v>#N/A</v>
      </c>
    </row>
    <row r="663" spans="2:7">
      <c r="B663" s="67">
        <f t="shared" si="75"/>
        <v>43757</v>
      </c>
      <c r="C663" s="7">
        <f t="shared" si="76"/>
        <v>5</v>
      </c>
      <c r="D663" s="7">
        <f t="shared" si="76"/>
        <v>4</v>
      </c>
      <c r="E663" s="7" t="e">
        <f t="shared" si="76"/>
        <v>#N/A</v>
      </c>
      <c r="F663" s="7" t="e">
        <f t="shared" si="76"/>
        <v>#N/A</v>
      </c>
      <c r="G663" s="7" t="e">
        <f t="shared" si="76"/>
        <v>#N/A</v>
      </c>
    </row>
    <row r="664" spans="2:7">
      <c r="B664" s="67">
        <f t="shared" si="75"/>
        <v>43758</v>
      </c>
      <c r="C664" s="7">
        <f t="shared" si="76"/>
        <v>5</v>
      </c>
      <c r="D664" s="7">
        <f t="shared" si="76"/>
        <v>4</v>
      </c>
      <c r="E664" s="7" t="e">
        <f t="shared" si="76"/>
        <v>#N/A</v>
      </c>
      <c r="F664" s="7" t="e">
        <f t="shared" si="76"/>
        <v>#N/A</v>
      </c>
      <c r="G664" s="7" t="e">
        <f t="shared" si="76"/>
        <v>#N/A</v>
      </c>
    </row>
    <row r="665" spans="2:7">
      <c r="B665" s="67">
        <f t="shared" si="75"/>
        <v>43759</v>
      </c>
      <c r="C665" s="7">
        <f t="shared" si="76"/>
        <v>5</v>
      </c>
      <c r="D665" s="7">
        <f t="shared" si="76"/>
        <v>4</v>
      </c>
      <c r="E665" s="7" t="e">
        <f t="shared" si="76"/>
        <v>#N/A</v>
      </c>
      <c r="F665" s="7" t="e">
        <f t="shared" si="76"/>
        <v>#N/A</v>
      </c>
      <c r="G665" s="7" t="e">
        <f t="shared" si="76"/>
        <v>#N/A</v>
      </c>
    </row>
    <row r="666" spans="2:7">
      <c r="B666" s="67">
        <f t="shared" si="75"/>
        <v>43760</v>
      </c>
      <c r="C666" s="7">
        <f t="shared" si="76"/>
        <v>5</v>
      </c>
      <c r="D666" s="7">
        <f t="shared" si="76"/>
        <v>4</v>
      </c>
      <c r="E666" s="7" t="e">
        <f t="shared" si="76"/>
        <v>#N/A</v>
      </c>
      <c r="F666" s="7" t="e">
        <f t="shared" si="76"/>
        <v>#N/A</v>
      </c>
      <c r="G666" s="7" t="e">
        <f t="shared" si="76"/>
        <v>#N/A</v>
      </c>
    </row>
    <row r="667" spans="2:7">
      <c r="B667" s="67">
        <f t="shared" si="75"/>
        <v>43761</v>
      </c>
      <c r="C667" s="7">
        <f t="shared" ref="C667:G676" si="77">IF(AND($B667&gt;=C$3,$B667&lt;=C$4),C$5,NA())</f>
        <v>5</v>
      </c>
      <c r="D667" s="7">
        <f t="shared" si="77"/>
        <v>4</v>
      </c>
      <c r="E667" s="7" t="e">
        <f t="shared" si="77"/>
        <v>#N/A</v>
      </c>
      <c r="F667" s="7" t="e">
        <f t="shared" si="77"/>
        <v>#N/A</v>
      </c>
      <c r="G667" s="7" t="e">
        <f t="shared" si="77"/>
        <v>#N/A</v>
      </c>
    </row>
    <row r="668" spans="2:7">
      <c r="B668" s="67">
        <f t="shared" si="75"/>
        <v>43762</v>
      </c>
      <c r="C668" s="7">
        <f t="shared" si="77"/>
        <v>5</v>
      </c>
      <c r="D668" s="7">
        <f t="shared" si="77"/>
        <v>4</v>
      </c>
      <c r="E668" s="7" t="e">
        <f t="shared" si="77"/>
        <v>#N/A</v>
      </c>
      <c r="F668" s="7" t="e">
        <f t="shared" si="77"/>
        <v>#N/A</v>
      </c>
      <c r="G668" s="7" t="e">
        <f t="shared" si="77"/>
        <v>#N/A</v>
      </c>
    </row>
    <row r="669" spans="2:7">
      <c r="B669" s="67">
        <f t="shared" si="75"/>
        <v>43763</v>
      </c>
      <c r="C669" s="7">
        <f t="shared" si="77"/>
        <v>5</v>
      </c>
      <c r="D669" s="7">
        <f t="shared" si="77"/>
        <v>4</v>
      </c>
      <c r="E669" s="7" t="e">
        <f t="shared" si="77"/>
        <v>#N/A</v>
      </c>
      <c r="F669" s="7" t="e">
        <f t="shared" si="77"/>
        <v>#N/A</v>
      </c>
      <c r="G669" s="7" t="e">
        <f t="shared" si="77"/>
        <v>#N/A</v>
      </c>
    </row>
    <row r="670" spans="2:7">
      <c r="B670" s="67">
        <f t="shared" si="75"/>
        <v>43764</v>
      </c>
      <c r="C670" s="7">
        <f t="shared" si="77"/>
        <v>5</v>
      </c>
      <c r="D670" s="7">
        <f t="shared" si="77"/>
        <v>4</v>
      </c>
      <c r="E670" s="7" t="e">
        <f t="shared" si="77"/>
        <v>#N/A</v>
      </c>
      <c r="F670" s="7" t="e">
        <f t="shared" si="77"/>
        <v>#N/A</v>
      </c>
      <c r="G670" s="7" t="e">
        <f t="shared" si="77"/>
        <v>#N/A</v>
      </c>
    </row>
    <row r="671" spans="2:7">
      <c r="B671" s="67">
        <f t="shared" si="75"/>
        <v>43765</v>
      </c>
      <c r="C671" s="7">
        <f t="shared" si="77"/>
        <v>5</v>
      </c>
      <c r="D671" s="7">
        <f t="shared" si="77"/>
        <v>4</v>
      </c>
      <c r="E671" s="7" t="e">
        <f t="shared" si="77"/>
        <v>#N/A</v>
      </c>
      <c r="F671" s="7" t="e">
        <f t="shared" si="77"/>
        <v>#N/A</v>
      </c>
      <c r="G671" s="7" t="e">
        <f t="shared" si="77"/>
        <v>#N/A</v>
      </c>
    </row>
    <row r="672" spans="2:7">
      <c r="B672" s="67">
        <f t="shared" si="75"/>
        <v>43766</v>
      </c>
      <c r="C672" s="7">
        <f t="shared" si="77"/>
        <v>5</v>
      </c>
      <c r="D672" s="7">
        <f t="shared" si="77"/>
        <v>4</v>
      </c>
      <c r="E672" s="7" t="e">
        <f t="shared" si="77"/>
        <v>#N/A</v>
      </c>
      <c r="F672" s="7" t="e">
        <f t="shared" si="77"/>
        <v>#N/A</v>
      </c>
      <c r="G672" s="7" t="e">
        <f t="shared" si="77"/>
        <v>#N/A</v>
      </c>
    </row>
    <row r="673" spans="2:7">
      <c r="B673" s="67">
        <f t="shared" si="75"/>
        <v>43767</v>
      </c>
      <c r="C673" s="7">
        <f t="shared" si="77"/>
        <v>5</v>
      </c>
      <c r="D673" s="7">
        <f t="shared" si="77"/>
        <v>4</v>
      </c>
      <c r="E673" s="7" t="e">
        <f t="shared" si="77"/>
        <v>#N/A</v>
      </c>
      <c r="F673" s="7" t="e">
        <f t="shared" si="77"/>
        <v>#N/A</v>
      </c>
      <c r="G673" s="7" t="e">
        <f t="shared" si="77"/>
        <v>#N/A</v>
      </c>
    </row>
    <row r="674" spans="2:7">
      <c r="B674" s="67">
        <f t="shared" si="75"/>
        <v>43768</v>
      </c>
      <c r="C674" s="7">
        <f t="shared" si="77"/>
        <v>5</v>
      </c>
      <c r="D674" s="7">
        <f t="shared" si="77"/>
        <v>4</v>
      </c>
      <c r="E674" s="7" t="e">
        <f t="shared" si="77"/>
        <v>#N/A</v>
      </c>
      <c r="F674" s="7" t="e">
        <f t="shared" si="77"/>
        <v>#N/A</v>
      </c>
      <c r="G674" s="7" t="e">
        <f t="shared" si="77"/>
        <v>#N/A</v>
      </c>
    </row>
    <row r="675" spans="2:7">
      <c r="B675" s="67">
        <f t="shared" si="75"/>
        <v>43769</v>
      </c>
      <c r="C675" s="7">
        <f t="shared" si="77"/>
        <v>5</v>
      </c>
      <c r="D675" s="7">
        <f t="shared" si="77"/>
        <v>4</v>
      </c>
      <c r="E675" s="7" t="e">
        <f t="shared" si="77"/>
        <v>#N/A</v>
      </c>
      <c r="F675" s="7" t="e">
        <f t="shared" si="77"/>
        <v>#N/A</v>
      </c>
      <c r="G675" s="7" t="e">
        <f t="shared" si="77"/>
        <v>#N/A</v>
      </c>
    </row>
    <row r="676" spans="2:7">
      <c r="B676" s="67">
        <f t="shared" si="75"/>
        <v>43770</v>
      </c>
      <c r="C676" s="7">
        <f t="shared" si="77"/>
        <v>5</v>
      </c>
      <c r="D676" s="7">
        <f t="shared" si="77"/>
        <v>4</v>
      </c>
      <c r="E676" s="7" t="e">
        <f t="shared" si="77"/>
        <v>#N/A</v>
      </c>
      <c r="F676" s="7" t="e">
        <f t="shared" si="77"/>
        <v>#N/A</v>
      </c>
      <c r="G676" s="7" t="e">
        <f t="shared" si="77"/>
        <v>#N/A</v>
      </c>
    </row>
    <row r="677" spans="2:7">
      <c r="B677" s="67">
        <f t="shared" si="75"/>
        <v>43771</v>
      </c>
      <c r="C677" s="7">
        <f t="shared" ref="C677:G686" si="78">IF(AND($B677&gt;=C$3,$B677&lt;=C$4),C$5,NA())</f>
        <v>5</v>
      </c>
      <c r="D677" s="7">
        <f t="shared" si="78"/>
        <v>4</v>
      </c>
      <c r="E677" s="7" t="e">
        <f t="shared" si="78"/>
        <v>#N/A</v>
      </c>
      <c r="F677" s="7" t="e">
        <f t="shared" si="78"/>
        <v>#N/A</v>
      </c>
      <c r="G677" s="7" t="e">
        <f t="shared" si="78"/>
        <v>#N/A</v>
      </c>
    </row>
    <row r="678" spans="2:7">
      <c r="B678" s="67">
        <f t="shared" si="75"/>
        <v>43772</v>
      </c>
      <c r="C678" s="7">
        <f t="shared" si="78"/>
        <v>5</v>
      </c>
      <c r="D678" s="7">
        <f t="shared" si="78"/>
        <v>4</v>
      </c>
      <c r="E678" s="7" t="e">
        <f t="shared" si="78"/>
        <v>#N/A</v>
      </c>
      <c r="F678" s="7" t="e">
        <f t="shared" si="78"/>
        <v>#N/A</v>
      </c>
      <c r="G678" s="7" t="e">
        <f t="shared" si="78"/>
        <v>#N/A</v>
      </c>
    </row>
    <row r="679" spans="2:7">
      <c r="B679" s="67">
        <f t="shared" si="75"/>
        <v>43773</v>
      </c>
      <c r="C679" s="7">
        <f t="shared" si="78"/>
        <v>5</v>
      </c>
      <c r="D679" s="7">
        <f t="shared" si="78"/>
        <v>4</v>
      </c>
      <c r="E679" s="7" t="e">
        <f t="shared" si="78"/>
        <v>#N/A</v>
      </c>
      <c r="F679" s="7" t="e">
        <f t="shared" si="78"/>
        <v>#N/A</v>
      </c>
      <c r="G679" s="7" t="e">
        <f t="shared" si="78"/>
        <v>#N/A</v>
      </c>
    </row>
    <row r="680" spans="2:7">
      <c r="B680" s="67">
        <f t="shared" si="75"/>
        <v>43774</v>
      </c>
      <c r="C680" s="7">
        <f t="shared" si="78"/>
        <v>5</v>
      </c>
      <c r="D680" s="7">
        <f t="shared" si="78"/>
        <v>4</v>
      </c>
      <c r="E680" s="7" t="e">
        <f t="shared" si="78"/>
        <v>#N/A</v>
      </c>
      <c r="F680" s="7" t="e">
        <f t="shared" si="78"/>
        <v>#N/A</v>
      </c>
      <c r="G680" s="7" t="e">
        <f t="shared" si="78"/>
        <v>#N/A</v>
      </c>
    </row>
    <row r="681" spans="2:7">
      <c r="B681" s="67">
        <f t="shared" si="75"/>
        <v>43775</v>
      </c>
      <c r="C681" s="7">
        <f t="shared" si="78"/>
        <v>5</v>
      </c>
      <c r="D681" s="7">
        <f t="shared" si="78"/>
        <v>4</v>
      </c>
      <c r="E681" s="7" t="e">
        <f t="shared" si="78"/>
        <v>#N/A</v>
      </c>
      <c r="F681" s="7" t="e">
        <f t="shared" si="78"/>
        <v>#N/A</v>
      </c>
      <c r="G681" s="7" t="e">
        <f t="shared" si="78"/>
        <v>#N/A</v>
      </c>
    </row>
    <row r="682" spans="2:7">
      <c r="B682" s="67">
        <f t="shared" si="75"/>
        <v>43776</v>
      </c>
      <c r="C682" s="7">
        <f t="shared" si="78"/>
        <v>5</v>
      </c>
      <c r="D682" s="7">
        <f t="shared" si="78"/>
        <v>4</v>
      </c>
      <c r="E682" s="7" t="e">
        <f t="shared" si="78"/>
        <v>#N/A</v>
      </c>
      <c r="F682" s="7" t="e">
        <f t="shared" si="78"/>
        <v>#N/A</v>
      </c>
      <c r="G682" s="7" t="e">
        <f t="shared" si="78"/>
        <v>#N/A</v>
      </c>
    </row>
    <row r="683" spans="2:7">
      <c r="B683" s="67">
        <f t="shared" si="75"/>
        <v>43777</v>
      </c>
      <c r="C683" s="7">
        <f t="shared" si="78"/>
        <v>5</v>
      </c>
      <c r="D683" s="7">
        <f t="shared" si="78"/>
        <v>4</v>
      </c>
      <c r="E683" s="7" t="e">
        <f t="shared" si="78"/>
        <v>#N/A</v>
      </c>
      <c r="F683" s="7" t="e">
        <f t="shared" si="78"/>
        <v>#N/A</v>
      </c>
      <c r="G683" s="7" t="e">
        <f t="shared" si="78"/>
        <v>#N/A</v>
      </c>
    </row>
    <row r="684" spans="2:7">
      <c r="B684" s="67">
        <f t="shared" si="75"/>
        <v>43778</v>
      </c>
      <c r="C684" s="7">
        <f t="shared" si="78"/>
        <v>5</v>
      </c>
      <c r="D684" s="7">
        <f t="shared" si="78"/>
        <v>4</v>
      </c>
      <c r="E684" s="7" t="e">
        <f t="shared" si="78"/>
        <v>#N/A</v>
      </c>
      <c r="F684" s="7" t="e">
        <f t="shared" si="78"/>
        <v>#N/A</v>
      </c>
      <c r="G684" s="7" t="e">
        <f t="shared" si="78"/>
        <v>#N/A</v>
      </c>
    </row>
    <row r="685" spans="2:7">
      <c r="B685" s="67">
        <f t="shared" si="75"/>
        <v>43779</v>
      </c>
      <c r="C685" s="7">
        <f t="shared" si="78"/>
        <v>5</v>
      </c>
      <c r="D685" s="7">
        <f t="shared" si="78"/>
        <v>4</v>
      </c>
      <c r="E685" s="7" t="e">
        <f t="shared" si="78"/>
        <v>#N/A</v>
      </c>
      <c r="F685" s="7" t="e">
        <f t="shared" si="78"/>
        <v>#N/A</v>
      </c>
      <c r="G685" s="7" t="e">
        <f t="shared" si="78"/>
        <v>#N/A</v>
      </c>
    </row>
    <row r="686" spans="2:7">
      <c r="B686" s="67">
        <f t="shared" si="75"/>
        <v>43780</v>
      </c>
      <c r="C686" s="7">
        <f t="shared" si="78"/>
        <v>5</v>
      </c>
      <c r="D686" s="7">
        <f t="shared" si="78"/>
        <v>4</v>
      </c>
      <c r="E686" s="7" t="e">
        <f t="shared" si="78"/>
        <v>#N/A</v>
      </c>
      <c r="F686" s="7" t="e">
        <f t="shared" si="78"/>
        <v>#N/A</v>
      </c>
      <c r="G686" s="7" t="e">
        <f t="shared" si="78"/>
        <v>#N/A</v>
      </c>
    </row>
    <row r="687" spans="2:7">
      <c r="B687" s="67">
        <f t="shared" si="75"/>
        <v>43781</v>
      </c>
      <c r="C687" s="7">
        <f t="shared" ref="C687:G696" si="79">IF(AND($B687&gt;=C$3,$B687&lt;=C$4),C$5,NA())</f>
        <v>5</v>
      </c>
      <c r="D687" s="7">
        <f t="shared" si="79"/>
        <v>4</v>
      </c>
      <c r="E687" s="7" t="e">
        <f t="shared" si="79"/>
        <v>#N/A</v>
      </c>
      <c r="F687" s="7" t="e">
        <f t="shared" si="79"/>
        <v>#N/A</v>
      </c>
      <c r="G687" s="7" t="e">
        <f t="shared" si="79"/>
        <v>#N/A</v>
      </c>
    </row>
    <row r="688" spans="2:7">
      <c r="B688" s="67">
        <f t="shared" si="75"/>
        <v>43782</v>
      </c>
      <c r="C688" s="7">
        <f t="shared" si="79"/>
        <v>5</v>
      </c>
      <c r="D688" s="7">
        <f t="shared" si="79"/>
        <v>4</v>
      </c>
      <c r="E688" s="7" t="e">
        <f t="shared" si="79"/>
        <v>#N/A</v>
      </c>
      <c r="F688" s="7" t="e">
        <f t="shared" si="79"/>
        <v>#N/A</v>
      </c>
      <c r="G688" s="7" t="e">
        <f t="shared" si="79"/>
        <v>#N/A</v>
      </c>
    </row>
    <row r="689" spans="2:7">
      <c r="B689" s="67">
        <f t="shared" si="75"/>
        <v>43783</v>
      </c>
      <c r="C689" s="7">
        <f t="shared" si="79"/>
        <v>5</v>
      </c>
      <c r="D689" s="7">
        <f t="shared" si="79"/>
        <v>4</v>
      </c>
      <c r="E689" s="7" t="e">
        <f t="shared" si="79"/>
        <v>#N/A</v>
      </c>
      <c r="F689" s="7" t="e">
        <f t="shared" si="79"/>
        <v>#N/A</v>
      </c>
      <c r="G689" s="7" t="e">
        <f t="shared" si="79"/>
        <v>#N/A</v>
      </c>
    </row>
    <row r="690" spans="2:7">
      <c r="B690" s="67">
        <f t="shared" si="75"/>
        <v>43784</v>
      </c>
      <c r="C690" s="7">
        <f t="shared" si="79"/>
        <v>5</v>
      </c>
      <c r="D690" s="7">
        <f t="shared" si="79"/>
        <v>4</v>
      </c>
      <c r="E690" s="7" t="e">
        <f t="shared" si="79"/>
        <v>#N/A</v>
      </c>
      <c r="F690" s="7" t="e">
        <f t="shared" si="79"/>
        <v>#N/A</v>
      </c>
      <c r="G690" s="7" t="e">
        <f t="shared" si="79"/>
        <v>#N/A</v>
      </c>
    </row>
    <row r="691" spans="2:7">
      <c r="B691" s="67">
        <f t="shared" si="75"/>
        <v>43785</v>
      </c>
      <c r="C691" s="7">
        <f t="shared" si="79"/>
        <v>5</v>
      </c>
      <c r="D691" s="7">
        <f t="shared" si="79"/>
        <v>4</v>
      </c>
      <c r="E691" s="7" t="e">
        <f t="shared" si="79"/>
        <v>#N/A</v>
      </c>
      <c r="F691" s="7" t="e">
        <f t="shared" si="79"/>
        <v>#N/A</v>
      </c>
      <c r="G691" s="7" t="e">
        <f t="shared" si="79"/>
        <v>#N/A</v>
      </c>
    </row>
    <row r="692" spans="2:7">
      <c r="B692" s="67">
        <f t="shared" si="75"/>
        <v>43786</v>
      </c>
      <c r="C692" s="7">
        <f t="shared" si="79"/>
        <v>5</v>
      </c>
      <c r="D692" s="7">
        <f t="shared" si="79"/>
        <v>4</v>
      </c>
      <c r="E692" s="7" t="e">
        <f t="shared" si="79"/>
        <v>#N/A</v>
      </c>
      <c r="F692" s="7" t="e">
        <f t="shared" si="79"/>
        <v>#N/A</v>
      </c>
      <c r="G692" s="7" t="e">
        <f t="shared" si="79"/>
        <v>#N/A</v>
      </c>
    </row>
    <row r="693" spans="2:7">
      <c r="B693" s="67">
        <f t="shared" si="75"/>
        <v>43787</v>
      </c>
      <c r="C693" s="7">
        <f t="shared" si="79"/>
        <v>5</v>
      </c>
      <c r="D693" s="7">
        <f t="shared" si="79"/>
        <v>4</v>
      </c>
      <c r="E693" s="7" t="e">
        <f t="shared" si="79"/>
        <v>#N/A</v>
      </c>
      <c r="F693" s="7" t="e">
        <f t="shared" si="79"/>
        <v>#N/A</v>
      </c>
      <c r="G693" s="7" t="e">
        <f t="shared" si="79"/>
        <v>#N/A</v>
      </c>
    </row>
    <row r="694" spans="2:7">
      <c r="B694" s="67">
        <f t="shared" si="75"/>
        <v>43788</v>
      </c>
      <c r="C694" s="7">
        <f t="shared" si="79"/>
        <v>5</v>
      </c>
      <c r="D694" s="7">
        <f t="shared" si="79"/>
        <v>4</v>
      </c>
      <c r="E694" s="7" t="e">
        <f t="shared" si="79"/>
        <v>#N/A</v>
      </c>
      <c r="F694" s="7" t="e">
        <f t="shared" si="79"/>
        <v>#N/A</v>
      </c>
      <c r="G694" s="7" t="e">
        <f t="shared" si="79"/>
        <v>#N/A</v>
      </c>
    </row>
    <row r="695" spans="2:7">
      <c r="B695" s="67">
        <f t="shared" si="75"/>
        <v>43789</v>
      </c>
      <c r="C695" s="7">
        <f t="shared" si="79"/>
        <v>5</v>
      </c>
      <c r="D695" s="7">
        <f t="shared" si="79"/>
        <v>4</v>
      </c>
      <c r="E695" s="7" t="e">
        <f t="shared" si="79"/>
        <v>#N/A</v>
      </c>
      <c r="F695" s="7" t="e">
        <f t="shared" si="79"/>
        <v>#N/A</v>
      </c>
      <c r="G695" s="7" t="e">
        <f t="shared" si="79"/>
        <v>#N/A</v>
      </c>
    </row>
    <row r="696" spans="2:7">
      <c r="B696" s="67">
        <f t="shared" si="75"/>
        <v>43790</v>
      </c>
      <c r="C696" s="7">
        <f t="shared" si="79"/>
        <v>5</v>
      </c>
      <c r="D696" s="7">
        <f t="shared" si="79"/>
        <v>4</v>
      </c>
      <c r="E696" s="7" t="e">
        <f t="shared" si="79"/>
        <v>#N/A</v>
      </c>
      <c r="F696" s="7" t="e">
        <f t="shared" si="79"/>
        <v>#N/A</v>
      </c>
      <c r="G696" s="7" t="e">
        <f t="shared" si="79"/>
        <v>#N/A</v>
      </c>
    </row>
    <row r="697" spans="2:7">
      <c r="B697" s="67">
        <f t="shared" si="75"/>
        <v>43791</v>
      </c>
      <c r="C697" s="7">
        <f t="shared" ref="C697:G706" si="80">IF(AND($B697&gt;=C$3,$B697&lt;=C$4),C$5,NA())</f>
        <v>5</v>
      </c>
      <c r="D697" s="7">
        <f t="shared" si="80"/>
        <v>4</v>
      </c>
      <c r="E697" s="7" t="e">
        <f t="shared" si="80"/>
        <v>#N/A</v>
      </c>
      <c r="F697" s="7" t="e">
        <f t="shared" si="80"/>
        <v>#N/A</v>
      </c>
      <c r="G697" s="7" t="e">
        <f t="shared" si="80"/>
        <v>#N/A</v>
      </c>
    </row>
    <row r="698" spans="2:7">
      <c r="B698" s="67">
        <f t="shared" si="75"/>
        <v>43792</v>
      </c>
      <c r="C698" s="7">
        <f t="shared" si="80"/>
        <v>5</v>
      </c>
      <c r="D698" s="7">
        <f t="shared" si="80"/>
        <v>4</v>
      </c>
      <c r="E698" s="7" t="e">
        <f t="shared" si="80"/>
        <v>#N/A</v>
      </c>
      <c r="F698" s="7" t="e">
        <f t="shared" si="80"/>
        <v>#N/A</v>
      </c>
      <c r="G698" s="7" t="e">
        <f t="shared" si="80"/>
        <v>#N/A</v>
      </c>
    </row>
    <row r="699" spans="2:7">
      <c r="B699" s="67">
        <f t="shared" si="75"/>
        <v>43793</v>
      </c>
      <c r="C699" s="7">
        <f t="shared" si="80"/>
        <v>5</v>
      </c>
      <c r="D699" s="7">
        <f t="shared" si="80"/>
        <v>4</v>
      </c>
      <c r="E699" s="7" t="e">
        <f t="shared" si="80"/>
        <v>#N/A</v>
      </c>
      <c r="F699" s="7" t="e">
        <f t="shared" si="80"/>
        <v>#N/A</v>
      </c>
      <c r="G699" s="7" t="e">
        <f t="shared" si="80"/>
        <v>#N/A</v>
      </c>
    </row>
    <row r="700" spans="2:7">
      <c r="B700" s="67">
        <f t="shared" si="75"/>
        <v>43794</v>
      </c>
      <c r="C700" s="7">
        <f t="shared" si="80"/>
        <v>5</v>
      </c>
      <c r="D700" s="7">
        <f t="shared" si="80"/>
        <v>4</v>
      </c>
      <c r="E700" s="7" t="e">
        <f t="shared" si="80"/>
        <v>#N/A</v>
      </c>
      <c r="F700" s="7" t="e">
        <f t="shared" si="80"/>
        <v>#N/A</v>
      </c>
      <c r="G700" s="7" t="e">
        <f t="shared" si="80"/>
        <v>#N/A</v>
      </c>
    </row>
    <row r="701" spans="2:7">
      <c r="B701" s="67">
        <f t="shared" si="75"/>
        <v>43795</v>
      </c>
      <c r="C701" s="7">
        <f t="shared" si="80"/>
        <v>5</v>
      </c>
      <c r="D701" s="7">
        <f t="shared" si="80"/>
        <v>4</v>
      </c>
      <c r="E701" s="7" t="e">
        <f t="shared" si="80"/>
        <v>#N/A</v>
      </c>
      <c r="F701" s="7" t="e">
        <f t="shared" si="80"/>
        <v>#N/A</v>
      </c>
      <c r="G701" s="7" t="e">
        <f t="shared" si="80"/>
        <v>#N/A</v>
      </c>
    </row>
    <row r="702" spans="2:7">
      <c r="B702" s="67">
        <f t="shared" si="75"/>
        <v>43796</v>
      </c>
      <c r="C702" s="7">
        <f t="shared" si="80"/>
        <v>5</v>
      </c>
      <c r="D702" s="7">
        <f t="shared" si="80"/>
        <v>4</v>
      </c>
      <c r="E702" s="7" t="e">
        <f t="shared" si="80"/>
        <v>#N/A</v>
      </c>
      <c r="F702" s="7" t="e">
        <f t="shared" si="80"/>
        <v>#N/A</v>
      </c>
      <c r="G702" s="7" t="e">
        <f t="shared" si="80"/>
        <v>#N/A</v>
      </c>
    </row>
    <row r="703" spans="2:7">
      <c r="B703" s="67">
        <f t="shared" si="75"/>
        <v>43797</v>
      </c>
      <c r="C703" s="7">
        <f t="shared" si="80"/>
        <v>5</v>
      </c>
      <c r="D703" s="7">
        <f t="shared" si="80"/>
        <v>4</v>
      </c>
      <c r="E703" s="7" t="e">
        <f t="shared" si="80"/>
        <v>#N/A</v>
      </c>
      <c r="F703" s="7" t="e">
        <f t="shared" si="80"/>
        <v>#N/A</v>
      </c>
      <c r="G703" s="7" t="e">
        <f t="shared" si="80"/>
        <v>#N/A</v>
      </c>
    </row>
    <row r="704" spans="2:7">
      <c r="B704" s="67">
        <f t="shared" si="75"/>
        <v>43798</v>
      </c>
      <c r="C704" s="7">
        <f t="shared" si="80"/>
        <v>5</v>
      </c>
      <c r="D704" s="7">
        <f t="shared" si="80"/>
        <v>4</v>
      </c>
      <c r="E704" s="7" t="e">
        <f t="shared" si="80"/>
        <v>#N/A</v>
      </c>
      <c r="F704" s="7" t="e">
        <f t="shared" si="80"/>
        <v>#N/A</v>
      </c>
      <c r="G704" s="7" t="e">
        <f t="shared" si="80"/>
        <v>#N/A</v>
      </c>
    </row>
    <row r="705" spans="2:7">
      <c r="B705" s="67">
        <f t="shared" si="75"/>
        <v>43799</v>
      </c>
      <c r="C705" s="7">
        <f t="shared" si="80"/>
        <v>5</v>
      </c>
      <c r="D705" s="7">
        <f t="shared" si="80"/>
        <v>4</v>
      </c>
      <c r="E705" s="7" t="e">
        <f t="shared" si="80"/>
        <v>#N/A</v>
      </c>
      <c r="F705" s="7" t="e">
        <f t="shared" si="80"/>
        <v>#N/A</v>
      </c>
      <c r="G705" s="7" t="e">
        <f t="shared" si="80"/>
        <v>#N/A</v>
      </c>
    </row>
    <row r="706" spans="2:7">
      <c r="B706" s="67">
        <f t="shared" si="75"/>
        <v>43800</v>
      </c>
      <c r="C706" s="7">
        <f t="shared" si="80"/>
        <v>5</v>
      </c>
      <c r="D706" s="7">
        <f t="shared" si="80"/>
        <v>4</v>
      </c>
      <c r="E706" s="7" t="e">
        <f t="shared" si="80"/>
        <v>#N/A</v>
      </c>
      <c r="F706" s="7" t="e">
        <f t="shared" si="80"/>
        <v>#N/A</v>
      </c>
      <c r="G706" s="7" t="e">
        <f t="shared" si="80"/>
        <v>#N/A</v>
      </c>
    </row>
    <row r="707" spans="2:7">
      <c r="B707" s="67">
        <f t="shared" si="75"/>
        <v>43801</v>
      </c>
      <c r="C707" s="7">
        <f t="shared" ref="C707:G716" si="81">IF(AND($B707&gt;=C$3,$B707&lt;=C$4),C$5,NA())</f>
        <v>5</v>
      </c>
      <c r="D707" s="7">
        <f t="shared" si="81"/>
        <v>4</v>
      </c>
      <c r="E707" s="7" t="e">
        <f t="shared" si="81"/>
        <v>#N/A</v>
      </c>
      <c r="F707" s="7" t="e">
        <f t="shared" si="81"/>
        <v>#N/A</v>
      </c>
      <c r="G707" s="7" t="e">
        <f t="shared" si="81"/>
        <v>#N/A</v>
      </c>
    </row>
    <row r="708" spans="2:7">
      <c r="B708" s="67">
        <f t="shared" si="75"/>
        <v>43802</v>
      </c>
      <c r="C708" s="7">
        <f t="shared" si="81"/>
        <v>5</v>
      </c>
      <c r="D708" s="7">
        <f t="shared" si="81"/>
        <v>4</v>
      </c>
      <c r="E708" s="7" t="e">
        <f t="shared" si="81"/>
        <v>#N/A</v>
      </c>
      <c r="F708" s="7" t="e">
        <f t="shared" si="81"/>
        <v>#N/A</v>
      </c>
      <c r="G708" s="7" t="e">
        <f t="shared" si="81"/>
        <v>#N/A</v>
      </c>
    </row>
    <row r="709" spans="2:7">
      <c r="B709" s="67">
        <f t="shared" si="75"/>
        <v>43803</v>
      </c>
      <c r="C709" s="7">
        <f t="shared" si="81"/>
        <v>5</v>
      </c>
      <c r="D709" s="7">
        <f t="shared" si="81"/>
        <v>4</v>
      </c>
      <c r="E709" s="7" t="e">
        <f t="shared" si="81"/>
        <v>#N/A</v>
      </c>
      <c r="F709" s="7" t="e">
        <f t="shared" si="81"/>
        <v>#N/A</v>
      </c>
      <c r="G709" s="7" t="e">
        <f t="shared" si="81"/>
        <v>#N/A</v>
      </c>
    </row>
    <row r="710" spans="2:7">
      <c r="B710" s="67">
        <f t="shared" si="75"/>
        <v>43804</v>
      </c>
      <c r="C710" s="7">
        <f t="shared" si="81"/>
        <v>5</v>
      </c>
      <c r="D710" s="7">
        <f t="shared" si="81"/>
        <v>4</v>
      </c>
      <c r="E710" s="7">
        <f t="shared" si="81"/>
        <v>3</v>
      </c>
      <c r="F710" s="7" t="e">
        <f t="shared" si="81"/>
        <v>#N/A</v>
      </c>
      <c r="G710" s="7" t="e">
        <f t="shared" si="81"/>
        <v>#N/A</v>
      </c>
    </row>
    <row r="711" spans="2:7">
      <c r="B711" s="67">
        <f t="shared" si="75"/>
        <v>43805</v>
      </c>
      <c r="C711" s="7">
        <f t="shared" si="81"/>
        <v>5</v>
      </c>
      <c r="D711" s="7">
        <f t="shared" si="81"/>
        <v>4</v>
      </c>
      <c r="E711" s="7">
        <f t="shared" si="81"/>
        <v>3</v>
      </c>
      <c r="F711" s="7" t="e">
        <f t="shared" si="81"/>
        <v>#N/A</v>
      </c>
      <c r="G711" s="7" t="e">
        <f t="shared" si="81"/>
        <v>#N/A</v>
      </c>
    </row>
    <row r="712" spans="2:7">
      <c r="B712" s="67">
        <f t="shared" ref="B712:B775" si="82">B711+1</f>
        <v>43806</v>
      </c>
      <c r="C712" s="7">
        <f t="shared" si="81"/>
        <v>5</v>
      </c>
      <c r="D712" s="7">
        <f t="shared" si="81"/>
        <v>4</v>
      </c>
      <c r="E712" s="7">
        <f t="shared" si="81"/>
        <v>3</v>
      </c>
      <c r="F712" s="7" t="e">
        <f t="shared" si="81"/>
        <v>#N/A</v>
      </c>
      <c r="G712" s="7" t="e">
        <f t="shared" si="81"/>
        <v>#N/A</v>
      </c>
    </row>
    <row r="713" spans="2:7">
      <c r="B713" s="67">
        <f t="shared" si="82"/>
        <v>43807</v>
      </c>
      <c r="C713" s="7">
        <f t="shared" si="81"/>
        <v>5</v>
      </c>
      <c r="D713" s="7">
        <f t="shared" si="81"/>
        <v>4</v>
      </c>
      <c r="E713" s="7">
        <f t="shared" si="81"/>
        <v>3</v>
      </c>
      <c r="F713" s="7" t="e">
        <f t="shared" si="81"/>
        <v>#N/A</v>
      </c>
      <c r="G713" s="7" t="e">
        <f t="shared" si="81"/>
        <v>#N/A</v>
      </c>
    </row>
    <row r="714" spans="2:7">
      <c r="B714" s="67">
        <f t="shared" si="82"/>
        <v>43808</v>
      </c>
      <c r="C714" s="7">
        <f t="shared" si="81"/>
        <v>5</v>
      </c>
      <c r="D714" s="7">
        <f t="shared" si="81"/>
        <v>4</v>
      </c>
      <c r="E714" s="7">
        <f t="shared" si="81"/>
        <v>3</v>
      </c>
      <c r="F714" s="7" t="e">
        <f t="shared" si="81"/>
        <v>#N/A</v>
      </c>
      <c r="G714" s="7" t="e">
        <f t="shared" si="81"/>
        <v>#N/A</v>
      </c>
    </row>
    <row r="715" spans="2:7">
      <c r="B715" s="67">
        <f t="shared" si="82"/>
        <v>43809</v>
      </c>
      <c r="C715" s="7">
        <f t="shared" si="81"/>
        <v>5</v>
      </c>
      <c r="D715" s="7">
        <f t="shared" si="81"/>
        <v>4</v>
      </c>
      <c r="E715" s="7">
        <f t="shared" si="81"/>
        <v>3</v>
      </c>
      <c r="F715" s="7" t="e">
        <f t="shared" si="81"/>
        <v>#N/A</v>
      </c>
      <c r="G715" s="7" t="e">
        <f t="shared" si="81"/>
        <v>#N/A</v>
      </c>
    </row>
    <row r="716" spans="2:7">
      <c r="B716" s="67">
        <f t="shared" si="82"/>
        <v>43810</v>
      </c>
      <c r="C716" s="7">
        <f t="shared" si="81"/>
        <v>5</v>
      </c>
      <c r="D716" s="7">
        <f t="shared" si="81"/>
        <v>4</v>
      </c>
      <c r="E716" s="7">
        <f t="shared" si="81"/>
        <v>3</v>
      </c>
      <c r="F716" s="7" t="e">
        <f t="shared" si="81"/>
        <v>#N/A</v>
      </c>
      <c r="G716" s="7" t="e">
        <f t="shared" si="81"/>
        <v>#N/A</v>
      </c>
    </row>
    <row r="717" spans="2:7">
      <c r="B717" s="67">
        <f t="shared" si="82"/>
        <v>43811</v>
      </c>
      <c r="C717" s="7">
        <f t="shared" ref="C717:G726" si="83">IF(AND($B717&gt;=C$3,$B717&lt;=C$4),C$5,NA())</f>
        <v>5</v>
      </c>
      <c r="D717" s="7">
        <f t="shared" si="83"/>
        <v>4</v>
      </c>
      <c r="E717" s="7">
        <f t="shared" si="83"/>
        <v>3</v>
      </c>
      <c r="F717" s="7" t="e">
        <f t="shared" si="83"/>
        <v>#N/A</v>
      </c>
      <c r="G717" s="7" t="e">
        <f t="shared" si="83"/>
        <v>#N/A</v>
      </c>
    </row>
    <row r="718" spans="2:7">
      <c r="B718" s="67">
        <f t="shared" si="82"/>
        <v>43812</v>
      </c>
      <c r="C718" s="7">
        <f t="shared" si="83"/>
        <v>5</v>
      </c>
      <c r="D718" s="7">
        <f t="shared" si="83"/>
        <v>4</v>
      </c>
      <c r="E718" s="7">
        <f t="shared" si="83"/>
        <v>3</v>
      </c>
      <c r="F718" s="7" t="e">
        <f t="shared" si="83"/>
        <v>#N/A</v>
      </c>
      <c r="G718" s="7" t="e">
        <f t="shared" si="83"/>
        <v>#N/A</v>
      </c>
    </row>
    <row r="719" spans="2:7">
      <c r="B719" s="67">
        <f t="shared" si="82"/>
        <v>43813</v>
      </c>
      <c r="C719" s="7">
        <f t="shared" si="83"/>
        <v>5</v>
      </c>
      <c r="D719" s="7">
        <f t="shared" si="83"/>
        <v>4</v>
      </c>
      <c r="E719" s="7">
        <f t="shared" si="83"/>
        <v>3</v>
      </c>
      <c r="F719" s="7" t="e">
        <f t="shared" si="83"/>
        <v>#N/A</v>
      </c>
      <c r="G719" s="7" t="e">
        <f t="shared" si="83"/>
        <v>#N/A</v>
      </c>
    </row>
    <row r="720" spans="2:7">
      <c r="B720" s="67">
        <f t="shared" si="82"/>
        <v>43814</v>
      </c>
      <c r="C720" s="7">
        <f t="shared" si="83"/>
        <v>5</v>
      </c>
      <c r="D720" s="7">
        <f t="shared" si="83"/>
        <v>4</v>
      </c>
      <c r="E720" s="7">
        <f t="shared" si="83"/>
        <v>3</v>
      </c>
      <c r="F720" s="7" t="e">
        <f t="shared" si="83"/>
        <v>#N/A</v>
      </c>
      <c r="G720" s="7" t="e">
        <f t="shared" si="83"/>
        <v>#N/A</v>
      </c>
    </row>
    <row r="721" spans="2:7">
      <c r="B721" s="67">
        <f t="shared" si="82"/>
        <v>43815</v>
      </c>
      <c r="C721" s="7">
        <f t="shared" si="83"/>
        <v>5</v>
      </c>
      <c r="D721" s="7">
        <f t="shared" si="83"/>
        <v>4</v>
      </c>
      <c r="E721" s="7">
        <f t="shared" si="83"/>
        <v>3</v>
      </c>
      <c r="F721" s="7" t="e">
        <f t="shared" si="83"/>
        <v>#N/A</v>
      </c>
      <c r="G721" s="7" t="e">
        <f t="shared" si="83"/>
        <v>#N/A</v>
      </c>
    </row>
    <row r="722" spans="2:7">
      <c r="B722" s="67">
        <f t="shared" si="82"/>
        <v>43816</v>
      </c>
      <c r="C722" s="7">
        <f t="shared" si="83"/>
        <v>5</v>
      </c>
      <c r="D722" s="7">
        <f t="shared" si="83"/>
        <v>4</v>
      </c>
      <c r="E722" s="7">
        <f t="shared" si="83"/>
        <v>3</v>
      </c>
      <c r="F722" s="7" t="e">
        <f t="shared" si="83"/>
        <v>#N/A</v>
      </c>
      <c r="G722" s="7" t="e">
        <f t="shared" si="83"/>
        <v>#N/A</v>
      </c>
    </row>
    <row r="723" spans="2:7">
      <c r="B723" s="67">
        <f t="shared" si="82"/>
        <v>43817</v>
      </c>
      <c r="C723" s="7">
        <f t="shared" si="83"/>
        <v>5</v>
      </c>
      <c r="D723" s="7">
        <f t="shared" si="83"/>
        <v>4</v>
      </c>
      <c r="E723" s="7">
        <f t="shared" si="83"/>
        <v>3</v>
      </c>
      <c r="F723" s="7" t="e">
        <f t="shared" si="83"/>
        <v>#N/A</v>
      </c>
      <c r="G723" s="7" t="e">
        <f t="shared" si="83"/>
        <v>#N/A</v>
      </c>
    </row>
    <row r="724" spans="2:7">
      <c r="B724" s="67">
        <f t="shared" si="82"/>
        <v>43818</v>
      </c>
      <c r="C724" s="7">
        <f t="shared" si="83"/>
        <v>5</v>
      </c>
      <c r="D724" s="7">
        <f t="shared" si="83"/>
        <v>4</v>
      </c>
      <c r="E724" s="7">
        <f t="shared" si="83"/>
        <v>3</v>
      </c>
      <c r="F724" s="7" t="e">
        <f t="shared" si="83"/>
        <v>#N/A</v>
      </c>
      <c r="G724" s="7" t="e">
        <f t="shared" si="83"/>
        <v>#N/A</v>
      </c>
    </row>
    <row r="725" spans="2:7">
      <c r="B725" s="67">
        <f t="shared" si="82"/>
        <v>43819</v>
      </c>
      <c r="C725" s="7">
        <f t="shared" si="83"/>
        <v>5</v>
      </c>
      <c r="D725" s="7">
        <f t="shared" si="83"/>
        <v>4</v>
      </c>
      <c r="E725" s="7">
        <f t="shared" si="83"/>
        <v>3</v>
      </c>
      <c r="F725" s="7" t="e">
        <f t="shared" si="83"/>
        <v>#N/A</v>
      </c>
      <c r="G725" s="7" t="e">
        <f t="shared" si="83"/>
        <v>#N/A</v>
      </c>
    </row>
    <row r="726" spans="2:7">
      <c r="B726" s="67">
        <f t="shared" si="82"/>
        <v>43820</v>
      </c>
      <c r="C726" s="7">
        <f t="shared" si="83"/>
        <v>5</v>
      </c>
      <c r="D726" s="7">
        <f t="shared" si="83"/>
        <v>4</v>
      </c>
      <c r="E726" s="7">
        <f t="shared" si="83"/>
        <v>3</v>
      </c>
      <c r="F726" s="7" t="e">
        <f t="shared" si="83"/>
        <v>#N/A</v>
      </c>
      <c r="G726" s="7" t="e">
        <f t="shared" si="83"/>
        <v>#N/A</v>
      </c>
    </row>
    <row r="727" spans="2:7">
      <c r="B727" s="67">
        <f t="shared" si="82"/>
        <v>43821</v>
      </c>
      <c r="C727" s="7">
        <f t="shared" ref="C727:G736" si="84">IF(AND($B727&gt;=C$3,$B727&lt;=C$4),C$5,NA())</f>
        <v>5</v>
      </c>
      <c r="D727" s="7">
        <f t="shared" si="84"/>
        <v>4</v>
      </c>
      <c r="E727" s="7">
        <f t="shared" si="84"/>
        <v>3</v>
      </c>
      <c r="F727" s="7" t="e">
        <f t="shared" si="84"/>
        <v>#N/A</v>
      </c>
      <c r="G727" s="7" t="e">
        <f t="shared" si="84"/>
        <v>#N/A</v>
      </c>
    </row>
    <row r="728" spans="2:7">
      <c r="B728" s="67">
        <f t="shared" si="82"/>
        <v>43822</v>
      </c>
      <c r="C728" s="7">
        <f t="shared" si="84"/>
        <v>5</v>
      </c>
      <c r="D728" s="7">
        <f t="shared" si="84"/>
        <v>4</v>
      </c>
      <c r="E728" s="7">
        <f t="shared" si="84"/>
        <v>3</v>
      </c>
      <c r="F728" s="7" t="e">
        <f t="shared" si="84"/>
        <v>#N/A</v>
      </c>
      <c r="G728" s="7" t="e">
        <f t="shared" si="84"/>
        <v>#N/A</v>
      </c>
    </row>
    <row r="729" spans="2:7">
      <c r="B729" s="67">
        <f t="shared" si="82"/>
        <v>43823</v>
      </c>
      <c r="C729" s="7">
        <f t="shared" si="84"/>
        <v>5</v>
      </c>
      <c r="D729" s="7">
        <f t="shared" si="84"/>
        <v>4</v>
      </c>
      <c r="E729" s="7">
        <f t="shared" si="84"/>
        <v>3</v>
      </c>
      <c r="F729" s="7" t="e">
        <f t="shared" si="84"/>
        <v>#N/A</v>
      </c>
      <c r="G729" s="7" t="e">
        <f t="shared" si="84"/>
        <v>#N/A</v>
      </c>
    </row>
    <row r="730" spans="2:7">
      <c r="B730" s="67">
        <f t="shared" si="82"/>
        <v>43824</v>
      </c>
      <c r="C730" s="7">
        <f t="shared" si="84"/>
        <v>5</v>
      </c>
      <c r="D730" s="7">
        <f t="shared" si="84"/>
        <v>4</v>
      </c>
      <c r="E730" s="7">
        <f t="shared" si="84"/>
        <v>3</v>
      </c>
      <c r="F730" s="7" t="e">
        <f t="shared" si="84"/>
        <v>#N/A</v>
      </c>
      <c r="G730" s="7" t="e">
        <f t="shared" si="84"/>
        <v>#N/A</v>
      </c>
    </row>
    <row r="731" spans="2:7">
      <c r="B731" s="67">
        <f t="shared" si="82"/>
        <v>43825</v>
      </c>
      <c r="C731" s="7">
        <f t="shared" si="84"/>
        <v>5</v>
      </c>
      <c r="D731" s="7">
        <f t="shared" si="84"/>
        <v>4</v>
      </c>
      <c r="E731" s="7">
        <f t="shared" si="84"/>
        <v>3</v>
      </c>
      <c r="F731" s="7" t="e">
        <f t="shared" si="84"/>
        <v>#N/A</v>
      </c>
      <c r="G731" s="7" t="e">
        <f t="shared" si="84"/>
        <v>#N/A</v>
      </c>
    </row>
    <row r="732" spans="2:7">
      <c r="B732" s="67">
        <f t="shared" si="82"/>
        <v>43826</v>
      </c>
      <c r="C732" s="7">
        <f t="shared" si="84"/>
        <v>5</v>
      </c>
      <c r="D732" s="7">
        <f t="shared" si="84"/>
        <v>4</v>
      </c>
      <c r="E732" s="7">
        <f t="shared" si="84"/>
        <v>3</v>
      </c>
      <c r="F732" s="7" t="e">
        <f t="shared" si="84"/>
        <v>#N/A</v>
      </c>
      <c r="G732" s="7" t="e">
        <f t="shared" si="84"/>
        <v>#N/A</v>
      </c>
    </row>
    <row r="733" spans="2:7">
      <c r="B733" s="67">
        <f t="shared" si="82"/>
        <v>43827</v>
      </c>
      <c r="C733" s="7">
        <f t="shared" si="84"/>
        <v>5</v>
      </c>
      <c r="D733" s="7">
        <f t="shared" si="84"/>
        <v>4</v>
      </c>
      <c r="E733" s="7">
        <f t="shared" si="84"/>
        <v>3</v>
      </c>
      <c r="F733" s="7" t="e">
        <f t="shared" si="84"/>
        <v>#N/A</v>
      </c>
      <c r="G733" s="7" t="e">
        <f t="shared" si="84"/>
        <v>#N/A</v>
      </c>
    </row>
    <row r="734" spans="2:7">
      <c r="B734" s="67">
        <f t="shared" si="82"/>
        <v>43828</v>
      </c>
      <c r="C734" s="7">
        <f t="shared" si="84"/>
        <v>5</v>
      </c>
      <c r="D734" s="7">
        <f t="shared" si="84"/>
        <v>4</v>
      </c>
      <c r="E734" s="7">
        <f t="shared" si="84"/>
        <v>3</v>
      </c>
      <c r="F734" s="7" t="e">
        <f t="shared" si="84"/>
        <v>#N/A</v>
      </c>
      <c r="G734" s="7" t="e">
        <f t="shared" si="84"/>
        <v>#N/A</v>
      </c>
    </row>
    <row r="735" spans="2:7">
      <c r="B735" s="67">
        <f t="shared" si="82"/>
        <v>43829</v>
      </c>
      <c r="C735" s="7">
        <f t="shared" si="84"/>
        <v>5</v>
      </c>
      <c r="D735" s="7">
        <f t="shared" si="84"/>
        <v>4</v>
      </c>
      <c r="E735" s="7">
        <f t="shared" si="84"/>
        <v>3</v>
      </c>
      <c r="F735" s="7" t="e">
        <f t="shared" si="84"/>
        <v>#N/A</v>
      </c>
      <c r="G735" s="7" t="e">
        <f t="shared" si="84"/>
        <v>#N/A</v>
      </c>
    </row>
    <row r="736" spans="2:7">
      <c r="B736" s="67">
        <f t="shared" si="82"/>
        <v>43830</v>
      </c>
      <c r="C736" s="7">
        <f t="shared" si="84"/>
        <v>5</v>
      </c>
      <c r="D736" s="7">
        <f t="shared" si="84"/>
        <v>4</v>
      </c>
      <c r="E736" s="7">
        <f t="shared" si="84"/>
        <v>3</v>
      </c>
      <c r="F736" s="7" t="e">
        <f t="shared" si="84"/>
        <v>#N/A</v>
      </c>
      <c r="G736" s="7" t="e">
        <f t="shared" si="84"/>
        <v>#N/A</v>
      </c>
    </row>
    <row r="737" spans="2:7">
      <c r="B737" s="67">
        <f t="shared" si="82"/>
        <v>43831</v>
      </c>
      <c r="C737" s="7">
        <f t="shared" ref="C737:G746" si="85">IF(AND($B737&gt;=C$3,$B737&lt;=C$4),C$5,NA())</f>
        <v>5</v>
      </c>
      <c r="D737" s="7">
        <f t="shared" si="85"/>
        <v>4</v>
      </c>
      <c r="E737" s="7">
        <f t="shared" si="85"/>
        <v>3</v>
      </c>
      <c r="F737" s="7" t="e">
        <f t="shared" si="85"/>
        <v>#N/A</v>
      </c>
      <c r="G737" s="7" t="e">
        <f t="shared" si="85"/>
        <v>#N/A</v>
      </c>
    </row>
    <row r="738" spans="2:7">
      <c r="B738" s="67">
        <f t="shared" si="82"/>
        <v>43832</v>
      </c>
      <c r="C738" s="7">
        <f t="shared" si="85"/>
        <v>5</v>
      </c>
      <c r="D738" s="7">
        <f t="shared" si="85"/>
        <v>4</v>
      </c>
      <c r="E738" s="7">
        <f t="shared" si="85"/>
        <v>3</v>
      </c>
      <c r="F738" s="7" t="e">
        <f t="shared" si="85"/>
        <v>#N/A</v>
      </c>
      <c r="G738" s="7" t="e">
        <f t="shared" si="85"/>
        <v>#N/A</v>
      </c>
    </row>
    <row r="739" spans="2:7">
      <c r="B739" s="67">
        <f t="shared" si="82"/>
        <v>43833</v>
      </c>
      <c r="C739" s="7">
        <f t="shared" si="85"/>
        <v>5</v>
      </c>
      <c r="D739" s="7">
        <f t="shared" si="85"/>
        <v>4</v>
      </c>
      <c r="E739" s="7">
        <f t="shared" si="85"/>
        <v>3</v>
      </c>
      <c r="F739" s="7" t="e">
        <f t="shared" si="85"/>
        <v>#N/A</v>
      </c>
      <c r="G739" s="7" t="e">
        <f t="shared" si="85"/>
        <v>#N/A</v>
      </c>
    </row>
    <row r="740" spans="2:7">
      <c r="B740" s="67">
        <f t="shared" si="82"/>
        <v>43834</v>
      </c>
      <c r="C740" s="7">
        <f t="shared" si="85"/>
        <v>5</v>
      </c>
      <c r="D740" s="7">
        <f t="shared" si="85"/>
        <v>4</v>
      </c>
      <c r="E740" s="7">
        <f t="shared" si="85"/>
        <v>3</v>
      </c>
      <c r="F740" s="7" t="e">
        <f t="shared" si="85"/>
        <v>#N/A</v>
      </c>
      <c r="G740" s="7" t="e">
        <f t="shared" si="85"/>
        <v>#N/A</v>
      </c>
    </row>
    <row r="741" spans="2:7">
      <c r="B741" s="67">
        <f t="shared" si="82"/>
        <v>43835</v>
      </c>
      <c r="C741" s="7">
        <f t="shared" si="85"/>
        <v>5</v>
      </c>
      <c r="D741" s="7">
        <f t="shared" si="85"/>
        <v>4</v>
      </c>
      <c r="E741" s="7">
        <f t="shared" si="85"/>
        <v>3</v>
      </c>
      <c r="F741" s="7" t="e">
        <f t="shared" si="85"/>
        <v>#N/A</v>
      </c>
      <c r="G741" s="7" t="e">
        <f t="shared" si="85"/>
        <v>#N/A</v>
      </c>
    </row>
    <row r="742" spans="2:7">
      <c r="B742" s="67">
        <f t="shared" si="82"/>
        <v>43836</v>
      </c>
      <c r="C742" s="7">
        <f t="shared" si="85"/>
        <v>5</v>
      </c>
      <c r="D742" s="7">
        <f t="shared" si="85"/>
        <v>4</v>
      </c>
      <c r="E742" s="7">
        <f t="shared" si="85"/>
        <v>3</v>
      </c>
      <c r="F742" s="7" t="e">
        <f t="shared" si="85"/>
        <v>#N/A</v>
      </c>
      <c r="G742" s="7" t="e">
        <f t="shared" si="85"/>
        <v>#N/A</v>
      </c>
    </row>
    <row r="743" spans="2:7">
      <c r="B743" s="67">
        <f t="shared" si="82"/>
        <v>43837</v>
      </c>
      <c r="C743" s="7">
        <f t="shared" si="85"/>
        <v>5</v>
      </c>
      <c r="D743" s="7">
        <f t="shared" si="85"/>
        <v>4</v>
      </c>
      <c r="E743" s="7">
        <f t="shared" si="85"/>
        <v>3</v>
      </c>
      <c r="F743" s="7" t="e">
        <f t="shared" si="85"/>
        <v>#N/A</v>
      </c>
      <c r="G743" s="7" t="e">
        <f t="shared" si="85"/>
        <v>#N/A</v>
      </c>
    </row>
    <row r="744" spans="2:7">
      <c r="B744" s="67">
        <f t="shared" si="82"/>
        <v>43838</v>
      </c>
      <c r="C744" s="7">
        <f t="shared" si="85"/>
        <v>5</v>
      </c>
      <c r="D744" s="7">
        <f t="shared" si="85"/>
        <v>4</v>
      </c>
      <c r="E744" s="7">
        <f t="shared" si="85"/>
        <v>3</v>
      </c>
      <c r="F744" s="7" t="e">
        <f t="shared" si="85"/>
        <v>#N/A</v>
      </c>
      <c r="G744" s="7" t="e">
        <f t="shared" si="85"/>
        <v>#N/A</v>
      </c>
    </row>
    <row r="745" spans="2:7">
      <c r="B745" s="67">
        <f t="shared" si="82"/>
        <v>43839</v>
      </c>
      <c r="C745" s="7">
        <f t="shared" si="85"/>
        <v>5</v>
      </c>
      <c r="D745" s="7">
        <f t="shared" si="85"/>
        <v>4</v>
      </c>
      <c r="E745" s="7">
        <f t="shared" si="85"/>
        <v>3</v>
      </c>
      <c r="F745" s="7" t="e">
        <f t="shared" si="85"/>
        <v>#N/A</v>
      </c>
      <c r="G745" s="7" t="e">
        <f t="shared" si="85"/>
        <v>#N/A</v>
      </c>
    </row>
    <row r="746" spans="2:7">
      <c r="B746" s="67">
        <f t="shared" si="82"/>
        <v>43840</v>
      </c>
      <c r="C746" s="7">
        <f t="shared" si="85"/>
        <v>5</v>
      </c>
      <c r="D746" s="7">
        <f t="shared" si="85"/>
        <v>4</v>
      </c>
      <c r="E746" s="7">
        <f t="shared" si="85"/>
        <v>3</v>
      </c>
      <c r="F746" s="7" t="e">
        <f t="shared" si="85"/>
        <v>#N/A</v>
      </c>
      <c r="G746" s="7" t="e">
        <f t="shared" si="85"/>
        <v>#N/A</v>
      </c>
    </row>
    <row r="747" spans="2:7">
      <c r="B747" s="67">
        <f t="shared" si="82"/>
        <v>43841</v>
      </c>
      <c r="C747" s="7">
        <f t="shared" ref="C747:G756" si="86">IF(AND($B747&gt;=C$3,$B747&lt;=C$4),C$5,NA())</f>
        <v>5</v>
      </c>
      <c r="D747" s="7">
        <f t="shared" si="86"/>
        <v>4</v>
      </c>
      <c r="E747" s="7">
        <f t="shared" si="86"/>
        <v>3</v>
      </c>
      <c r="F747" s="7" t="e">
        <f t="shared" si="86"/>
        <v>#N/A</v>
      </c>
      <c r="G747" s="7" t="e">
        <f t="shared" si="86"/>
        <v>#N/A</v>
      </c>
    </row>
    <row r="748" spans="2:7">
      <c r="B748" s="67">
        <f t="shared" si="82"/>
        <v>43842</v>
      </c>
      <c r="C748" s="7">
        <f t="shared" si="86"/>
        <v>5</v>
      </c>
      <c r="D748" s="7">
        <f t="shared" si="86"/>
        <v>4</v>
      </c>
      <c r="E748" s="7">
        <f t="shared" si="86"/>
        <v>3</v>
      </c>
      <c r="F748" s="7" t="e">
        <f t="shared" si="86"/>
        <v>#N/A</v>
      </c>
      <c r="G748" s="7" t="e">
        <f t="shared" si="86"/>
        <v>#N/A</v>
      </c>
    </row>
    <row r="749" spans="2:7">
      <c r="B749" s="67">
        <f t="shared" si="82"/>
        <v>43843</v>
      </c>
      <c r="C749" s="7">
        <f t="shared" si="86"/>
        <v>5</v>
      </c>
      <c r="D749" s="7">
        <f t="shared" si="86"/>
        <v>4</v>
      </c>
      <c r="E749" s="7">
        <f t="shared" si="86"/>
        <v>3</v>
      </c>
      <c r="F749" s="7" t="e">
        <f t="shared" si="86"/>
        <v>#N/A</v>
      </c>
      <c r="G749" s="7" t="e">
        <f t="shared" si="86"/>
        <v>#N/A</v>
      </c>
    </row>
    <row r="750" spans="2:7">
      <c r="B750" s="67">
        <f t="shared" si="82"/>
        <v>43844</v>
      </c>
      <c r="C750" s="7">
        <f t="shared" si="86"/>
        <v>5</v>
      </c>
      <c r="D750" s="7">
        <f t="shared" si="86"/>
        <v>4</v>
      </c>
      <c r="E750" s="7">
        <f t="shared" si="86"/>
        <v>3</v>
      </c>
      <c r="F750" s="7" t="e">
        <f t="shared" si="86"/>
        <v>#N/A</v>
      </c>
      <c r="G750" s="7" t="e">
        <f t="shared" si="86"/>
        <v>#N/A</v>
      </c>
    </row>
    <row r="751" spans="2:7">
      <c r="B751" s="67">
        <f t="shared" si="82"/>
        <v>43845</v>
      </c>
      <c r="C751" s="7">
        <f t="shared" si="86"/>
        <v>5</v>
      </c>
      <c r="D751" s="7">
        <f t="shared" si="86"/>
        <v>4</v>
      </c>
      <c r="E751" s="7">
        <f t="shared" si="86"/>
        <v>3</v>
      </c>
      <c r="F751" s="7" t="e">
        <f t="shared" si="86"/>
        <v>#N/A</v>
      </c>
      <c r="G751" s="7" t="e">
        <f t="shared" si="86"/>
        <v>#N/A</v>
      </c>
    </row>
    <row r="752" spans="2:7">
      <c r="B752" s="67">
        <f t="shared" si="82"/>
        <v>43846</v>
      </c>
      <c r="C752" s="7">
        <f t="shared" si="86"/>
        <v>5</v>
      </c>
      <c r="D752" s="7">
        <f t="shared" si="86"/>
        <v>4</v>
      </c>
      <c r="E752" s="7">
        <f t="shared" si="86"/>
        <v>3</v>
      </c>
      <c r="F752" s="7" t="e">
        <f t="shared" si="86"/>
        <v>#N/A</v>
      </c>
      <c r="G752" s="7" t="e">
        <f t="shared" si="86"/>
        <v>#N/A</v>
      </c>
    </row>
    <row r="753" spans="2:7">
      <c r="B753" s="67">
        <f t="shared" si="82"/>
        <v>43847</v>
      </c>
      <c r="C753" s="7">
        <f t="shared" si="86"/>
        <v>5</v>
      </c>
      <c r="D753" s="7">
        <f t="shared" si="86"/>
        <v>4</v>
      </c>
      <c r="E753" s="7">
        <f t="shared" si="86"/>
        <v>3</v>
      </c>
      <c r="F753" s="7" t="e">
        <f t="shared" si="86"/>
        <v>#N/A</v>
      </c>
      <c r="G753" s="7" t="e">
        <f t="shared" si="86"/>
        <v>#N/A</v>
      </c>
    </row>
    <row r="754" spans="2:7">
      <c r="B754" s="67">
        <f t="shared" si="82"/>
        <v>43848</v>
      </c>
      <c r="C754" s="7">
        <f t="shared" si="86"/>
        <v>5</v>
      </c>
      <c r="D754" s="7">
        <f t="shared" si="86"/>
        <v>4</v>
      </c>
      <c r="E754" s="7">
        <f t="shared" si="86"/>
        <v>3</v>
      </c>
      <c r="F754" s="7" t="e">
        <f t="shared" si="86"/>
        <v>#N/A</v>
      </c>
      <c r="G754" s="7" t="e">
        <f t="shared" si="86"/>
        <v>#N/A</v>
      </c>
    </row>
    <row r="755" spans="2:7">
      <c r="B755" s="67">
        <f t="shared" si="82"/>
        <v>43849</v>
      </c>
      <c r="C755" s="7">
        <f t="shared" si="86"/>
        <v>5</v>
      </c>
      <c r="D755" s="7">
        <f t="shared" si="86"/>
        <v>4</v>
      </c>
      <c r="E755" s="7">
        <f t="shared" si="86"/>
        <v>3</v>
      </c>
      <c r="F755" s="7" t="e">
        <f t="shared" si="86"/>
        <v>#N/A</v>
      </c>
      <c r="G755" s="7" t="e">
        <f t="shared" si="86"/>
        <v>#N/A</v>
      </c>
    </row>
    <row r="756" spans="2:7">
      <c r="B756" s="67">
        <f t="shared" si="82"/>
        <v>43850</v>
      </c>
      <c r="C756" s="7">
        <f t="shared" si="86"/>
        <v>5</v>
      </c>
      <c r="D756" s="7">
        <f t="shared" si="86"/>
        <v>4</v>
      </c>
      <c r="E756" s="7">
        <f t="shared" si="86"/>
        <v>3</v>
      </c>
      <c r="F756" s="7" t="e">
        <f t="shared" si="86"/>
        <v>#N/A</v>
      </c>
      <c r="G756" s="7" t="e">
        <f t="shared" si="86"/>
        <v>#N/A</v>
      </c>
    </row>
    <row r="757" spans="2:7">
      <c r="B757" s="67">
        <f t="shared" si="82"/>
        <v>43851</v>
      </c>
      <c r="C757" s="7">
        <f t="shared" ref="C757:G766" si="87">IF(AND($B757&gt;=C$3,$B757&lt;=C$4),C$5,NA())</f>
        <v>5</v>
      </c>
      <c r="D757" s="7">
        <f t="shared" si="87"/>
        <v>4</v>
      </c>
      <c r="E757" s="7">
        <f t="shared" si="87"/>
        <v>3</v>
      </c>
      <c r="F757" s="7" t="e">
        <f t="shared" si="87"/>
        <v>#N/A</v>
      </c>
      <c r="G757" s="7" t="e">
        <f t="shared" si="87"/>
        <v>#N/A</v>
      </c>
    </row>
    <row r="758" spans="2:7">
      <c r="B758" s="67">
        <f t="shared" si="82"/>
        <v>43852</v>
      </c>
      <c r="C758" s="7">
        <f t="shared" si="87"/>
        <v>5</v>
      </c>
      <c r="D758" s="7">
        <f t="shared" si="87"/>
        <v>4</v>
      </c>
      <c r="E758" s="7">
        <f t="shared" si="87"/>
        <v>3</v>
      </c>
      <c r="F758" s="7" t="e">
        <f t="shared" si="87"/>
        <v>#N/A</v>
      </c>
      <c r="G758" s="7" t="e">
        <f t="shared" si="87"/>
        <v>#N/A</v>
      </c>
    </row>
    <row r="759" spans="2:7">
      <c r="B759" s="67">
        <f t="shared" si="82"/>
        <v>43853</v>
      </c>
      <c r="C759" s="7">
        <f t="shared" si="87"/>
        <v>5</v>
      </c>
      <c r="D759" s="7">
        <f t="shared" si="87"/>
        <v>4</v>
      </c>
      <c r="E759" s="7">
        <f t="shared" si="87"/>
        <v>3</v>
      </c>
      <c r="F759" s="7" t="e">
        <f t="shared" si="87"/>
        <v>#N/A</v>
      </c>
      <c r="G759" s="7" t="e">
        <f t="shared" si="87"/>
        <v>#N/A</v>
      </c>
    </row>
    <row r="760" spans="2:7">
      <c r="B760" s="67">
        <f t="shared" si="82"/>
        <v>43854</v>
      </c>
      <c r="C760" s="7">
        <f t="shared" si="87"/>
        <v>5</v>
      </c>
      <c r="D760" s="7">
        <f t="shared" si="87"/>
        <v>4</v>
      </c>
      <c r="E760" s="7">
        <f t="shared" si="87"/>
        <v>3</v>
      </c>
      <c r="F760" s="7" t="e">
        <f t="shared" si="87"/>
        <v>#N/A</v>
      </c>
      <c r="G760" s="7" t="e">
        <f t="shared" si="87"/>
        <v>#N/A</v>
      </c>
    </row>
    <row r="761" spans="2:7">
      <c r="B761" s="67">
        <f t="shared" si="82"/>
        <v>43855</v>
      </c>
      <c r="C761" s="7">
        <f t="shared" si="87"/>
        <v>5</v>
      </c>
      <c r="D761" s="7">
        <f t="shared" si="87"/>
        <v>4</v>
      </c>
      <c r="E761" s="7">
        <f t="shared" si="87"/>
        <v>3</v>
      </c>
      <c r="F761" s="7" t="e">
        <f t="shared" si="87"/>
        <v>#N/A</v>
      </c>
      <c r="G761" s="7" t="e">
        <f t="shared" si="87"/>
        <v>#N/A</v>
      </c>
    </row>
    <row r="762" spans="2:7">
      <c r="B762" s="67">
        <f t="shared" si="82"/>
        <v>43856</v>
      </c>
      <c r="C762" s="7">
        <f t="shared" si="87"/>
        <v>5</v>
      </c>
      <c r="D762" s="7">
        <f t="shared" si="87"/>
        <v>4</v>
      </c>
      <c r="E762" s="7">
        <f t="shared" si="87"/>
        <v>3</v>
      </c>
      <c r="F762" s="7" t="e">
        <f t="shared" si="87"/>
        <v>#N/A</v>
      </c>
      <c r="G762" s="7" t="e">
        <f t="shared" si="87"/>
        <v>#N/A</v>
      </c>
    </row>
    <row r="763" spans="2:7">
      <c r="B763" s="67">
        <f t="shared" si="82"/>
        <v>43857</v>
      </c>
      <c r="C763" s="7">
        <f t="shared" si="87"/>
        <v>5</v>
      </c>
      <c r="D763" s="7">
        <f t="shared" si="87"/>
        <v>4</v>
      </c>
      <c r="E763" s="7">
        <f t="shared" si="87"/>
        <v>3</v>
      </c>
      <c r="F763" s="7" t="e">
        <f t="shared" si="87"/>
        <v>#N/A</v>
      </c>
      <c r="G763" s="7" t="e">
        <f t="shared" si="87"/>
        <v>#N/A</v>
      </c>
    </row>
    <row r="764" spans="2:7">
      <c r="B764" s="67">
        <f t="shared" si="82"/>
        <v>43858</v>
      </c>
      <c r="C764" s="7">
        <f t="shared" si="87"/>
        <v>5</v>
      </c>
      <c r="D764" s="7">
        <f t="shared" si="87"/>
        <v>4</v>
      </c>
      <c r="E764" s="7">
        <f t="shared" si="87"/>
        <v>3</v>
      </c>
      <c r="F764" s="7" t="e">
        <f t="shared" si="87"/>
        <v>#N/A</v>
      </c>
      <c r="G764" s="7" t="e">
        <f t="shared" si="87"/>
        <v>#N/A</v>
      </c>
    </row>
    <row r="765" spans="2:7">
      <c r="B765" s="67">
        <f t="shared" si="82"/>
        <v>43859</v>
      </c>
      <c r="C765" s="7">
        <f t="shared" si="87"/>
        <v>5</v>
      </c>
      <c r="D765" s="7">
        <f t="shared" si="87"/>
        <v>4</v>
      </c>
      <c r="E765" s="7">
        <f t="shared" si="87"/>
        <v>3</v>
      </c>
      <c r="F765" s="7" t="e">
        <f t="shared" si="87"/>
        <v>#N/A</v>
      </c>
      <c r="G765" s="7" t="e">
        <f t="shared" si="87"/>
        <v>#N/A</v>
      </c>
    </row>
    <row r="766" spans="2:7">
      <c r="B766" s="67">
        <f t="shared" si="82"/>
        <v>43860</v>
      </c>
      <c r="C766" s="7">
        <f t="shared" si="87"/>
        <v>5</v>
      </c>
      <c r="D766" s="7">
        <f t="shared" si="87"/>
        <v>4</v>
      </c>
      <c r="E766" s="7">
        <f t="shared" si="87"/>
        <v>3</v>
      </c>
      <c r="F766" s="7" t="e">
        <f t="shared" si="87"/>
        <v>#N/A</v>
      </c>
      <c r="G766" s="7" t="e">
        <f t="shared" si="87"/>
        <v>#N/A</v>
      </c>
    </row>
    <row r="767" spans="2:7">
      <c r="B767" s="67">
        <f t="shared" si="82"/>
        <v>43861</v>
      </c>
      <c r="C767" s="7">
        <f t="shared" ref="C767:G776" si="88">IF(AND($B767&gt;=C$3,$B767&lt;=C$4),C$5,NA())</f>
        <v>5</v>
      </c>
      <c r="D767" s="7">
        <f t="shared" si="88"/>
        <v>4</v>
      </c>
      <c r="E767" s="7">
        <f t="shared" si="88"/>
        <v>3</v>
      </c>
      <c r="F767" s="7" t="e">
        <f t="shared" si="88"/>
        <v>#N/A</v>
      </c>
      <c r="G767" s="7" t="e">
        <f t="shared" si="88"/>
        <v>#N/A</v>
      </c>
    </row>
    <row r="768" spans="2:7">
      <c r="B768" s="67">
        <f t="shared" si="82"/>
        <v>43862</v>
      </c>
      <c r="C768" s="7">
        <f t="shared" si="88"/>
        <v>5</v>
      </c>
      <c r="D768" s="7">
        <f t="shared" si="88"/>
        <v>4</v>
      </c>
      <c r="E768" s="7">
        <f t="shared" si="88"/>
        <v>3</v>
      </c>
      <c r="F768" s="7" t="e">
        <f t="shared" si="88"/>
        <v>#N/A</v>
      </c>
      <c r="G768" s="7" t="e">
        <f t="shared" si="88"/>
        <v>#N/A</v>
      </c>
    </row>
    <row r="769" spans="2:7">
      <c r="B769" s="67">
        <f t="shared" si="82"/>
        <v>43863</v>
      </c>
      <c r="C769" s="7">
        <f t="shared" si="88"/>
        <v>5</v>
      </c>
      <c r="D769" s="7">
        <f t="shared" si="88"/>
        <v>4</v>
      </c>
      <c r="E769" s="7">
        <f t="shared" si="88"/>
        <v>3</v>
      </c>
      <c r="F769" s="7" t="e">
        <f t="shared" si="88"/>
        <v>#N/A</v>
      </c>
      <c r="G769" s="7" t="e">
        <f t="shared" si="88"/>
        <v>#N/A</v>
      </c>
    </row>
    <row r="770" spans="2:7">
      <c r="B770" s="67">
        <f t="shared" si="82"/>
        <v>43864</v>
      </c>
      <c r="C770" s="7">
        <f t="shared" si="88"/>
        <v>5</v>
      </c>
      <c r="D770" s="7">
        <f t="shared" si="88"/>
        <v>4</v>
      </c>
      <c r="E770" s="7">
        <f t="shared" si="88"/>
        <v>3</v>
      </c>
      <c r="F770" s="7" t="e">
        <f t="shared" si="88"/>
        <v>#N/A</v>
      </c>
      <c r="G770" s="7" t="e">
        <f t="shared" si="88"/>
        <v>#N/A</v>
      </c>
    </row>
    <row r="771" spans="2:7">
      <c r="B771" s="67">
        <f t="shared" si="82"/>
        <v>43865</v>
      </c>
      <c r="C771" s="7">
        <f t="shared" si="88"/>
        <v>5</v>
      </c>
      <c r="D771" s="7">
        <f t="shared" si="88"/>
        <v>4</v>
      </c>
      <c r="E771" s="7">
        <f t="shared" si="88"/>
        <v>3</v>
      </c>
      <c r="F771" s="7" t="e">
        <f t="shared" si="88"/>
        <v>#N/A</v>
      </c>
      <c r="G771" s="7" t="e">
        <f t="shared" si="88"/>
        <v>#N/A</v>
      </c>
    </row>
    <row r="772" spans="2:7">
      <c r="B772" s="67">
        <f t="shared" si="82"/>
        <v>43866</v>
      </c>
      <c r="C772" s="7">
        <f t="shared" si="88"/>
        <v>5</v>
      </c>
      <c r="D772" s="7">
        <f t="shared" si="88"/>
        <v>4</v>
      </c>
      <c r="E772" s="7">
        <f t="shared" si="88"/>
        <v>3</v>
      </c>
      <c r="F772" s="7" t="e">
        <f t="shared" si="88"/>
        <v>#N/A</v>
      </c>
      <c r="G772" s="7" t="e">
        <f t="shared" si="88"/>
        <v>#N/A</v>
      </c>
    </row>
    <row r="773" spans="2:7">
      <c r="B773" s="67">
        <f t="shared" si="82"/>
        <v>43867</v>
      </c>
      <c r="C773" s="7">
        <f t="shared" si="88"/>
        <v>5</v>
      </c>
      <c r="D773" s="7">
        <f t="shared" si="88"/>
        <v>4</v>
      </c>
      <c r="E773" s="7">
        <f t="shared" si="88"/>
        <v>3</v>
      </c>
      <c r="F773" s="7" t="e">
        <f t="shared" si="88"/>
        <v>#N/A</v>
      </c>
      <c r="G773" s="7" t="e">
        <f t="shared" si="88"/>
        <v>#N/A</v>
      </c>
    </row>
    <row r="774" spans="2:7">
      <c r="B774" s="67">
        <f t="shared" si="82"/>
        <v>43868</v>
      </c>
      <c r="C774" s="7">
        <f t="shared" si="88"/>
        <v>5</v>
      </c>
      <c r="D774" s="7">
        <f t="shared" si="88"/>
        <v>4</v>
      </c>
      <c r="E774" s="7">
        <f t="shared" si="88"/>
        <v>3</v>
      </c>
      <c r="F774" s="7" t="e">
        <f t="shared" si="88"/>
        <v>#N/A</v>
      </c>
      <c r="G774" s="7" t="e">
        <f t="shared" si="88"/>
        <v>#N/A</v>
      </c>
    </row>
    <row r="775" spans="2:7">
      <c r="B775" s="67">
        <f t="shared" si="82"/>
        <v>43869</v>
      </c>
      <c r="C775" s="7">
        <f t="shared" si="88"/>
        <v>5</v>
      </c>
      <c r="D775" s="7">
        <f t="shared" si="88"/>
        <v>4</v>
      </c>
      <c r="E775" s="7">
        <f t="shared" si="88"/>
        <v>3</v>
      </c>
      <c r="F775" s="7" t="e">
        <f t="shared" si="88"/>
        <v>#N/A</v>
      </c>
      <c r="G775" s="7" t="e">
        <f t="shared" si="88"/>
        <v>#N/A</v>
      </c>
    </row>
    <row r="776" spans="2:7">
      <c r="B776" s="67">
        <f t="shared" ref="B776:B839" si="89">B775+1</f>
        <v>43870</v>
      </c>
      <c r="C776" s="7">
        <f t="shared" si="88"/>
        <v>5</v>
      </c>
      <c r="D776" s="7">
        <f t="shared" si="88"/>
        <v>4</v>
      </c>
      <c r="E776" s="7">
        <f t="shared" si="88"/>
        <v>3</v>
      </c>
      <c r="F776" s="7" t="e">
        <f t="shared" si="88"/>
        <v>#N/A</v>
      </c>
      <c r="G776" s="7" t="e">
        <f t="shared" si="88"/>
        <v>#N/A</v>
      </c>
    </row>
    <row r="777" spans="2:7">
      <c r="B777" s="67">
        <f t="shared" si="89"/>
        <v>43871</v>
      </c>
      <c r="C777" s="7">
        <f t="shared" ref="C777:G786" si="90">IF(AND($B777&gt;=C$3,$B777&lt;=C$4),C$5,NA())</f>
        <v>5</v>
      </c>
      <c r="D777" s="7">
        <f t="shared" si="90"/>
        <v>4</v>
      </c>
      <c r="E777" s="7">
        <f t="shared" si="90"/>
        <v>3</v>
      </c>
      <c r="F777" s="7" t="e">
        <f t="shared" si="90"/>
        <v>#N/A</v>
      </c>
      <c r="G777" s="7" t="e">
        <f t="shared" si="90"/>
        <v>#N/A</v>
      </c>
    </row>
    <row r="778" spans="2:7">
      <c r="B778" s="67">
        <f t="shared" si="89"/>
        <v>43872</v>
      </c>
      <c r="C778" s="7">
        <f t="shared" si="90"/>
        <v>5</v>
      </c>
      <c r="D778" s="7">
        <f t="shared" si="90"/>
        <v>4</v>
      </c>
      <c r="E778" s="7">
        <f t="shared" si="90"/>
        <v>3</v>
      </c>
      <c r="F778" s="7" t="e">
        <f t="shared" si="90"/>
        <v>#N/A</v>
      </c>
      <c r="G778" s="7" t="e">
        <f t="shared" si="90"/>
        <v>#N/A</v>
      </c>
    </row>
    <row r="779" spans="2:7">
      <c r="B779" s="67">
        <f t="shared" si="89"/>
        <v>43873</v>
      </c>
      <c r="C779" s="7">
        <f t="shared" si="90"/>
        <v>5</v>
      </c>
      <c r="D779" s="7">
        <f t="shared" si="90"/>
        <v>4</v>
      </c>
      <c r="E779" s="7">
        <f t="shared" si="90"/>
        <v>3</v>
      </c>
      <c r="F779" s="7" t="e">
        <f t="shared" si="90"/>
        <v>#N/A</v>
      </c>
      <c r="G779" s="7" t="e">
        <f t="shared" si="90"/>
        <v>#N/A</v>
      </c>
    </row>
    <row r="780" spans="2:7">
      <c r="B780" s="67">
        <f t="shared" si="89"/>
        <v>43874</v>
      </c>
      <c r="C780" s="7">
        <f t="shared" si="90"/>
        <v>5</v>
      </c>
      <c r="D780" s="7">
        <f t="shared" si="90"/>
        <v>4</v>
      </c>
      <c r="E780" s="7">
        <f t="shared" si="90"/>
        <v>3</v>
      </c>
      <c r="F780" s="7" t="e">
        <f t="shared" si="90"/>
        <v>#N/A</v>
      </c>
      <c r="G780" s="7" t="e">
        <f t="shared" si="90"/>
        <v>#N/A</v>
      </c>
    </row>
    <row r="781" spans="2:7">
      <c r="B781" s="67">
        <f t="shared" si="89"/>
        <v>43875</v>
      </c>
      <c r="C781" s="7">
        <f t="shared" si="90"/>
        <v>5</v>
      </c>
      <c r="D781" s="7">
        <f t="shared" si="90"/>
        <v>4</v>
      </c>
      <c r="E781" s="7">
        <f t="shared" si="90"/>
        <v>3</v>
      </c>
      <c r="F781" s="7" t="e">
        <f t="shared" si="90"/>
        <v>#N/A</v>
      </c>
      <c r="G781" s="7" t="e">
        <f t="shared" si="90"/>
        <v>#N/A</v>
      </c>
    </row>
    <row r="782" spans="2:7">
      <c r="B782" s="67">
        <f t="shared" si="89"/>
        <v>43876</v>
      </c>
      <c r="C782" s="7">
        <f t="shared" si="90"/>
        <v>5</v>
      </c>
      <c r="D782" s="7">
        <f t="shared" si="90"/>
        <v>4</v>
      </c>
      <c r="E782" s="7">
        <f t="shared" si="90"/>
        <v>3</v>
      </c>
      <c r="F782" s="7" t="e">
        <f t="shared" si="90"/>
        <v>#N/A</v>
      </c>
      <c r="G782" s="7" t="e">
        <f t="shared" si="90"/>
        <v>#N/A</v>
      </c>
    </row>
    <row r="783" spans="2:7">
      <c r="B783" s="67">
        <f t="shared" si="89"/>
        <v>43877</v>
      </c>
      <c r="C783" s="7">
        <f t="shared" si="90"/>
        <v>5</v>
      </c>
      <c r="D783" s="7">
        <f t="shared" si="90"/>
        <v>4</v>
      </c>
      <c r="E783" s="7">
        <f t="shared" si="90"/>
        <v>3</v>
      </c>
      <c r="F783" s="7" t="e">
        <f t="shared" si="90"/>
        <v>#N/A</v>
      </c>
      <c r="G783" s="7" t="e">
        <f t="shared" si="90"/>
        <v>#N/A</v>
      </c>
    </row>
    <row r="784" spans="2:7">
      <c r="B784" s="67">
        <f t="shared" si="89"/>
        <v>43878</v>
      </c>
      <c r="C784" s="7">
        <f t="shared" si="90"/>
        <v>5</v>
      </c>
      <c r="D784" s="7">
        <f t="shared" si="90"/>
        <v>4</v>
      </c>
      <c r="E784" s="7">
        <f t="shared" si="90"/>
        <v>3</v>
      </c>
      <c r="F784" s="7" t="e">
        <f t="shared" si="90"/>
        <v>#N/A</v>
      </c>
      <c r="G784" s="7" t="e">
        <f t="shared" si="90"/>
        <v>#N/A</v>
      </c>
    </row>
    <row r="785" spans="2:7">
      <c r="B785" s="67">
        <f t="shared" si="89"/>
        <v>43879</v>
      </c>
      <c r="C785" s="7">
        <f t="shared" si="90"/>
        <v>5</v>
      </c>
      <c r="D785" s="7">
        <f t="shared" si="90"/>
        <v>4</v>
      </c>
      <c r="E785" s="7">
        <f t="shared" si="90"/>
        <v>3</v>
      </c>
      <c r="F785" s="7" t="e">
        <f t="shared" si="90"/>
        <v>#N/A</v>
      </c>
      <c r="G785" s="7" t="e">
        <f t="shared" si="90"/>
        <v>#N/A</v>
      </c>
    </row>
    <row r="786" spans="2:7">
      <c r="B786" s="67">
        <f t="shared" si="89"/>
        <v>43880</v>
      </c>
      <c r="C786" s="7">
        <f t="shared" si="90"/>
        <v>5</v>
      </c>
      <c r="D786" s="7">
        <f t="shared" si="90"/>
        <v>4</v>
      </c>
      <c r="E786" s="7">
        <f t="shared" si="90"/>
        <v>3</v>
      </c>
      <c r="F786" s="7" t="e">
        <f t="shared" si="90"/>
        <v>#N/A</v>
      </c>
      <c r="G786" s="7" t="e">
        <f t="shared" si="90"/>
        <v>#N/A</v>
      </c>
    </row>
    <row r="787" spans="2:7">
      <c r="B787" s="67">
        <f t="shared" si="89"/>
        <v>43881</v>
      </c>
      <c r="C787" s="7">
        <f t="shared" ref="C787:G796" si="91">IF(AND($B787&gt;=C$3,$B787&lt;=C$4),C$5,NA())</f>
        <v>5</v>
      </c>
      <c r="D787" s="7">
        <f t="shared" si="91"/>
        <v>4</v>
      </c>
      <c r="E787" s="7">
        <f t="shared" si="91"/>
        <v>3</v>
      </c>
      <c r="F787" s="7" t="e">
        <f t="shared" si="91"/>
        <v>#N/A</v>
      </c>
      <c r="G787" s="7" t="e">
        <f t="shared" si="91"/>
        <v>#N/A</v>
      </c>
    </row>
    <row r="788" spans="2:7">
      <c r="B788" s="67">
        <f t="shared" si="89"/>
        <v>43882</v>
      </c>
      <c r="C788" s="7">
        <f t="shared" si="91"/>
        <v>5</v>
      </c>
      <c r="D788" s="7">
        <f t="shared" si="91"/>
        <v>4</v>
      </c>
      <c r="E788" s="7">
        <f t="shared" si="91"/>
        <v>3</v>
      </c>
      <c r="F788" s="7" t="e">
        <f t="shared" si="91"/>
        <v>#N/A</v>
      </c>
      <c r="G788" s="7" t="e">
        <f t="shared" si="91"/>
        <v>#N/A</v>
      </c>
    </row>
    <row r="789" spans="2:7">
      <c r="B789" s="67">
        <f t="shared" si="89"/>
        <v>43883</v>
      </c>
      <c r="C789" s="7">
        <f t="shared" si="91"/>
        <v>5</v>
      </c>
      <c r="D789" s="7">
        <f t="shared" si="91"/>
        <v>4</v>
      </c>
      <c r="E789" s="7">
        <f t="shared" si="91"/>
        <v>3</v>
      </c>
      <c r="F789" s="7" t="e">
        <f t="shared" si="91"/>
        <v>#N/A</v>
      </c>
      <c r="G789" s="7" t="e">
        <f t="shared" si="91"/>
        <v>#N/A</v>
      </c>
    </row>
    <row r="790" spans="2:7">
      <c r="B790" s="67">
        <f t="shared" si="89"/>
        <v>43884</v>
      </c>
      <c r="C790" s="7">
        <f t="shared" si="91"/>
        <v>5</v>
      </c>
      <c r="D790" s="7">
        <f t="shared" si="91"/>
        <v>4</v>
      </c>
      <c r="E790" s="7">
        <f t="shared" si="91"/>
        <v>3</v>
      </c>
      <c r="F790" s="7" t="e">
        <f t="shared" si="91"/>
        <v>#N/A</v>
      </c>
      <c r="G790" s="7" t="e">
        <f t="shared" si="91"/>
        <v>#N/A</v>
      </c>
    </row>
    <row r="791" spans="2:7">
      <c r="B791" s="67">
        <f t="shared" si="89"/>
        <v>43885</v>
      </c>
      <c r="C791" s="7">
        <f t="shared" si="91"/>
        <v>5</v>
      </c>
      <c r="D791" s="7">
        <f t="shared" si="91"/>
        <v>4</v>
      </c>
      <c r="E791" s="7">
        <f t="shared" si="91"/>
        <v>3</v>
      </c>
      <c r="F791" s="7" t="e">
        <f t="shared" si="91"/>
        <v>#N/A</v>
      </c>
      <c r="G791" s="7" t="e">
        <f t="shared" si="91"/>
        <v>#N/A</v>
      </c>
    </row>
    <row r="792" spans="2:7">
      <c r="B792" s="67">
        <f t="shared" si="89"/>
        <v>43886</v>
      </c>
      <c r="C792" s="7">
        <f t="shared" si="91"/>
        <v>5</v>
      </c>
      <c r="D792" s="7">
        <f t="shared" si="91"/>
        <v>4</v>
      </c>
      <c r="E792" s="7">
        <f t="shared" si="91"/>
        <v>3</v>
      </c>
      <c r="F792" s="7" t="e">
        <f t="shared" si="91"/>
        <v>#N/A</v>
      </c>
      <c r="G792" s="7" t="e">
        <f t="shared" si="91"/>
        <v>#N/A</v>
      </c>
    </row>
    <row r="793" spans="2:7">
      <c r="B793" s="67">
        <f t="shared" si="89"/>
        <v>43887</v>
      </c>
      <c r="C793" s="7">
        <f t="shared" si="91"/>
        <v>5</v>
      </c>
      <c r="D793" s="7">
        <f t="shared" si="91"/>
        <v>4</v>
      </c>
      <c r="E793" s="7">
        <f t="shared" si="91"/>
        <v>3</v>
      </c>
      <c r="F793" s="7" t="e">
        <f t="shared" si="91"/>
        <v>#N/A</v>
      </c>
      <c r="G793" s="7" t="e">
        <f t="shared" si="91"/>
        <v>#N/A</v>
      </c>
    </row>
    <row r="794" spans="2:7">
      <c r="B794" s="67">
        <f t="shared" si="89"/>
        <v>43888</v>
      </c>
      <c r="C794" s="7">
        <f t="shared" si="91"/>
        <v>5</v>
      </c>
      <c r="D794" s="7">
        <f t="shared" si="91"/>
        <v>4</v>
      </c>
      <c r="E794" s="7">
        <f t="shared" si="91"/>
        <v>3</v>
      </c>
      <c r="F794" s="7" t="e">
        <f t="shared" si="91"/>
        <v>#N/A</v>
      </c>
      <c r="G794" s="7" t="e">
        <f t="shared" si="91"/>
        <v>#N/A</v>
      </c>
    </row>
    <row r="795" spans="2:7">
      <c r="B795" s="67">
        <f t="shared" si="89"/>
        <v>43889</v>
      </c>
      <c r="C795" s="7">
        <f t="shared" si="91"/>
        <v>5</v>
      </c>
      <c r="D795" s="7">
        <f t="shared" si="91"/>
        <v>4</v>
      </c>
      <c r="E795" s="7">
        <f t="shared" si="91"/>
        <v>3</v>
      </c>
      <c r="F795" s="7" t="e">
        <f t="shared" si="91"/>
        <v>#N/A</v>
      </c>
      <c r="G795" s="7" t="e">
        <f t="shared" si="91"/>
        <v>#N/A</v>
      </c>
    </row>
    <row r="796" spans="2:7">
      <c r="B796" s="67">
        <f t="shared" si="89"/>
        <v>43890</v>
      </c>
      <c r="C796" s="7">
        <f t="shared" si="91"/>
        <v>5</v>
      </c>
      <c r="D796" s="7">
        <f t="shared" si="91"/>
        <v>4</v>
      </c>
      <c r="E796" s="7">
        <f t="shared" si="91"/>
        <v>3</v>
      </c>
      <c r="F796" s="7" t="e">
        <f t="shared" si="91"/>
        <v>#N/A</v>
      </c>
      <c r="G796" s="7" t="e">
        <f t="shared" si="91"/>
        <v>#N/A</v>
      </c>
    </row>
    <row r="797" spans="2:7">
      <c r="B797" s="67">
        <f t="shared" si="89"/>
        <v>43891</v>
      </c>
      <c r="C797" s="7">
        <f t="shared" ref="C797:G806" si="92">IF(AND($B797&gt;=C$3,$B797&lt;=C$4),C$5,NA())</f>
        <v>5</v>
      </c>
      <c r="D797" s="7">
        <f t="shared" si="92"/>
        <v>4</v>
      </c>
      <c r="E797" s="7">
        <f t="shared" si="92"/>
        <v>3</v>
      </c>
      <c r="F797" s="7" t="e">
        <f t="shared" si="92"/>
        <v>#N/A</v>
      </c>
      <c r="G797" s="7" t="e">
        <f t="shared" si="92"/>
        <v>#N/A</v>
      </c>
    </row>
    <row r="798" spans="2:7">
      <c r="B798" s="67">
        <f t="shared" si="89"/>
        <v>43892</v>
      </c>
      <c r="C798" s="7">
        <f t="shared" si="92"/>
        <v>5</v>
      </c>
      <c r="D798" s="7">
        <f t="shared" si="92"/>
        <v>4</v>
      </c>
      <c r="E798" s="7">
        <f t="shared" si="92"/>
        <v>3</v>
      </c>
      <c r="F798" s="7" t="e">
        <f t="shared" si="92"/>
        <v>#N/A</v>
      </c>
      <c r="G798" s="7" t="e">
        <f t="shared" si="92"/>
        <v>#N/A</v>
      </c>
    </row>
    <row r="799" spans="2:7">
      <c r="B799" s="67">
        <f t="shared" si="89"/>
        <v>43893</v>
      </c>
      <c r="C799" s="7">
        <f t="shared" si="92"/>
        <v>5</v>
      </c>
      <c r="D799" s="7">
        <f t="shared" si="92"/>
        <v>4</v>
      </c>
      <c r="E799" s="7">
        <f t="shared" si="92"/>
        <v>3</v>
      </c>
      <c r="F799" s="7" t="e">
        <f t="shared" si="92"/>
        <v>#N/A</v>
      </c>
      <c r="G799" s="7" t="e">
        <f t="shared" si="92"/>
        <v>#N/A</v>
      </c>
    </row>
    <row r="800" spans="2:7">
      <c r="B800" s="67">
        <f t="shared" si="89"/>
        <v>43894</v>
      </c>
      <c r="C800" s="7">
        <f t="shared" si="92"/>
        <v>5</v>
      </c>
      <c r="D800" s="7">
        <f t="shared" si="92"/>
        <v>4</v>
      </c>
      <c r="E800" s="7">
        <f t="shared" si="92"/>
        <v>3</v>
      </c>
      <c r="F800" s="7" t="e">
        <f t="shared" si="92"/>
        <v>#N/A</v>
      </c>
      <c r="G800" s="7" t="e">
        <f t="shared" si="92"/>
        <v>#N/A</v>
      </c>
    </row>
    <row r="801" spans="2:7">
      <c r="B801" s="67">
        <f t="shared" si="89"/>
        <v>43895</v>
      </c>
      <c r="C801" s="7">
        <f t="shared" si="92"/>
        <v>5</v>
      </c>
      <c r="D801" s="7">
        <f t="shared" si="92"/>
        <v>4</v>
      </c>
      <c r="E801" s="7">
        <f t="shared" si="92"/>
        <v>3</v>
      </c>
      <c r="F801" s="7" t="e">
        <f t="shared" si="92"/>
        <v>#N/A</v>
      </c>
      <c r="G801" s="7" t="e">
        <f t="shared" si="92"/>
        <v>#N/A</v>
      </c>
    </row>
    <row r="802" spans="2:7">
      <c r="B802" s="67">
        <f t="shared" si="89"/>
        <v>43896</v>
      </c>
      <c r="C802" s="7">
        <f t="shared" si="92"/>
        <v>5</v>
      </c>
      <c r="D802" s="7">
        <f t="shared" si="92"/>
        <v>4</v>
      </c>
      <c r="E802" s="7">
        <f t="shared" si="92"/>
        <v>3</v>
      </c>
      <c r="F802" s="7" t="e">
        <f t="shared" si="92"/>
        <v>#N/A</v>
      </c>
      <c r="G802" s="7" t="e">
        <f t="shared" si="92"/>
        <v>#N/A</v>
      </c>
    </row>
    <row r="803" spans="2:7">
      <c r="B803" s="67">
        <f t="shared" si="89"/>
        <v>43897</v>
      </c>
      <c r="C803" s="7">
        <f t="shared" si="92"/>
        <v>5</v>
      </c>
      <c r="D803" s="7">
        <f t="shared" si="92"/>
        <v>4</v>
      </c>
      <c r="E803" s="7">
        <f t="shared" si="92"/>
        <v>3</v>
      </c>
      <c r="F803" s="7" t="e">
        <f t="shared" si="92"/>
        <v>#N/A</v>
      </c>
      <c r="G803" s="7" t="e">
        <f t="shared" si="92"/>
        <v>#N/A</v>
      </c>
    </row>
    <row r="804" spans="2:7">
      <c r="B804" s="67">
        <f t="shared" si="89"/>
        <v>43898</v>
      </c>
      <c r="C804" s="7">
        <f t="shared" si="92"/>
        <v>5</v>
      </c>
      <c r="D804" s="7">
        <f t="shared" si="92"/>
        <v>4</v>
      </c>
      <c r="E804" s="7">
        <f t="shared" si="92"/>
        <v>3</v>
      </c>
      <c r="F804" s="7" t="e">
        <f t="shared" si="92"/>
        <v>#N/A</v>
      </c>
      <c r="G804" s="7" t="e">
        <f t="shared" si="92"/>
        <v>#N/A</v>
      </c>
    </row>
    <row r="805" spans="2:7">
      <c r="B805" s="67">
        <f t="shared" si="89"/>
        <v>43899</v>
      </c>
      <c r="C805" s="7">
        <f t="shared" si="92"/>
        <v>5</v>
      </c>
      <c r="D805" s="7">
        <f t="shared" si="92"/>
        <v>4</v>
      </c>
      <c r="E805" s="7">
        <f t="shared" si="92"/>
        <v>3</v>
      </c>
      <c r="F805" s="7" t="e">
        <f t="shared" si="92"/>
        <v>#N/A</v>
      </c>
      <c r="G805" s="7" t="e">
        <f t="shared" si="92"/>
        <v>#N/A</v>
      </c>
    </row>
    <row r="806" spans="2:7">
      <c r="B806" s="67">
        <f t="shared" si="89"/>
        <v>43900</v>
      </c>
      <c r="C806" s="7">
        <f t="shared" si="92"/>
        <v>5</v>
      </c>
      <c r="D806" s="7">
        <f t="shared" si="92"/>
        <v>4</v>
      </c>
      <c r="E806" s="7">
        <f t="shared" si="92"/>
        <v>3</v>
      </c>
      <c r="F806" s="7" t="e">
        <f t="shared" si="92"/>
        <v>#N/A</v>
      </c>
      <c r="G806" s="7" t="e">
        <f t="shared" si="92"/>
        <v>#N/A</v>
      </c>
    </row>
    <row r="807" spans="2:7">
      <c r="B807" s="67">
        <f t="shared" si="89"/>
        <v>43901</v>
      </c>
      <c r="C807" s="7">
        <f t="shared" ref="C807:G816" si="93">IF(AND($B807&gt;=C$3,$B807&lt;=C$4),C$5,NA())</f>
        <v>5</v>
      </c>
      <c r="D807" s="7">
        <f t="shared" si="93"/>
        <v>4</v>
      </c>
      <c r="E807" s="7">
        <f t="shared" si="93"/>
        <v>3</v>
      </c>
      <c r="F807" s="7" t="e">
        <f t="shared" si="93"/>
        <v>#N/A</v>
      </c>
      <c r="G807" s="7" t="e">
        <f t="shared" si="93"/>
        <v>#N/A</v>
      </c>
    </row>
    <row r="808" spans="2:7">
      <c r="B808" s="67">
        <f t="shared" si="89"/>
        <v>43902</v>
      </c>
      <c r="C808" s="7">
        <f t="shared" si="93"/>
        <v>5</v>
      </c>
      <c r="D808" s="7">
        <f t="shared" si="93"/>
        <v>4</v>
      </c>
      <c r="E808" s="7">
        <f t="shared" si="93"/>
        <v>3</v>
      </c>
      <c r="F808" s="7" t="e">
        <f t="shared" si="93"/>
        <v>#N/A</v>
      </c>
      <c r="G808" s="7" t="e">
        <f t="shared" si="93"/>
        <v>#N/A</v>
      </c>
    </row>
    <row r="809" spans="2:7">
      <c r="B809" s="67">
        <f t="shared" si="89"/>
        <v>43903</v>
      </c>
      <c r="C809" s="7">
        <f t="shared" si="93"/>
        <v>5</v>
      </c>
      <c r="D809" s="7">
        <f t="shared" si="93"/>
        <v>4</v>
      </c>
      <c r="E809" s="7">
        <f t="shared" si="93"/>
        <v>3</v>
      </c>
      <c r="F809" s="7" t="e">
        <f t="shared" si="93"/>
        <v>#N/A</v>
      </c>
      <c r="G809" s="7" t="e">
        <f t="shared" si="93"/>
        <v>#N/A</v>
      </c>
    </row>
    <row r="810" spans="2:7">
      <c r="B810" s="67">
        <f t="shared" si="89"/>
        <v>43904</v>
      </c>
      <c r="C810" s="7">
        <f t="shared" si="93"/>
        <v>5</v>
      </c>
      <c r="D810" s="7">
        <f t="shared" si="93"/>
        <v>4</v>
      </c>
      <c r="E810" s="7">
        <f t="shared" si="93"/>
        <v>3</v>
      </c>
      <c r="F810" s="7" t="e">
        <f t="shared" si="93"/>
        <v>#N/A</v>
      </c>
      <c r="G810" s="7" t="e">
        <f t="shared" si="93"/>
        <v>#N/A</v>
      </c>
    </row>
    <row r="811" spans="2:7">
      <c r="B811" s="67">
        <f t="shared" si="89"/>
        <v>43905</v>
      </c>
      <c r="C811" s="7">
        <f t="shared" si="93"/>
        <v>5</v>
      </c>
      <c r="D811" s="7">
        <f t="shared" si="93"/>
        <v>4</v>
      </c>
      <c r="E811" s="7">
        <f t="shared" si="93"/>
        <v>3</v>
      </c>
      <c r="F811" s="7" t="e">
        <f t="shared" si="93"/>
        <v>#N/A</v>
      </c>
      <c r="G811" s="7" t="e">
        <f t="shared" si="93"/>
        <v>#N/A</v>
      </c>
    </row>
    <row r="812" spans="2:7">
      <c r="B812" s="67">
        <f t="shared" si="89"/>
        <v>43906</v>
      </c>
      <c r="C812" s="7">
        <f t="shared" si="93"/>
        <v>5</v>
      </c>
      <c r="D812" s="7">
        <f t="shared" si="93"/>
        <v>4</v>
      </c>
      <c r="E812" s="7">
        <f t="shared" si="93"/>
        <v>3</v>
      </c>
      <c r="F812" s="7" t="e">
        <f t="shared" si="93"/>
        <v>#N/A</v>
      </c>
      <c r="G812" s="7" t="e">
        <f t="shared" si="93"/>
        <v>#N/A</v>
      </c>
    </row>
    <row r="813" spans="2:7">
      <c r="B813" s="67">
        <f t="shared" si="89"/>
        <v>43907</v>
      </c>
      <c r="C813" s="7">
        <f t="shared" si="93"/>
        <v>5</v>
      </c>
      <c r="D813" s="7">
        <f t="shared" si="93"/>
        <v>4</v>
      </c>
      <c r="E813" s="7">
        <f t="shared" si="93"/>
        <v>3</v>
      </c>
      <c r="F813" s="7" t="e">
        <f t="shared" si="93"/>
        <v>#N/A</v>
      </c>
      <c r="G813" s="7" t="e">
        <f t="shared" si="93"/>
        <v>#N/A</v>
      </c>
    </row>
    <row r="814" spans="2:7">
      <c r="B814" s="67">
        <f t="shared" si="89"/>
        <v>43908</v>
      </c>
      <c r="C814" s="7">
        <f t="shared" si="93"/>
        <v>5</v>
      </c>
      <c r="D814" s="7">
        <f t="shared" si="93"/>
        <v>4</v>
      </c>
      <c r="E814" s="7">
        <f t="shared" si="93"/>
        <v>3</v>
      </c>
      <c r="F814" s="7" t="e">
        <f t="shared" si="93"/>
        <v>#N/A</v>
      </c>
      <c r="G814" s="7" t="e">
        <f t="shared" si="93"/>
        <v>#N/A</v>
      </c>
    </row>
    <row r="815" spans="2:7">
      <c r="B815" s="67">
        <f t="shared" si="89"/>
        <v>43909</v>
      </c>
      <c r="C815" s="7">
        <f t="shared" si="93"/>
        <v>5</v>
      </c>
      <c r="D815" s="7">
        <f t="shared" si="93"/>
        <v>4</v>
      </c>
      <c r="E815" s="7">
        <f t="shared" si="93"/>
        <v>3</v>
      </c>
      <c r="F815" s="7" t="e">
        <f t="shared" si="93"/>
        <v>#N/A</v>
      </c>
      <c r="G815" s="7" t="e">
        <f t="shared" si="93"/>
        <v>#N/A</v>
      </c>
    </row>
    <row r="816" spans="2:7">
      <c r="B816" s="67">
        <f t="shared" si="89"/>
        <v>43910</v>
      </c>
      <c r="C816" s="7">
        <f t="shared" si="93"/>
        <v>5</v>
      </c>
      <c r="D816" s="7">
        <f t="shared" si="93"/>
        <v>4</v>
      </c>
      <c r="E816" s="7">
        <f t="shared" si="93"/>
        <v>3</v>
      </c>
      <c r="F816" s="7" t="e">
        <f t="shared" si="93"/>
        <v>#N/A</v>
      </c>
      <c r="G816" s="7" t="e">
        <f t="shared" si="93"/>
        <v>#N/A</v>
      </c>
    </row>
    <row r="817" spans="2:7">
      <c r="B817" s="67">
        <f t="shared" si="89"/>
        <v>43911</v>
      </c>
      <c r="C817" s="7">
        <f t="shared" ref="C817:G826" si="94">IF(AND($B817&gt;=C$3,$B817&lt;=C$4),C$5,NA())</f>
        <v>5</v>
      </c>
      <c r="D817" s="7">
        <f t="shared" si="94"/>
        <v>4</v>
      </c>
      <c r="E817" s="7">
        <f t="shared" si="94"/>
        <v>3</v>
      </c>
      <c r="F817" s="7" t="e">
        <f t="shared" si="94"/>
        <v>#N/A</v>
      </c>
      <c r="G817" s="7" t="e">
        <f t="shared" si="94"/>
        <v>#N/A</v>
      </c>
    </row>
    <row r="818" spans="2:7">
      <c r="B818" s="67">
        <f t="shared" si="89"/>
        <v>43912</v>
      </c>
      <c r="C818" s="7">
        <f t="shared" si="94"/>
        <v>5</v>
      </c>
      <c r="D818" s="7">
        <f t="shared" si="94"/>
        <v>4</v>
      </c>
      <c r="E818" s="7">
        <f t="shared" si="94"/>
        <v>3</v>
      </c>
      <c r="F818" s="7" t="e">
        <f t="shared" si="94"/>
        <v>#N/A</v>
      </c>
      <c r="G818" s="7" t="e">
        <f t="shared" si="94"/>
        <v>#N/A</v>
      </c>
    </row>
    <row r="819" spans="2:7">
      <c r="B819" s="67">
        <f t="shared" si="89"/>
        <v>43913</v>
      </c>
      <c r="C819" s="7">
        <f t="shared" si="94"/>
        <v>5</v>
      </c>
      <c r="D819" s="7">
        <f t="shared" si="94"/>
        <v>4</v>
      </c>
      <c r="E819" s="7">
        <f t="shared" si="94"/>
        <v>3</v>
      </c>
      <c r="F819" s="7" t="e">
        <f t="shared" si="94"/>
        <v>#N/A</v>
      </c>
      <c r="G819" s="7" t="e">
        <f t="shared" si="94"/>
        <v>#N/A</v>
      </c>
    </row>
    <row r="820" spans="2:7">
      <c r="B820" s="67">
        <f t="shared" si="89"/>
        <v>43914</v>
      </c>
      <c r="C820" s="7">
        <f t="shared" si="94"/>
        <v>5</v>
      </c>
      <c r="D820" s="7">
        <f t="shared" si="94"/>
        <v>4</v>
      </c>
      <c r="E820" s="7">
        <f t="shared" si="94"/>
        <v>3</v>
      </c>
      <c r="F820" s="7" t="e">
        <f t="shared" si="94"/>
        <v>#N/A</v>
      </c>
      <c r="G820" s="7" t="e">
        <f t="shared" si="94"/>
        <v>#N/A</v>
      </c>
    </row>
    <row r="821" spans="2:7">
      <c r="B821" s="67">
        <f t="shared" si="89"/>
        <v>43915</v>
      </c>
      <c r="C821" s="7">
        <f t="shared" si="94"/>
        <v>5</v>
      </c>
      <c r="D821" s="7">
        <f t="shared" si="94"/>
        <v>4</v>
      </c>
      <c r="E821" s="7">
        <f t="shared" si="94"/>
        <v>3</v>
      </c>
      <c r="F821" s="7" t="e">
        <f t="shared" si="94"/>
        <v>#N/A</v>
      </c>
      <c r="G821" s="7" t="e">
        <f t="shared" si="94"/>
        <v>#N/A</v>
      </c>
    </row>
    <row r="822" spans="2:7">
      <c r="B822" s="67">
        <f t="shared" si="89"/>
        <v>43916</v>
      </c>
      <c r="C822" s="7">
        <f t="shared" si="94"/>
        <v>5</v>
      </c>
      <c r="D822" s="7">
        <f t="shared" si="94"/>
        <v>4</v>
      </c>
      <c r="E822" s="7">
        <f t="shared" si="94"/>
        <v>3</v>
      </c>
      <c r="F822" s="7" t="e">
        <f t="shared" si="94"/>
        <v>#N/A</v>
      </c>
      <c r="G822" s="7" t="e">
        <f t="shared" si="94"/>
        <v>#N/A</v>
      </c>
    </row>
    <row r="823" spans="2:7">
      <c r="B823" s="67">
        <f t="shared" si="89"/>
        <v>43917</v>
      </c>
      <c r="C823" s="7">
        <f t="shared" si="94"/>
        <v>5</v>
      </c>
      <c r="D823" s="7">
        <f t="shared" si="94"/>
        <v>4</v>
      </c>
      <c r="E823" s="7">
        <f t="shared" si="94"/>
        <v>3</v>
      </c>
      <c r="F823" s="7" t="e">
        <f t="shared" si="94"/>
        <v>#N/A</v>
      </c>
      <c r="G823" s="7" t="e">
        <f t="shared" si="94"/>
        <v>#N/A</v>
      </c>
    </row>
    <row r="824" spans="2:7">
      <c r="B824" s="67">
        <f t="shared" si="89"/>
        <v>43918</v>
      </c>
      <c r="C824" s="7">
        <f t="shared" si="94"/>
        <v>5</v>
      </c>
      <c r="D824" s="7">
        <f t="shared" si="94"/>
        <v>4</v>
      </c>
      <c r="E824" s="7">
        <f t="shared" si="94"/>
        <v>3</v>
      </c>
      <c r="F824" s="7" t="e">
        <f t="shared" si="94"/>
        <v>#N/A</v>
      </c>
      <c r="G824" s="7" t="e">
        <f t="shared" si="94"/>
        <v>#N/A</v>
      </c>
    </row>
    <row r="825" spans="2:7">
      <c r="B825" s="67">
        <f t="shared" si="89"/>
        <v>43919</v>
      </c>
      <c r="C825" s="7">
        <f t="shared" si="94"/>
        <v>5</v>
      </c>
      <c r="D825" s="7">
        <f t="shared" si="94"/>
        <v>4</v>
      </c>
      <c r="E825" s="7">
        <f t="shared" si="94"/>
        <v>3</v>
      </c>
      <c r="F825" s="7" t="e">
        <f t="shared" si="94"/>
        <v>#N/A</v>
      </c>
      <c r="G825" s="7" t="e">
        <f t="shared" si="94"/>
        <v>#N/A</v>
      </c>
    </row>
    <row r="826" spans="2:7">
      <c r="B826" s="67">
        <f t="shared" si="89"/>
        <v>43920</v>
      </c>
      <c r="C826" s="7">
        <f t="shared" si="94"/>
        <v>5</v>
      </c>
      <c r="D826" s="7">
        <f t="shared" si="94"/>
        <v>4</v>
      </c>
      <c r="E826" s="7">
        <f t="shared" si="94"/>
        <v>3</v>
      </c>
      <c r="F826" s="7" t="e">
        <f t="shared" si="94"/>
        <v>#N/A</v>
      </c>
      <c r="G826" s="7" t="e">
        <f t="shared" si="94"/>
        <v>#N/A</v>
      </c>
    </row>
    <row r="827" spans="2:7">
      <c r="B827" s="67">
        <f t="shared" si="89"/>
        <v>43921</v>
      </c>
      <c r="C827" s="7">
        <f t="shared" ref="C827:G836" si="95">IF(AND($B827&gt;=C$3,$B827&lt;=C$4),C$5,NA())</f>
        <v>5</v>
      </c>
      <c r="D827" s="7">
        <f t="shared" si="95"/>
        <v>4</v>
      </c>
      <c r="E827" s="7">
        <f t="shared" si="95"/>
        <v>3</v>
      </c>
      <c r="F827" s="7" t="e">
        <f t="shared" si="95"/>
        <v>#N/A</v>
      </c>
      <c r="G827" s="7" t="e">
        <f t="shared" si="95"/>
        <v>#N/A</v>
      </c>
    </row>
    <row r="828" spans="2:7">
      <c r="B828" s="67">
        <f t="shared" si="89"/>
        <v>43922</v>
      </c>
      <c r="C828" s="7">
        <f t="shared" si="95"/>
        <v>5</v>
      </c>
      <c r="D828" s="7">
        <f t="shared" si="95"/>
        <v>4</v>
      </c>
      <c r="E828" s="7">
        <f t="shared" si="95"/>
        <v>3</v>
      </c>
      <c r="F828" s="7" t="e">
        <f t="shared" si="95"/>
        <v>#N/A</v>
      </c>
      <c r="G828" s="7" t="e">
        <f t="shared" si="95"/>
        <v>#N/A</v>
      </c>
    </row>
    <row r="829" spans="2:7">
      <c r="B829" s="67">
        <f t="shared" si="89"/>
        <v>43923</v>
      </c>
      <c r="C829" s="7">
        <f t="shared" si="95"/>
        <v>5</v>
      </c>
      <c r="D829" s="7">
        <f t="shared" si="95"/>
        <v>4</v>
      </c>
      <c r="E829" s="7">
        <f t="shared" si="95"/>
        <v>3</v>
      </c>
      <c r="F829" s="7" t="e">
        <f t="shared" si="95"/>
        <v>#N/A</v>
      </c>
      <c r="G829" s="7" t="e">
        <f t="shared" si="95"/>
        <v>#N/A</v>
      </c>
    </row>
    <row r="830" spans="2:7">
      <c r="B830" s="67">
        <f t="shared" si="89"/>
        <v>43924</v>
      </c>
      <c r="C830" s="7">
        <f t="shared" si="95"/>
        <v>5</v>
      </c>
      <c r="D830" s="7">
        <f t="shared" si="95"/>
        <v>4</v>
      </c>
      <c r="E830" s="7">
        <f t="shared" si="95"/>
        <v>3</v>
      </c>
      <c r="F830" s="7" t="e">
        <f t="shared" si="95"/>
        <v>#N/A</v>
      </c>
      <c r="G830" s="7" t="e">
        <f t="shared" si="95"/>
        <v>#N/A</v>
      </c>
    </row>
    <row r="831" spans="2:7">
      <c r="B831" s="67">
        <f t="shared" si="89"/>
        <v>43925</v>
      </c>
      <c r="C831" s="7">
        <f t="shared" si="95"/>
        <v>5</v>
      </c>
      <c r="D831" s="7">
        <f t="shared" si="95"/>
        <v>4</v>
      </c>
      <c r="E831" s="7">
        <f t="shared" si="95"/>
        <v>3</v>
      </c>
      <c r="F831" s="7" t="e">
        <f t="shared" si="95"/>
        <v>#N/A</v>
      </c>
      <c r="G831" s="7" t="e">
        <f t="shared" si="95"/>
        <v>#N/A</v>
      </c>
    </row>
    <row r="832" spans="2:7">
      <c r="B832" s="67">
        <f t="shared" si="89"/>
        <v>43926</v>
      </c>
      <c r="C832" s="7">
        <f t="shared" si="95"/>
        <v>5</v>
      </c>
      <c r="D832" s="7">
        <f t="shared" si="95"/>
        <v>4</v>
      </c>
      <c r="E832" s="7">
        <f t="shared" si="95"/>
        <v>3</v>
      </c>
      <c r="F832" s="7" t="e">
        <f t="shared" si="95"/>
        <v>#N/A</v>
      </c>
      <c r="G832" s="7" t="e">
        <f t="shared" si="95"/>
        <v>#N/A</v>
      </c>
    </row>
    <row r="833" spans="2:7">
      <c r="B833" s="67">
        <f t="shared" si="89"/>
        <v>43927</v>
      </c>
      <c r="C833" s="7">
        <f t="shared" si="95"/>
        <v>5</v>
      </c>
      <c r="D833" s="7">
        <f t="shared" si="95"/>
        <v>4</v>
      </c>
      <c r="E833" s="7">
        <f t="shared" si="95"/>
        <v>3</v>
      </c>
      <c r="F833" s="7" t="e">
        <f t="shared" si="95"/>
        <v>#N/A</v>
      </c>
      <c r="G833" s="7" t="e">
        <f t="shared" si="95"/>
        <v>#N/A</v>
      </c>
    </row>
    <row r="834" spans="2:7">
      <c r="B834" s="67">
        <f t="shared" si="89"/>
        <v>43928</v>
      </c>
      <c r="C834" s="7">
        <f t="shared" si="95"/>
        <v>5</v>
      </c>
      <c r="D834" s="7">
        <f t="shared" si="95"/>
        <v>4</v>
      </c>
      <c r="E834" s="7">
        <f t="shared" si="95"/>
        <v>3</v>
      </c>
      <c r="F834" s="7" t="e">
        <f t="shared" si="95"/>
        <v>#N/A</v>
      </c>
      <c r="G834" s="7" t="e">
        <f t="shared" si="95"/>
        <v>#N/A</v>
      </c>
    </row>
    <row r="835" spans="2:7">
      <c r="B835" s="67">
        <f t="shared" si="89"/>
        <v>43929</v>
      </c>
      <c r="C835" s="7">
        <f t="shared" si="95"/>
        <v>5</v>
      </c>
      <c r="D835" s="7">
        <f t="shared" si="95"/>
        <v>4</v>
      </c>
      <c r="E835" s="7">
        <f t="shared" si="95"/>
        <v>3</v>
      </c>
      <c r="F835" s="7" t="e">
        <f t="shared" si="95"/>
        <v>#N/A</v>
      </c>
      <c r="G835" s="7" t="e">
        <f t="shared" si="95"/>
        <v>#N/A</v>
      </c>
    </row>
    <row r="836" spans="2:7">
      <c r="B836" s="67">
        <f t="shared" si="89"/>
        <v>43930</v>
      </c>
      <c r="C836" s="7">
        <f t="shared" si="95"/>
        <v>5</v>
      </c>
      <c r="D836" s="7">
        <f t="shared" si="95"/>
        <v>4</v>
      </c>
      <c r="E836" s="7">
        <f t="shared" si="95"/>
        <v>3</v>
      </c>
      <c r="F836" s="7" t="e">
        <f t="shared" si="95"/>
        <v>#N/A</v>
      </c>
      <c r="G836" s="7" t="e">
        <f t="shared" si="95"/>
        <v>#N/A</v>
      </c>
    </row>
    <row r="837" spans="2:7">
      <c r="B837" s="67">
        <f t="shared" si="89"/>
        <v>43931</v>
      </c>
      <c r="C837" s="7">
        <f t="shared" ref="C837:G846" si="96">IF(AND($B837&gt;=C$3,$B837&lt;=C$4),C$5,NA())</f>
        <v>5</v>
      </c>
      <c r="D837" s="7">
        <f t="shared" si="96"/>
        <v>4</v>
      </c>
      <c r="E837" s="7">
        <f t="shared" si="96"/>
        <v>3</v>
      </c>
      <c r="F837" s="7" t="e">
        <f t="shared" si="96"/>
        <v>#N/A</v>
      </c>
      <c r="G837" s="7" t="e">
        <f t="shared" si="96"/>
        <v>#N/A</v>
      </c>
    </row>
    <row r="838" spans="2:7">
      <c r="B838" s="67">
        <f t="shared" si="89"/>
        <v>43932</v>
      </c>
      <c r="C838" s="7">
        <f t="shared" si="96"/>
        <v>5</v>
      </c>
      <c r="D838" s="7">
        <f t="shared" si="96"/>
        <v>4</v>
      </c>
      <c r="E838" s="7">
        <f t="shared" si="96"/>
        <v>3</v>
      </c>
      <c r="F838" s="7" t="e">
        <f t="shared" si="96"/>
        <v>#N/A</v>
      </c>
      <c r="G838" s="7" t="e">
        <f t="shared" si="96"/>
        <v>#N/A</v>
      </c>
    </row>
    <row r="839" spans="2:7">
      <c r="B839" s="67">
        <f t="shared" si="89"/>
        <v>43933</v>
      </c>
      <c r="C839" s="7">
        <f t="shared" si="96"/>
        <v>5</v>
      </c>
      <c r="D839" s="7">
        <f t="shared" si="96"/>
        <v>4</v>
      </c>
      <c r="E839" s="7">
        <f t="shared" si="96"/>
        <v>3</v>
      </c>
      <c r="F839" s="7" t="e">
        <f t="shared" si="96"/>
        <v>#N/A</v>
      </c>
      <c r="G839" s="7" t="e">
        <f t="shared" si="96"/>
        <v>#N/A</v>
      </c>
    </row>
    <row r="840" spans="2:7">
      <c r="B840" s="67">
        <f t="shared" ref="B840:B903" si="97">B839+1</f>
        <v>43934</v>
      </c>
      <c r="C840" s="7">
        <f t="shared" si="96"/>
        <v>5</v>
      </c>
      <c r="D840" s="7">
        <f t="shared" si="96"/>
        <v>4</v>
      </c>
      <c r="E840" s="7">
        <f t="shared" si="96"/>
        <v>3</v>
      </c>
      <c r="F840" s="7" t="e">
        <f t="shared" si="96"/>
        <v>#N/A</v>
      </c>
      <c r="G840" s="7" t="e">
        <f t="shared" si="96"/>
        <v>#N/A</v>
      </c>
    </row>
    <row r="841" spans="2:7">
      <c r="B841" s="67">
        <f t="shared" si="97"/>
        <v>43935</v>
      </c>
      <c r="C841" s="7">
        <f t="shared" si="96"/>
        <v>5</v>
      </c>
      <c r="D841" s="7">
        <f t="shared" si="96"/>
        <v>4</v>
      </c>
      <c r="E841" s="7">
        <f t="shared" si="96"/>
        <v>3</v>
      </c>
      <c r="F841" s="7" t="e">
        <f t="shared" si="96"/>
        <v>#N/A</v>
      </c>
      <c r="G841" s="7" t="e">
        <f t="shared" si="96"/>
        <v>#N/A</v>
      </c>
    </row>
    <row r="842" spans="2:7">
      <c r="B842" s="67">
        <f t="shared" si="97"/>
        <v>43936</v>
      </c>
      <c r="C842" s="7">
        <f t="shared" si="96"/>
        <v>5</v>
      </c>
      <c r="D842" s="7">
        <f t="shared" si="96"/>
        <v>4</v>
      </c>
      <c r="E842" s="7">
        <f t="shared" si="96"/>
        <v>3</v>
      </c>
      <c r="F842" s="7" t="e">
        <f t="shared" si="96"/>
        <v>#N/A</v>
      </c>
      <c r="G842" s="7" t="e">
        <f t="shared" si="96"/>
        <v>#N/A</v>
      </c>
    </row>
    <row r="843" spans="2:7">
      <c r="B843" s="67">
        <f t="shared" si="97"/>
        <v>43937</v>
      </c>
      <c r="C843" s="7">
        <f t="shared" si="96"/>
        <v>5</v>
      </c>
      <c r="D843" s="7">
        <f t="shared" si="96"/>
        <v>4</v>
      </c>
      <c r="E843" s="7">
        <f t="shared" si="96"/>
        <v>3</v>
      </c>
      <c r="F843" s="7" t="e">
        <f t="shared" si="96"/>
        <v>#N/A</v>
      </c>
      <c r="G843" s="7" t="e">
        <f t="shared" si="96"/>
        <v>#N/A</v>
      </c>
    </row>
    <row r="844" spans="2:7">
      <c r="B844" s="67">
        <f t="shared" si="97"/>
        <v>43938</v>
      </c>
      <c r="C844" s="7">
        <f t="shared" si="96"/>
        <v>5</v>
      </c>
      <c r="D844" s="7">
        <f t="shared" si="96"/>
        <v>4</v>
      </c>
      <c r="E844" s="7">
        <f t="shared" si="96"/>
        <v>3</v>
      </c>
      <c r="F844" s="7" t="e">
        <f t="shared" si="96"/>
        <v>#N/A</v>
      </c>
      <c r="G844" s="7" t="e">
        <f t="shared" si="96"/>
        <v>#N/A</v>
      </c>
    </row>
    <row r="845" spans="2:7">
      <c r="B845" s="67">
        <f t="shared" si="97"/>
        <v>43939</v>
      </c>
      <c r="C845" s="7">
        <f t="shared" si="96"/>
        <v>5</v>
      </c>
      <c r="D845" s="7">
        <f t="shared" si="96"/>
        <v>4</v>
      </c>
      <c r="E845" s="7">
        <f t="shared" si="96"/>
        <v>3</v>
      </c>
      <c r="F845" s="7" t="e">
        <f t="shared" si="96"/>
        <v>#N/A</v>
      </c>
      <c r="G845" s="7" t="e">
        <f t="shared" si="96"/>
        <v>#N/A</v>
      </c>
    </row>
    <row r="846" spans="2:7">
      <c r="B846" s="67">
        <f t="shared" si="97"/>
        <v>43940</v>
      </c>
      <c r="C846" s="7">
        <f t="shared" si="96"/>
        <v>5</v>
      </c>
      <c r="D846" s="7">
        <f t="shared" si="96"/>
        <v>4</v>
      </c>
      <c r="E846" s="7">
        <f t="shared" si="96"/>
        <v>3</v>
      </c>
      <c r="F846" s="7" t="e">
        <f t="shared" si="96"/>
        <v>#N/A</v>
      </c>
      <c r="G846" s="7" t="e">
        <f t="shared" si="96"/>
        <v>#N/A</v>
      </c>
    </row>
    <row r="847" spans="2:7">
      <c r="B847" s="67">
        <f t="shared" si="97"/>
        <v>43941</v>
      </c>
      <c r="C847" s="7">
        <f t="shared" ref="C847:G856" si="98">IF(AND($B847&gt;=C$3,$B847&lt;=C$4),C$5,NA())</f>
        <v>5</v>
      </c>
      <c r="D847" s="7">
        <f t="shared" si="98"/>
        <v>4</v>
      </c>
      <c r="E847" s="7">
        <f t="shared" si="98"/>
        <v>3</v>
      </c>
      <c r="F847" s="7" t="e">
        <f t="shared" si="98"/>
        <v>#N/A</v>
      </c>
      <c r="G847" s="7" t="e">
        <f t="shared" si="98"/>
        <v>#N/A</v>
      </c>
    </row>
    <row r="848" spans="2:7">
      <c r="B848" s="67">
        <f t="shared" si="97"/>
        <v>43942</v>
      </c>
      <c r="C848" s="7">
        <f t="shared" si="98"/>
        <v>5</v>
      </c>
      <c r="D848" s="7">
        <f t="shared" si="98"/>
        <v>4</v>
      </c>
      <c r="E848" s="7">
        <f t="shared" si="98"/>
        <v>3</v>
      </c>
      <c r="F848" s="7" t="e">
        <f t="shared" si="98"/>
        <v>#N/A</v>
      </c>
      <c r="G848" s="7" t="e">
        <f t="shared" si="98"/>
        <v>#N/A</v>
      </c>
    </row>
    <row r="849" spans="2:7">
      <c r="B849" s="67">
        <f t="shared" si="97"/>
        <v>43943</v>
      </c>
      <c r="C849" s="7">
        <f t="shared" si="98"/>
        <v>5</v>
      </c>
      <c r="D849" s="7">
        <f t="shared" si="98"/>
        <v>4</v>
      </c>
      <c r="E849" s="7">
        <f t="shared" si="98"/>
        <v>3</v>
      </c>
      <c r="F849" s="7" t="e">
        <f t="shared" si="98"/>
        <v>#N/A</v>
      </c>
      <c r="G849" s="7" t="e">
        <f t="shared" si="98"/>
        <v>#N/A</v>
      </c>
    </row>
    <row r="850" spans="2:7">
      <c r="B850" s="67">
        <f t="shared" si="97"/>
        <v>43944</v>
      </c>
      <c r="C850" s="7">
        <f t="shared" si="98"/>
        <v>5</v>
      </c>
      <c r="D850" s="7">
        <f t="shared" si="98"/>
        <v>4</v>
      </c>
      <c r="E850" s="7">
        <f t="shared" si="98"/>
        <v>3</v>
      </c>
      <c r="F850" s="7" t="e">
        <f t="shared" si="98"/>
        <v>#N/A</v>
      </c>
      <c r="G850" s="7" t="e">
        <f t="shared" si="98"/>
        <v>#N/A</v>
      </c>
    </row>
    <row r="851" spans="2:7">
      <c r="B851" s="67">
        <f t="shared" si="97"/>
        <v>43945</v>
      </c>
      <c r="C851" s="7">
        <f t="shared" si="98"/>
        <v>5</v>
      </c>
      <c r="D851" s="7">
        <f t="shared" si="98"/>
        <v>4</v>
      </c>
      <c r="E851" s="7">
        <f t="shared" si="98"/>
        <v>3</v>
      </c>
      <c r="F851" s="7" t="e">
        <f t="shared" si="98"/>
        <v>#N/A</v>
      </c>
      <c r="G851" s="7" t="e">
        <f t="shared" si="98"/>
        <v>#N/A</v>
      </c>
    </row>
    <row r="852" spans="2:7">
      <c r="B852" s="67">
        <f t="shared" si="97"/>
        <v>43946</v>
      </c>
      <c r="C852" s="7">
        <f t="shared" si="98"/>
        <v>5</v>
      </c>
      <c r="D852" s="7">
        <f t="shared" si="98"/>
        <v>4</v>
      </c>
      <c r="E852" s="7">
        <f t="shared" si="98"/>
        <v>3</v>
      </c>
      <c r="F852" s="7" t="e">
        <f t="shared" si="98"/>
        <v>#N/A</v>
      </c>
      <c r="G852" s="7" t="e">
        <f t="shared" si="98"/>
        <v>#N/A</v>
      </c>
    </row>
    <row r="853" spans="2:7">
      <c r="B853" s="67">
        <f t="shared" si="97"/>
        <v>43947</v>
      </c>
      <c r="C853" s="7">
        <f t="shared" si="98"/>
        <v>5</v>
      </c>
      <c r="D853" s="7">
        <f t="shared" si="98"/>
        <v>4</v>
      </c>
      <c r="E853" s="7">
        <f t="shared" si="98"/>
        <v>3</v>
      </c>
      <c r="F853" s="7" t="e">
        <f t="shared" si="98"/>
        <v>#N/A</v>
      </c>
      <c r="G853" s="7" t="e">
        <f t="shared" si="98"/>
        <v>#N/A</v>
      </c>
    </row>
    <row r="854" spans="2:7">
      <c r="B854" s="67">
        <f t="shared" si="97"/>
        <v>43948</v>
      </c>
      <c r="C854" s="7">
        <f t="shared" si="98"/>
        <v>5</v>
      </c>
      <c r="D854" s="7">
        <f t="shared" si="98"/>
        <v>4</v>
      </c>
      <c r="E854" s="7">
        <f t="shared" si="98"/>
        <v>3</v>
      </c>
      <c r="F854" s="7" t="e">
        <f t="shared" si="98"/>
        <v>#N/A</v>
      </c>
      <c r="G854" s="7" t="e">
        <f t="shared" si="98"/>
        <v>#N/A</v>
      </c>
    </row>
    <row r="855" spans="2:7">
      <c r="B855" s="67">
        <f t="shared" si="97"/>
        <v>43949</v>
      </c>
      <c r="C855" s="7">
        <f t="shared" si="98"/>
        <v>5</v>
      </c>
      <c r="D855" s="7">
        <f t="shared" si="98"/>
        <v>4</v>
      </c>
      <c r="E855" s="7">
        <f t="shared" si="98"/>
        <v>3</v>
      </c>
      <c r="F855" s="7" t="e">
        <f t="shared" si="98"/>
        <v>#N/A</v>
      </c>
      <c r="G855" s="7" t="e">
        <f t="shared" si="98"/>
        <v>#N/A</v>
      </c>
    </row>
    <row r="856" spans="2:7">
      <c r="B856" s="67">
        <f t="shared" si="97"/>
        <v>43950</v>
      </c>
      <c r="C856" s="7">
        <f t="shared" si="98"/>
        <v>5</v>
      </c>
      <c r="D856" s="7">
        <f t="shared" si="98"/>
        <v>4</v>
      </c>
      <c r="E856" s="7">
        <f t="shared" si="98"/>
        <v>3</v>
      </c>
      <c r="F856" s="7" t="e">
        <f t="shared" si="98"/>
        <v>#N/A</v>
      </c>
      <c r="G856" s="7" t="e">
        <f t="shared" si="98"/>
        <v>#N/A</v>
      </c>
    </row>
    <row r="857" spans="2:7">
      <c r="B857" s="67">
        <f t="shared" si="97"/>
        <v>43951</v>
      </c>
      <c r="C857" s="7">
        <f t="shared" ref="C857:G866" si="99">IF(AND($B857&gt;=C$3,$B857&lt;=C$4),C$5,NA())</f>
        <v>5</v>
      </c>
      <c r="D857" s="7">
        <f t="shared" si="99"/>
        <v>4</v>
      </c>
      <c r="E857" s="7">
        <f t="shared" si="99"/>
        <v>3</v>
      </c>
      <c r="F857" s="7" t="e">
        <f t="shared" si="99"/>
        <v>#N/A</v>
      </c>
      <c r="G857" s="7" t="e">
        <f t="shared" si="99"/>
        <v>#N/A</v>
      </c>
    </row>
    <row r="858" spans="2:7">
      <c r="B858" s="67">
        <f t="shared" si="97"/>
        <v>43952</v>
      </c>
      <c r="C858" s="7">
        <f t="shared" si="99"/>
        <v>5</v>
      </c>
      <c r="D858" s="7">
        <f t="shared" si="99"/>
        <v>4</v>
      </c>
      <c r="E858" s="7">
        <f t="shared" si="99"/>
        <v>3</v>
      </c>
      <c r="F858" s="7" t="e">
        <f t="shared" si="99"/>
        <v>#N/A</v>
      </c>
      <c r="G858" s="7" t="e">
        <f t="shared" si="99"/>
        <v>#N/A</v>
      </c>
    </row>
    <row r="859" spans="2:7">
      <c r="B859" s="67">
        <f t="shared" si="97"/>
        <v>43953</v>
      </c>
      <c r="C859" s="7">
        <f t="shared" si="99"/>
        <v>5</v>
      </c>
      <c r="D859" s="7">
        <f t="shared" si="99"/>
        <v>4</v>
      </c>
      <c r="E859" s="7">
        <f t="shared" si="99"/>
        <v>3</v>
      </c>
      <c r="F859" s="7" t="e">
        <f t="shared" si="99"/>
        <v>#N/A</v>
      </c>
      <c r="G859" s="7" t="e">
        <f t="shared" si="99"/>
        <v>#N/A</v>
      </c>
    </row>
    <row r="860" spans="2:7">
      <c r="B860" s="67">
        <f t="shared" si="97"/>
        <v>43954</v>
      </c>
      <c r="C860" s="7">
        <f t="shared" si="99"/>
        <v>5</v>
      </c>
      <c r="D860" s="7">
        <f t="shared" si="99"/>
        <v>4</v>
      </c>
      <c r="E860" s="7">
        <f t="shared" si="99"/>
        <v>3</v>
      </c>
      <c r="F860" s="7" t="e">
        <f t="shared" si="99"/>
        <v>#N/A</v>
      </c>
      <c r="G860" s="7" t="e">
        <f t="shared" si="99"/>
        <v>#N/A</v>
      </c>
    </row>
    <row r="861" spans="2:7">
      <c r="B861" s="67">
        <f t="shared" si="97"/>
        <v>43955</v>
      </c>
      <c r="C861" s="7">
        <f t="shared" si="99"/>
        <v>5</v>
      </c>
      <c r="D861" s="7">
        <f t="shared" si="99"/>
        <v>4</v>
      </c>
      <c r="E861" s="7">
        <f t="shared" si="99"/>
        <v>3</v>
      </c>
      <c r="F861" s="7" t="e">
        <f t="shared" si="99"/>
        <v>#N/A</v>
      </c>
      <c r="G861" s="7" t="e">
        <f t="shared" si="99"/>
        <v>#N/A</v>
      </c>
    </row>
    <row r="862" spans="2:7">
      <c r="B862" s="67">
        <f t="shared" si="97"/>
        <v>43956</v>
      </c>
      <c r="C862" s="7">
        <f t="shared" si="99"/>
        <v>5</v>
      </c>
      <c r="D862" s="7">
        <f t="shared" si="99"/>
        <v>4</v>
      </c>
      <c r="E862" s="7">
        <f t="shared" si="99"/>
        <v>3</v>
      </c>
      <c r="F862" s="7" t="e">
        <f t="shared" si="99"/>
        <v>#N/A</v>
      </c>
      <c r="G862" s="7" t="e">
        <f t="shared" si="99"/>
        <v>#N/A</v>
      </c>
    </row>
    <row r="863" spans="2:7">
      <c r="B863" s="67">
        <f t="shared" si="97"/>
        <v>43957</v>
      </c>
      <c r="C863" s="7">
        <f t="shared" si="99"/>
        <v>5</v>
      </c>
      <c r="D863" s="7">
        <f t="shared" si="99"/>
        <v>4</v>
      </c>
      <c r="E863" s="7">
        <f t="shared" si="99"/>
        <v>3</v>
      </c>
      <c r="F863" s="7" t="e">
        <f t="shared" si="99"/>
        <v>#N/A</v>
      </c>
      <c r="G863" s="7" t="e">
        <f t="shared" si="99"/>
        <v>#N/A</v>
      </c>
    </row>
    <row r="864" spans="2:7">
      <c r="B864" s="67">
        <f t="shared" si="97"/>
        <v>43958</v>
      </c>
      <c r="C864" s="7">
        <f t="shared" si="99"/>
        <v>5</v>
      </c>
      <c r="D864" s="7">
        <f t="shared" si="99"/>
        <v>4</v>
      </c>
      <c r="E864" s="7">
        <f t="shared" si="99"/>
        <v>3</v>
      </c>
      <c r="F864" s="7" t="e">
        <f t="shared" si="99"/>
        <v>#N/A</v>
      </c>
      <c r="G864" s="7" t="e">
        <f t="shared" si="99"/>
        <v>#N/A</v>
      </c>
    </row>
    <row r="865" spans="2:7">
      <c r="B865" s="67">
        <f t="shared" si="97"/>
        <v>43959</v>
      </c>
      <c r="C865" s="7">
        <f t="shared" si="99"/>
        <v>5</v>
      </c>
      <c r="D865" s="7">
        <f t="shared" si="99"/>
        <v>4</v>
      </c>
      <c r="E865" s="7">
        <f t="shared" si="99"/>
        <v>3</v>
      </c>
      <c r="F865" s="7" t="e">
        <f t="shared" si="99"/>
        <v>#N/A</v>
      </c>
      <c r="G865" s="7" t="e">
        <f t="shared" si="99"/>
        <v>#N/A</v>
      </c>
    </row>
    <row r="866" spans="2:7">
      <c r="B866" s="67">
        <f t="shared" si="97"/>
        <v>43960</v>
      </c>
      <c r="C866" s="7">
        <f t="shared" si="99"/>
        <v>5</v>
      </c>
      <c r="D866" s="7">
        <f t="shared" si="99"/>
        <v>4</v>
      </c>
      <c r="E866" s="7">
        <f t="shared" si="99"/>
        <v>3</v>
      </c>
      <c r="F866" s="7" t="e">
        <f t="shared" si="99"/>
        <v>#N/A</v>
      </c>
      <c r="G866" s="7" t="e">
        <f t="shared" si="99"/>
        <v>#N/A</v>
      </c>
    </row>
    <row r="867" spans="2:7">
      <c r="B867" s="67">
        <f t="shared" si="97"/>
        <v>43961</v>
      </c>
      <c r="C867" s="7">
        <f t="shared" ref="C867:G876" si="100">IF(AND($B867&gt;=C$3,$B867&lt;=C$4),C$5,NA())</f>
        <v>5</v>
      </c>
      <c r="D867" s="7">
        <f t="shared" si="100"/>
        <v>4</v>
      </c>
      <c r="E867" s="7">
        <f t="shared" si="100"/>
        <v>3</v>
      </c>
      <c r="F867" s="7" t="e">
        <f t="shared" si="100"/>
        <v>#N/A</v>
      </c>
      <c r="G867" s="7" t="e">
        <f t="shared" si="100"/>
        <v>#N/A</v>
      </c>
    </row>
    <row r="868" spans="2:7">
      <c r="B868" s="67">
        <f t="shared" si="97"/>
        <v>43962</v>
      </c>
      <c r="C868" s="7">
        <f t="shared" si="100"/>
        <v>5</v>
      </c>
      <c r="D868" s="7">
        <f t="shared" si="100"/>
        <v>4</v>
      </c>
      <c r="E868" s="7">
        <f t="shared" si="100"/>
        <v>3</v>
      </c>
      <c r="F868" s="7" t="e">
        <f t="shared" si="100"/>
        <v>#N/A</v>
      </c>
      <c r="G868" s="7" t="e">
        <f t="shared" si="100"/>
        <v>#N/A</v>
      </c>
    </row>
    <row r="869" spans="2:7">
      <c r="B869" s="67">
        <f t="shared" si="97"/>
        <v>43963</v>
      </c>
      <c r="C869" s="7">
        <f t="shared" si="100"/>
        <v>5</v>
      </c>
      <c r="D869" s="7">
        <f t="shared" si="100"/>
        <v>4</v>
      </c>
      <c r="E869" s="7">
        <f t="shared" si="100"/>
        <v>3</v>
      </c>
      <c r="F869" s="7" t="e">
        <f t="shared" si="100"/>
        <v>#N/A</v>
      </c>
      <c r="G869" s="7" t="e">
        <f t="shared" si="100"/>
        <v>#N/A</v>
      </c>
    </row>
    <row r="870" spans="2:7">
      <c r="B870" s="67">
        <f t="shared" si="97"/>
        <v>43964</v>
      </c>
      <c r="C870" s="7">
        <f t="shared" si="100"/>
        <v>5</v>
      </c>
      <c r="D870" s="7">
        <f t="shared" si="100"/>
        <v>4</v>
      </c>
      <c r="E870" s="7">
        <f t="shared" si="100"/>
        <v>3</v>
      </c>
      <c r="F870" s="7" t="e">
        <f t="shared" si="100"/>
        <v>#N/A</v>
      </c>
      <c r="G870" s="7" t="e">
        <f t="shared" si="100"/>
        <v>#N/A</v>
      </c>
    </row>
    <row r="871" spans="2:7">
      <c r="B871" s="67">
        <f t="shared" si="97"/>
        <v>43965</v>
      </c>
      <c r="C871" s="7">
        <f t="shared" si="100"/>
        <v>5</v>
      </c>
      <c r="D871" s="7">
        <f t="shared" si="100"/>
        <v>4</v>
      </c>
      <c r="E871" s="7">
        <f t="shared" si="100"/>
        <v>3</v>
      </c>
      <c r="F871" s="7" t="e">
        <f t="shared" si="100"/>
        <v>#N/A</v>
      </c>
      <c r="G871" s="7" t="e">
        <f t="shared" si="100"/>
        <v>#N/A</v>
      </c>
    </row>
    <row r="872" spans="2:7">
      <c r="B872" s="67">
        <f t="shared" si="97"/>
        <v>43966</v>
      </c>
      <c r="C872" s="7">
        <f t="shared" si="100"/>
        <v>5</v>
      </c>
      <c r="D872" s="7">
        <f t="shared" si="100"/>
        <v>4</v>
      </c>
      <c r="E872" s="7">
        <f t="shared" si="100"/>
        <v>3</v>
      </c>
      <c r="F872" s="7" t="e">
        <f t="shared" si="100"/>
        <v>#N/A</v>
      </c>
      <c r="G872" s="7" t="e">
        <f t="shared" si="100"/>
        <v>#N/A</v>
      </c>
    </row>
    <row r="873" spans="2:7">
      <c r="B873" s="67">
        <f t="shared" si="97"/>
        <v>43967</v>
      </c>
      <c r="C873" s="7">
        <f t="shared" si="100"/>
        <v>5</v>
      </c>
      <c r="D873" s="7">
        <f t="shared" si="100"/>
        <v>4</v>
      </c>
      <c r="E873" s="7">
        <f t="shared" si="100"/>
        <v>3</v>
      </c>
      <c r="F873" s="7" t="e">
        <f t="shared" si="100"/>
        <v>#N/A</v>
      </c>
      <c r="G873" s="7" t="e">
        <f t="shared" si="100"/>
        <v>#N/A</v>
      </c>
    </row>
    <row r="874" spans="2:7">
      <c r="B874" s="67">
        <f t="shared" si="97"/>
        <v>43968</v>
      </c>
      <c r="C874" s="7">
        <f t="shared" si="100"/>
        <v>5</v>
      </c>
      <c r="D874" s="7">
        <f t="shared" si="100"/>
        <v>4</v>
      </c>
      <c r="E874" s="7">
        <f t="shared" si="100"/>
        <v>3</v>
      </c>
      <c r="F874" s="7" t="e">
        <f t="shared" si="100"/>
        <v>#N/A</v>
      </c>
      <c r="G874" s="7" t="e">
        <f t="shared" si="100"/>
        <v>#N/A</v>
      </c>
    </row>
    <row r="875" spans="2:7">
      <c r="B875" s="67">
        <f t="shared" si="97"/>
        <v>43969</v>
      </c>
      <c r="C875" s="7">
        <f t="shared" si="100"/>
        <v>5</v>
      </c>
      <c r="D875" s="7">
        <f t="shared" si="100"/>
        <v>4</v>
      </c>
      <c r="E875" s="7">
        <f t="shared" si="100"/>
        <v>3</v>
      </c>
      <c r="F875" s="7" t="e">
        <f t="shared" si="100"/>
        <v>#N/A</v>
      </c>
      <c r="G875" s="7" t="e">
        <f t="shared" si="100"/>
        <v>#N/A</v>
      </c>
    </row>
    <row r="876" spans="2:7">
      <c r="B876" s="67">
        <f t="shared" si="97"/>
        <v>43970</v>
      </c>
      <c r="C876" s="7">
        <f t="shared" si="100"/>
        <v>5</v>
      </c>
      <c r="D876" s="7">
        <f t="shared" si="100"/>
        <v>4</v>
      </c>
      <c r="E876" s="7">
        <f t="shared" si="100"/>
        <v>3</v>
      </c>
      <c r="F876" s="7" t="e">
        <f t="shared" si="100"/>
        <v>#N/A</v>
      </c>
      <c r="G876" s="7" t="e">
        <f t="shared" si="100"/>
        <v>#N/A</v>
      </c>
    </row>
    <row r="877" spans="2:7">
      <c r="B877" s="67">
        <f t="shared" si="97"/>
        <v>43971</v>
      </c>
      <c r="C877" s="7">
        <f t="shared" ref="C877:G886" si="101">IF(AND($B877&gt;=C$3,$B877&lt;=C$4),C$5,NA())</f>
        <v>5</v>
      </c>
      <c r="D877" s="7">
        <f t="shared" si="101"/>
        <v>4</v>
      </c>
      <c r="E877" s="7">
        <f t="shared" si="101"/>
        <v>3</v>
      </c>
      <c r="F877" s="7" t="e">
        <f t="shared" si="101"/>
        <v>#N/A</v>
      </c>
      <c r="G877" s="7" t="e">
        <f t="shared" si="101"/>
        <v>#N/A</v>
      </c>
    </row>
    <row r="878" spans="2:7">
      <c r="B878" s="67">
        <f t="shared" si="97"/>
        <v>43972</v>
      </c>
      <c r="C878" s="7">
        <f t="shared" si="101"/>
        <v>5</v>
      </c>
      <c r="D878" s="7">
        <f t="shared" si="101"/>
        <v>4</v>
      </c>
      <c r="E878" s="7">
        <f t="shared" si="101"/>
        <v>3</v>
      </c>
      <c r="F878" s="7" t="e">
        <f t="shared" si="101"/>
        <v>#N/A</v>
      </c>
      <c r="G878" s="7" t="e">
        <f t="shared" si="101"/>
        <v>#N/A</v>
      </c>
    </row>
    <row r="879" spans="2:7">
      <c r="B879" s="67">
        <f t="shared" si="97"/>
        <v>43973</v>
      </c>
      <c r="C879" s="7">
        <f t="shared" si="101"/>
        <v>5</v>
      </c>
      <c r="D879" s="7">
        <f t="shared" si="101"/>
        <v>4</v>
      </c>
      <c r="E879" s="7">
        <f t="shared" si="101"/>
        <v>3</v>
      </c>
      <c r="F879" s="7" t="e">
        <f t="shared" si="101"/>
        <v>#N/A</v>
      </c>
      <c r="G879" s="7" t="e">
        <f t="shared" si="101"/>
        <v>#N/A</v>
      </c>
    </row>
    <row r="880" spans="2:7">
      <c r="B880" s="67">
        <f t="shared" si="97"/>
        <v>43974</v>
      </c>
      <c r="C880" s="7">
        <f t="shared" si="101"/>
        <v>5</v>
      </c>
      <c r="D880" s="7">
        <f t="shared" si="101"/>
        <v>4</v>
      </c>
      <c r="E880" s="7">
        <f t="shared" si="101"/>
        <v>3</v>
      </c>
      <c r="F880" s="7" t="e">
        <f t="shared" si="101"/>
        <v>#N/A</v>
      </c>
      <c r="G880" s="7" t="e">
        <f t="shared" si="101"/>
        <v>#N/A</v>
      </c>
    </row>
    <row r="881" spans="2:7">
      <c r="B881" s="67">
        <f t="shared" si="97"/>
        <v>43975</v>
      </c>
      <c r="C881" s="7">
        <f t="shared" si="101"/>
        <v>5</v>
      </c>
      <c r="D881" s="7">
        <f t="shared" si="101"/>
        <v>4</v>
      </c>
      <c r="E881" s="7">
        <f t="shared" si="101"/>
        <v>3</v>
      </c>
      <c r="F881" s="7" t="e">
        <f t="shared" si="101"/>
        <v>#N/A</v>
      </c>
      <c r="G881" s="7" t="e">
        <f t="shared" si="101"/>
        <v>#N/A</v>
      </c>
    </row>
    <row r="882" spans="2:7">
      <c r="B882" s="67">
        <f t="shared" si="97"/>
        <v>43976</v>
      </c>
      <c r="C882" s="7">
        <f t="shared" si="101"/>
        <v>5</v>
      </c>
      <c r="D882" s="7">
        <f t="shared" si="101"/>
        <v>4</v>
      </c>
      <c r="E882" s="7">
        <f t="shared" si="101"/>
        <v>3</v>
      </c>
      <c r="F882" s="7" t="e">
        <f t="shared" si="101"/>
        <v>#N/A</v>
      </c>
      <c r="G882" s="7" t="e">
        <f t="shared" si="101"/>
        <v>#N/A</v>
      </c>
    </row>
    <row r="883" spans="2:7">
      <c r="B883" s="67">
        <f t="shared" si="97"/>
        <v>43977</v>
      </c>
      <c r="C883" s="7">
        <f t="shared" si="101"/>
        <v>5</v>
      </c>
      <c r="D883" s="7">
        <f t="shared" si="101"/>
        <v>4</v>
      </c>
      <c r="E883" s="7">
        <f t="shared" si="101"/>
        <v>3</v>
      </c>
      <c r="F883" s="7" t="e">
        <f t="shared" si="101"/>
        <v>#N/A</v>
      </c>
      <c r="G883" s="7" t="e">
        <f t="shared" si="101"/>
        <v>#N/A</v>
      </c>
    </row>
    <row r="884" spans="2:7">
      <c r="B884" s="67">
        <f t="shared" si="97"/>
        <v>43978</v>
      </c>
      <c r="C884" s="7">
        <f t="shared" si="101"/>
        <v>5</v>
      </c>
      <c r="D884" s="7">
        <f t="shared" si="101"/>
        <v>4</v>
      </c>
      <c r="E884" s="7">
        <f t="shared" si="101"/>
        <v>3</v>
      </c>
      <c r="F884" s="7" t="e">
        <f t="shared" si="101"/>
        <v>#N/A</v>
      </c>
      <c r="G884" s="7" t="e">
        <f t="shared" si="101"/>
        <v>#N/A</v>
      </c>
    </row>
    <row r="885" spans="2:7">
      <c r="B885" s="67">
        <f t="shared" si="97"/>
        <v>43979</v>
      </c>
      <c r="C885" s="7">
        <f t="shared" si="101"/>
        <v>5</v>
      </c>
      <c r="D885" s="7">
        <f t="shared" si="101"/>
        <v>4</v>
      </c>
      <c r="E885" s="7">
        <f t="shared" si="101"/>
        <v>3</v>
      </c>
      <c r="F885" s="7" t="e">
        <f t="shared" si="101"/>
        <v>#N/A</v>
      </c>
      <c r="G885" s="7" t="e">
        <f t="shared" si="101"/>
        <v>#N/A</v>
      </c>
    </row>
    <row r="886" spans="2:7">
      <c r="B886" s="67">
        <f t="shared" si="97"/>
        <v>43980</v>
      </c>
      <c r="C886" s="7">
        <f t="shared" si="101"/>
        <v>5</v>
      </c>
      <c r="D886" s="7">
        <f t="shared" si="101"/>
        <v>4</v>
      </c>
      <c r="E886" s="7">
        <f t="shared" si="101"/>
        <v>3</v>
      </c>
      <c r="F886" s="7" t="e">
        <f t="shared" si="101"/>
        <v>#N/A</v>
      </c>
      <c r="G886" s="7" t="e">
        <f t="shared" si="101"/>
        <v>#N/A</v>
      </c>
    </row>
    <row r="887" spans="2:7">
      <c r="B887" s="67">
        <f t="shared" si="97"/>
        <v>43981</v>
      </c>
      <c r="C887" s="7">
        <f t="shared" ref="C887:G896" si="102">IF(AND($B887&gt;=C$3,$B887&lt;=C$4),C$5,NA())</f>
        <v>5</v>
      </c>
      <c r="D887" s="7">
        <f t="shared" si="102"/>
        <v>4</v>
      </c>
      <c r="E887" s="7">
        <f t="shared" si="102"/>
        <v>3</v>
      </c>
      <c r="F887" s="7" t="e">
        <f t="shared" si="102"/>
        <v>#N/A</v>
      </c>
      <c r="G887" s="7" t="e">
        <f t="shared" si="102"/>
        <v>#N/A</v>
      </c>
    </row>
    <row r="888" spans="2:7">
      <c r="B888" s="67">
        <f t="shared" si="97"/>
        <v>43982</v>
      </c>
      <c r="C888" s="7">
        <f t="shared" si="102"/>
        <v>5</v>
      </c>
      <c r="D888" s="7">
        <f t="shared" si="102"/>
        <v>4</v>
      </c>
      <c r="E888" s="7">
        <f t="shared" si="102"/>
        <v>3</v>
      </c>
      <c r="F888" s="7" t="e">
        <f t="shared" si="102"/>
        <v>#N/A</v>
      </c>
      <c r="G888" s="7" t="e">
        <f t="shared" si="102"/>
        <v>#N/A</v>
      </c>
    </row>
    <row r="889" spans="2:7">
      <c r="B889" s="67">
        <f t="shared" si="97"/>
        <v>43983</v>
      </c>
      <c r="C889" s="7">
        <f t="shared" si="102"/>
        <v>5</v>
      </c>
      <c r="D889" s="7">
        <f t="shared" si="102"/>
        <v>4</v>
      </c>
      <c r="E889" s="7">
        <f t="shared" si="102"/>
        <v>3</v>
      </c>
      <c r="F889" s="7" t="e">
        <f t="shared" si="102"/>
        <v>#N/A</v>
      </c>
      <c r="G889" s="7" t="e">
        <f t="shared" si="102"/>
        <v>#N/A</v>
      </c>
    </row>
    <row r="890" spans="2:7">
      <c r="B890" s="67">
        <f t="shared" si="97"/>
        <v>43984</v>
      </c>
      <c r="C890" s="7">
        <f t="shared" si="102"/>
        <v>5</v>
      </c>
      <c r="D890" s="7">
        <f t="shared" si="102"/>
        <v>4</v>
      </c>
      <c r="E890" s="7">
        <f t="shared" si="102"/>
        <v>3</v>
      </c>
      <c r="F890" s="7" t="e">
        <f t="shared" si="102"/>
        <v>#N/A</v>
      </c>
      <c r="G890" s="7" t="e">
        <f t="shared" si="102"/>
        <v>#N/A</v>
      </c>
    </row>
    <row r="891" spans="2:7">
      <c r="B891" s="67">
        <f t="shared" si="97"/>
        <v>43985</v>
      </c>
      <c r="C891" s="7">
        <f t="shared" si="102"/>
        <v>5</v>
      </c>
      <c r="D891" s="7">
        <f t="shared" si="102"/>
        <v>4</v>
      </c>
      <c r="E891" s="7">
        <f t="shared" si="102"/>
        <v>3</v>
      </c>
      <c r="F891" s="7" t="e">
        <f t="shared" si="102"/>
        <v>#N/A</v>
      </c>
      <c r="G891" s="7" t="e">
        <f t="shared" si="102"/>
        <v>#N/A</v>
      </c>
    </row>
    <row r="892" spans="2:7">
      <c r="B892" s="67">
        <f t="shared" si="97"/>
        <v>43986</v>
      </c>
      <c r="C892" s="7">
        <f t="shared" si="102"/>
        <v>5</v>
      </c>
      <c r="D892" s="7">
        <f t="shared" si="102"/>
        <v>4</v>
      </c>
      <c r="E892" s="7">
        <f t="shared" si="102"/>
        <v>3</v>
      </c>
      <c r="F892" s="7" t="e">
        <f t="shared" si="102"/>
        <v>#N/A</v>
      </c>
      <c r="G892" s="7" t="e">
        <f t="shared" si="102"/>
        <v>#N/A</v>
      </c>
    </row>
    <row r="893" spans="2:7">
      <c r="B893" s="67">
        <f t="shared" si="97"/>
        <v>43987</v>
      </c>
      <c r="C893" s="7">
        <f t="shared" si="102"/>
        <v>5</v>
      </c>
      <c r="D893" s="7">
        <f t="shared" si="102"/>
        <v>4</v>
      </c>
      <c r="E893" s="7">
        <f t="shared" si="102"/>
        <v>3</v>
      </c>
      <c r="F893" s="7" t="e">
        <f t="shared" si="102"/>
        <v>#N/A</v>
      </c>
      <c r="G893" s="7" t="e">
        <f t="shared" si="102"/>
        <v>#N/A</v>
      </c>
    </row>
    <row r="894" spans="2:7">
      <c r="B894" s="67">
        <f t="shared" si="97"/>
        <v>43988</v>
      </c>
      <c r="C894" s="7">
        <f t="shared" si="102"/>
        <v>5</v>
      </c>
      <c r="D894" s="7">
        <f t="shared" si="102"/>
        <v>4</v>
      </c>
      <c r="E894" s="7">
        <f t="shared" si="102"/>
        <v>3</v>
      </c>
      <c r="F894" s="7" t="e">
        <f t="shared" si="102"/>
        <v>#N/A</v>
      </c>
      <c r="G894" s="7" t="e">
        <f t="shared" si="102"/>
        <v>#N/A</v>
      </c>
    </row>
    <row r="895" spans="2:7">
      <c r="B895" s="67">
        <f t="shared" si="97"/>
        <v>43989</v>
      </c>
      <c r="C895" s="7">
        <f t="shared" si="102"/>
        <v>5</v>
      </c>
      <c r="D895" s="7">
        <f t="shared" si="102"/>
        <v>4</v>
      </c>
      <c r="E895" s="7">
        <f t="shared" si="102"/>
        <v>3</v>
      </c>
      <c r="F895" s="7" t="e">
        <f t="shared" si="102"/>
        <v>#N/A</v>
      </c>
      <c r="G895" s="7" t="e">
        <f t="shared" si="102"/>
        <v>#N/A</v>
      </c>
    </row>
    <row r="896" spans="2:7">
      <c r="B896" s="67">
        <f t="shared" si="97"/>
        <v>43990</v>
      </c>
      <c r="C896" s="7">
        <f t="shared" si="102"/>
        <v>5</v>
      </c>
      <c r="D896" s="7">
        <f t="shared" si="102"/>
        <v>4</v>
      </c>
      <c r="E896" s="7">
        <f t="shared" si="102"/>
        <v>3</v>
      </c>
      <c r="F896" s="7" t="e">
        <f t="shared" si="102"/>
        <v>#N/A</v>
      </c>
      <c r="G896" s="7" t="e">
        <f t="shared" si="102"/>
        <v>#N/A</v>
      </c>
    </row>
    <row r="897" spans="2:7">
      <c r="B897" s="67">
        <f t="shared" si="97"/>
        <v>43991</v>
      </c>
      <c r="C897" s="7">
        <f t="shared" ref="C897:G906" si="103">IF(AND($B897&gt;=C$3,$B897&lt;=C$4),C$5,NA())</f>
        <v>5</v>
      </c>
      <c r="D897" s="7">
        <f t="shared" si="103"/>
        <v>4</v>
      </c>
      <c r="E897" s="7">
        <f t="shared" si="103"/>
        <v>3</v>
      </c>
      <c r="F897" s="7" t="e">
        <f t="shared" si="103"/>
        <v>#N/A</v>
      </c>
      <c r="G897" s="7" t="e">
        <f t="shared" si="103"/>
        <v>#N/A</v>
      </c>
    </row>
    <row r="898" spans="2:7">
      <c r="B898" s="67">
        <f t="shared" si="97"/>
        <v>43992</v>
      </c>
      <c r="C898" s="7">
        <f t="shared" si="103"/>
        <v>5</v>
      </c>
      <c r="D898" s="7">
        <f t="shared" si="103"/>
        <v>4</v>
      </c>
      <c r="E898" s="7">
        <f t="shared" si="103"/>
        <v>3</v>
      </c>
      <c r="F898" s="7" t="e">
        <f t="shared" si="103"/>
        <v>#N/A</v>
      </c>
      <c r="G898" s="7" t="e">
        <f t="shared" si="103"/>
        <v>#N/A</v>
      </c>
    </row>
    <row r="899" spans="2:7">
      <c r="B899" s="67">
        <f t="shared" si="97"/>
        <v>43993</v>
      </c>
      <c r="C899" s="7">
        <f t="shared" si="103"/>
        <v>5</v>
      </c>
      <c r="D899" s="7">
        <f t="shared" si="103"/>
        <v>4</v>
      </c>
      <c r="E899" s="7">
        <f t="shared" si="103"/>
        <v>3</v>
      </c>
      <c r="F899" s="7" t="e">
        <f t="shared" si="103"/>
        <v>#N/A</v>
      </c>
      <c r="G899" s="7" t="e">
        <f t="shared" si="103"/>
        <v>#N/A</v>
      </c>
    </row>
    <row r="900" spans="2:7">
      <c r="B900" s="67">
        <f t="shared" si="97"/>
        <v>43994</v>
      </c>
      <c r="C900" s="7">
        <f t="shared" si="103"/>
        <v>5</v>
      </c>
      <c r="D900" s="7">
        <f t="shared" si="103"/>
        <v>4</v>
      </c>
      <c r="E900" s="7">
        <f t="shared" si="103"/>
        <v>3</v>
      </c>
      <c r="F900" s="7" t="e">
        <f t="shared" si="103"/>
        <v>#N/A</v>
      </c>
      <c r="G900" s="7" t="e">
        <f t="shared" si="103"/>
        <v>#N/A</v>
      </c>
    </row>
    <row r="901" spans="2:7">
      <c r="B901" s="67">
        <f t="shared" si="97"/>
        <v>43995</v>
      </c>
      <c r="C901" s="7">
        <f t="shared" si="103"/>
        <v>5</v>
      </c>
      <c r="D901" s="7">
        <f t="shared" si="103"/>
        <v>4</v>
      </c>
      <c r="E901" s="7">
        <f t="shared" si="103"/>
        <v>3</v>
      </c>
      <c r="F901" s="7" t="e">
        <f t="shared" si="103"/>
        <v>#N/A</v>
      </c>
      <c r="G901" s="7" t="e">
        <f t="shared" si="103"/>
        <v>#N/A</v>
      </c>
    </row>
    <row r="902" spans="2:7">
      <c r="B902" s="67">
        <f t="shared" si="97"/>
        <v>43996</v>
      </c>
      <c r="C902" s="7">
        <f t="shared" si="103"/>
        <v>5</v>
      </c>
      <c r="D902" s="7">
        <f t="shared" si="103"/>
        <v>4</v>
      </c>
      <c r="E902" s="7">
        <f t="shared" si="103"/>
        <v>3</v>
      </c>
      <c r="F902" s="7" t="e">
        <f t="shared" si="103"/>
        <v>#N/A</v>
      </c>
      <c r="G902" s="7" t="e">
        <f t="shared" si="103"/>
        <v>#N/A</v>
      </c>
    </row>
    <row r="903" spans="2:7">
      <c r="B903" s="67">
        <f t="shared" si="97"/>
        <v>43997</v>
      </c>
      <c r="C903" s="7">
        <f t="shared" si="103"/>
        <v>5</v>
      </c>
      <c r="D903" s="7">
        <f t="shared" si="103"/>
        <v>4</v>
      </c>
      <c r="E903" s="7">
        <f t="shared" si="103"/>
        <v>3</v>
      </c>
      <c r="F903" s="7" t="e">
        <f t="shared" si="103"/>
        <v>#N/A</v>
      </c>
      <c r="G903" s="7" t="e">
        <f t="shared" si="103"/>
        <v>#N/A</v>
      </c>
    </row>
    <row r="904" spans="2:7">
      <c r="B904" s="67">
        <f t="shared" ref="B904:B967" si="104">B903+1</f>
        <v>43998</v>
      </c>
      <c r="C904" s="7">
        <f t="shared" si="103"/>
        <v>5</v>
      </c>
      <c r="D904" s="7">
        <f t="shared" si="103"/>
        <v>4</v>
      </c>
      <c r="E904" s="7">
        <f t="shared" si="103"/>
        <v>3</v>
      </c>
      <c r="F904" s="7" t="e">
        <f t="shared" si="103"/>
        <v>#N/A</v>
      </c>
      <c r="G904" s="7" t="e">
        <f t="shared" si="103"/>
        <v>#N/A</v>
      </c>
    </row>
    <row r="905" spans="2:7">
      <c r="B905" s="67">
        <f t="shared" si="104"/>
        <v>43999</v>
      </c>
      <c r="C905" s="7">
        <f t="shared" si="103"/>
        <v>5</v>
      </c>
      <c r="D905" s="7">
        <f t="shared" si="103"/>
        <v>4</v>
      </c>
      <c r="E905" s="7">
        <f t="shared" si="103"/>
        <v>3</v>
      </c>
      <c r="F905" s="7" t="e">
        <f t="shared" si="103"/>
        <v>#N/A</v>
      </c>
      <c r="G905" s="7" t="e">
        <f t="shared" si="103"/>
        <v>#N/A</v>
      </c>
    </row>
    <row r="906" spans="2:7">
      <c r="B906" s="67">
        <f t="shared" si="104"/>
        <v>44000</v>
      </c>
      <c r="C906" s="7">
        <f t="shared" si="103"/>
        <v>5</v>
      </c>
      <c r="D906" s="7">
        <f t="shared" si="103"/>
        <v>4</v>
      </c>
      <c r="E906" s="7">
        <f t="shared" si="103"/>
        <v>3</v>
      </c>
      <c r="F906" s="7" t="e">
        <f t="shared" si="103"/>
        <v>#N/A</v>
      </c>
      <c r="G906" s="7" t="e">
        <f t="shared" si="103"/>
        <v>#N/A</v>
      </c>
    </row>
    <row r="907" spans="2:7">
      <c r="B907" s="67">
        <f t="shared" si="104"/>
        <v>44001</v>
      </c>
      <c r="C907" s="7">
        <f t="shared" ref="C907:G916" si="105">IF(AND($B907&gt;=C$3,$B907&lt;=C$4),C$5,NA())</f>
        <v>5</v>
      </c>
      <c r="D907" s="7">
        <f t="shared" si="105"/>
        <v>4</v>
      </c>
      <c r="E907" s="7">
        <f t="shared" si="105"/>
        <v>3</v>
      </c>
      <c r="F907" s="7" t="e">
        <f t="shared" si="105"/>
        <v>#N/A</v>
      </c>
      <c r="G907" s="7" t="e">
        <f t="shared" si="105"/>
        <v>#N/A</v>
      </c>
    </row>
    <row r="908" spans="2:7">
      <c r="B908" s="67">
        <f t="shared" si="104"/>
        <v>44002</v>
      </c>
      <c r="C908" s="7">
        <f t="shared" si="105"/>
        <v>5</v>
      </c>
      <c r="D908" s="7">
        <f t="shared" si="105"/>
        <v>4</v>
      </c>
      <c r="E908" s="7">
        <f t="shared" si="105"/>
        <v>3</v>
      </c>
      <c r="F908" s="7" t="e">
        <f t="shared" si="105"/>
        <v>#N/A</v>
      </c>
      <c r="G908" s="7" t="e">
        <f t="shared" si="105"/>
        <v>#N/A</v>
      </c>
    </row>
    <row r="909" spans="2:7">
      <c r="B909" s="67">
        <f t="shared" si="104"/>
        <v>44003</v>
      </c>
      <c r="C909" s="7">
        <f t="shared" si="105"/>
        <v>5</v>
      </c>
      <c r="D909" s="7">
        <f t="shared" si="105"/>
        <v>4</v>
      </c>
      <c r="E909" s="7">
        <f t="shared" si="105"/>
        <v>3</v>
      </c>
      <c r="F909" s="7" t="e">
        <f t="shared" si="105"/>
        <v>#N/A</v>
      </c>
      <c r="G909" s="7" t="e">
        <f t="shared" si="105"/>
        <v>#N/A</v>
      </c>
    </row>
    <row r="910" spans="2:7">
      <c r="B910" s="67">
        <f t="shared" si="104"/>
        <v>44004</v>
      </c>
      <c r="C910" s="7">
        <f t="shared" si="105"/>
        <v>5</v>
      </c>
      <c r="D910" s="7">
        <f t="shared" si="105"/>
        <v>4</v>
      </c>
      <c r="E910" s="7">
        <f t="shared" si="105"/>
        <v>3</v>
      </c>
      <c r="F910" s="7" t="e">
        <f t="shared" si="105"/>
        <v>#N/A</v>
      </c>
      <c r="G910" s="7" t="e">
        <f t="shared" si="105"/>
        <v>#N/A</v>
      </c>
    </row>
    <row r="911" spans="2:7">
      <c r="B911" s="67">
        <f t="shared" si="104"/>
        <v>44005</v>
      </c>
      <c r="C911" s="7">
        <f t="shared" si="105"/>
        <v>5</v>
      </c>
      <c r="D911" s="7">
        <f t="shared" si="105"/>
        <v>4</v>
      </c>
      <c r="E911" s="7">
        <f t="shared" si="105"/>
        <v>3</v>
      </c>
      <c r="F911" s="7" t="e">
        <f t="shared" si="105"/>
        <v>#N/A</v>
      </c>
      <c r="G911" s="7" t="e">
        <f t="shared" si="105"/>
        <v>#N/A</v>
      </c>
    </row>
    <row r="912" spans="2:7">
      <c r="B912" s="67">
        <f t="shared" si="104"/>
        <v>44006</v>
      </c>
      <c r="C912" s="7">
        <f t="shared" si="105"/>
        <v>5</v>
      </c>
      <c r="D912" s="7">
        <f t="shared" si="105"/>
        <v>4</v>
      </c>
      <c r="E912" s="7">
        <f t="shared" si="105"/>
        <v>3</v>
      </c>
      <c r="F912" s="7" t="e">
        <f t="shared" si="105"/>
        <v>#N/A</v>
      </c>
      <c r="G912" s="7" t="e">
        <f t="shared" si="105"/>
        <v>#N/A</v>
      </c>
    </row>
    <row r="913" spans="2:7">
      <c r="B913" s="67">
        <f t="shared" si="104"/>
        <v>44007</v>
      </c>
      <c r="C913" s="7">
        <f t="shared" si="105"/>
        <v>5</v>
      </c>
      <c r="D913" s="7">
        <f t="shared" si="105"/>
        <v>4</v>
      </c>
      <c r="E913" s="7">
        <f t="shared" si="105"/>
        <v>3</v>
      </c>
      <c r="F913" s="7" t="e">
        <f t="shared" si="105"/>
        <v>#N/A</v>
      </c>
      <c r="G913" s="7" t="e">
        <f t="shared" si="105"/>
        <v>#N/A</v>
      </c>
    </row>
    <row r="914" spans="2:7">
      <c r="B914" s="67">
        <f t="shared" si="104"/>
        <v>44008</v>
      </c>
      <c r="C914" s="7">
        <f t="shared" si="105"/>
        <v>5</v>
      </c>
      <c r="D914" s="7">
        <f t="shared" si="105"/>
        <v>4</v>
      </c>
      <c r="E914" s="7">
        <f t="shared" si="105"/>
        <v>3</v>
      </c>
      <c r="F914" s="7" t="e">
        <f t="shared" si="105"/>
        <v>#N/A</v>
      </c>
      <c r="G914" s="7" t="e">
        <f t="shared" si="105"/>
        <v>#N/A</v>
      </c>
    </row>
    <row r="915" spans="2:7">
      <c r="B915" s="67">
        <f t="shared" si="104"/>
        <v>44009</v>
      </c>
      <c r="C915" s="7">
        <f t="shared" si="105"/>
        <v>5</v>
      </c>
      <c r="D915" s="7">
        <f t="shared" si="105"/>
        <v>4</v>
      </c>
      <c r="E915" s="7">
        <f t="shared" si="105"/>
        <v>3</v>
      </c>
      <c r="F915" s="7" t="e">
        <f t="shared" si="105"/>
        <v>#N/A</v>
      </c>
      <c r="G915" s="7" t="e">
        <f t="shared" si="105"/>
        <v>#N/A</v>
      </c>
    </row>
    <row r="916" spans="2:7">
      <c r="B916" s="67">
        <f t="shared" si="104"/>
        <v>44010</v>
      </c>
      <c r="C916" s="7">
        <f t="shared" si="105"/>
        <v>5</v>
      </c>
      <c r="D916" s="7">
        <f t="shared" si="105"/>
        <v>4</v>
      </c>
      <c r="E916" s="7">
        <f t="shared" si="105"/>
        <v>3</v>
      </c>
      <c r="F916" s="7" t="e">
        <f t="shared" si="105"/>
        <v>#N/A</v>
      </c>
      <c r="G916" s="7" t="e">
        <f t="shared" si="105"/>
        <v>#N/A</v>
      </c>
    </row>
    <row r="917" spans="2:7">
      <c r="B917" s="67">
        <f t="shared" si="104"/>
        <v>44011</v>
      </c>
      <c r="C917" s="7">
        <f t="shared" ref="C917:G926" si="106">IF(AND($B917&gt;=C$3,$B917&lt;=C$4),C$5,NA())</f>
        <v>5</v>
      </c>
      <c r="D917" s="7">
        <f t="shared" si="106"/>
        <v>4</v>
      </c>
      <c r="E917" s="7">
        <f t="shared" si="106"/>
        <v>3</v>
      </c>
      <c r="F917" s="7" t="e">
        <f t="shared" si="106"/>
        <v>#N/A</v>
      </c>
      <c r="G917" s="7" t="e">
        <f t="shared" si="106"/>
        <v>#N/A</v>
      </c>
    </row>
    <row r="918" spans="2:7">
      <c r="B918" s="67">
        <f t="shared" si="104"/>
        <v>44012</v>
      </c>
      <c r="C918" s="7">
        <f t="shared" si="106"/>
        <v>5</v>
      </c>
      <c r="D918" s="7">
        <f t="shared" si="106"/>
        <v>4</v>
      </c>
      <c r="E918" s="7">
        <f t="shared" si="106"/>
        <v>3</v>
      </c>
      <c r="F918" s="7" t="e">
        <f t="shared" si="106"/>
        <v>#N/A</v>
      </c>
      <c r="G918" s="7" t="e">
        <f t="shared" si="106"/>
        <v>#N/A</v>
      </c>
    </row>
    <row r="919" spans="2:7">
      <c r="B919" s="67">
        <f t="shared" si="104"/>
        <v>44013</v>
      </c>
      <c r="C919" s="7">
        <f t="shared" si="106"/>
        <v>5</v>
      </c>
      <c r="D919" s="7">
        <f t="shared" si="106"/>
        <v>4</v>
      </c>
      <c r="E919" s="7">
        <f t="shared" si="106"/>
        <v>3</v>
      </c>
      <c r="F919" s="7" t="e">
        <f t="shared" si="106"/>
        <v>#N/A</v>
      </c>
      <c r="G919" s="7" t="e">
        <f t="shared" si="106"/>
        <v>#N/A</v>
      </c>
    </row>
    <row r="920" spans="2:7">
      <c r="B920" s="67">
        <f t="shared" si="104"/>
        <v>44014</v>
      </c>
      <c r="C920" s="7" t="e">
        <f t="shared" si="106"/>
        <v>#N/A</v>
      </c>
      <c r="D920" s="7">
        <f t="shared" si="106"/>
        <v>4</v>
      </c>
      <c r="E920" s="7">
        <f t="shared" si="106"/>
        <v>3</v>
      </c>
      <c r="F920" s="7" t="e">
        <f t="shared" si="106"/>
        <v>#N/A</v>
      </c>
      <c r="G920" s="7" t="e">
        <f t="shared" si="106"/>
        <v>#N/A</v>
      </c>
    </row>
    <row r="921" spans="2:7">
      <c r="B921" s="67">
        <f t="shared" si="104"/>
        <v>44015</v>
      </c>
      <c r="C921" s="7" t="e">
        <f t="shared" si="106"/>
        <v>#N/A</v>
      </c>
      <c r="D921" s="7">
        <f t="shared" si="106"/>
        <v>4</v>
      </c>
      <c r="E921" s="7">
        <f t="shared" si="106"/>
        <v>3</v>
      </c>
      <c r="F921" s="7" t="e">
        <f t="shared" si="106"/>
        <v>#N/A</v>
      </c>
      <c r="G921" s="7" t="e">
        <f t="shared" si="106"/>
        <v>#N/A</v>
      </c>
    </row>
    <row r="922" spans="2:7">
      <c r="B922" s="67">
        <f t="shared" si="104"/>
        <v>44016</v>
      </c>
      <c r="C922" s="7" t="e">
        <f t="shared" si="106"/>
        <v>#N/A</v>
      </c>
      <c r="D922" s="7">
        <f t="shared" si="106"/>
        <v>4</v>
      </c>
      <c r="E922" s="7">
        <f t="shared" si="106"/>
        <v>3</v>
      </c>
      <c r="F922" s="7" t="e">
        <f t="shared" si="106"/>
        <v>#N/A</v>
      </c>
      <c r="G922" s="7" t="e">
        <f t="shared" si="106"/>
        <v>#N/A</v>
      </c>
    </row>
    <row r="923" spans="2:7">
      <c r="B923" s="67">
        <f t="shared" si="104"/>
        <v>44017</v>
      </c>
      <c r="C923" s="7" t="e">
        <f t="shared" si="106"/>
        <v>#N/A</v>
      </c>
      <c r="D923" s="7">
        <f t="shared" si="106"/>
        <v>4</v>
      </c>
      <c r="E923" s="7">
        <f t="shared" si="106"/>
        <v>3</v>
      </c>
      <c r="F923" s="7" t="e">
        <f t="shared" si="106"/>
        <v>#N/A</v>
      </c>
      <c r="G923" s="7" t="e">
        <f t="shared" si="106"/>
        <v>#N/A</v>
      </c>
    </row>
    <row r="924" spans="2:7">
      <c r="B924" s="67">
        <f t="shared" si="104"/>
        <v>44018</v>
      </c>
      <c r="C924" s="7" t="e">
        <f t="shared" si="106"/>
        <v>#N/A</v>
      </c>
      <c r="D924" s="7">
        <f t="shared" si="106"/>
        <v>4</v>
      </c>
      <c r="E924" s="7">
        <f t="shared" si="106"/>
        <v>3</v>
      </c>
      <c r="F924" s="7" t="e">
        <f t="shared" si="106"/>
        <v>#N/A</v>
      </c>
      <c r="G924" s="7" t="e">
        <f t="shared" si="106"/>
        <v>#N/A</v>
      </c>
    </row>
    <row r="925" spans="2:7">
      <c r="B925" s="67">
        <f t="shared" si="104"/>
        <v>44019</v>
      </c>
      <c r="C925" s="7" t="e">
        <f t="shared" si="106"/>
        <v>#N/A</v>
      </c>
      <c r="D925" s="7">
        <f t="shared" si="106"/>
        <v>4</v>
      </c>
      <c r="E925" s="7">
        <f t="shared" si="106"/>
        <v>3</v>
      </c>
      <c r="F925" s="7" t="e">
        <f t="shared" si="106"/>
        <v>#N/A</v>
      </c>
      <c r="G925" s="7" t="e">
        <f t="shared" si="106"/>
        <v>#N/A</v>
      </c>
    </row>
    <row r="926" spans="2:7">
      <c r="B926" s="67">
        <f t="shared" si="104"/>
        <v>44020</v>
      </c>
      <c r="C926" s="7" t="e">
        <f t="shared" si="106"/>
        <v>#N/A</v>
      </c>
      <c r="D926" s="7">
        <f t="shared" si="106"/>
        <v>4</v>
      </c>
      <c r="E926" s="7">
        <f t="shared" si="106"/>
        <v>3</v>
      </c>
      <c r="F926" s="7" t="e">
        <f t="shared" si="106"/>
        <v>#N/A</v>
      </c>
      <c r="G926" s="7" t="e">
        <f t="shared" si="106"/>
        <v>#N/A</v>
      </c>
    </row>
    <row r="927" spans="2:7">
      <c r="B927" s="67">
        <f t="shared" si="104"/>
        <v>44021</v>
      </c>
      <c r="C927" s="7" t="e">
        <f t="shared" ref="C927:G936" si="107">IF(AND($B927&gt;=C$3,$B927&lt;=C$4),C$5,NA())</f>
        <v>#N/A</v>
      </c>
      <c r="D927" s="7">
        <f t="shared" si="107"/>
        <v>4</v>
      </c>
      <c r="E927" s="7">
        <f t="shared" si="107"/>
        <v>3</v>
      </c>
      <c r="F927" s="7" t="e">
        <f t="shared" si="107"/>
        <v>#N/A</v>
      </c>
      <c r="G927" s="7" t="e">
        <f t="shared" si="107"/>
        <v>#N/A</v>
      </c>
    </row>
    <row r="928" spans="2:7">
      <c r="B928" s="67">
        <f t="shared" si="104"/>
        <v>44022</v>
      </c>
      <c r="C928" s="7" t="e">
        <f t="shared" si="107"/>
        <v>#N/A</v>
      </c>
      <c r="D928" s="7">
        <f t="shared" si="107"/>
        <v>4</v>
      </c>
      <c r="E928" s="7">
        <f t="shared" si="107"/>
        <v>3</v>
      </c>
      <c r="F928" s="7" t="e">
        <f t="shared" si="107"/>
        <v>#N/A</v>
      </c>
      <c r="G928" s="7" t="e">
        <f t="shared" si="107"/>
        <v>#N/A</v>
      </c>
    </row>
    <row r="929" spans="2:7">
      <c r="B929" s="67">
        <f t="shared" si="104"/>
        <v>44023</v>
      </c>
      <c r="C929" s="7" t="e">
        <f t="shared" si="107"/>
        <v>#N/A</v>
      </c>
      <c r="D929" s="7">
        <f t="shared" si="107"/>
        <v>4</v>
      </c>
      <c r="E929" s="7">
        <f t="shared" si="107"/>
        <v>3</v>
      </c>
      <c r="F929" s="7" t="e">
        <f t="shared" si="107"/>
        <v>#N/A</v>
      </c>
      <c r="G929" s="7" t="e">
        <f t="shared" si="107"/>
        <v>#N/A</v>
      </c>
    </row>
    <row r="930" spans="2:7">
      <c r="B930" s="67">
        <f t="shared" si="104"/>
        <v>44024</v>
      </c>
      <c r="C930" s="7" t="e">
        <f t="shared" si="107"/>
        <v>#N/A</v>
      </c>
      <c r="D930" s="7">
        <f t="shared" si="107"/>
        <v>4</v>
      </c>
      <c r="E930" s="7">
        <f t="shared" si="107"/>
        <v>3</v>
      </c>
      <c r="F930" s="7" t="e">
        <f t="shared" si="107"/>
        <v>#N/A</v>
      </c>
      <c r="G930" s="7" t="e">
        <f t="shared" si="107"/>
        <v>#N/A</v>
      </c>
    </row>
    <row r="931" spans="2:7">
      <c r="B931" s="67">
        <f t="shared" si="104"/>
        <v>44025</v>
      </c>
      <c r="C931" s="7" t="e">
        <f t="shared" si="107"/>
        <v>#N/A</v>
      </c>
      <c r="D931" s="7">
        <f t="shared" si="107"/>
        <v>4</v>
      </c>
      <c r="E931" s="7">
        <f t="shared" si="107"/>
        <v>3</v>
      </c>
      <c r="F931" s="7" t="e">
        <f t="shared" si="107"/>
        <v>#N/A</v>
      </c>
      <c r="G931" s="7" t="e">
        <f t="shared" si="107"/>
        <v>#N/A</v>
      </c>
    </row>
    <row r="932" spans="2:7">
      <c r="B932" s="67">
        <f t="shared" si="104"/>
        <v>44026</v>
      </c>
      <c r="C932" s="7" t="e">
        <f t="shared" si="107"/>
        <v>#N/A</v>
      </c>
      <c r="D932" s="7">
        <f t="shared" si="107"/>
        <v>4</v>
      </c>
      <c r="E932" s="7">
        <f t="shared" si="107"/>
        <v>3</v>
      </c>
      <c r="F932" s="7" t="e">
        <f t="shared" si="107"/>
        <v>#N/A</v>
      </c>
      <c r="G932" s="7" t="e">
        <f t="shared" si="107"/>
        <v>#N/A</v>
      </c>
    </row>
    <row r="933" spans="2:7">
      <c r="B933" s="67">
        <f t="shared" si="104"/>
        <v>44027</v>
      </c>
      <c r="C933" s="7" t="e">
        <f t="shared" si="107"/>
        <v>#N/A</v>
      </c>
      <c r="D933" s="7">
        <f t="shared" si="107"/>
        <v>4</v>
      </c>
      <c r="E933" s="7">
        <f t="shared" si="107"/>
        <v>3</v>
      </c>
      <c r="F933" s="7" t="e">
        <f t="shared" si="107"/>
        <v>#N/A</v>
      </c>
      <c r="G933" s="7" t="e">
        <f t="shared" si="107"/>
        <v>#N/A</v>
      </c>
    </row>
    <row r="934" spans="2:7">
      <c r="B934" s="67">
        <f t="shared" si="104"/>
        <v>44028</v>
      </c>
      <c r="C934" s="7" t="e">
        <f t="shared" si="107"/>
        <v>#N/A</v>
      </c>
      <c r="D934" s="7">
        <f t="shared" si="107"/>
        <v>4</v>
      </c>
      <c r="E934" s="7">
        <f t="shared" si="107"/>
        <v>3</v>
      </c>
      <c r="F934" s="7" t="e">
        <f t="shared" si="107"/>
        <v>#N/A</v>
      </c>
      <c r="G934" s="7" t="e">
        <f t="shared" si="107"/>
        <v>#N/A</v>
      </c>
    </row>
    <row r="935" spans="2:7">
      <c r="B935" s="67">
        <f t="shared" si="104"/>
        <v>44029</v>
      </c>
      <c r="C935" s="7" t="e">
        <f t="shared" si="107"/>
        <v>#N/A</v>
      </c>
      <c r="D935" s="7">
        <f t="shared" si="107"/>
        <v>4</v>
      </c>
      <c r="E935" s="7">
        <f t="shared" si="107"/>
        <v>3</v>
      </c>
      <c r="F935" s="7" t="e">
        <f t="shared" si="107"/>
        <v>#N/A</v>
      </c>
      <c r="G935" s="7" t="e">
        <f t="shared" si="107"/>
        <v>#N/A</v>
      </c>
    </row>
    <row r="936" spans="2:7">
      <c r="B936" s="67">
        <f t="shared" si="104"/>
        <v>44030</v>
      </c>
      <c r="C936" s="7" t="e">
        <f t="shared" si="107"/>
        <v>#N/A</v>
      </c>
      <c r="D936" s="7">
        <f t="shared" si="107"/>
        <v>4</v>
      </c>
      <c r="E936" s="7">
        <f t="shared" si="107"/>
        <v>3</v>
      </c>
      <c r="F936" s="7" t="e">
        <f t="shared" si="107"/>
        <v>#N/A</v>
      </c>
      <c r="G936" s="7" t="e">
        <f t="shared" si="107"/>
        <v>#N/A</v>
      </c>
    </row>
    <row r="937" spans="2:7">
      <c r="B937" s="67">
        <f t="shared" si="104"/>
        <v>44031</v>
      </c>
      <c r="C937" s="7" t="e">
        <f t="shared" ref="C937:G946" si="108">IF(AND($B937&gt;=C$3,$B937&lt;=C$4),C$5,NA())</f>
        <v>#N/A</v>
      </c>
      <c r="D937" s="7">
        <f t="shared" si="108"/>
        <v>4</v>
      </c>
      <c r="E937" s="7">
        <f t="shared" si="108"/>
        <v>3</v>
      </c>
      <c r="F937" s="7" t="e">
        <f t="shared" si="108"/>
        <v>#N/A</v>
      </c>
      <c r="G937" s="7" t="e">
        <f t="shared" si="108"/>
        <v>#N/A</v>
      </c>
    </row>
    <row r="938" spans="2:7">
      <c r="B938" s="67">
        <f t="shared" si="104"/>
        <v>44032</v>
      </c>
      <c r="C938" s="7" t="e">
        <f t="shared" si="108"/>
        <v>#N/A</v>
      </c>
      <c r="D938" s="7">
        <f t="shared" si="108"/>
        <v>4</v>
      </c>
      <c r="E938" s="7">
        <f t="shared" si="108"/>
        <v>3</v>
      </c>
      <c r="F938" s="7" t="e">
        <f t="shared" si="108"/>
        <v>#N/A</v>
      </c>
      <c r="G938" s="7" t="e">
        <f t="shared" si="108"/>
        <v>#N/A</v>
      </c>
    </row>
    <row r="939" spans="2:7">
      <c r="B939" s="67">
        <f t="shared" si="104"/>
        <v>44033</v>
      </c>
      <c r="C939" s="7" t="e">
        <f t="shared" si="108"/>
        <v>#N/A</v>
      </c>
      <c r="D939" s="7">
        <f t="shared" si="108"/>
        <v>4</v>
      </c>
      <c r="E939" s="7">
        <f t="shared" si="108"/>
        <v>3</v>
      </c>
      <c r="F939" s="7" t="e">
        <f t="shared" si="108"/>
        <v>#N/A</v>
      </c>
      <c r="G939" s="7" t="e">
        <f t="shared" si="108"/>
        <v>#N/A</v>
      </c>
    </row>
    <row r="940" spans="2:7">
      <c r="B940" s="67">
        <f t="shared" si="104"/>
        <v>44034</v>
      </c>
      <c r="C940" s="7" t="e">
        <f t="shared" si="108"/>
        <v>#N/A</v>
      </c>
      <c r="D940" s="7">
        <f t="shared" si="108"/>
        <v>4</v>
      </c>
      <c r="E940" s="7">
        <f t="shared" si="108"/>
        <v>3</v>
      </c>
      <c r="F940" s="7" t="e">
        <f t="shared" si="108"/>
        <v>#N/A</v>
      </c>
      <c r="G940" s="7" t="e">
        <f t="shared" si="108"/>
        <v>#N/A</v>
      </c>
    </row>
    <row r="941" spans="2:7">
      <c r="B941" s="67">
        <f t="shared" si="104"/>
        <v>44035</v>
      </c>
      <c r="C941" s="7" t="e">
        <f t="shared" si="108"/>
        <v>#N/A</v>
      </c>
      <c r="D941" s="7">
        <f t="shared" si="108"/>
        <v>4</v>
      </c>
      <c r="E941" s="7">
        <f t="shared" si="108"/>
        <v>3</v>
      </c>
      <c r="F941" s="7" t="e">
        <f t="shared" si="108"/>
        <v>#N/A</v>
      </c>
      <c r="G941" s="7" t="e">
        <f t="shared" si="108"/>
        <v>#N/A</v>
      </c>
    </row>
    <row r="942" spans="2:7">
      <c r="B942" s="67">
        <f t="shared" si="104"/>
        <v>44036</v>
      </c>
      <c r="C942" s="7" t="e">
        <f t="shared" si="108"/>
        <v>#N/A</v>
      </c>
      <c r="D942" s="7">
        <f t="shared" si="108"/>
        <v>4</v>
      </c>
      <c r="E942" s="7">
        <f t="shared" si="108"/>
        <v>3</v>
      </c>
      <c r="F942" s="7" t="e">
        <f t="shared" si="108"/>
        <v>#N/A</v>
      </c>
      <c r="G942" s="7" t="e">
        <f t="shared" si="108"/>
        <v>#N/A</v>
      </c>
    </row>
    <row r="943" spans="2:7">
      <c r="B943" s="67">
        <f t="shared" si="104"/>
        <v>44037</v>
      </c>
      <c r="C943" s="7" t="e">
        <f t="shared" si="108"/>
        <v>#N/A</v>
      </c>
      <c r="D943" s="7">
        <f t="shared" si="108"/>
        <v>4</v>
      </c>
      <c r="E943" s="7">
        <f t="shared" si="108"/>
        <v>3</v>
      </c>
      <c r="F943" s="7" t="e">
        <f t="shared" si="108"/>
        <v>#N/A</v>
      </c>
      <c r="G943" s="7" t="e">
        <f t="shared" si="108"/>
        <v>#N/A</v>
      </c>
    </row>
    <row r="944" spans="2:7">
      <c r="B944" s="67">
        <f t="shared" si="104"/>
        <v>44038</v>
      </c>
      <c r="C944" s="7" t="e">
        <f t="shared" si="108"/>
        <v>#N/A</v>
      </c>
      <c r="D944" s="7">
        <f t="shared" si="108"/>
        <v>4</v>
      </c>
      <c r="E944" s="7">
        <f t="shared" si="108"/>
        <v>3</v>
      </c>
      <c r="F944" s="7" t="e">
        <f t="shared" si="108"/>
        <v>#N/A</v>
      </c>
      <c r="G944" s="7" t="e">
        <f t="shared" si="108"/>
        <v>#N/A</v>
      </c>
    </row>
    <row r="945" spans="2:7">
      <c r="B945" s="67">
        <f t="shared" si="104"/>
        <v>44039</v>
      </c>
      <c r="C945" s="7" t="e">
        <f t="shared" si="108"/>
        <v>#N/A</v>
      </c>
      <c r="D945" s="7">
        <f t="shared" si="108"/>
        <v>4</v>
      </c>
      <c r="E945" s="7">
        <f t="shared" si="108"/>
        <v>3</v>
      </c>
      <c r="F945" s="7" t="e">
        <f t="shared" si="108"/>
        <v>#N/A</v>
      </c>
      <c r="G945" s="7" t="e">
        <f t="shared" si="108"/>
        <v>#N/A</v>
      </c>
    </row>
    <row r="946" spans="2:7">
      <c r="B946" s="67">
        <f t="shared" si="104"/>
        <v>44040</v>
      </c>
      <c r="C946" s="7" t="e">
        <f t="shared" si="108"/>
        <v>#N/A</v>
      </c>
      <c r="D946" s="7">
        <f t="shared" si="108"/>
        <v>4</v>
      </c>
      <c r="E946" s="7">
        <f t="shared" si="108"/>
        <v>3</v>
      </c>
      <c r="F946" s="7" t="e">
        <f t="shared" si="108"/>
        <v>#N/A</v>
      </c>
      <c r="G946" s="7" t="e">
        <f t="shared" si="108"/>
        <v>#N/A</v>
      </c>
    </row>
    <row r="947" spans="2:7">
      <c r="B947" s="67">
        <f t="shared" si="104"/>
        <v>44041</v>
      </c>
      <c r="C947" s="7" t="e">
        <f t="shared" ref="C947:G956" si="109">IF(AND($B947&gt;=C$3,$B947&lt;=C$4),C$5,NA())</f>
        <v>#N/A</v>
      </c>
      <c r="D947" s="7">
        <f t="shared" si="109"/>
        <v>4</v>
      </c>
      <c r="E947" s="7">
        <f t="shared" si="109"/>
        <v>3</v>
      </c>
      <c r="F947" s="7" t="e">
        <f t="shared" si="109"/>
        <v>#N/A</v>
      </c>
      <c r="G947" s="7" t="e">
        <f t="shared" si="109"/>
        <v>#N/A</v>
      </c>
    </row>
    <row r="948" spans="2:7">
      <c r="B948" s="67">
        <f t="shared" si="104"/>
        <v>44042</v>
      </c>
      <c r="C948" s="7" t="e">
        <f t="shared" si="109"/>
        <v>#N/A</v>
      </c>
      <c r="D948" s="7">
        <f t="shared" si="109"/>
        <v>4</v>
      </c>
      <c r="E948" s="7">
        <f t="shared" si="109"/>
        <v>3</v>
      </c>
      <c r="F948" s="7" t="e">
        <f t="shared" si="109"/>
        <v>#N/A</v>
      </c>
      <c r="G948" s="7" t="e">
        <f t="shared" si="109"/>
        <v>#N/A</v>
      </c>
    </row>
    <row r="949" spans="2:7">
      <c r="B949" s="67">
        <f t="shared" si="104"/>
        <v>44043</v>
      </c>
      <c r="C949" s="7" t="e">
        <f t="shared" si="109"/>
        <v>#N/A</v>
      </c>
      <c r="D949" s="7">
        <f t="shared" si="109"/>
        <v>4</v>
      </c>
      <c r="E949" s="7">
        <f t="shared" si="109"/>
        <v>3</v>
      </c>
      <c r="F949" s="7" t="e">
        <f t="shared" si="109"/>
        <v>#N/A</v>
      </c>
      <c r="G949" s="7" t="e">
        <f t="shared" si="109"/>
        <v>#N/A</v>
      </c>
    </row>
    <row r="950" spans="2:7">
      <c r="B950" s="67">
        <f t="shared" si="104"/>
        <v>44044</v>
      </c>
      <c r="C950" s="7" t="e">
        <f t="shared" si="109"/>
        <v>#N/A</v>
      </c>
      <c r="D950" s="7">
        <f t="shared" si="109"/>
        <v>4</v>
      </c>
      <c r="E950" s="7">
        <f t="shared" si="109"/>
        <v>3</v>
      </c>
      <c r="F950" s="7" t="e">
        <f t="shared" si="109"/>
        <v>#N/A</v>
      </c>
      <c r="G950" s="7" t="e">
        <f t="shared" si="109"/>
        <v>#N/A</v>
      </c>
    </row>
    <row r="951" spans="2:7">
      <c r="B951" s="67">
        <f t="shared" si="104"/>
        <v>44045</v>
      </c>
      <c r="C951" s="7" t="e">
        <f t="shared" si="109"/>
        <v>#N/A</v>
      </c>
      <c r="D951" s="7">
        <f t="shared" si="109"/>
        <v>4</v>
      </c>
      <c r="E951" s="7">
        <f t="shared" si="109"/>
        <v>3</v>
      </c>
      <c r="F951" s="7" t="e">
        <f t="shared" si="109"/>
        <v>#N/A</v>
      </c>
      <c r="G951" s="7" t="e">
        <f t="shared" si="109"/>
        <v>#N/A</v>
      </c>
    </row>
    <row r="952" spans="2:7">
      <c r="B952" s="67">
        <f t="shared" si="104"/>
        <v>44046</v>
      </c>
      <c r="C952" s="7" t="e">
        <f t="shared" si="109"/>
        <v>#N/A</v>
      </c>
      <c r="D952" s="7">
        <f t="shared" si="109"/>
        <v>4</v>
      </c>
      <c r="E952" s="7">
        <f t="shared" si="109"/>
        <v>3</v>
      </c>
      <c r="F952" s="7" t="e">
        <f t="shared" si="109"/>
        <v>#N/A</v>
      </c>
      <c r="G952" s="7" t="e">
        <f t="shared" si="109"/>
        <v>#N/A</v>
      </c>
    </row>
    <row r="953" spans="2:7">
      <c r="B953" s="67">
        <f t="shared" si="104"/>
        <v>44047</v>
      </c>
      <c r="C953" s="7" t="e">
        <f t="shared" si="109"/>
        <v>#N/A</v>
      </c>
      <c r="D953" s="7">
        <f t="shared" si="109"/>
        <v>4</v>
      </c>
      <c r="E953" s="7">
        <f t="shared" si="109"/>
        <v>3</v>
      </c>
      <c r="F953" s="7" t="e">
        <f t="shared" si="109"/>
        <v>#N/A</v>
      </c>
      <c r="G953" s="7" t="e">
        <f t="shared" si="109"/>
        <v>#N/A</v>
      </c>
    </row>
    <row r="954" spans="2:7">
      <c r="B954" s="67">
        <f t="shared" si="104"/>
        <v>44048</v>
      </c>
      <c r="C954" s="7" t="e">
        <f t="shared" si="109"/>
        <v>#N/A</v>
      </c>
      <c r="D954" s="7">
        <f t="shared" si="109"/>
        <v>4</v>
      </c>
      <c r="E954" s="7">
        <f t="shared" si="109"/>
        <v>3</v>
      </c>
      <c r="F954" s="7" t="e">
        <f t="shared" si="109"/>
        <v>#N/A</v>
      </c>
      <c r="G954" s="7" t="e">
        <f t="shared" si="109"/>
        <v>#N/A</v>
      </c>
    </row>
    <row r="955" spans="2:7">
      <c r="B955" s="67">
        <f t="shared" si="104"/>
        <v>44049</v>
      </c>
      <c r="C955" s="7" t="e">
        <f t="shared" si="109"/>
        <v>#N/A</v>
      </c>
      <c r="D955" s="7">
        <f t="shared" si="109"/>
        <v>4</v>
      </c>
      <c r="E955" s="7">
        <f t="shared" si="109"/>
        <v>3</v>
      </c>
      <c r="F955" s="7" t="e">
        <f t="shared" si="109"/>
        <v>#N/A</v>
      </c>
      <c r="G955" s="7" t="e">
        <f t="shared" si="109"/>
        <v>#N/A</v>
      </c>
    </row>
    <row r="956" spans="2:7">
      <c r="B956" s="67">
        <f t="shared" si="104"/>
        <v>44050</v>
      </c>
      <c r="C956" s="7" t="e">
        <f t="shared" si="109"/>
        <v>#N/A</v>
      </c>
      <c r="D956" s="7">
        <f t="shared" si="109"/>
        <v>4</v>
      </c>
      <c r="E956" s="7">
        <f t="shared" si="109"/>
        <v>3</v>
      </c>
      <c r="F956" s="7" t="e">
        <f t="shared" si="109"/>
        <v>#N/A</v>
      </c>
      <c r="G956" s="7" t="e">
        <f t="shared" si="109"/>
        <v>#N/A</v>
      </c>
    </row>
    <row r="957" spans="2:7">
      <c r="B957" s="67">
        <f t="shared" si="104"/>
        <v>44051</v>
      </c>
      <c r="C957" s="7" t="e">
        <f t="shared" ref="C957:G966" si="110">IF(AND($B957&gt;=C$3,$B957&lt;=C$4),C$5,NA())</f>
        <v>#N/A</v>
      </c>
      <c r="D957" s="7">
        <f t="shared" si="110"/>
        <v>4</v>
      </c>
      <c r="E957" s="7">
        <f t="shared" si="110"/>
        <v>3</v>
      </c>
      <c r="F957" s="7" t="e">
        <f t="shared" si="110"/>
        <v>#N/A</v>
      </c>
      <c r="G957" s="7" t="e">
        <f t="shared" si="110"/>
        <v>#N/A</v>
      </c>
    </row>
    <row r="958" spans="2:7">
      <c r="B958" s="67">
        <f t="shared" si="104"/>
        <v>44052</v>
      </c>
      <c r="C958" s="7" t="e">
        <f t="shared" si="110"/>
        <v>#N/A</v>
      </c>
      <c r="D958" s="7">
        <f t="shared" si="110"/>
        <v>4</v>
      </c>
      <c r="E958" s="7">
        <f t="shared" si="110"/>
        <v>3</v>
      </c>
      <c r="F958" s="7" t="e">
        <f t="shared" si="110"/>
        <v>#N/A</v>
      </c>
      <c r="G958" s="7" t="e">
        <f t="shared" si="110"/>
        <v>#N/A</v>
      </c>
    </row>
    <row r="959" spans="2:7">
      <c r="B959" s="67">
        <f t="shared" si="104"/>
        <v>44053</v>
      </c>
      <c r="C959" s="7" t="e">
        <f t="shared" si="110"/>
        <v>#N/A</v>
      </c>
      <c r="D959" s="7">
        <f t="shared" si="110"/>
        <v>4</v>
      </c>
      <c r="E959" s="7">
        <f t="shared" si="110"/>
        <v>3</v>
      </c>
      <c r="F959" s="7" t="e">
        <f t="shared" si="110"/>
        <v>#N/A</v>
      </c>
      <c r="G959" s="7" t="e">
        <f t="shared" si="110"/>
        <v>#N/A</v>
      </c>
    </row>
    <row r="960" spans="2:7">
      <c r="B960" s="67">
        <f t="shared" si="104"/>
        <v>44054</v>
      </c>
      <c r="C960" s="7" t="e">
        <f t="shared" si="110"/>
        <v>#N/A</v>
      </c>
      <c r="D960" s="7">
        <f t="shared" si="110"/>
        <v>4</v>
      </c>
      <c r="E960" s="7">
        <f t="shared" si="110"/>
        <v>3</v>
      </c>
      <c r="F960" s="7" t="e">
        <f t="shared" si="110"/>
        <v>#N/A</v>
      </c>
      <c r="G960" s="7" t="e">
        <f t="shared" si="110"/>
        <v>#N/A</v>
      </c>
    </row>
    <row r="961" spans="2:7">
      <c r="B961" s="67">
        <f t="shared" si="104"/>
        <v>44055</v>
      </c>
      <c r="C961" s="7" t="e">
        <f t="shared" si="110"/>
        <v>#N/A</v>
      </c>
      <c r="D961" s="7">
        <f t="shared" si="110"/>
        <v>4</v>
      </c>
      <c r="E961" s="7">
        <f t="shared" si="110"/>
        <v>3</v>
      </c>
      <c r="F961" s="7" t="e">
        <f t="shared" si="110"/>
        <v>#N/A</v>
      </c>
      <c r="G961" s="7" t="e">
        <f t="shared" si="110"/>
        <v>#N/A</v>
      </c>
    </row>
    <row r="962" spans="2:7">
      <c r="B962" s="67">
        <f t="shared" si="104"/>
        <v>44056</v>
      </c>
      <c r="C962" s="7" t="e">
        <f t="shared" si="110"/>
        <v>#N/A</v>
      </c>
      <c r="D962" s="7">
        <f t="shared" si="110"/>
        <v>4</v>
      </c>
      <c r="E962" s="7">
        <f t="shared" si="110"/>
        <v>3</v>
      </c>
      <c r="F962" s="7" t="e">
        <f t="shared" si="110"/>
        <v>#N/A</v>
      </c>
      <c r="G962" s="7" t="e">
        <f t="shared" si="110"/>
        <v>#N/A</v>
      </c>
    </row>
    <row r="963" spans="2:7">
      <c r="B963" s="67">
        <f t="shared" si="104"/>
        <v>44057</v>
      </c>
      <c r="C963" s="7" t="e">
        <f t="shared" si="110"/>
        <v>#N/A</v>
      </c>
      <c r="D963" s="7">
        <f t="shared" si="110"/>
        <v>4</v>
      </c>
      <c r="E963" s="7">
        <f t="shared" si="110"/>
        <v>3</v>
      </c>
      <c r="F963" s="7" t="e">
        <f t="shared" si="110"/>
        <v>#N/A</v>
      </c>
      <c r="G963" s="7" t="e">
        <f t="shared" si="110"/>
        <v>#N/A</v>
      </c>
    </row>
    <row r="964" spans="2:7">
      <c r="B964" s="67">
        <f t="shared" si="104"/>
        <v>44058</v>
      </c>
      <c r="C964" s="7" t="e">
        <f t="shared" si="110"/>
        <v>#N/A</v>
      </c>
      <c r="D964" s="7">
        <f t="shared" si="110"/>
        <v>4</v>
      </c>
      <c r="E964" s="7">
        <f t="shared" si="110"/>
        <v>3</v>
      </c>
      <c r="F964" s="7" t="e">
        <f t="shared" si="110"/>
        <v>#N/A</v>
      </c>
      <c r="G964" s="7" t="e">
        <f t="shared" si="110"/>
        <v>#N/A</v>
      </c>
    </row>
    <row r="965" spans="2:7">
      <c r="B965" s="67">
        <f t="shared" si="104"/>
        <v>44059</v>
      </c>
      <c r="C965" s="7" t="e">
        <f t="shared" si="110"/>
        <v>#N/A</v>
      </c>
      <c r="D965" s="7">
        <f t="shared" si="110"/>
        <v>4</v>
      </c>
      <c r="E965" s="7">
        <f t="shared" si="110"/>
        <v>3</v>
      </c>
      <c r="F965" s="7" t="e">
        <f t="shared" si="110"/>
        <v>#N/A</v>
      </c>
      <c r="G965" s="7" t="e">
        <f t="shared" si="110"/>
        <v>#N/A</v>
      </c>
    </row>
    <row r="966" spans="2:7">
      <c r="B966" s="67">
        <f t="shared" si="104"/>
        <v>44060</v>
      </c>
      <c r="C966" s="7" t="e">
        <f t="shared" si="110"/>
        <v>#N/A</v>
      </c>
      <c r="D966" s="7">
        <f t="shared" si="110"/>
        <v>4</v>
      </c>
      <c r="E966" s="7">
        <f t="shared" si="110"/>
        <v>3</v>
      </c>
      <c r="F966" s="7" t="e">
        <f t="shared" si="110"/>
        <v>#N/A</v>
      </c>
      <c r="G966" s="7" t="e">
        <f t="shared" si="110"/>
        <v>#N/A</v>
      </c>
    </row>
    <row r="967" spans="2:7">
      <c r="B967" s="67">
        <f t="shared" si="104"/>
        <v>44061</v>
      </c>
      <c r="C967" s="7" t="e">
        <f t="shared" ref="C967:G976" si="111">IF(AND($B967&gt;=C$3,$B967&lt;=C$4),C$5,NA())</f>
        <v>#N/A</v>
      </c>
      <c r="D967" s="7">
        <f t="shared" si="111"/>
        <v>4</v>
      </c>
      <c r="E967" s="7">
        <f t="shared" si="111"/>
        <v>3</v>
      </c>
      <c r="F967" s="7" t="e">
        <f t="shared" si="111"/>
        <v>#N/A</v>
      </c>
      <c r="G967" s="7" t="e">
        <f t="shared" si="111"/>
        <v>#N/A</v>
      </c>
    </row>
    <row r="968" spans="2:7">
      <c r="B968" s="67">
        <f t="shared" ref="B968:B1031" si="112">B967+1</f>
        <v>44062</v>
      </c>
      <c r="C968" s="7" t="e">
        <f t="shared" si="111"/>
        <v>#N/A</v>
      </c>
      <c r="D968" s="7">
        <f t="shared" si="111"/>
        <v>4</v>
      </c>
      <c r="E968" s="7">
        <f t="shared" si="111"/>
        <v>3</v>
      </c>
      <c r="F968" s="7" t="e">
        <f t="shared" si="111"/>
        <v>#N/A</v>
      </c>
      <c r="G968" s="7" t="e">
        <f t="shared" si="111"/>
        <v>#N/A</v>
      </c>
    </row>
    <row r="969" spans="2:7">
      <c r="B969" s="67">
        <f t="shared" si="112"/>
        <v>44063</v>
      </c>
      <c r="C969" s="7" t="e">
        <f t="shared" si="111"/>
        <v>#N/A</v>
      </c>
      <c r="D969" s="7">
        <f t="shared" si="111"/>
        <v>4</v>
      </c>
      <c r="E969" s="7">
        <f t="shared" si="111"/>
        <v>3</v>
      </c>
      <c r="F969" s="7" t="e">
        <f t="shared" si="111"/>
        <v>#N/A</v>
      </c>
      <c r="G969" s="7" t="e">
        <f t="shared" si="111"/>
        <v>#N/A</v>
      </c>
    </row>
    <row r="970" spans="2:7">
      <c r="B970" s="67">
        <f t="shared" si="112"/>
        <v>44064</v>
      </c>
      <c r="C970" s="7" t="e">
        <f t="shared" si="111"/>
        <v>#N/A</v>
      </c>
      <c r="D970" s="7">
        <f t="shared" si="111"/>
        <v>4</v>
      </c>
      <c r="E970" s="7">
        <f t="shared" si="111"/>
        <v>3</v>
      </c>
      <c r="F970" s="7" t="e">
        <f t="shared" si="111"/>
        <v>#N/A</v>
      </c>
      <c r="G970" s="7" t="e">
        <f t="shared" si="111"/>
        <v>#N/A</v>
      </c>
    </row>
    <row r="971" spans="2:7">
      <c r="B971" s="67">
        <f t="shared" si="112"/>
        <v>44065</v>
      </c>
      <c r="C971" s="7" t="e">
        <f t="shared" si="111"/>
        <v>#N/A</v>
      </c>
      <c r="D971" s="7">
        <f t="shared" si="111"/>
        <v>4</v>
      </c>
      <c r="E971" s="7">
        <f t="shared" si="111"/>
        <v>3</v>
      </c>
      <c r="F971" s="7" t="e">
        <f t="shared" si="111"/>
        <v>#N/A</v>
      </c>
      <c r="G971" s="7" t="e">
        <f t="shared" si="111"/>
        <v>#N/A</v>
      </c>
    </row>
    <row r="972" spans="2:7">
      <c r="B972" s="67">
        <f t="shared" si="112"/>
        <v>44066</v>
      </c>
      <c r="C972" s="7" t="e">
        <f t="shared" si="111"/>
        <v>#N/A</v>
      </c>
      <c r="D972" s="7">
        <f t="shared" si="111"/>
        <v>4</v>
      </c>
      <c r="E972" s="7">
        <f t="shared" si="111"/>
        <v>3</v>
      </c>
      <c r="F972" s="7" t="e">
        <f t="shared" si="111"/>
        <v>#N/A</v>
      </c>
      <c r="G972" s="7" t="e">
        <f t="shared" si="111"/>
        <v>#N/A</v>
      </c>
    </row>
    <row r="973" spans="2:7">
      <c r="B973" s="67">
        <f t="shared" si="112"/>
        <v>44067</v>
      </c>
      <c r="C973" s="7" t="e">
        <f t="shared" si="111"/>
        <v>#N/A</v>
      </c>
      <c r="D973" s="7">
        <f t="shared" si="111"/>
        <v>4</v>
      </c>
      <c r="E973" s="7">
        <f t="shared" si="111"/>
        <v>3</v>
      </c>
      <c r="F973" s="7" t="e">
        <f t="shared" si="111"/>
        <v>#N/A</v>
      </c>
      <c r="G973" s="7" t="e">
        <f t="shared" si="111"/>
        <v>#N/A</v>
      </c>
    </row>
    <row r="974" spans="2:7">
      <c r="B974" s="67">
        <f t="shared" si="112"/>
        <v>44068</v>
      </c>
      <c r="C974" s="7" t="e">
        <f t="shared" si="111"/>
        <v>#N/A</v>
      </c>
      <c r="D974" s="7">
        <f t="shared" si="111"/>
        <v>4</v>
      </c>
      <c r="E974" s="7">
        <f t="shared" si="111"/>
        <v>3</v>
      </c>
      <c r="F974" s="7" t="e">
        <f t="shared" si="111"/>
        <v>#N/A</v>
      </c>
      <c r="G974" s="7" t="e">
        <f t="shared" si="111"/>
        <v>#N/A</v>
      </c>
    </row>
    <row r="975" spans="2:7">
      <c r="B975" s="67">
        <f t="shared" si="112"/>
        <v>44069</v>
      </c>
      <c r="C975" s="7" t="e">
        <f t="shared" si="111"/>
        <v>#N/A</v>
      </c>
      <c r="D975" s="7">
        <f t="shared" si="111"/>
        <v>4</v>
      </c>
      <c r="E975" s="7">
        <f t="shared" si="111"/>
        <v>3</v>
      </c>
      <c r="F975" s="7" t="e">
        <f t="shared" si="111"/>
        <v>#N/A</v>
      </c>
      <c r="G975" s="7" t="e">
        <f t="shared" si="111"/>
        <v>#N/A</v>
      </c>
    </row>
    <row r="976" spans="2:7">
      <c r="B976" s="67">
        <f t="shared" si="112"/>
        <v>44070</v>
      </c>
      <c r="C976" s="7" t="e">
        <f t="shared" si="111"/>
        <v>#N/A</v>
      </c>
      <c r="D976" s="7">
        <f t="shared" si="111"/>
        <v>4</v>
      </c>
      <c r="E976" s="7">
        <f t="shared" si="111"/>
        <v>3</v>
      </c>
      <c r="F976" s="7" t="e">
        <f t="shared" si="111"/>
        <v>#N/A</v>
      </c>
      <c r="G976" s="7" t="e">
        <f t="shared" si="111"/>
        <v>#N/A</v>
      </c>
    </row>
    <row r="977" spans="2:7">
      <c r="B977" s="67">
        <f t="shared" si="112"/>
        <v>44071</v>
      </c>
      <c r="C977" s="7" t="e">
        <f t="shared" ref="C977:G986" si="113">IF(AND($B977&gt;=C$3,$B977&lt;=C$4),C$5,NA())</f>
        <v>#N/A</v>
      </c>
      <c r="D977" s="7">
        <f t="shared" si="113"/>
        <v>4</v>
      </c>
      <c r="E977" s="7">
        <f t="shared" si="113"/>
        <v>3</v>
      </c>
      <c r="F977" s="7" t="e">
        <f t="shared" si="113"/>
        <v>#N/A</v>
      </c>
      <c r="G977" s="7" t="e">
        <f t="shared" si="113"/>
        <v>#N/A</v>
      </c>
    </row>
    <row r="978" spans="2:7">
      <c r="B978" s="67">
        <f t="shared" si="112"/>
        <v>44072</v>
      </c>
      <c r="C978" s="7" t="e">
        <f t="shared" si="113"/>
        <v>#N/A</v>
      </c>
      <c r="D978" s="7">
        <f t="shared" si="113"/>
        <v>4</v>
      </c>
      <c r="E978" s="7">
        <f t="shared" si="113"/>
        <v>3</v>
      </c>
      <c r="F978" s="7" t="e">
        <f t="shared" si="113"/>
        <v>#N/A</v>
      </c>
      <c r="G978" s="7" t="e">
        <f t="shared" si="113"/>
        <v>#N/A</v>
      </c>
    </row>
    <row r="979" spans="2:7">
      <c r="B979" s="67">
        <f t="shared" si="112"/>
        <v>44073</v>
      </c>
      <c r="C979" s="7" t="e">
        <f t="shared" si="113"/>
        <v>#N/A</v>
      </c>
      <c r="D979" s="7">
        <f t="shared" si="113"/>
        <v>4</v>
      </c>
      <c r="E979" s="7">
        <f t="shared" si="113"/>
        <v>3</v>
      </c>
      <c r="F979" s="7" t="e">
        <f t="shared" si="113"/>
        <v>#N/A</v>
      </c>
      <c r="G979" s="7" t="e">
        <f t="shared" si="113"/>
        <v>#N/A</v>
      </c>
    </row>
    <row r="980" spans="2:7">
      <c r="B980" s="67">
        <f t="shared" si="112"/>
        <v>44074</v>
      </c>
      <c r="C980" s="7" t="e">
        <f t="shared" si="113"/>
        <v>#N/A</v>
      </c>
      <c r="D980" s="7">
        <f t="shared" si="113"/>
        <v>4</v>
      </c>
      <c r="E980" s="7">
        <f t="shared" si="113"/>
        <v>3</v>
      </c>
      <c r="F980" s="7" t="e">
        <f t="shared" si="113"/>
        <v>#N/A</v>
      </c>
      <c r="G980" s="7" t="e">
        <f t="shared" si="113"/>
        <v>#N/A</v>
      </c>
    </row>
    <row r="981" spans="2:7">
      <c r="B981" s="67">
        <f t="shared" si="112"/>
        <v>44075</v>
      </c>
      <c r="C981" s="7" t="e">
        <f t="shared" si="113"/>
        <v>#N/A</v>
      </c>
      <c r="D981" s="7">
        <f t="shared" si="113"/>
        <v>4</v>
      </c>
      <c r="E981" s="7">
        <f t="shared" si="113"/>
        <v>3</v>
      </c>
      <c r="F981" s="7" t="e">
        <f t="shared" si="113"/>
        <v>#N/A</v>
      </c>
      <c r="G981" s="7" t="e">
        <f t="shared" si="113"/>
        <v>#N/A</v>
      </c>
    </row>
    <row r="982" spans="2:7">
      <c r="B982" s="67">
        <f t="shared" si="112"/>
        <v>44076</v>
      </c>
      <c r="C982" s="7" t="e">
        <f t="shared" si="113"/>
        <v>#N/A</v>
      </c>
      <c r="D982" s="7">
        <f t="shared" si="113"/>
        <v>4</v>
      </c>
      <c r="E982" s="7">
        <f t="shared" si="113"/>
        <v>3</v>
      </c>
      <c r="F982" s="7" t="e">
        <f t="shared" si="113"/>
        <v>#N/A</v>
      </c>
      <c r="G982" s="7" t="e">
        <f t="shared" si="113"/>
        <v>#N/A</v>
      </c>
    </row>
    <row r="983" spans="2:7">
      <c r="B983" s="67">
        <f t="shared" si="112"/>
        <v>44077</v>
      </c>
      <c r="C983" s="7" t="e">
        <f t="shared" si="113"/>
        <v>#N/A</v>
      </c>
      <c r="D983" s="7">
        <f t="shared" si="113"/>
        <v>4</v>
      </c>
      <c r="E983" s="7">
        <f t="shared" si="113"/>
        <v>3</v>
      </c>
      <c r="F983" s="7" t="e">
        <f t="shared" si="113"/>
        <v>#N/A</v>
      </c>
      <c r="G983" s="7" t="e">
        <f t="shared" si="113"/>
        <v>#N/A</v>
      </c>
    </row>
    <row r="984" spans="2:7">
      <c r="B984" s="67">
        <f t="shared" si="112"/>
        <v>44078</v>
      </c>
      <c r="C984" s="7" t="e">
        <f t="shared" si="113"/>
        <v>#N/A</v>
      </c>
      <c r="D984" s="7">
        <f t="shared" si="113"/>
        <v>4</v>
      </c>
      <c r="E984" s="7">
        <f t="shared" si="113"/>
        <v>3</v>
      </c>
      <c r="F984" s="7" t="e">
        <f t="shared" si="113"/>
        <v>#N/A</v>
      </c>
      <c r="G984" s="7" t="e">
        <f t="shared" si="113"/>
        <v>#N/A</v>
      </c>
    </row>
    <row r="985" spans="2:7">
      <c r="B985" s="67">
        <f t="shared" si="112"/>
        <v>44079</v>
      </c>
      <c r="C985" s="7" t="e">
        <f t="shared" si="113"/>
        <v>#N/A</v>
      </c>
      <c r="D985" s="7">
        <f t="shared" si="113"/>
        <v>4</v>
      </c>
      <c r="E985" s="7">
        <f t="shared" si="113"/>
        <v>3</v>
      </c>
      <c r="F985" s="7" t="e">
        <f t="shared" si="113"/>
        <v>#N/A</v>
      </c>
      <c r="G985" s="7" t="e">
        <f t="shared" si="113"/>
        <v>#N/A</v>
      </c>
    </row>
    <row r="986" spans="2:7">
      <c r="B986" s="67">
        <f t="shared" si="112"/>
        <v>44080</v>
      </c>
      <c r="C986" s="7" t="e">
        <f t="shared" si="113"/>
        <v>#N/A</v>
      </c>
      <c r="D986" s="7">
        <f t="shared" si="113"/>
        <v>4</v>
      </c>
      <c r="E986" s="7">
        <f t="shared" si="113"/>
        <v>3</v>
      </c>
      <c r="F986" s="7" t="e">
        <f t="shared" si="113"/>
        <v>#N/A</v>
      </c>
      <c r="G986" s="7" t="e">
        <f t="shared" si="113"/>
        <v>#N/A</v>
      </c>
    </row>
    <row r="987" spans="2:7">
      <c r="B987" s="67">
        <f t="shared" si="112"/>
        <v>44081</v>
      </c>
      <c r="C987" s="7" t="e">
        <f t="shared" ref="C987:G996" si="114">IF(AND($B987&gt;=C$3,$B987&lt;=C$4),C$5,NA())</f>
        <v>#N/A</v>
      </c>
      <c r="D987" s="7">
        <f t="shared" si="114"/>
        <v>4</v>
      </c>
      <c r="E987" s="7">
        <f t="shared" si="114"/>
        <v>3</v>
      </c>
      <c r="F987" s="7" t="e">
        <f t="shared" si="114"/>
        <v>#N/A</v>
      </c>
      <c r="G987" s="7" t="e">
        <f t="shared" si="114"/>
        <v>#N/A</v>
      </c>
    </row>
    <row r="988" spans="2:7">
      <c r="B988" s="67">
        <f t="shared" si="112"/>
        <v>44082</v>
      </c>
      <c r="C988" s="7" t="e">
        <f t="shared" si="114"/>
        <v>#N/A</v>
      </c>
      <c r="D988" s="7">
        <f t="shared" si="114"/>
        <v>4</v>
      </c>
      <c r="E988" s="7">
        <f t="shared" si="114"/>
        <v>3</v>
      </c>
      <c r="F988" s="7" t="e">
        <f t="shared" si="114"/>
        <v>#N/A</v>
      </c>
      <c r="G988" s="7" t="e">
        <f t="shared" si="114"/>
        <v>#N/A</v>
      </c>
    </row>
    <row r="989" spans="2:7">
      <c r="B989" s="67">
        <f t="shared" si="112"/>
        <v>44083</v>
      </c>
      <c r="C989" s="7" t="e">
        <f t="shared" si="114"/>
        <v>#N/A</v>
      </c>
      <c r="D989" s="7">
        <f t="shared" si="114"/>
        <v>4</v>
      </c>
      <c r="E989" s="7">
        <f t="shared" si="114"/>
        <v>3</v>
      </c>
      <c r="F989" s="7" t="e">
        <f t="shared" si="114"/>
        <v>#N/A</v>
      </c>
      <c r="G989" s="7" t="e">
        <f t="shared" si="114"/>
        <v>#N/A</v>
      </c>
    </row>
    <row r="990" spans="2:7">
      <c r="B990" s="67">
        <f t="shared" si="112"/>
        <v>44084</v>
      </c>
      <c r="C990" s="7" t="e">
        <f t="shared" si="114"/>
        <v>#N/A</v>
      </c>
      <c r="D990" s="7">
        <f t="shared" si="114"/>
        <v>4</v>
      </c>
      <c r="E990" s="7">
        <f t="shared" si="114"/>
        <v>3</v>
      </c>
      <c r="F990" s="7" t="e">
        <f t="shared" si="114"/>
        <v>#N/A</v>
      </c>
      <c r="G990" s="7" t="e">
        <f t="shared" si="114"/>
        <v>#N/A</v>
      </c>
    </row>
    <row r="991" spans="2:7">
      <c r="B991" s="67">
        <f t="shared" si="112"/>
        <v>44085</v>
      </c>
      <c r="C991" s="7" t="e">
        <f t="shared" si="114"/>
        <v>#N/A</v>
      </c>
      <c r="D991" s="7">
        <f t="shared" si="114"/>
        <v>4</v>
      </c>
      <c r="E991" s="7">
        <f t="shared" si="114"/>
        <v>3</v>
      </c>
      <c r="F991" s="7" t="e">
        <f t="shared" si="114"/>
        <v>#N/A</v>
      </c>
      <c r="G991" s="7" t="e">
        <f t="shared" si="114"/>
        <v>#N/A</v>
      </c>
    </row>
    <row r="992" spans="2:7">
      <c r="B992" s="67">
        <f t="shared" si="112"/>
        <v>44086</v>
      </c>
      <c r="C992" s="7" t="e">
        <f t="shared" si="114"/>
        <v>#N/A</v>
      </c>
      <c r="D992" s="7">
        <f t="shared" si="114"/>
        <v>4</v>
      </c>
      <c r="E992" s="7">
        <f t="shared" si="114"/>
        <v>3</v>
      </c>
      <c r="F992" s="7" t="e">
        <f t="shared" si="114"/>
        <v>#N/A</v>
      </c>
      <c r="G992" s="7" t="e">
        <f t="shared" si="114"/>
        <v>#N/A</v>
      </c>
    </row>
    <row r="993" spans="2:7">
      <c r="B993" s="67">
        <f t="shared" si="112"/>
        <v>44087</v>
      </c>
      <c r="C993" s="7" t="e">
        <f t="shared" si="114"/>
        <v>#N/A</v>
      </c>
      <c r="D993" s="7">
        <f t="shared" si="114"/>
        <v>4</v>
      </c>
      <c r="E993" s="7">
        <f t="shared" si="114"/>
        <v>3</v>
      </c>
      <c r="F993" s="7" t="e">
        <f t="shared" si="114"/>
        <v>#N/A</v>
      </c>
      <c r="G993" s="7" t="e">
        <f t="shared" si="114"/>
        <v>#N/A</v>
      </c>
    </row>
    <row r="994" spans="2:7">
      <c r="B994" s="67">
        <f t="shared" si="112"/>
        <v>44088</v>
      </c>
      <c r="C994" s="7" t="e">
        <f t="shared" si="114"/>
        <v>#N/A</v>
      </c>
      <c r="D994" s="7">
        <f t="shared" si="114"/>
        <v>4</v>
      </c>
      <c r="E994" s="7">
        <f t="shared" si="114"/>
        <v>3</v>
      </c>
      <c r="F994" s="7" t="e">
        <f t="shared" si="114"/>
        <v>#N/A</v>
      </c>
      <c r="G994" s="7" t="e">
        <f t="shared" si="114"/>
        <v>#N/A</v>
      </c>
    </row>
    <row r="995" spans="2:7">
      <c r="B995" s="67">
        <f t="shared" si="112"/>
        <v>44089</v>
      </c>
      <c r="C995" s="7" t="e">
        <f t="shared" si="114"/>
        <v>#N/A</v>
      </c>
      <c r="D995" s="7">
        <f t="shared" si="114"/>
        <v>4</v>
      </c>
      <c r="E995" s="7">
        <f t="shared" si="114"/>
        <v>3</v>
      </c>
      <c r="F995" s="7" t="e">
        <f t="shared" si="114"/>
        <v>#N/A</v>
      </c>
      <c r="G995" s="7" t="e">
        <f t="shared" si="114"/>
        <v>#N/A</v>
      </c>
    </row>
    <row r="996" spans="2:7">
      <c r="B996" s="67">
        <f t="shared" si="112"/>
        <v>44090</v>
      </c>
      <c r="C996" s="7" t="e">
        <f t="shared" si="114"/>
        <v>#N/A</v>
      </c>
      <c r="D996" s="7">
        <f t="shared" si="114"/>
        <v>4</v>
      </c>
      <c r="E996" s="7">
        <f t="shared" si="114"/>
        <v>3</v>
      </c>
      <c r="F996" s="7" t="e">
        <f t="shared" si="114"/>
        <v>#N/A</v>
      </c>
      <c r="G996" s="7" t="e">
        <f t="shared" si="114"/>
        <v>#N/A</v>
      </c>
    </row>
    <row r="997" spans="2:7">
      <c r="B997" s="67">
        <f t="shared" si="112"/>
        <v>44091</v>
      </c>
      <c r="C997" s="7" t="e">
        <f t="shared" ref="C997:G1006" si="115">IF(AND($B997&gt;=C$3,$B997&lt;=C$4),C$5,NA())</f>
        <v>#N/A</v>
      </c>
      <c r="D997" s="7">
        <f t="shared" si="115"/>
        <v>4</v>
      </c>
      <c r="E997" s="7">
        <f t="shared" si="115"/>
        <v>3</v>
      </c>
      <c r="F997" s="7" t="e">
        <f t="shared" si="115"/>
        <v>#N/A</v>
      </c>
      <c r="G997" s="7" t="e">
        <f t="shared" si="115"/>
        <v>#N/A</v>
      </c>
    </row>
    <row r="998" spans="2:7">
      <c r="B998" s="67">
        <f t="shared" si="112"/>
        <v>44092</v>
      </c>
      <c r="C998" s="7" t="e">
        <f t="shared" si="115"/>
        <v>#N/A</v>
      </c>
      <c r="D998" s="7">
        <f t="shared" si="115"/>
        <v>4</v>
      </c>
      <c r="E998" s="7">
        <f t="shared" si="115"/>
        <v>3</v>
      </c>
      <c r="F998" s="7" t="e">
        <f t="shared" si="115"/>
        <v>#N/A</v>
      </c>
      <c r="G998" s="7" t="e">
        <f t="shared" si="115"/>
        <v>#N/A</v>
      </c>
    </row>
    <row r="999" spans="2:7">
      <c r="B999" s="67">
        <f t="shared" si="112"/>
        <v>44093</v>
      </c>
      <c r="C999" s="7" t="e">
        <f t="shared" si="115"/>
        <v>#N/A</v>
      </c>
      <c r="D999" s="7">
        <f t="shared" si="115"/>
        <v>4</v>
      </c>
      <c r="E999" s="7">
        <f t="shared" si="115"/>
        <v>3</v>
      </c>
      <c r="F999" s="7" t="e">
        <f t="shared" si="115"/>
        <v>#N/A</v>
      </c>
      <c r="G999" s="7" t="e">
        <f t="shared" si="115"/>
        <v>#N/A</v>
      </c>
    </row>
    <row r="1000" spans="2:7">
      <c r="B1000" s="67">
        <f t="shared" si="112"/>
        <v>44094</v>
      </c>
      <c r="C1000" s="7" t="e">
        <f t="shared" si="115"/>
        <v>#N/A</v>
      </c>
      <c r="D1000" s="7">
        <f t="shared" si="115"/>
        <v>4</v>
      </c>
      <c r="E1000" s="7">
        <f t="shared" si="115"/>
        <v>3</v>
      </c>
      <c r="F1000" s="7" t="e">
        <f t="shared" si="115"/>
        <v>#N/A</v>
      </c>
      <c r="G1000" s="7" t="e">
        <f t="shared" si="115"/>
        <v>#N/A</v>
      </c>
    </row>
    <row r="1001" spans="2:7">
      <c r="B1001" s="67">
        <f t="shared" si="112"/>
        <v>44095</v>
      </c>
      <c r="C1001" s="7" t="e">
        <f t="shared" si="115"/>
        <v>#N/A</v>
      </c>
      <c r="D1001" s="7">
        <f t="shared" si="115"/>
        <v>4</v>
      </c>
      <c r="E1001" s="7">
        <f t="shared" si="115"/>
        <v>3</v>
      </c>
      <c r="F1001" s="7" t="e">
        <f t="shared" si="115"/>
        <v>#N/A</v>
      </c>
      <c r="G1001" s="7" t="e">
        <f t="shared" si="115"/>
        <v>#N/A</v>
      </c>
    </row>
    <row r="1002" spans="2:7">
      <c r="B1002" s="67">
        <f t="shared" si="112"/>
        <v>44096</v>
      </c>
      <c r="C1002" s="7" t="e">
        <f t="shared" si="115"/>
        <v>#N/A</v>
      </c>
      <c r="D1002" s="7">
        <f t="shared" si="115"/>
        <v>4</v>
      </c>
      <c r="E1002" s="7">
        <f t="shared" si="115"/>
        <v>3</v>
      </c>
      <c r="F1002" s="7" t="e">
        <f t="shared" si="115"/>
        <v>#N/A</v>
      </c>
      <c r="G1002" s="7" t="e">
        <f t="shared" si="115"/>
        <v>#N/A</v>
      </c>
    </row>
    <row r="1003" spans="2:7">
      <c r="B1003" s="67">
        <f t="shared" si="112"/>
        <v>44097</v>
      </c>
      <c r="C1003" s="7" t="e">
        <f t="shared" si="115"/>
        <v>#N/A</v>
      </c>
      <c r="D1003" s="7">
        <f t="shared" si="115"/>
        <v>4</v>
      </c>
      <c r="E1003" s="7">
        <f t="shared" si="115"/>
        <v>3</v>
      </c>
      <c r="F1003" s="7" t="e">
        <f t="shared" si="115"/>
        <v>#N/A</v>
      </c>
      <c r="G1003" s="7" t="e">
        <f t="shared" si="115"/>
        <v>#N/A</v>
      </c>
    </row>
    <row r="1004" spans="2:7">
      <c r="B1004" s="67">
        <f t="shared" si="112"/>
        <v>44098</v>
      </c>
      <c r="C1004" s="7" t="e">
        <f t="shared" si="115"/>
        <v>#N/A</v>
      </c>
      <c r="D1004" s="7">
        <f t="shared" si="115"/>
        <v>4</v>
      </c>
      <c r="E1004" s="7">
        <f t="shared" si="115"/>
        <v>3</v>
      </c>
      <c r="F1004" s="7" t="e">
        <f t="shared" si="115"/>
        <v>#N/A</v>
      </c>
      <c r="G1004" s="7" t="e">
        <f t="shared" si="115"/>
        <v>#N/A</v>
      </c>
    </row>
    <row r="1005" spans="2:7">
      <c r="B1005" s="67">
        <f t="shared" si="112"/>
        <v>44099</v>
      </c>
      <c r="C1005" s="7" t="e">
        <f t="shared" si="115"/>
        <v>#N/A</v>
      </c>
      <c r="D1005" s="7">
        <f t="shared" si="115"/>
        <v>4</v>
      </c>
      <c r="E1005" s="7">
        <f t="shared" si="115"/>
        <v>3</v>
      </c>
      <c r="F1005" s="7" t="e">
        <f t="shared" si="115"/>
        <v>#N/A</v>
      </c>
      <c r="G1005" s="7" t="e">
        <f t="shared" si="115"/>
        <v>#N/A</v>
      </c>
    </row>
    <row r="1006" spans="2:7">
      <c r="B1006" s="67">
        <f t="shared" si="112"/>
        <v>44100</v>
      </c>
      <c r="C1006" s="7" t="e">
        <f t="shared" si="115"/>
        <v>#N/A</v>
      </c>
      <c r="D1006" s="7">
        <f t="shared" si="115"/>
        <v>4</v>
      </c>
      <c r="E1006" s="7">
        <f t="shared" si="115"/>
        <v>3</v>
      </c>
      <c r="F1006" s="7" t="e">
        <f t="shared" si="115"/>
        <v>#N/A</v>
      </c>
      <c r="G1006" s="7" t="e">
        <f t="shared" si="115"/>
        <v>#N/A</v>
      </c>
    </row>
    <row r="1007" spans="2:7">
      <c r="B1007" s="67">
        <f t="shared" si="112"/>
        <v>44101</v>
      </c>
      <c r="C1007" s="7" t="e">
        <f t="shared" ref="C1007:G1016" si="116">IF(AND($B1007&gt;=C$3,$B1007&lt;=C$4),C$5,NA())</f>
        <v>#N/A</v>
      </c>
      <c r="D1007" s="7">
        <f t="shared" si="116"/>
        <v>4</v>
      </c>
      <c r="E1007" s="7">
        <f t="shared" si="116"/>
        <v>3</v>
      </c>
      <c r="F1007" s="7" t="e">
        <f t="shared" si="116"/>
        <v>#N/A</v>
      </c>
      <c r="G1007" s="7" t="e">
        <f t="shared" si="116"/>
        <v>#N/A</v>
      </c>
    </row>
    <row r="1008" spans="2:7">
      <c r="B1008" s="67">
        <f t="shared" si="112"/>
        <v>44102</v>
      </c>
      <c r="C1008" s="7" t="e">
        <f t="shared" si="116"/>
        <v>#N/A</v>
      </c>
      <c r="D1008" s="7">
        <f t="shared" si="116"/>
        <v>4</v>
      </c>
      <c r="E1008" s="7">
        <f t="shared" si="116"/>
        <v>3</v>
      </c>
      <c r="F1008" s="7" t="e">
        <f t="shared" si="116"/>
        <v>#N/A</v>
      </c>
      <c r="G1008" s="7" t="e">
        <f t="shared" si="116"/>
        <v>#N/A</v>
      </c>
    </row>
    <row r="1009" spans="2:7">
      <c r="B1009" s="67">
        <f t="shared" si="112"/>
        <v>44103</v>
      </c>
      <c r="C1009" s="7" t="e">
        <f t="shared" si="116"/>
        <v>#N/A</v>
      </c>
      <c r="D1009" s="7">
        <f t="shared" si="116"/>
        <v>4</v>
      </c>
      <c r="E1009" s="7">
        <f t="shared" si="116"/>
        <v>3</v>
      </c>
      <c r="F1009" s="7" t="e">
        <f t="shared" si="116"/>
        <v>#N/A</v>
      </c>
      <c r="G1009" s="7" t="e">
        <f t="shared" si="116"/>
        <v>#N/A</v>
      </c>
    </row>
    <row r="1010" spans="2:7">
      <c r="B1010" s="67">
        <f t="shared" si="112"/>
        <v>44104</v>
      </c>
      <c r="C1010" s="7" t="e">
        <f t="shared" si="116"/>
        <v>#N/A</v>
      </c>
      <c r="D1010" s="7">
        <f t="shared" si="116"/>
        <v>4</v>
      </c>
      <c r="E1010" s="7">
        <f t="shared" si="116"/>
        <v>3</v>
      </c>
      <c r="F1010" s="7" t="e">
        <f t="shared" si="116"/>
        <v>#N/A</v>
      </c>
      <c r="G1010" s="7" t="e">
        <f t="shared" si="116"/>
        <v>#N/A</v>
      </c>
    </row>
    <row r="1011" spans="2:7">
      <c r="B1011" s="67">
        <f t="shared" si="112"/>
        <v>44105</v>
      </c>
      <c r="C1011" s="7" t="e">
        <f t="shared" si="116"/>
        <v>#N/A</v>
      </c>
      <c r="D1011" s="7">
        <f t="shared" si="116"/>
        <v>4</v>
      </c>
      <c r="E1011" s="7">
        <f t="shared" si="116"/>
        <v>3</v>
      </c>
      <c r="F1011" s="7" t="e">
        <f t="shared" si="116"/>
        <v>#N/A</v>
      </c>
      <c r="G1011" s="7" t="e">
        <f t="shared" si="116"/>
        <v>#N/A</v>
      </c>
    </row>
    <row r="1012" spans="2:7">
      <c r="B1012" s="67">
        <f t="shared" si="112"/>
        <v>44106</v>
      </c>
      <c r="C1012" s="7" t="e">
        <f t="shared" si="116"/>
        <v>#N/A</v>
      </c>
      <c r="D1012" s="7" t="e">
        <f t="shared" si="116"/>
        <v>#N/A</v>
      </c>
      <c r="E1012" s="7">
        <f t="shared" si="116"/>
        <v>3</v>
      </c>
      <c r="F1012" s="7" t="e">
        <f t="shared" si="116"/>
        <v>#N/A</v>
      </c>
      <c r="G1012" s="7" t="e">
        <f t="shared" si="116"/>
        <v>#N/A</v>
      </c>
    </row>
    <row r="1013" spans="2:7">
      <c r="B1013" s="67">
        <f t="shared" si="112"/>
        <v>44107</v>
      </c>
      <c r="C1013" s="7" t="e">
        <f t="shared" si="116"/>
        <v>#N/A</v>
      </c>
      <c r="D1013" s="7" t="e">
        <f t="shared" si="116"/>
        <v>#N/A</v>
      </c>
      <c r="E1013" s="7">
        <f t="shared" si="116"/>
        <v>3</v>
      </c>
      <c r="F1013" s="7" t="e">
        <f t="shared" si="116"/>
        <v>#N/A</v>
      </c>
      <c r="G1013" s="7" t="e">
        <f t="shared" si="116"/>
        <v>#N/A</v>
      </c>
    </row>
    <row r="1014" spans="2:7">
      <c r="B1014" s="67">
        <f t="shared" si="112"/>
        <v>44108</v>
      </c>
      <c r="C1014" s="7" t="e">
        <f t="shared" si="116"/>
        <v>#N/A</v>
      </c>
      <c r="D1014" s="7" t="e">
        <f t="shared" si="116"/>
        <v>#N/A</v>
      </c>
      <c r="E1014" s="7">
        <f t="shared" si="116"/>
        <v>3</v>
      </c>
      <c r="F1014" s="7" t="e">
        <f t="shared" si="116"/>
        <v>#N/A</v>
      </c>
      <c r="G1014" s="7" t="e">
        <f t="shared" si="116"/>
        <v>#N/A</v>
      </c>
    </row>
    <row r="1015" spans="2:7">
      <c r="B1015" s="67">
        <f t="shared" si="112"/>
        <v>44109</v>
      </c>
      <c r="C1015" s="7" t="e">
        <f t="shared" si="116"/>
        <v>#N/A</v>
      </c>
      <c r="D1015" s="7" t="e">
        <f t="shared" si="116"/>
        <v>#N/A</v>
      </c>
      <c r="E1015" s="7">
        <f t="shared" si="116"/>
        <v>3</v>
      </c>
      <c r="F1015" s="7" t="e">
        <f t="shared" si="116"/>
        <v>#N/A</v>
      </c>
      <c r="G1015" s="7" t="e">
        <f t="shared" si="116"/>
        <v>#N/A</v>
      </c>
    </row>
    <row r="1016" spans="2:7">
      <c r="B1016" s="67">
        <f t="shared" si="112"/>
        <v>44110</v>
      </c>
      <c r="C1016" s="7" t="e">
        <f t="shared" si="116"/>
        <v>#N/A</v>
      </c>
      <c r="D1016" s="7" t="e">
        <f t="shared" si="116"/>
        <v>#N/A</v>
      </c>
      <c r="E1016" s="7">
        <f t="shared" si="116"/>
        <v>3</v>
      </c>
      <c r="F1016" s="7" t="e">
        <f t="shared" si="116"/>
        <v>#N/A</v>
      </c>
      <c r="G1016" s="7" t="e">
        <f t="shared" si="116"/>
        <v>#N/A</v>
      </c>
    </row>
    <row r="1017" spans="2:7">
      <c r="B1017" s="67">
        <f t="shared" si="112"/>
        <v>44111</v>
      </c>
      <c r="C1017" s="7" t="e">
        <f t="shared" ref="C1017:G1026" si="117">IF(AND($B1017&gt;=C$3,$B1017&lt;=C$4),C$5,NA())</f>
        <v>#N/A</v>
      </c>
      <c r="D1017" s="7" t="e">
        <f t="shared" si="117"/>
        <v>#N/A</v>
      </c>
      <c r="E1017" s="7">
        <f t="shared" si="117"/>
        <v>3</v>
      </c>
      <c r="F1017" s="7" t="e">
        <f t="shared" si="117"/>
        <v>#N/A</v>
      </c>
      <c r="G1017" s="7" t="e">
        <f t="shared" si="117"/>
        <v>#N/A</v>
      </c>
    </row>
    <row r="1018" spans="2:7">
      <c r="B1018" s="67">
        <f t="shared" si="112"/>
        <v>44112</v>
      </c>
      <c r="C1018" s="7" t="e">
        <f t="shared" si="117"/>
        <v>#N/A</v>
      </c>
      <c r="D1018" s="7" t="e">
        <f t="shared" si="117"/>
        <v>#N/A</v>
      </c>
      <c r="E1018" s="7">
        <f t="shared" si="117"/>
        <v>3</v>
      </c>
      <c r="F1018" s="7" t="e">
        <f t="shared" si="117"/>
        <v>#N/A</v>
      </c>
      <c r="G1018" s="7" t="e">
        <f t="shared" si="117"/>
        <v>#N/A</v>
      </c>
    </row>
    <row r="1019" spans="2:7">
      <c r="B1019" s="67">
        <f t="shared" si="112"/>
        <v>44113</v>
      </c>
      <c r="C1019" s="7" t="e">
        <f t="shared" si="117"/>
        <v>#N/A</v>
      </c>
      <c r="D1019" s="7" t="e">
        <f t="shared" si="117"/>
        <v>#N/A</v>
      </c>
      <c r="E1019" s="7">
        <f t="shared" si="117"/>
        <v>3</v>
      </c>
      <c r="F1019" s="7" t="e">
        <f t="shared" si="117"/>
        <v>#N/A</v>
      </c>
      <c r="G1019" s="7" t="e">
        <f t="shared" si="117"/>
        <v>#N/A</v>
      </c>
    </row>
    <row r="1020" spans="2:7">
      <c r="B1020" s="67">
        <f t="shared" si="112"/>
        <v>44114</v>
      </c>
      <c r="C1020" s="7" t="e">
        <f t="shared" si="117"/>
        <v>#N/A</v>
      </c>
      <c r="D1020" s="7" t="e">
        <f t="shared" si="117"/>
        <v>#N/A</v>
      </c>
      <c r="E1020" s="7">
        <f t="shared" si="117"/>
        <v>3</v>
      </c>
      <c r="F1020" s="7" t="e">
        <f t="shared" si="117"/>
        <v>#N/A</v>
      </c>
      <c r="G1020" s="7" t="e">
        <f t="shared" si="117"/>
        <v>#N/A</v>
      </c>
    </row>
    <row r="1021" spans="2:7">
      <c r="B1021" s="67">
        <f t="shared" si="112"/>
        <v>44115</v>
      </c>
      <c r="C1021" s="7" t="e">
        <f t="shared" si="117"/>
        <v>#N/A</v>
      </c>
      <c r="D1021" s="7" t="e">
        <f t="shared" si="117"/>
        <v>#N/A</v>
      </c>
      <c r="E1021" s="7">
        <f t="shared" si="117"/>
        <v>3</v>
      </c>
      <c r="F1021" s="7" t="e">
        <f t="shared" si="117"/>
        <v>#N/A</v>
      </c>
      <c r="G1021" s="7" t="e">
        <f t="shared" si="117"/>
        <v>#N/A</v>
      </c>
    </row>
    <row r="1022" spans="2:7">
      <c r="B1022" s="67">
        <f t="shared" si="112"/>
        <v>44116</v>
      </c>
      <c r="C1022" s="7" t="e">
        <f t="shared" si="117"/>
        <v>#N/A</v>
      </c>
      <c r="D1022" s="7" t="e">
        <f t="shared" si="117"/>
        <v>#N/A</v>
      </c>
      <c r="E1022" s="7">
        <f t="shared" si="117"/>
        <v>3</v>
      </c>
      <c r="F1022" s="7" t="e">
        <f t="shared" si="117"/>
        <v>#N/A</v>
      </c>
      <c r="G1022" s="7" t="e">
        <f t="shared" si="117"/>
        <v>#N/A</v>
      </c>
    </row>
    <row r="1023" spans="2:7">
      <c r="B1023" s="67">
        <f t="shared" si="112"/>
        <v>44117</v>
      </c>
      <c r="C1023" s="7" t="e">
        <f t="shared" si="117"/>
        <v>#N/A</v>
      </c>
      <c r="D1023" s="7" t="e">
        <f t="shared" si="117"/>
        <v>#N/A</v>
      </c>
      <c r="E1023" s="7">
        <f t="shared" si="117"/>
        <v>3</v>
      </c>
      <c r="F1023" s="7" t="e">
        <f t="shared" si="117"/>
        <v>#N/A</v>
      </c>
      <c r="G1023" s="7" t="e">
        <f t="shared" si="117"/>
        <v>#N/A</v>
      </c>
    </row>
    <row r="1024" spans="2:7">
      <c r="B1024" s="67">
        <f t="shared" si="112"/>
        <v>44118</v>
      </c>
      <c r="C1024" s="7" t="e">
        <f t="shared" si="117"/>
        <v>#N/A</v>
      </c>
      <c r="D1024" s="7" t="e">
        <f t="shared" si="117"/>
        <v>#N/A</v>
      </c>
      <c r="E1024" s="7">
        <f t="shared" si="117"/>
        <v>3</v>
      </c>
      <c r="F1024" s="7" t="e">
        <f t="shared" si="117"/>
        <v>#N/A</v>
      </c>
      <c r="G1024" s="7" t="e">
        <f t="shared" si="117"/>
        <v>#N/A</v>
      </c>
    </row>
    <row r="1025" spans="2:7">
      <c r="B1025" s="67">
        <f t="shared" si="112"/>
        <v>44119</v>
      </c>
      <c r="C1025" s="7" t="e">
        <f t="shared" si="117"/>
        <v>#N/A</v>
      </c>
      <c r="D1025" s="7" t="e">
        <f t="shared" si="117"/>
        <v>#N/A</v>
      </c>
      <c r="E1025" s="7">
        <f t="shared" si="117"/>
        <v>3</v>
      </c>
      <c r="F1025" s="7" t="e">
        <f t="shared" si="117"/>
        <v>#N/A</v>
      </c>
      <c r="G1025" s="7" t="e">
        <f t="shared" si="117"/>
        <v>#N/A</v>
      </c>
    </row>
    <row r="1026" spans="2:7">
      <c r="B1026" s="67">
        <f t="shared" si="112"/>
        <v>44120</v>
      </c>
      <c r="C1026" s="7" t="e">
        <f t="shared" si="117"/>
        <v>#N/A</v>
      </c>
      <c r="D1026" s="7" t="e">
        <f t="shared" si="117"/>
        <v>#N/A</v>
      </c>
      <c r="E1026" s="7">
        <f t="shared" si="117"/>
        <v>3</v>
      </c>
      <c r="F1026" s="7" t="e">
        <f t="shared" si="117"/>
        <v>#N/A</v>
      </c>
      <c r="G1026" s="7" t="e">
        <f t="shared" si="117"/>
        <v>#N/A</v>
      </c>
    </row>
    <row r="1027" spans="2:7">
      <c r="B1027" s="67">
        <f t="shared" si="112"/>
        <v>44121</v>
      </c>
      <c r="C1027" s="7" t="e">
        <f t="shared" ref="C1027:G1036" si="118">IF(AND($B1027&gt;=C$3,$B1027&lt;=C$4),C$5,NA())</f>
        <v>#N/A</v>
      </c>
      <c r="D1027" s="7" t="e">
        <f t="shared" si="118"/>
        <v>#N/A</v>
      </c>
      <c r="E1027" s="7">
        <f t="shared" si="118"/>
        <v>3</v>
      </c>
      <c r="F1027" s="7" t="e">
        <f t="shared" si="118"/>
        <v>#N/A</v>
      </c>
      <c r="G1027" s="7" t="e">
        <f t="shared" si="118"/>
        <v>#N/A</v>
      </c>
    </row>
    <row r="1028" spans="2:7">
      <c r="B1028" s="67">
        <f t="shared" si="112"/>
        <v>44122</v>
      </c>
      <c r="C1028" s="7" t="e">
        <f t="shared" si="118"/>
        <v>#N/A</v>
      </c>
      <c r="D1028" s="7" t="e">
        <f t="shared" si="118"/>
        <v>#N/A</v>
      </c>
      <c r="E1028" s="7">
        <f t="shared" si="118"/>
        <v>3</v>
      </c>
      <c r="F1028" s="7" t="e">
        <f t="shared" si="118"/>
        <v>#N/A</v>
      </c>
      <c r="G1028" s="7" t="e">
        <f t="shared" si="118"/>
        <v>#N/A</v>
      </c>
    </row>
    <row r="1029" spans="2:7">
      <c r="B1029" s="67">
        <f t="shared" si="112"/>
        <v>44123</v>
      </c>
      <c r="C1029" s="7" t="e">
        <f t="shared" si="118"/>
        <v>#N/A</v>
      </c>
      <c r="D1029" s="7" t="e">
        <f t="shared" si="118"/>
        <v>#N/A</v>
      </c>
      <c r="E1029" s="7">
        <f t="shared" si="118"/>
        <v>3</v>
      </c>
      <c r="F1029" s="7" t="e">
        <f t="shared" si="118"/>
        <v>#N/A</v>
      </c>
      <c r="G1029" s="7" t="e">
        <f t="shared" si="118"/>
        <v>#N/A</v>
      </c>
    </row>
    <row r="1030" spans="2:7">
      <c r="B1030" s="67">
        <f t="shared" si="112"/>
        <v>44124</v>
      </c>
      <c r="C1030" s="7" t="e">
        <f t="shared" si="118"/>
        <v>#N/A</v>
      </c>
      <c r="D1030" s="7" t="e">
        <f t="shared" si="118"/>
        <v>#N/A</v>
      </c>
      <c r="E1030" s="7">
        <f t="shared" si="118"/>
        <v>3</v>
      </c>
      <c r="F1030" s="7" t="e">
        <f t="shared" si="118"/>
        <v>#N/A</v>
      </c>
      <c r="G1030" s="7" t="e">
        <f t="shared" si="118"/>
        <v>#N/A</v>
      </c>
    </row>
    <row r="1031" spans="2:7">
      <c r="B1031" s="67">
        <f t="shared" si="112"/>
        <v>44125</v>
      </c>
      <c r="C1031" s="7" t="e">
        <f t="shared" si="118"/>
        <v>#N/A</v>
      </c>
      <c r="D1031" s="7" t="e">
        <f t="shared" si="118"/>
        <v>#N/A</v>
      </c>
      <c r="E1031" s="7">
        <f t="shared" si="118"/>
        <v>3</v>
      </c>
      <c r="F1031" s="7" t="e">
        <f t="shared" si="118"/>
        <v>#N/A</v>
      </c>
      <c r="G1031" s="7" t="e">
        <f t="shared" si="118"/>
        <v>#N/A</v>
      </c>
    </row>
    <row r="1032" spans="2:7">
      <c r="B1032" s="67">
        <f t="shared" ref="B1032:B1095" si="119">B1031+1</f>
        <v>44126</v>
      </c>
      <c r="C1032" s="7" t="e">
        <f t="shared" si="118"/>
        <v>#N/A</v>
      </c>
      <c r="D1032" s="7" t="e">
        <f t="shared" si="118"/>
        <v>#N/A</v>
      </c>
      <c r="E1032" s="7">
        <f t="shared" si="118"/>
        <v>3</v>
      </c>
      <c r="F1032" s="7" t="e">
        <f t="shared" si="118"/>
        <v>#N/A</v>
      </c>
      <c r="G1032" s="7" t="e">
        <f t="shared" si="118"/>
        <v>#N/A</v>
      </c>
    </row>
    <row r="1033" spans="2:7">
      <c r="B1033" s="67">
        <f t="shared" si="119"/>
        <v>44127</v>
      </c>
      <c r="C1033" s="7" t="e">
        <f t="shared" si="118"/>
        <v>#N/A</v>
      </c>
      <c r="D1033" s="7" t="e">
        <f t="shared" si="118"/>
        <v>#N/A</v>
      </c>
      <c r="E1033" s="7">
        <f t="shared" si="118"/>
        <v>3</v>
      </c>
      <c r="F1033" s="7" t="e">
        <f t="shared" si="118"/>
        <v>#N/A</v>
      </c>
      <c r="G1033" s="7" t="e">
        <f t="shared" si="118"/>
        <v>#N/A</v>
      </c>
    </row>
    <row r="1034" spans="2:7">
      <c r="B1034" s="67">
        <f t="shared" si="119"/>
        <v>44128</v>
      </c>
      <c r="C1034" s="7" t="e">
        <f t="shared" si="118"/>
        <v>#N/A</v>
      </c>
      <c r="D1034" s="7" t="e">
        <f t="shared" si="118"/>
        <v>#N/A</v>
      </c>
      <c r="E1034" s="7">
        <f t="shared" si="118"/>
        <v>3</v>
      </c>
      <c r="F1034" s="7" t="e">
        <f t="shared" si="118"/>
        <v>#N/A</v>
      </c>
      <c r="G1034" s="7" t="e">
        <f t="shared" si="118"/>
        <v>#N/A</v>
      </c>
    </row>
    <row r="1035" spans="2:7">
      <c r="B1035" s="67">
        <f t="shared" si="119"/>
        <v>44129</v>
      </c>
      <c r="C1035" s="7" t="e">
        <f t="shared" si="118"/>
        <v>#N/A</v>
      </c>
      <c r="D1035" s="7" t="e">
        <f t="shared" si="118"/>
        <v>#N/A</v>
      </c>
      <c r="E1035" s="7">
        <f t="shared" si="118"/>
        <v>3</v>
      </c>
      <c r="F1035" s="7" t="e">
        <f t="shared" si="118"/>
        <v>#N/A</v>
      </c>
      <c r="G1035" s="7" t="e">
        <f t="shared" si="118"/>
        <v>#N/A</v>
      </c>
    </row>
    <row r="1036" spans="2:7">
      <c r="B1036" s="67">
        <f t="shared" si="119"/>
        <v>44130</v>
      </c>
      <c r="C1036" s="7" t="e">
        <f t="shared" si="118"/>
        <v>#N/A</v>
      </c>
      <c r="D1036" s="7" t="e">
        <f t="shared" si="118"/>
        <v>#N/A</v>
      </c>
      <c r="E1036" s="7">
        <f t="shared" si="118"/>
        <v>3</v>
      </c>
      <c r="F1036" s="7" t="e">
        <f t="shared" si="118"/>
        <v>#N/A</v>
      </c>
      <c r="G1036" s="7" t="e">
        <f t="shared" si="118"/>
        <v>#N/A</v>
      </c>
    </row>
    <row r="1037" spans="2:7">
      <c r="B1037" s="67">
        <f t="shared" si="119"/>
        <v>44131</v>
      </c>
      <c r="C1037" s="7" t="e">
        <f t="shared" ref="C1037:G1046" si="120">IF(AND($B1037&gt;=C$3,$B1037&lt;=C$4),C$5,NA())</f>
        <v>#N/A</v>
      </c>
      <c r="D1037" s="7" t="e">
        <f t="shared" si="120"/>
        <v>#N/A</v>
      </c>
      <c r="E1037" s="7">
        <f t="shared" si="120"/>
        <v>3</v>
      </c>
      <c r="F1037" s="7" t="e">
        <f t="shared" si="120"/>
        <v>#N/A</v>
      </c>
      <c r="G1037" s="7" t="e">
        <f t="shared" si="120"/>
        <v>#N/A</v>
      </c>
    </row>
    <row r="1038" spans="2:7">
      <c r="B1038" s="67">
        <f t="shared" si="119"/>
        <v>44132</v>
      </c>
      <c r="C1038" s="7" t="e">
        <f t="shared" si="120"/>
        <v>#N/A</v>
      </c>
      <c r="D1038" s="7" t="e">
        <f t="shared" si="120"/>
        <v>#N/A</v>
      </c>
      <c r="E1038" s="7">
        <f t="shared" si="120"/>
        <v>3</v>
      </c>
      <c r="F1038" s="7" t="e">
        <f t="shared" si="120"/>
        <v>#N/A</v>
      </c>
      <c r="G1038" s="7" t="e">
        <f t="shared" si="120"/>
        <v>#N/A</v>
      </c>
    </row>
    <row r="1039" spans="2:7">
      <c r="B1039" s="67">
        <f t="shared" si="119"/>
        <v>44133</v>
      </c>
      <c r="C1039" s="7" t="e">
        <f t="shared" si="120"/>
        <v>#N/A</v>
      </c>
      <c r="D1039" s="7" t="e">
        <f t="shared" si="120"/>
        <v>#N/A</v>
      </c>
      <c r="E1039" s="7">
        <f t="shared" si="120"/>
        <v>3</v>
      </c>
      <c r="F1039" s="7" t="e">
        <f t="shared" si="120"/>
        <v>#N/A</v>
      </c>
      <c r="G1039" s="7" t="e">
        <f t="shared" si="120"/>
        <v>#N/A</v>
      </c>
    </row>
    <row r="1040" spans="2:7">
      <c r="B1040" s="67">
        <f t="shared" si="119"/>
        <v>44134</v>
      </c>
      <c r="C1040" s="7" t="e">
        <f t="shared" si="120"/>
        <v>#N/A</v>
      </c>
      <c r="D1040" s="7" t="e">
        <f t="shared" si="120"/>
        <v>#N/A</v>
      </c>
      <c r="E1040" s="7">
        <f t="shared" si="120"/>
        <v>3</v>
      </c>
      <c r="F1040" s="7" t="e">
        <f t="shared" si="120"/>
        <v>#N/A</v>
      </c>
      <c r="G1040" s="7" t="e">
        <f t="shared" si="120"/>
        <v>#N/A</v>
      </c>
    </row>
    <row r="1041" spans="2:7">
      <c r="B1041" s="67">
        <f t="shared" si="119"/>
        <v>44135</v>
      </c>
      <c r="C1041" s="7" t="e">
        <f t="shared" si="120"/>
        <v>#N/A</v>
      </c>
      <c r="D1041" s="7" t="e">
        <f t="shared" si="120"/>
        <v>#N/A</v>
      </c>
      <c r="E1041" s="7">
        <f t="shared" si="120"/>
        <v>3</v>
      </c>
      <c r="F1041" s="7" t="e">
        <f t="shared" si="120"/>
        <v>#N/A</v>
      </c>
      <c r="G1041" s="7" t="e">
        <f t="shared" si="120"/>
        <v>#N/A</v>
      </c>
    </row>
    <row r="1042" spans="2:7">
      <c r="B1042" s="67">
        <f t="shared" si="119"/>
        <v>44136</v>
      </c>
      <c r="C1042" s="7" t="e">
        <f t="shared" si="120"/>
        <v>#N/A</v>
      </c>
      <c r="D1042" s="7" t="e">
        <f t="shared" si="120"/>
        <v>#N/A</v>
      </c>
      <c r="E1042" s="7">
        <f t="shared" si="120"/>
        <v>3</v>
      </c>
      <c r="F1042" s="7" t="e">
        <f t="shared" si="120"/>
        <v>#N/A</v>
      </c>
      <c r="G1042" s="7" t="e">
        <f t="shared" si="120"/>
        <v>#N/A</v>
      </c>
    </row>
    <row r="1043" spans="2:7">
      <c r="B1043" s="67">
        <f t="shared" si="119"/>
        <v>44137</v>
      </c>
      <c r="C1043" s="7" t="e">
        <f t="shared" si="120"/>
        <v>#N/A</v>
      </c>
      <c r="D1043" s="7" t="e">
        <f t="shared" si="120"/>
        <v>#N/A</v>
      </c>
      <c r="E1043" s="7">
        <f t="shared" si="120"/>
        <v>3</v>
      </c>
      <c r="F1043" s="7" t="e">
        <f t="shared" si="120"/>
        <v>#N/A</v>
      </c>
      <c r="G1043" s="7" t="e">
        <f t="shared" si="120"/>
        <v>#N/A</v>
      </c>
    </row>
    <row r="1044" spans="2:7">
      <c r="B1044" s="67">
        <f t="shared" si="119"/>
        <v>44138</v>
      </c>
      <c r="C1044" s="7" t="e">
        <f t="shared" si="120"/>
        <v>#N/A</v>
      </c>
      <c r="D1044" s="7" t="e">
        <f t="shared" si="120"/>
        <v>#N/A</v>
      </c>
      <c r="E1044" s="7">
        <f t="shared" si="120"/>
        <v>3</v>
      </c>
      <c r="F1044" s="7" t="e">
        <f t="shared" si="120"/>
        <v>#N/A</v>
      </c>
      <c r="G1044" s="7" t="e">
        <f t="shared" si="120"/>
        <v>#N/A</v>
      </c>
    </row>
    <row r="1045" spans="2:7">
      <c r="B1045" s="67">
        <f t="shared" si="119"/>
        <v>44139</v>
      </c>
      <c r="C1045" s="7" t="e">
        <f t="shared" si="120"/>
        <v>#N/A</v>
      </c>
      <c r="D1045" s="7" t="e">
        <f t="shared" si="120"/>
        <v>#N/A</v>
      </c>
      <c r="E1045" s="7">
        <f t="shared" si="120"/>
        <v>3</v>
      </c>
      <c r="F1045" s="7" t="e">
        <f t="shared" si="120"/>
        <v>#N/A</v>
      </c>
      <c r="G1045" s="7" t="e">
        <f t="shared" si="120"/>
        <v>#N/A</v>
      </c>
    </row>
    <row r="1046" spans="2:7">
      <c r="B1046" s="67">
        <f t="shared" si="119"/>
        <v>44140</v>
      </c>
      <c r="C1046" s="7" t="e">
        <f t="shared" si="120"/>
        <v>#N/A</v>
      </c>
      <c r="D1046" s="7" t="e">
        <f t="shared" si="120"/>
        <v>#N/A</v>
      </c>
      <c r="E1046" s="7">
        <f t="shared" si="120"/>
        <v>3</v>
      </c>
      <c r="F1046" s="7" t="e">
        <f t="shared" si="120"/>
        <v>#N/A</v>
      </c>
      <c r="G1046" s="7" t="e">
        <f t="shared" si="120"/>
        <v>#N/A</v>
      </c>
    </row>
    <row r="1047" spans="2:7">
      <c r="B1047" s="67">
        <f t="shared" si="119"/>
        <v>44141</v>
      </c>
      <c r="C1047" s="7" t="e">
        <f t="shared" ref="C1047:G1056" si="121">IF(AND($B1047&gt;=C$3,$B1047&lt;=C$4),C$5,NA())</f>
        <v>#N/A</v>
      </c>
      <c r="D1047" s="7" t="e">
        <f t="shared" si="121"/>
        <v>#N/A</v>
      </c>
      <c r="E1047" s="7">
        <f t="shared" si="121"/>
        <v>3</v>
      </c>
      <c r="F1047" s="7" t="e">
        <f t="shared" si="121"/>
        <v>#N/A</v>
      </c>
      <c r="G1047" s="7" t="e">
        <f t="shared" si="121"/>
        <v>#N/A</v>
      </c>
    </row>
    <row r="1048" spans="2:7">
      <c r="B1048" s="67">
        <f t="shared" si="119"/>
        <v>44142</v>
      </c>
      <c r="C1048" s="7" t="e">
        <f t="shared" si="121"/>
        <v>#N/A</v>
      </c>
      <c r="D1048" s="7" t="e">
        <f t="shared" si="121"/>
        <v>#N/A</v>
      </c>
      <c r="E1048" s="7">
        <f t="shared" si="121"/>
        <v>3</v>
      </c>
      <c r="F1048" s="7" t="e">
        <f t="shared" si="121"/>
        <v>#N/A</v>
      </c>
      <c r="G1048" s="7" t="e">
        <f t="shared" si="121"/>
        <v>#N/A</v>
      </c>
    </row>
    <row r="1049" spans="2:7">
      <c r="B1049" s="67">
        <f t="shared" si="119"/>
        <v>44143</v>
      </c>
      <c r="C1049" s="7" t="e">
        <f t="shared" si="121"/>
        <v>#N/A</v>
      </c>
      <c r="D1049" s="7" t="e">
        <f t="shared" si="121"/>
        <v>#N/A</v>
      </c>
      <c r="E1049" s="7">
        <f t="shared" si="121"/>
        <v>3</v>
      </c>
      <c r="F1049" s="7" t="e">
        <f t="shared" si="121"/>
        <v>#N/A</v>
      </c>
      <c r="G1049" s="7" t="e">
        <f t="shared" si="121"/>
        <v>#N/A</v>
      </c>
    </row>
    <row r="1050" spans="2:7">
      <c r="B1050" s="67">
        <f t="shared" si="119"/>
        <v>44144</v>
      </c>
      <c r="C1050" s="7" t="e">
        <f t="shared" si="121"/>
        <v>#N/A</v>
      </c>
      <c r="D1050" s="7" t="e">
        <f t="shared" si="121"/>
        <v>#N/A</v>
      </c>
      <c r="E1050" s="7">
        <f t="shared" si="121"/>
        <v>3</v>
      </c>
      <c r="F1050" s="7" t="e">
        <f t="shared" si="121"/>
        <v>#N/A</v>
      </c>
      <c r="G1050" s="7" t="e">
        <f t="shared" si="121"/>
        <v>#N/A</v>
      </c>
    </row>
    <row r="1051" spans="2:7">
      <c r="B1051" s="67">
        <f t="shared" si="119"/>
        <v>44145</v>
      </c>
      <c r="C1051" s="7" t="e">
        <f t="shared" si="121"/>
        <v>#N/A</v>
      </c>
      <c r="D1051" s="7" t="e">
        <f t="shared" si="121"/>
        <v>#N/A</v>
      </c>
      <c r="E1051" s="7">
        <f t="shared" si="121"/>
        <v>3</v>
      </c>
      <c r="F1051" s="7" t="e">
        <f t="shared" si="121"/>
        <v>#N/A</v>
      </c>
      <c r="G1051" s="7" t="e">
        <f t="shared" si="121"/>
        <v>#N/A</v>
      </c>
    </row>
    <row r="1052" spans="2:7">
      <c r="B1052" s="67">
        <f t="shared" si="119"/>
        <v>44146</v>
      </c>
      <c r="C1052" s="7" t="e">
        <f t="shared" si="121"/>
        <v>#N/A</v>
      </c>
      <c r="D1052" s="7" t="e">
        <f t="shared" si="121"/>
        <v>#N/A</v>
      </c>
      <c r="E1052" s="7">
        <f t="shared" si="121"/>
        <v>3</v>
      </c>
      <c r="F1052" s="7" t="e">
        <f t="shared" si="121"/>
        <v>#N/A</v>
      </c>
      <c r="G1052" s="7" t="e">
        <f t="shared" si="121"/>
        <v>#N/A</v>
      </c>
    </row>
    <row r="1053" spans="2:7">
      <c r="B1053" s="67">
        <f t="shared" si="119"/>
        <v>44147</v>
      </c>
      <c r="C1053" s="7" t="e">
        <f t="shared" si="121"/>
        <v>#N/A</v>
      </c>
      <c r="D1053" s="7" t="e">
        <f t="shared" si="121"/>
        <v>#N/A</v>
      </c>
      <c r="E1053" s="7">
        <f t="shared" si="121"/>
        <v>3</v>
      </c>
      <c r="F1053" s="7" t="e">
        <f t="shared" si="121"/>
        <v>#N/A</v>
      </c>
      <c r="G1053" s="7" t="e">
        <f t="shared" si="121"/>
        <v>#N/A</v>
      </c>
    </row>
    <row r="1054" spans="2:7">
      <c r="B1054" s="67">
        <f t="shared" si="119"/>
        <v>44148</v>
      </c>
      <c r="C1054" s="7" t="e">
        <f t="shared" si="121"/>
        <v>#N/A</v>
      </c>
      <c r="D1054" s="7" t="e">
        <f t="shared" si="121"/>
        <v>#N/A</v>
      </c>
      <c r="E1054" s="7">
        <f t="shared" si="121"/>
        <v>3</v>
      </c>
      <c r="F1054" s="7" t="e">
        <f t="shared" si="121"/>
        <v>#N/A</v>
      </c>
      <c r="G1054" s="7" t="e">
        <f t="shared" si="121"/>
        <v>#N/A</v>
      </c>
    </row>
    <row r="1055" spans="2:7">
      <c r="B1055" s="67">
        <f t="shared" si="119"/>
        <v>44149</v>
      </c>
      <c r="C1055" s="7" t="e">
        <f t="shared" si="121"/>
        <v>#N/A</v>
      </c>
      <c r="D1055" s="7" t="e">
        <f t="shared" si="121"/>
        <v>#N/A</v>
      </c>
      <c r="E1055" s="7">
        <f t="shared" si="121"/>
        <v>3</v>
      </c>
      <c r="F1055" s="7" t="e">
        <f t="shared" si="121"/>
        <v>#N/A</v>
      </c>
      <c r="G1055" s="7" t="e">
        <f t="shared" si="121"/>
        <v>#N/A</v>
      </c>
    </row>
    <row r="1056" spans="2:7">
      <c r="B1056" s="67">
        <f t="shared" si="119"/>
        <v>44150</v>
      </c>
      <c r="C1056" s="7" t="e">
        <f t="shared" si="121"/>
        <v>#N/A</v>
      </c>
      <c r="D1056" s="7" t="e">
        <f t="shared" si="121"/>
        <v>#N/A</v>
      </c>
      <c r="E1056" s="7">
        <f t="shared" si="121"/>
        <v>3</v>
      </c>
      <c r="F1056" s="7" t="e">
        <f t="shared" si="121"/>
        <v>#N/A</v>
      </c>
      <c r="G1056" s="7" t="e">
        <f t="shared" si="121"/>
        <v>#N/A</v>
      </c>
    </row>
    <row r="1057" spans="2:7">
      <c r="B1057" s="67">
        <f t="shared" si="119"/>
        <v>44151</v>
      </c>
      <c r="C1057" s="7" t="e">
        <f t="shared" ref="C1057:G1066" si="122">IF(AND($B1057&gt;=C$3,$B1057&lt;=C$4),C$5,NA())</f>
        <v>#N/A</v>
      </c>
      <c r="D1057" s="7" t="e">
        <f t="shared" si="122"/>
        <v>#N/A</v>
      </c>
      <c r="E1057" s="7">
        <f t="shared" si="122"/>
        <v>3</v>
      </c>
      <c r="F1057" s="7" t="e">
        <f t="shared" si="122"/>
        <v>#N/A</v>
      </c>
      <c r="G1057" s="7" t="e">
        <f t="shared" si="122"/>
        <v>#N/A</v>
      </c>
    </row>
    <row r="1058" spans="2:7">
      <c r="B1058" s="67">
        <f t="shared" si="119"/>
        <v>44152</v>
      </c>
      <c r="C1058" s="7" t="e">
        <f t="shared" si="122"/>
        <v>#N/A</v>
      </c>
      <c r="D1058" s="7" t="e">
        <f t="shared" si="122"/>
        <v>#N/A</v>
      </c>
      <c r="E1058" s="7">
        <f t="shared" si="122"/>
        <v>3</v>
      </c>
      <c r="F1058" s="7" t="e">
        <f t="shared" si="122"/>
        <v>#N/A</v>
      </c>
      <c r="G1058" s="7" t="e">
        <f t="shared" si="122"/>
        <v>#N/A</v>
      </c>
    </row>
    <row r="1059" spans="2:7">
      <c r="B1059" s="67">
        <f t="shared" si="119"/>
        <v>44153</v>
      </c>
      <c r="C1059" s="7" t="e">
        <f t="shared" si="122"/>
        <v>#N/A</v>
      </c>
      <c r="D1059" s="7" t="e">
        <f t="shared" si="122"/>
        <v>#N/A</v>
      </c>
      <c r="E1059" s="7">
        <f t="shared" si="122"/>
        <v>3</v>
      </c>
      <c r="F1059" s="7" t="e">
        <f t="shared" si="122"/>
        <v>#N/A</v>
      </c>
      <c r="G1059" s="7" t="e">
        <f t="shared" si="122"/>
        <v>#N/A</v>
      </c>
    </row>
    <row r="1060" spans="2:7">
      <c r="B1060" s="67">
        <f t="shared" si="119"/>
        <v>44154</v>
      </c>
      <c r="C1060" s="7" t="e">
        <f t="shared" si="122"/>
        <v>#N/A</v>
      </c>
      <c r="D1060" s="7" t="e">
        <f t="shared" si="122"/>
        <v>#N/A</v>
      </c>
      <c r="E1060" s="7">
        <f t="shared" si="122"/>
        <v>3</v>
      </c>
      <c r="F1060" s="7" t="e">
        <f t="shared" si="122"/>
        <v>#N/A</v>
      </c>
      <c r="G1060" s="7" t="e">
        <f t="shared" si="122"/>
        <v>#N/A</v>
      </c>
    </row>
    <row r="1061" spans="2:7">
      <c r="B1061" s="67">
        <f t="shared" si="119"/>
        <v>44155</v>
      </c>
      <c r="C1061" s="7" t="e">
        <f t="shared" si="122"/>
        <v>#N/A</v>
      </c>
      <c r="D1061" s="7" t="e">
        <f t="shared" si="122"/>
        <v>#N/A</v>
      </c>
      <c r="E1061" s="7">
        <f t="shared" si="122"/>
        <v>3</v>
      </c>
      <c r="F1061" s="7" t="e">
        <f t="shared" si="122"/>
        <v>#N/A</v>
      </c>
      <c r="G1061" s="7" t="e">
        <f t="shared" si="122"/>
        <v>#N/A</v>
      </c>
    </row>
    <row r="1062" spans="2:7">
      <c r="B1062" s="67">
        <f t="shared" si="119"/>
        <v>44156</v>
      </c>
      <c r="C1062" s="7" t="e">
        <f t="shared" si="122"/>
        <v>#N/A</v>
      </c>
      <c r="D1062" s="7" t="e">
        <f t="shared" si="122"/>
        <v>#N/A</v>
      </c>
      <c r="E1062" s="7">
        <f t="shared" si="122"/>
        <v>3</v>
      </c>
      <c r="F1062" s="7" t="e">
        <f t="shared" si="122"/>
        <v>#N/A</v>
      </c>
      <c r="G1062" s="7" t="e">
        <f t="shared" si="122"/>
        <v>#N/A</v>
      </c>
    </row>
    <row r="1063" spans="2:7">
      <c r="B1063" s="67">
        <f t="shared" si="119"/>
        <v>44157</v>
      </c>
      <c r="C1063" s="7" t="e">
        <f t="shared" si="122"/>
        <v>#N/A</v>
      </c>
      <c r="D1063" s="7" t="e">
        <f t="shared" si="122"/>
        <v>#N/A</v>
      </c>
      <c r="E1063" s="7">
        <f t="shared" si="122"/>
        <v>3</v>
      </c>
      <c r="F1063" s="7" t="e">
        <f t="shared" si="122"/>
        <v>#N/A</v>
      </c>
      <c r="G1063" s="7" t="e">
        <f t="shared" si="122"/>
        <v>#N/A</v>
      </c>
    </row>
    <row r="1064" spans="2:7">
      <c r="B1064" s="67">
        <f t="shared" si="119"/>
        <v>44158</v>
      </c>
      <c r="C1064" s="7" t="e">
        <f t="shared" si="122"/>
        <v>#N/A</v>
      </c>
      <c r="D1064" s="7" t="e">
        <f t="shared" si="122"/>
        <v>#N/A</v>
      </c>
      <c r="E1064" s="7">
        <f t="shared" si="122"/>
        <v>3</v>
      </c>
      <c r="F1064" s="7" t="e">
        <f t="shared" si="122"/>
        <v>#N/A</v>
      </c>
      <c r="G1064" s="7" t="e">
        <f t="shared" si="122"/>
        <v>#N/A</v>
      </c>
    </row>
    <row r="1065" spans="2:7">
      <c r="B1065" s="67">
        <f t="shared" si="119"/>
        <v>44159</v>
      </c>
      <c r="C1065" s="7" t="e">
        <f t="shared" si="122"/>
        <v>#N/A</v>
      </c>
      <c r="D1065" s="7" t="e">
        <f t="shared" si="122"/>
        <v>#N/A</v>
      </c>
      <c r="E1065" s="7">
        <f t="shared" si="122"/>
        <v>3</v>
      </c>
      <c r="F1065" s="7" t="e">
        <f t="shared" si="122"/>
        <v>#N/A</v>
      </c>
      <c r="G1065" s="7" t="e">
        <f t="shared" si="122"/>
        <v>#N/A</v>
      </c>
    </row>
    <row r="1066" spans="2:7">
      <c r="B1066" s="67">
        <f t="shared" si="119"/>
        <v>44160</v>
      </c>
      <c r="C1066" s="7" t="e">
        <f t="shared" si="122"/>
        <v>#N/A</v>
      </c>
      <c r="D1066" s="7" t="e">
        <f t="shared" si="122"/>
        <v>#N/A</v>
      </c>
      <c r="E1066" s="7">
        <f t="shared" si="122"/>
        <v>3</v>
      </c>
      <c r="F1066" s="7" t="e">
        <f t="shared" si="122"/>
        <v>#N/A</v>
      </c>
      <c r="G1066" s="7" t="e">
        <f t="shared" si="122"/>
        <v>#N/A</v>
      </c>
    </row>
    <row r="1067" spans="2:7">
      <c r="B1067" s="67">
        <f t="shared" si="119"/>
        <v>44161</v>
      </c>
      <c r="C1067" s="7" t="e">
        <f t="shared" ref="C1067:G1076" si="123">IF(AND($B1067&gt;=C$3,$B1067&lt;=C$4),C$5,NA())</f>
        <v>#N/A</v>
      </c>
      <c r="D1067" s="7" t="e">
        <f t="shared" si="123"/>
        <v>#N/A</v>
      </c>
      <c r="E1067" s="7">
        <f t="shared" si="123"/>
        <v>3</v>
      </c>
      <c r="F1067" s="7" t="e">
        <f t="shared" si="123"/>
        <v>#N/A</v>
      </c>
      <c r="G1067" s="7" t="e">
        <f t="shared" si="123"/>
        <v>#N/A</v>
      </c>
    </row>
    <row r="1068" spans="2:7">
      <c r="B1068" s="67">
        <f t="shared" si="119"/>
        <v>44162</v>
      </c>
      <c r="C1068" s="7" t="e">
        <f t="shared" si="123"/>
        <v>#N/A</v>
      </c>
      <c r="D1068" s="7" t="e">
        <f t="shared" si="123"/>
        <v>#N/A</v>
      </c>
      <c r="E1068" s="7">
        <f t="shared" si="123"/>
        <v>3</v>
      </c>
      <c r="F1068" s="7" t="e">
        <f t="shared" si="123"/>
        <v>#N/A</v>
      </c>
      <c r="G1068" s="7" t="e">
        <f t="shared" si="123"/>
        <v>#N/A</v>
      </c>
    </row>
    <row r="1069" spans="2:7">
      <c r="B1069" s="67">
        <f t="shared" si="119"/>
        <v>44163</v>
      </c>
      <c r="C1069" s="7" t="e">
        <f t="shared" si="123"/>
        <v>#N/A</v>
      </c>
      <c r="D1069" s="7" t="e">
        <f t="shared" si="123"/>
        <v>#N/A</v>
      </c>
      <c r="E1069" s="7">
        <f t="shared" si="123"/>
        <v>3</v>
      </c>
      <c r="F1069" s="7" t="e">
        <f t="shared" si="123"/>
        <v>#N/A</v>
      </c>
      <c r="G1069" s="7" t="e">
        <f t="shared" si="123"/>
        <v>#N/A</v>
      </c>
    </row>
    <row r="1070" spans="2:7">
      <c r="B1070" s="67">
        <f t="shared" si="119"/>
        <v>44164</v>
      </c>
      <c r="C1070" s="7" t="e">
        <f t="shared" si="123"/>
        <v>#N/A</v>
      </c>
      <c r="D1070" s="7" t="e">
        <f t="shared" si="123"/>
        <v>#N/A</v>
      </c>
      <c r="E1070" s="7">
        <f t="shared" si="123"/>
        <v>3</v>
      </c>
      <c r="F1070" s="7" t="e">
        <f t="shared" si="123"/>
        <v>#N/A</v>
      </c>
      <c r="G1070" s="7" t="e">
        <f t="shared" si="123"/>
        <v>#N/A</v>
      </c>
    </row>
    <row r="1071" spans="2:7">
      <c r="B1071" s="67">
        <f t="shared" si="119"/>
        <v>44165</v>
      </c>
      <c r="C1071" s="7" t="e">
        <f t="shared" si="123"/>
        <v>#N/A</v>
      </c>
      <c r="D1071" s="7" t="e">
        <f t="shared" si="123"/>
        <v>#N/A</v>
      </c>
      <c r="E1071" s="7">
        <f t="shared" si="123"/>
        <v>3</v>
      </c>
      <c r="F1071" s="7" t="e">
        <f t="shared" si="123"/>
        <v>#N/A</v>
      </c>
      <c r="G1071" s="7" t="e">
        <f t="shared" si="123"/>
        <v>#N/A</v>
      </c>
    </row>
    <row r="1072" spans="2:7">
      <c r="B1072" s="67">
        <f t="shared" si="119"/>
        <v>44166</v>
      </c>
      <c r="C1072" s="7" t="e">
        <f t="shared" si="123"/>
        <v>#N/A</v>
      </c>
      <c r="D1072" s="7" t="e">
        <f t="shared" si="123"/>
        <v>#N/A</v>
      </c>
      <c r="E1072" s="7">
        <f t="shared" si="123"/>
        <v>3</v>
      </c>
      <c r="F1072" s="7" t="e">
        <f t="shared" si="123"/>
        <v>#N/A</v>
      </c>
      <c r="G1072" s="7" t="e">
        <f t="shared" si="123"/>
        <v>#N/A</v>
      </c>
    </row>
    <row r="1073" spans="2:7">
      <c r="B1073" s="67">
        <f t="shared" si="119"/>
        <v>44167</v>
      </c>
      <c r="C1073" s="7" t="e">
        <f t="shared" si="123"/>
        <v>#N/A</v>
      </c>
      <c r="D1073" s="7" t="e">
        <f t="shared" si="123"/>
        <v>#N/A</v>
      </c>
      <c r="E1073" s="7">
        <f t="shared" si="123"/>
        <v>3</v>
      </c>
      <c r="F1073" s="7" t="e">
        <f t="shared" si="123"/>
        <v>#N/A</v>
      </c>
      <c r="G1073" s="7" t="e">
        <f t="shared" si="123"/>
        <v>#N/A</v>
      </c>
    </row>
    <row r="1074" spans="2:7">
      <c r="B1074" s="67">
        <f t="shared" si="119"/>
        <v>44168</v>
      </c>
      <c r="C1074" s="7" t="e">
        <f t="shared" si="123"/>
        <v>#N/A</v>
      </c>
      <c r="D1074" s="7" t="e">
        <f t="shared" si="123"/>
        <v>#N/A</v>
      </c>
      <c r="E1074" s="7">
        <f t="shared" si="123"/>
        <v>3</v>
      </c>
      <c r="F1074" s="7" t="e">
        <f t="shared" si="123"/>
        <v>#N/A</v>
      </c>
      <c r="G1074" s="7" t="e">
        <f t="shared" si="123"/>
        <v>#N/A</v>
      </c>
    </row>
    <row r="1075" spans="2:7">
      <c r="B1075" s="67">
        <f t="shared" si="119"/>
        <v>44169</v>
      </c>
      <c r="C1075" s="7" t="e">
        <f t="shared" si="123"/>
        <v>#N/A</v>
      </c>
      <c r="D1075" s="7" t="e">
        <f t="shared" si="123"/>
        <v>#N/A</v>
      </c>
      <c r="E1075" s="7">
        <f t="shared" si="123"/>
        <v>3</v>
      </c>
      <c r="F1075" s="7" t="e">
        <f t="shared" si="123"/>
        <v>#N/A</v>
      </c>
      <c r="G1075" s="7" t="e">
        <f t="shared" si="123"/>
        <v>#N/A</v>
      </c>
    </row>
    <row r="1076" spans="2:7">
      <c r="B1076" s="67">
        <f t="shared" si="119"/>
        <v>44170</v>
      </c>
      <c r="C1076" s="7" t="e">
        <f t="shared" si="123"/>
        <v>#N/A</v>
      </c>
      <c r="D1076" s="7" t="e">
        <f t="shared" si="123"/>
        <v>#N/A</v>
      </c>
      <c r="E1076" s="7">
        <f t="shared" si="123"/>
        <v>3</v>
      </c>
      <c r="F1076" s="7" t="e">
        <f t="shared" si="123"/>
        <v>#N/A</v>
      </c>
      <c r="G1076" s="7" t="e">
        <f t="shared" si="123"/>
        <v>#N/A</v>
      </c>
    </row>
    <row r="1077" spans="2:7">
      <c r="B1077" s="67">
        <f t="shared" si="119"/>
        <v>44171</v>
      </c>
      <c r="C1077" s="7" t="e">
        <f t="shared" ref="C1077:G1086" si="124">IF(AND($B1077&gt;=C$3,$B1077&lt;=C$4),C$5,NA())</f>
        <v>#N/A</v>
      </c>
      <c r="D1077" s="7" t="e">
        <f t="shared" si="124"/>
        <v>#N/A</v>
      </c>
      <c r="E1077" s="7">
        <f t="shared" si="124"/>
        <v>3</v>
      </c>
      <c r="F1077" s="7" t="e">
        <f t="shared" si="124"/>
        <v>#N/A</v>
      </c>
      <c r="G1077" s="7" t="e">
        <f t="shared" si="124"/>
        <v>#N/A</v>
      </c>
    </row>
    <row r="1078" spans="2:7">
      <c r="B1078" s="67">
        <f t="shared" si="119"/>
        <v>44172</v>
      </c>
      <c r="C1078" s="7" t="e">
        <f t="shared" si="124"/>
        <v>#N/A</v>
      </c>
      <c r="D1078" s="7" t="e">
        <f t="shared" si="124"/>
        <v>#N/A</v>
      </c>
      <c r="E1078" s="7">
        <f t="shared" si="124"/>
        <v>3</v>
      </c>
      <c r="F1078" s="7" t="e">
        <f t="shared" si="124"/>
        <v>#N/A</v>
      </c>
      <c r="G1078" s="7" t="e">
        <f t="shared" si="124"/>
        <v>#N/A</v>
      </c>
    </row>
    <row r="1079" spans="2:7">
      <c r="B1079" s="67">
        <f t="shared" si="119"/>
        <v>44173</v>
      </c>
      <c r="C1079" s="7" t="e">
        <f t="shared" si="124"/>
        <v>#N/A</v>
      </c>
      <c r="D1079" s="7" t="e">
        <f t="shared" si="124"/>
        <v>#N/A</v>
      </c>
      <c r="E1079" s="7">
        <f t="shared" si="124"/>
        <v>3</v>
      </c>
      <c r="F1079" s="7" t="e">
        <f t="shared" si="124"/>
        <v>#N/A</v>
      </c>
      <c r="G1079" s="7" t="e">
        <f t="shared" si="124"/>
        <v>#N/A</v>
      </c>
    </row>
    <row r="1080" spans="2:7">
      <c r="B1080" s="67">
        <f t="shared" si="119"/>
        <v>44174</v>
      </c>
      <c r="C1080" s="7" t="e">
        <f t="shared" si="124"/>
        <v>#N/A</v>
      </c>
      <c r="D1080" s="7" t="e">
        <f t="shared" si="124"/>
        <v>#N/A</v>
      </c>
      <c r="E1080" s="7">
        <f t="shared" si="124"/>
        <v>3</v>
      </c>
      <c r="F1080" s="7" t="e">
        <f t="shared" si="124"/>
        <v>#N/A</v>
      </c>
      <c r="G1080" s="7" t="e">
        <f t="shared" si="124"/>
        <v>#N/A</v>
      </c>
    </row>
    <row r="1081" spans="2:7">
      <c r="B1081" s="67">
        <f t="shared" si="119"/>
        <v>44175</v>
      </c>
      <c r="C1081" s="7" t="e">
        <f t="shared" si="124"/>
        <v>#N/A</v>
      </c>
      <c r="D1081" s="7" t="e">
        <f t="shared" si="124"/>
        <v>#N/A</v>
      </c>
      <c r="E1081" s="7">
        <f t="shared" si="124"/>
        <v>3</v>
      </c>
      <c r="F1081" s="7" t="e">
        <f t="shared" si="124"/>
        <v>#N/A</v>
      </c>
      <c r="G1081" s="7" t="e">
        <f t="shared" si="124"/>
        <v>#N/A</v>
      </c>
    </row>
    <row r="1082" spans="2:7">
      <c r="B1082" s="67">
        <f t="shared" si="119"/>
        <v>44176</v>
      </c>
      <c r="C1082" s="7" t="e">
        <f t="shared" si="124"/>
        <v>#N/A</v>
      </c>
      <c r="D1082" s="7" t="e">
        <f t="shared" si="124"/>
        <v>#N/A</v>
      </c>
      <c r="E1082" s="7">
        <f t="shared" si="124"/>
        <v>3</v>
      </c>
      <c r="F1082" s="7" t="e">
        <f t="shared" si="124"/>
        <v>#N/A</v>
      </c>
      <c r="G1082" s="7" t="e">
        <f t="shared" si="124"/>
        <v>#N/A</v>
      </c>
    </row>
    <row r="1083" spans="2:7">
      <c r="B1083" s="67">
        <f t="shared" si="119"/>
        <v>44177</v>
      </c>
      <c r="C1083" s="7" t="e">
        <f t="shared" si="124"/>
        <v>#N/A</v>
      </c>
      <c r="D1083" s="7" t="e">
        <f t="shared" si="124"/>
        <v>#N/A</v>
      </c>
      <c r="E1083" s="7">
        <f t="shared" si="124"/>
        <v>3</v>
      </c>
      <c r="F1083" s="7" t="e">
        <f t="shared" si="124"/>
        <v>#N/A</v>
      </c>
      <c r="G1083" s="7" t="e">
        <f t="shared" si="124"/>
        <v>#N/A</v>
      </c>
    </row>
    <row r="1084" spans="2:7">
      <c r="B1084" s="67">
        <f t="shared" si="119"/>
        <v>44178</v>
      </c>
      <c r="C1084" s="7" t="e">
        <f t="shared" si="124"/>
        <v>#N/A</v>
      </c>
      <c r="D1084" s="7" t="e">
        <f t="shared" si="124"/>
        <v>#N/A</v>
      </c>
      <c r="E1084" s="7">
        <f t="shared" si="124"/>
        <v>3</v>
      </c>
      <c r="F1084" s="7" t="e">
        <f t="shared" si="124"/>
        <v>#N/A</v>
      </c>
      <c r="G1084" s="7" t="e">
        <f t="shared" si="124"/>
        <v>#N/A</v>
      </c>
    </row>
    <row r="1085" spans="2:7">
      <c r="B1085" s="67">
        <f t="shared" si="119"/>
        <v>44179</v>
      </c>
      <c r="C1085" s="7" t="e">
        <f t="shared" si="124"/>
        <v>#N/A</v>
      </c>
      <c r="D1085" s="7" t="e">
        <f t="shared" si="124"/>
        <v>#N/A</v>
      </c>
      <c r="E1085" s="7">
        <f t="shared" si="124"/>
        <v>3</v>
      </c>
      <c r="F1085" s="7" t="e">
        <f t="shared" si="124"/>
        <v>#N/A</v>
      </c>
      <c r="G1085" s="7" t="e">
        <f t="shared" si="124"/>
        <v>#N/A</v>
      </c>
    </row>
    <row r="1086" spans="2:7">
      <c r="B1086" s="67">
        <f t="shared" si="119"/>
        <v>44180</v>
      </c>
      <c r="C1086" s="7" t="e">
        <f t="shared" si="124"/>
        <v>#N/A</v>
      </c>
      <c r="D1086" s="7" t="e">
        <f t="shared" si="124"/>
        <v>#N/A</v>
      </c>
      <c r="E1086" s="7">
        <f t="shared" si="124"/>
        <v>3</v>
      </c>
      <c r="F1086" s="7" t="e">
        <f t="shared" si="124"/>
        <v>#N/A</v>
      </c>
      <c r="G1086" s="7" t="e">
        <f t="shared" si="124"/>
        <v>#N/A</v>
      </c>
    </row>
    <row r="1087" spans="2:7">
      <c r="B1087" s="67">
        <f t="shared" si="119"/>
        <v>44181</v>
      </c>
      <c r="C1087" s="7" t="e">
        <f t="shared" ref="C1087:G1096" si="125">IF(AND($B1087&gt;=C$3,$B1087&lt;=C$4),C$5,NA())</f>
        <v>#N/A</v>
      </c>
      <c r="D1087" s="7" t="e">
        <f t="shared" si="125"/>
        <v>#N/A</v>
      </c>
      <c r="E1087" s="7">
        <f t="shared" si="125"/>
        <v>3</v>
      </c>
      <c r="F1087" s="7" t="e">
        <f t="shared" si="125"/>
        <v>#N/A</v>
      </c>
      <c r="G1087" s="7" t="e">
        <f t="shared" si="125"/>
        <v>#N/A</v>
      </c>
    </row>
    <row r="1088" spans="2:7">
      <c r="B1088" s="67">
        <f t="shared" si="119"/>
        <v>44182</v>
      </c>
      <c r="C1088" s="7" t="e">
        <f t="shared" si="125"/>
        <v>#N/A</v>
      </c>
      <c r="D1088" s="7" t="e">
        <f t="shared" si="125"/>
        <v>#N/A</v>
      </c>
      <c r="E1088" s="7">
        <f t="shared" si="125"/>
        <v>3</v>
      </c>
      <c r="F1088" s="7" t="e">
        <f t="shared" si="125"/>
        <v>#N/A</v>
      </c>
      <c r="G1088" s="7" t="e">
        <f t="shared" si="125"/>
        <v>#N/A</v>
      </c>
    </row>
    <row r="1089" spans="2:7">
      <c r="B1089" s="67">
        <f t="shared" si="119"/>
        <v>44183</v>
      </c>
      <c r="C1089" s="7" t="e">
        <f t="shared" si="125"/>
        <v>#N/A</v>
      </c>
      <c r="D1089" s="7" t="e">
        <f t="shared" si="125"/>
        <v>#N/A</v>
      </c>
      <c r="E1089" s="7">
        <f t="shared" si="125"/>
        <v>3</v>
      </c>
      <c r="F1089" s="7" t="e">
        <f t="shared" si="125"/>
        <v>#N/A</v>
      </c>
      <c r="G1089" s="7" t="e">
        <f t="shared" si="125"/>
        <v>#N/A</v>
      </c>
    </row>
    <row r="1090" spans="2:7">
      <c r="B1090" s="67">
        <f t="shared" si="119"/>
        <v>44184</v>
      </c>
      <c r="C1090" s="7" t="e">
        <f t="shared" si="125"/>
        <v>#N/A</v>
      </c>
      <c r="D1090" s="7" t="e">
        <f t="shared" si="125"/>
        <v>#N/A</v>
      </c>
      <c r="E1090" s="7">
        <f t="shared" si="125"/>
        <v>3</v>
      </c>
      <c r="F1090" s="7" t="e">
        <f t="shared" si="125"/>
        <v>#N/A</v>
      </c>
      <c r="G1090" s="7" t="e">
        <f t="shared" si="125"/>
        <v>#N/A</v>
      </c>
    </row>
    <row r="1091" spans="2:7">
      <c r="B1091" s="67">
        <f t="shared" si="119"/>
        <v>44185</v>
      </c>
      <c r="C1091" s="7" t="e">
        <f t="shared" si="125"/>
        <v>#N/A</v>
      </c>
      <c r="D1091" s="7" t="e">
        <f t="shared" si="125"/>
        <v>#N/A</v>
      </c>
      <c r="E1091" s="7">
        <f t="shared" si="125"/>
        <v>3</v>
      </c>
      <c r="F1091" s="7" t="e">
        <f t="shared" si="125"/>
        <v>#N/A</v>
      </c>
      <c r="G1091" s="7" t="e">
        <f t="shared" si="125"/>
        <v>#N/A</v>
      </c>
    </row>
    <row r="1092" spans="2:7">
      <c r="B1092" s="67">
        <f t="shared" si="119"/>
        <v>44186</v>
      </c>
      <c r="C1092" s="7" t="e">
        <f t="shared" si="125"/>
        <v>#N/A</v>
      </c>
      <c r="D1092" s="7" t="e">
        <f t="shared" si="125"/>
        <v>#N/A</v>
      </c>
      <c r="E1092" s="7">
        <f t="shared" si="125"/>
        <v>3</v>
      </c>
      <c r="F1092" s="7" t="e">
        <f t="shared" si="125"/>
        <v>#N/A</v>
      </c>
      <c r="G1092" s="7" t="e">
        <f t="shared" si="125"/>
        <v>#N/A</v>
      </c>
    </row>
    <row r="1093" spans="2:7">
      <c r="B1093" s="67">
        <f t="shared" si="119"/>
        <v>44187</v>
      </c>
      <c r="C1093" s="7" t="e">
        <f t="shared" si="125"/>
        <v>#N/A</v>
      </c>
      <c r="D1093" s="7" t="e">
        <f t="shared" si="125"/>
        <v>#N/A</v>
      </c>
      <c r="E1093" s="7">
        <f t="shared" si="125"/>
        <v>3</v>
      </c>
      <c r="F1093" s="7" t="e">
        <f t="shared" si="125"/>
        <v>#N/A</v>
      </c>
      <c r="G1093" s="7" t="e">
        <f t="shared" si="125"/>
        <v>#N/A</v>
      </c>
    </row>
    <row r="1094" spans="2:7">
      <c r="B1094" s="67">
        <f t="shared" si="119"/>
        <v>44188</v>
      </c>
      <c r="C1094" s="7" t="e">
        <f t="shared" si="125"/>
        <v>#N/A</v>
      </c>
      <c r="D1094" s="7" t="e">
        <f t="shared" si="125"/>
        <v>#N/A</v>
      </c>
      <c r="E1094" s="7">
        <f t="shared" si="125"/>
        <v>3</v>
      </c>
      <c r="F1094" s="7">
        <f t="shared" si="125"/>
        <v>2</v>
      </c>
      <c r="G1094" s="7" t="e">
        <f t="shared" si="125"/>
        <v>#N/A</v>
      </c>
    </row>
    <row r="1095" spans="2:7">
      <c r="B1095" s="67">
        <f t="shared" si="119"/>
        <v>44189</v>
      </c>
      <c r="C1095" s="7" t="e">
        <f t="shared" si="125"/>
        <v>#N/A</v>
      </c>
      <c r="D1095" s="7" t="e">
        <f t="shared" si="125"/>
        <v>#N/A</v>
      </c>
      <c r="E1095" s="7">
        <f t="shared" si="125"/>
        <v>3</v>
      </c>
      <c r="F1095" s="7">
        <f t="shared" si="125"/>
        <v>2</v>
      </c>
      <c r="G1095" s="7" t="e">
        <f t="shared" si="125"/>
        <v>#N/A</v>
      </c>
    </row>
    <row r="1096" spans="2:7">
      <c r="B1096" s="67">
        <f t="shared" ref="B1096:B1159" si="126">B1095+1</f>
        <v>44190</v>
      </c>
      <c r="C1096" s="7" t="e">
        <f t="shared" si="125"/>
        <v>#N/A</v>
      </c>
      <c r="D1096" s="7" t="e">
        <f t="shared" si="125"/>
        <v>#N/A</v>
      </c>
      <c r="E1096" s="7">
        <f t="shared" si="125"/>
        <v>3</v>
      </c>
      <c r="F1096" s="7">
        <f t="shared" si="125"/>
        <v>2</v>
      </c>
      <c r="G1096" s="7" t="e">
        <f t="shared" si="125"/>
        <v>#N/A</v>
      </c>
    </row>
    <row r="1097" spans="2:7">
      <c r="B1097" s="67">
        <f t="shared" si="126"/>
        <v>44191</v>
      </c>
      <c r="C1097" s="7" t="e">
        <f t="shared" ref="C1097:G1106" si="127">IF(AND($B1097&gt;=C$3,$B1097&lt;=C$4),C$5,NA())</f>
        <v>#N/A</v>
      </c>
      <c r="D1097" s="7" t="e">
        <f t="shared" si="127"/>
        <v>#N/A</v>
      </c>
      <c r="E1097" s="7">
        <f t="shared" si="127"/>
        <v>3</v>
      </c>
      <c r="F1097" s="7">
        <f t="shared" si="127"/>
        <v>2</v>
      </c>
      <c r="G1097" s="7" t="e">
        <f t="shared" si="127"/>
        <v>#N/A</v>
      </c>
    </row>
    <row r="1098" spans="2:7">
      <c r="B1098" s="67">
        <f t="shared" si="126"/>
        <v>44192</v>
      </c>
      <c r="C1098" s="7" t="e">
        <f t="shared" si="127"/>
        <v>#N/A</v>
      </c>
      <c r="D1098" s="7" t="e">
        <f t="shared" si="127"/>
        <v>#N/A</v>
      </c>
      <c r="E1098" s="7">
        <f t="shared" si="127"/>
        <v>3</v>
      </c>
      <c r="F1098" s="7">
        <f t="shared" si="127"/>
        <v>2</v>
      </c>
      <c r="G1098" s="7" t="e">
        <f t="shared" si="127"/>
        <v>#N/A</v>
      </c>
    </row>
    <row r="1099" spans="2:7">
      <c r="B1099" s="67">
        <f t="shared" si="126"/>
        <v>44193</v>
      </c>
      <c r="C1099" s="7" t="e">
        <f t="shared" si="127"/>
        <v>#N/A</v>
      </c>
      <c r="D1099" s="7" t="e">
        <f t="shared" si="127"/>
        <v>#N/A</v>
      </c>
      <c r="E1099" s="7">
        <f t="shared" si="127"/>
        <v>3</v>
      </c>
      <c r="F1099" s="7">
        <f t="shared" si="127"/>
        <v>2</v>
      </c>
      <c r="G1099" s="7" t="e">
        <f t="shared" si="127"/>
        <v>#N/A</v>
      </c>
    </row>
    <row r="1100" spans="2:7">
      <c r="B1100" s="67">
        <f t="shared" si="126"/>
        <v>44194</v>
      </c>
      <c r="C1100" s="7" t="e">
        <f t="shared" si="127"/>
        <v>#N/A</v>
      </c>
      <c r="D1100" s="7" t="e">
        <f t="shared" si="127"/>
        <v>#N/A</v>
      </c>
      <c r="E1100" s="7">
        <f t="shared" si="127"/>
        <v>3</v>
      </c>
      <c r="F1100" s="7">
        <f t="shared" si="127"/>
        <v>2</v>
      </c>
      <c r="G1100" s="7" t="e">
        <f t="shared" si="127"/>
        <v>#N/A</v>
      </c>
    </row>
    <row r="1101" spans="2:7">
      <c r="B1101" s="67">
        <f t="shared" si="126"/>
        <v>44195</v>
      </c>
      <c r="C1101" s="7" t="e">
        <f t="shared" si="127"/>
        <v>#N/A</v>
      </c>
      <c r="D1101" s="7" t="e">
        <f t="shared" si="127"/>
        <v>#N/A</v>
      </c>
      <c r="E1101" s="7">
        <f t="shared" si="127"/>
        <v>3</v>
      </c>
      <c r="F1101" s="7">
        <f t="shared" si="127"/>
        <v>2</v>
      </c>
      <c r="G1101" s="7" t="e">
        <f t="shared" si="127"/>
        <v>#N/A</v>
      </c>
    </row>
    <row r="1102" spans="2:7">
      <c r="B1102" s="67">
        <f t="shared" si="126"/>
        <v>44196</v>
      </c>
      <c r="C1102" s="7" t="e">
        <f t="shared" si="127"/>
        <v>#N/A</v>
      </c>
      <c r="D1102" s="7" t="e">
        <f t="shared" si="127"/>
        <v>#N/A</v>
      </c>
      <c r="E1102" s="7">
        <f t="shared" si="127"/>
        <v>3</v>
      </c>
      <c r="F1102" s="7">
        <f t="shared" si="127"/>
        <v>2</v>
      </c>
      <c r="G1102" s="7" t="e">
        <f t="shared" si="127"/>
        <v>#N/A</v>
      </c>
    </row>
    <row r="1103" spans="2:7">
      <c r="B1103" s="67">
        <f t="shared" si="126"/>
        <v>44197</v>
      </c>
      <c r="C1103" s="7" t="e">
        <f t="shared" si="127"/>
        <v>#N/A</v>
      </c>
      <c r="D1103" s="7" t="e">
        <f t="shared" si="127"/>
        <v>#N/A</v>
      </c>
      <c r="E1103" s="7">
        <f t="shared" si="127"/>
        <v>3</v>
      </c>
      <c r="F1103" s="7">
        <f t="shared" si="127"/>
        <v>2</v>
      </c>
      <c r="G1103" s="7" t="e">
        <f t="shared" si="127"/>
        <v>#N/A</v>
      </c>
    </row>
    <row r="1104" spans="2:7">
      <c r="B1104" s="67">
        <f t="shared" si="126"/>
        <v>44198</v>
      </c>
      <c r="C1104" s="7" t="e">
        <f t="shared" si="127"/>
        <v>#N/A</v>
      </c>
      <c r="D1104" s="7" t="e">
        <f t="shared" si="127"/>
        <v>#N/A</v>
      </c>
      <c r="E1104" s="7">
        <f t="shared" si="127"/>
        <v>3</v>
      </c>
      <c r="F1104" s="7">
        <f t="shared" si="127"/>
        <v>2</v>
      </c>
      <c r="G1104" s="7" t="e">
        <f t="shared" si="127"/>
        <v>#N/A</v>
      </c>
    </row>
    <row r="1105" spans="2:7">
      <c r="B1105" s="67">
        <f t="shared" si="126"/>
        <v>44199</v>
      </c>
      <c r="C1105" s="7" t="e">
        <f t="shared" si="127"/>
        <v>#N/A</v>
      </c>
      <c r="D1105" s="7" t="e">
        <f t="shared" si="127"/>
        <v>#N/A</v>
      </c>
      <c r="E1105" s="7">
        <f t="shared" si="127"/>
        <v>3</v>
      </c>
      <c r="F1105" s="7">
        <f t="shared" si="127"/>
        <v>2</v>
      </c>
      <c r="G1105" s="7" t="e">
        <f t="shared" si="127"/>
        <v>#N/A</v>
      </c>
    </row>
    <row r="1106" spans="2:7">
      <c r="B1106" s="67">
        <f t="shared" si="126"/>
        <v>44200</v>
      </c>
      <c r="C1106" s="7" t="e">
        <f t="shared" si="127"/>
        <v>#N/A</v>
      </c>
      <c r="D1106" s="7" t="e">
        <f t="shared" si="127"/>
        <v>#N/A</v>
      </c>
      <c r="E1106" s="7">
        <f t="shared" si="127"/>
        <v>3</v>
      </c>
      <c r="F1106" s="7">
        <f t="shared" si="127"/>
        <v>2</v>
      </c>
      <c r="G1106" s="7" t="e">
        <f t="shared" si="127"/>
        <v>#N/A</v>
      </c>
    </row>
    <row r="1107" spans="2:7">
      <c r="B1107" s="67">
        <f t="shared" si="126"/>
        <v>44201</v>
      </c>
      <c r="C1107" s="7" t="e">
        <f t="shared" ref="C1107:G1116" si="128">IF(AND($B1107&gt;=C$3,$B1107&lt;=C$4),C$5,NA())</f>
        <v>#N/A</v>
      </c>
      <c r="D1107" s="7" t="e">
        <f t="shared" si="128"/>
        <v>#N/A</v>
      </c>
      <c r="E1107" s="7">
        <f t="shared" si="128"/>
        <v>3</v>
      </c>
      <c r="F1107" s="7">
        <f t="shared" si="128"/>
        <v>2</v>
      </c>
      <c r="G1107" s="7" t="e">
        <f t="shared" si="128"/>
        <v>#N/A</v>
      </c>
    </row>
    <row r="1108" spans="2:7">
      <c r="B1108" s="67">
        <f t="shared" si="126"/>
        <v>44202</v>
      </c>
      <c r="C1108" s="7" t="e">
        <f t="shared" si="128"/>
        <v>#N/A</v>
      </c>
      <c r="D1108" s="7" t="e">
        <f t="shared" si="128"/>
        <v>#N/A</v>
      </c>
      <c r="E1108" s="7">
        <f t="shared" si="128"/>
        <v>3</v>
      </c>
      <c r="F1108" s="7">
        <f t="shared" si="128"/>
        <v>2</v>
      </c>
      <c r="G1108" s="7" t="e">
        <f t="shared" si="128"/>
        <v>#N/A</v>
      </c>
    </row>
    <row r="1109" spans="2:7">
      <c r="B1109" s="67">
        <f t="shared" si="126"/>
        <v>44203</v>
      </c>
      <c r="C1109" s="7" t="e">
        <f t="shared" si="128"/>
        <v>#N/A</v>
      </c>
      <c r="D1109" s="7" t="e">
        <f t="shared" si="128"/>
        <v>#N/A</v>
      </c>
      <c r="E1109" s="7">
        <f t="shared" si="128"/>
        <v>3</v>
      </c>
      <c r="F1109" s="7">
        <f t="shared" si="128"/>
        <v>2</v>
      </c>
      <c r="G1109" s="7" t="e">
        <f t="shared" si="128"/>
        <v>#N/A</v>
      </c>
    </row>
    <row r="1110" spans="2:7">
      <c r="B1110" s="67">
        <f t="shared" si="126"/>
        <v>44204</v>
      </c>
      <c r="C1110" s="7" t="e">
        <f t="shared" si="128"/>
        <v>#N/A</v>
      </c>
      <c r="D1110" s="7" t="e">
        <f t="shared" si="128"/>
        <v>#N/A</v>
      </c>
      <c r="E1110" s="7">
        <f t="shared" si="128"/>
        <v>3</v>
      </c>
      <c r="F1110" s="7">
        <f t="shared" si="128"/>
        <v>2</v>
      </c>
      <c r="G1110" s="7" t="e">
        <f t="shared" si="128"/>
        <v>#N/A</v>
      </c>
    </row>
    <row r="1111" spans="2:7">
      <c r="B1111" s="67">
        <f t="shared" si="126"/>
        <v>44205</v>
      </c>
      <c r="C1111" s="7" t="e">
        <f t="shared" si="128"/>
        <v>#N/A</v>
      </c>
      <c r="D1111" s="7" t="e">
        <f t="shared" si="128"/>
        <v>#N/A</v>
      </c>
      <c r="E1111" s="7">
        <f t="shared" si="128"/>
        <v>3</v>
      </c>
      <c r="F1111" s="7">
        <f t="shared" si="128"/>
        <v>2</v>
      </c>
      <c r="G1111" s="7" t="e">
        <f t="shared" si="128"/>
        <v>#N/A</v>
      </c>
    </row>
    <row r="1112" spans="2:7">
      <c r="B1112" s="67">
        <f t="shared" si="126"/>
        <v>44206</v>
      </c>
      <c r="C1112" s="7" t="e">
        <f t="shared" si="128"/>
        <v>#N/A</v>
      </c>
      <c r="D1112" s="7" t="e">
        <f t="shared" si="128"/>
        <v>#N/A</v>
      </c>
      <c r="E1112" s="7">
        <f t="shared" si="128"/>
        <v>3</v>
      </c>
      <c r="F1112" s="7">
        <f t="shared" si="128"/>
        <v>2</v>
      </c>
      <c r="G1112" s="7" t="e">
        <f t="shared" si="128"/>
        <v>#N/A</v>
      </c>
    </row>
    <row r="1113" spans="2:7">
      <c r="B1113" s="67">
        <f t="shared" si="126"/>
        <v>44207</v>
      </c>
      <c r="C1113" s="7" t="e">
        <f t="shared" si="128"/>
        <v>#N/A</v>
      </c>
      <c r="D1113" s="7" t="e">
        <f t="shared" si="128"/>
        <v>#N/A</v>
      </c>
      <c r="E1113" s="7">
        <f t="shared" si="128"/>
        <v>3</v>
      </c>
      <c r="F1113" s="7">
        <f t="shared" si="128"/>
        <v>2</v>
      </c>
      <c r="G1113" s="7" t="e">
        <f t="shared" si="128"/>
        <v>#N/A</v>
      </c>
    </row>
    <row r="1114" spans="2:7">
      <c r="B1114" s="67">
        <f t="shared" si="126"/>
        <v>44208</v>
      </c>
      <c r="C1114" s="7" t="e">
        <f t="shared" si="128"/>
        <v>#N/A</v>
      </c>
      <c r="D1114" s="7" t="e">
        <f t="shared" si="128"/>
        <v>#N/A</v>
      </c>
      <c r="E1114" s="7">
        <f t="shared" si="128"/>
        <v>3</v>
      </c>
      <c r="F1114" s="7">
        <f t="shared" si="128"/>
        <v>2</v>
      </c>
      <c r="G1114" s="7" t="e">
        <f t="shared" si="128"/>
        <v>#N/A</v>
      </c>
    </row>
    <row r="1115" spans="2:7">
      <c r="B1115" s="67">
        <f t="shared" si="126"/>
        <v>44209</v>
      </c>
      <c r="C1115" s="7" t="e">
        <f t="shared" si="128"/>
        <v>#N/A</v>
      </c>
      <c r="D1115" s="7" t="e">
        <f t="shared" si="128"/>
        <v>#N/A</v>
      </c>
      <c r="E1115" s="7">
        <f t="shared" si="128"/>
        <v>3</v>
      </c>
      <c r="F1115" s="7">
        <f t="shared" si="128"/>
        <v>2</v>
      </c>
      <c r="G1115" s="7" t="e">
        <f t="shared" si="128"/>
        <v>#N/A</v>
      </c>
    </row>
    <row r="1116" spans="2:7">
      <c r="B1116" s="67">
        <f t="shared" si="126"/>
        <v>44210</v>
      </c>
      <c r="C1116" s="7" t="e">
        <f t="shared" si="128"/>
        <v>#N/A</v>
      </c>
      <c r="D1116" s="7" t="e">
        <f t="shared" si="128"/>
        <v>#N/A</v>
      </c>
      <c r="E1116" s="7">
        <f t="shared" si="128"/>
        <v>3</v>
      </c>
      <c r="F1116" s="7">
        <f t="shared" si="128"/>
        <v>2</v>
      </c>
      <c r="G1116" s="7" t="e">
        <f t="shared" si="128"/>
        <v>#N/A</v>
      </c>
    </row>
    <row r="1117" spans="2:7">
      <c r="B1117" s="67">
        <f t="shared" si="126"/>
        <v>44211</v>
      </c>
      <c r="C1117" s="7" t="e">
        <f t="shared" ref="C1117:G1126" si="129">IF(AND($B1117&gt;=C$3,$B1117&lt;=C$4),C$5,NA())</f>
        <v>#N/A</v>
      </c>
      <c r="D1117" s="7" t="e">
        <f t="shared" si="129"/>
        <v>#N/A</v>
      </c>
      <c r="E1117" s="7">
        <f t="shared" si="129"/>
        <v>3</v>
      </c>
      <c r="F1117" s="7">
        <f t="shared" si="129"/>
        <v>2</v>
      </c>
      <c r="G1117" s="7" t="e">
        <f t="shared" si="129"/>
        <v>#N/A</v>
      </c>
    </row>
    <row r="1118" spans="2:7">
      <c r="B1118" s="67">
        <f t="shared" si="126"/>
        <v>44212</v>
      </c>
      <c r="C1118" s="7" t="e">
        <f t="shared" si="129"/>
        <v>#N/A</v>
      </c>
      <c r="D1118" s="7" t="e">
        <f t="shared" si="129"/>
        <v>#N/A</v>
      </c>
      <c r="E1118" s="7">
        <f t="shared" si="129"/>
        <v>3</v>
      </c>
      <c r="F1118" s="7">
        <f t="shared" si="129"/>
        <v>2</v>
      </c>
      <c r="G1118" s="7" t="e">
        <f t="shared" si="129"/>
        <v>#N/A</v>
      </c>
    </row>
    <row r="1119" spans="2:7">
      <c r="B1119" s="67">
        <f t="shared" si="126"/>
        <v>44213</v>
      </c>
      <c r="C1119" s="7" t="e">
        <f t="shared" si="129"/>
        <v>#N/A</v>
      </c>
      <c r="D1119" s="7" t="e">
        <f t="shared" si="129"/>
        <v>#N/A</v>
      </c>
      <c r="E1119" s="7">
        <f t="shared" si="129"/>
        <v>3</v>
      </c>
      <c r="F1119" s="7">
        <f t="shared" si="129"/>
        <v>2</v>
      </c>
      <c r="G1119" s="7" t="e">
        <f t="shared" si="129"/>
        <v>#N/A</v>
      </c>
    </row>
    <row r="1120" spans="2:7">
      <c r="B1120" s="67">
        <f t="shared" si="126"/>
        <v>44214</v>
      </c>
      <c r="C1120" s="7" t="e">
        <f t="shared" si="129"/>
        <v>#N/A</v>
      </c>
      <c r="D1120" s="7" t="e">
        <f t="shared" si="129"/>
        <v>#N/A</v>
      </c>
      <c r="E1120" s="7">
        <f t="shared" si="129"/>
        <v>3</v>
      </c>
      <c r="F1120" s="7">
        <f t="shared" si="129"/>
        <v>2</v>
      </c>
      <c r="G1120" s="7" t="e">
        <f t="shared" si="129"/>
        <v>#N/A</v>
      </c>
    </row>
    <row r="1121" spans="2:7">
      <c r="B1121" s="67">
        <f t="shared" si="126"/>
        <v>44215</v>
      </c>
      <c r="C1121" s="7" t="e">
        <f t="shared" si="129"/>
        <v>#N/A</v>
      </c>
      <c r="D1121" s="7" t="e">
        <f t="shared" si="129"/>
        <v>#N/A</v>
      </c>
      <c r="E1121" s="7">
        <f t="shared" si="129"/>
        <v>3</v>
      </c>
      <c r="F1121" s="7">
        <f t="shared" si="129"/>
        <v>2</v>
      </c>
      <c r="G1121" s="7" t="e">
        <f t="shared" si="129"/>
        <v>#N/A</v>
      </c>
    </row>
    <row r="1122" spans="2:7">
      <c r="B1122" s="67">
        <f t="shared" si="126"/>
        <v>44216</v>
      </c>
      <c r="C1122" s="7" t="e">
        <f t="shared" si="129"/>
        <v>#N/A</v>
      </c>
      <c r="D1122" s="7" t="e">
        <f t="shared" si="129"/>
        <v>#N/A</v>
      </c>
      <c r="E1122" s="7">
        <f t="shared" si="129"/>
        <v>3</v>
      </c>
      <c r="F1122" s="7">
        <f t="shared" si="129"/>
        <v>2</v>
      </c>
      <c r="G1122" s="7" t="e">
        <f t="shared" si="129"/>
        <v>#N/A</v>
      </c>
    </row>
    <row r="1123" spans="2:7">
      <c r="B1123" s="67">
        <f t="shared" si="126"/>
        <v>44217</v>
      </c>
      <c r="C1123" s="7" t="e">
        <f t="shared" si="129"/>
        <v>#N/A</v>
      </c>
      <c r="D1123" s="7" t="e">
        <f t="shared" si="129"/>
        <v>#N/A</v>
      </c>
      <c r="E1123" s="7">
        <f t="shared" si="129"/>
        <v>3</v>
      </c>
      <c r="F1123" s="7">
        <f t="shared" si="129"/>
        <v>2</v>
      </c>
      <c r="G1123" s="7" t="e">
        <f t="shared" si="129"/>
        <v>#N/A</v>
      </c>
    </row>
    <row r="1124" spans="2:7">
      <c r="B1124" s="67">
        <f t="shared" si="126"/>
        <v>44218</v>
      </c>
      <c r="C1124" s="7" t="e">
        <f t="shared" si="129"/>
        <v>#N/A</v>
      </c>
      <c r="D1124" s="7" t="e">
        <f t="shared" si="129"/>
        <v>#N/A</v>
      </c>
      <c r="E1124" s="7">
        <f t="shared" si="129"/>
        <v>3</v>
      </c>
      <c r="F1124" s="7">
        <f t="shared" si="129"/>
        <v>2</v>
      </c>
      <c r="G1124" s="7" t="e">
        <f t="shared" si="129"/>
        <v>#N/A</v>
      </c>
    </row>
    <row r="1125" spans="2:7">
      <c r="B1125" s="67">
        <f t="shared" si="126"/>
        <v>44219</v>
      </c>
      <c r="C1125" s="7" t="e">
        <f t="shared" si="129"/>
        <v>#N/A</v>
      </c>
      <c r="D1125" s="7" t="e">
        <f t="shared" si="129"/>
        <v>#N/A</v>
      </c>
      <c r="E1125" s="7">
        <f t="shared" si="129"/>
        <v>3</v>
      </c>
      <c r="F1125" s="7">
        <f t="shared" si="129"/>
        <v>2</v>
      </c>
      <c r="G1125" s="7" t="e">
        <f t="shared" si="129"/>
        <v>#N/A</v>
      </c>
    </row>
    <row r="1126" spans="2:7">
      <c r="B1126" s="67">
        <f t="shared" si="126"/>
        <v>44220</v>
      </c>
      <c r="C1126" s="7" t="e">
        <f t="shared" si="129"/>
        <v>#N/A</v>
      </c>
      <c r="D1126" s="7" t="e">
        <f t="shared" si="129"/>
        <v>#N/A</v>
      </c>
      <c r="E1126" s="7">
        <f t="shared" si="129"/>
        <v>3</v>
      </c>
      <c r="F1126" s="7">
        <f t="shared" si="129"/>
        <v>2</v>
      </c>
      <c r="G1126" s="7" t="e">
        <f t="shared" si="129"/>
        <v>#N/A</v>
      </c>
    </row>
    <row r="1127" spans="2:7">
      <c r="B1127" s="67">
        <f t="shared" si="126"/>
        <v>44221</v>
      </c>
      <c r="C1127" s="7" t="e">
        <f t="shared" ref="C1127:G1136" si="130">IF(AND($B1127&gt;=C$3,$B1127&lt;=C$4),C$5,NA())</f>
        <v>#N/A</v>
      </c>
      <c r="D1127" s="7" t="e">
        <f t="shared" si="130"/>
        <v>#N/A</v>
      </c>
      <c r="E1127" s="7">
        <f t="shared" si="130"/>
        <v>3</v>
      </c>
      <c r="F1127" s="7">
        <f t="shared" si="130"/>
        <v>2</v>
      </c>
      <c r="G1127" s="7" t="e">
        <f t="shared" si="130"/>
        <v>#N/A</v>
      </c>
    </row>
    <row r="1128" spans="2:7">
      <c r="B1128" s="67">
        <f t="shared" si="126"/>
        <v>44222</v>
      </c>
      <c r="C1128" s="7" t="e">
        <f t="shared" si="130"/>
        <v>#N/A</v>
      </c>
      <c r="D1128" s="7" t="e">
        <f t="shared" si="130"/>
        <v>#N/A</v>
      </c>
      <c r="E1128" s="7">
        <f t="shared" si="130"/>
        <v>3</v>
      </c>
      <c r="F1128" s="7">
        <f t="shared" si="130"/>
        <v>2</v>
      </c>
      <c r="G1128" s="7" t="e">
        <f t="shared" si="130"/>
        <v>#N/A</v>
      </c>
    </row>
    <row r="1129" spans="2:7">
      <c r="B1129" s="67">
        <f t="shared" si="126"/>
        <v>44223</v>
      </c>
      <c r="C1129" s="7" t="e">
        <f t="shared" si="130"/>
        <v>#N/A</v>
      </c>
      <c r="D1129" s="7" t="e">
        <f t="shared" si="130"/>
        <v>#N/A</v>
      </c>
      <c r="E1129" s="7">
        <f t="shared" si="130"/>
        <v>3</v>
      </c>
      <c r="F1129" s="7">
        <f t="shared" si="130"/>
        <v>2</v>
      </c>
      <c r="G1129" s="7" t="e">
        <f t="shared" si="130"/>
        <v>#N/A</v>
      </c>
    </row>
    <row r="1130" spans="2:7">
      <c r="B1130" s="67">
        <f t="shared" si="126"/>
        <v>44224</v>
      </c>
      <c r="C1130" s="7" t="e">
        <f t="shared" si="130"/>
        <v>#N/A</v>
      </c>
      <c r="D1130" s="7" t="e">
        <f t="shared" si="130"/>
        <v>#N/A</v>
      </c>
      <c r="E1130" s="7">
        <f t="shared" si="130"/>
        <v>3</v>
      </c>
      <c r="F1130" s="7">
        <f t="shared" si="130"/>
        <v>2</v>
      </c>
      <c r="G1130" s="7" t="e">
        <f t="shared" si="130"/>
        <v>#N/A</v>
      </c>
    </row>
    <row r="1131" spans="2:7">
      <c r="B1131" s="67">
        <f t="shared" si="126"/>
        <v>44225</v>
      </c>
      <c r="C1131" s="7" t="e">
        <f t="shared" si="130"/>
        <v>#N/A</v>
      </c>
      <c r="D1131" s="7" t="e">
        <f t="shared" si="130"/>
        <v>#N/A</v>
      </c>
      <c r="E1131" s="7">
        <f t="shared" si="130"/>
        <v>3</v>
      </c>
      <c r="F1131" s="7">
        <f t="shared" si="130"/>
        <v>2</v>
      </c>
      <c r="G1131" s="7" t="e">
        <f t="shared" si="130"/>
        <v>#N/A</v>
      </c>
    </row>
    <row r="1132" spans="2:7">
      <c r="B1132" s="67">
        <f t="shared" si="126"/>
        <v>44226</v>
      </c>
      <c r="C1132" s="7" t="e">
        <f t="shared" si="130"/>
        <v>#N/A</v>
      </c>
      <c r="D1132" s="7" t="e">
        <f t="shared" si="130"/>
        <v>#N/A</v>
      </c>
      <c r="E1132" s="7">
        <f t="shared" si="130"/>
        <v>3</v>
      </c>
      <c r="F1132" s="7">
        <f t="shared" si="130"/>
        <v>2</v>
      </c>
      <c r="G1132" s="7" t="e">
        <f t="shared" si="130"/>
        <v>#N/A</v>
      </c>
    </row>
    <row r="1133" spans="2:7">
      <c r="B1133" s="67">
        <f t="shared" si="126"/>
        <v>44227</v>
      </c>
      <c r="C1133" s="7" t="e">
        <f t="shared" si="130"/>
        <v>#N/A</v>
      </c>
      <c r="D1133" s="7" t="e">
        <f t="shared" si="130"/>
        <v>#N/A</v>
      </c>
      <c r="E1133" s="7">
        <f t="shared" si="130"/>
        <v>3</v>
      </c>
      <c r="F1133" s="7">
        <f t="shared" si="130"/>
        <v>2</v>
      </c>
      <c r="G1133" s="7" t="e">
        <f t="shared" si="130"/>
        <v>#N/A</v>
      </c>
    </row>
    <row r="1134" spans="2:7">
      <c r="B1134" s="67">
        <f t="shared" si="126"/>
        <v>44228</v>
      </c>
      <c r="C1134" s="7" t="e">
        <f t="shared" si="130"/>
        <v>#N/A</v>
      </c>
      <c r="D1134" s="7" t="e">
        <f t="shared" si="130"/>
        <v>#N/A</v>
      </c>
      <c r="E1134" s="7">
        <f t="shared" si="130"/>
        <v>3</v>
      </c>
      <c r="F1134" s="7">
        <f t="shared" si="130"/>
        <v>2</v>
      </c>
      <c r="G1134" s="7" t="e">
        <f t="shared" si="130"/>
        <v>#N/A</v>
      </c>
    </row>
    <row r="1135" spans="2:7">
      <c r="B1135" s="67">
        <f t="shared" si="126"/>
        <v>44229</v>
      </c>
      <c r="C1135" s="7" t="e">
        <f t="shared" si="130"/>
        <v>#N/A</v>
      </c>
      <c r="D1135" s="7" t="e">
        <f t="shared" si="130"/>
        <v>#N/A</v>
      </c>
      <c r="E1135" s="7">
        <f t="shared" si="130"/>
        <v>3</v>
      </c>
      <c r="F1135" s="7">
        <f t="shared" si="130"/>
        <v>2</v>
      </c>
      <c r="G1135" s="7" t="e">
        <f t="shared" si="130"/>
        <v>#N/A</v>
      </c>
    </row>
    <row r="1136" spans="2:7">
      <c r="B1136" s="67">
        <f t="shared" si="126"/>
        <v>44230</v>
      </c>
      <c r="C1136" s="7" t="e">
        <f t="shared" si="130"/>
        <v>#N/A</v>
      </c>
      <c r="D1136" s="7" t="e">
        <f t="shared" si="130"/>
        <v>#N/A</v>
      </c>
      <c r="E1136" s="7">
        <f t="shared" si="130"/>
        <v>3</v>
      </c>
      <c r="F1136" s="7">
        <f t="shared" si="130"/>
        <v>2</v>
      </c>
      <c r="G1136" s="7" t="e">
        <f t="shared" si="130"/>
        <v>#N/A</v>
      </c>
    </row>
    <row r="1137" spans="2:7">
      <c r="B1137" s="67">
        <f t="shared" si="126"/>
        <v>44231</v>
      </c>
      <c r="C1137" s="7" t="e">
        <f t="shared" ref="C1137:G1146" si="131">IF(AND($B1137&gt;=C$3,$B1137&lt;=C$4),C$5,NA())</f>
        <v>#N/A</v>
      </c>
      <c r="D1137" s="7" t="e">
        <f t="shared" si="131"/>
        <v>#N/A</v>
      </c>
      <c r="E1137" s="7">
        <f t="shared" si="131"/>
        <v>3</v>
      </c>
      <c r="F1137" s="7">
        <f t="shared" si="131"/>
        <v>2</v>
      </c>
      <c r="G1137" s="7" t="e">
        <f t="shared" si="131"/>
        <v>#N/A</v>
      </c>
    </row>
    <row r="1138" spans="2:7">
      <c r="B1138" s="67">
        <f t="shared" si="126"/>
        <v>44232</v>
      </c>
      <c r="C1138" s="7" t="e">
        <f t="shared" si="131"/>
        <v>#N/A</v>
      </c>
      <c r="D1138" s="7" t="e">
        <f t="shared" si="131"/>
        <v>#N/A</v>
      </c>
      <c r="E1138" s="7">
        <f t="shared" si="131"/>
        <v>3</v>
      </c>
      <c r="F1138" s="7">
        <f t="shared" si="131"/>
        <v>2</v>
      </c>
      <c r="G1138" s="7" t="e">
        <f t="shared" si="131"/>
        <v>#N/A</v>
      </c>
    </row>
    <row r="1139" spans="2:7">
      <c r="B1139" s="67">
        <f t="shared" si="126"/>
        <v>44233</v>
      </c>
      <c r="C1139" s="7" t="e">
        <f t="shared" si="131"/>
        <v>#N/A</v>
      </c>
      <c r="D1139" s="7" t="e">
        <f t="shared" si="131"/>
        <v>#N/A</v>
      </c>
      <c r="E1139" s="7">
        <f t="shared" si="131"/>
        <v>3</v>
      </c>
      <c r="F1139" s="7">
        <f t="shared" si="131"/>
        <v>2</v>
      </c>
      <c r="G1139" s="7" t="e">
        <f t="shared" si="131"/>
        <v>#N/A</v>
      </c>
    </row>
    <row r="1140" spans="2:7">
      <c r="B1140" s="67">
        <f t="shared" si="126"/>
        <v>44234</v>
      </c>
      <c r="C1140" s="7" t="e">
        <f t="shared" si="131"/>
        <v>#N/A</v>
      </c>
      <c r="D1140" s="7" t="e">
        <f t="shared" si="131"/>
        <v>#N/A</v>
      </c>
      <c r="E1140" s="7">
        <f t="shared" si="131"/>
        <v>3</v>
      </c>
      <c r="F1140" s="7">
        <f t="shared" si="131"/>
        <v>2</v>
      </c>
      <c r="G1140" s="7" t="e">
        <f t="shared" si="131"/>
        <v>#N/A</v>
      </c>
    </row>
    <row r="1141" spans="2:7">
      <c r="B1141" s="67">
        <f t="shared" si="126"/>
        <v>44235</v>
      </c>
      <c r="C1141" s="7" t="e">
        <f t="shared" si="131"/>
        <v>#N/A</v>
      </c>
      <c r="D1141" s="7" t="e">
        <f t="shared" si="131"/>
        <v>#N/A</v>
      </c>
      <c r="E1141" s="7">
        <f t="shared" si="131"/>
        <v>3</v>
      </c>
      <c r="F1141" s="7">
        <f t="shared" si="131"/>
        <v>2</v>
      </c>
      <c r="G1141" s="7" t="e">
        <f t="shared" si="131"/>
        <v>#N/A</v>
      </c>
    </row>
    <row r="1142" spans="2:7">
      <c r="B1142" s="67">
        <f t="shared" si="126"/>
        <v>44236</v>
      </c>
      <c r="C1142" s="7" t="e">
        <f t="shared" si="131"/>
        <v>#N/A</v>
      </c>
      <c r="D1142" s="7" t="e">
        <f t="shared" si="131"/>
        <v>#N/A</v>
      </c>
      <c r="E1142" s="7">
        <f t="shared" si="131"/>
        <v>3</v>
      </c>
      <c r="F1142" s="7">
        <f t="shared" si="131"/>
        <v>2</v>
      </c>
      <c r="G1142" s="7" t="e">
        <f t="shared" si="131"/>
        <v>#N/A</v>
      </c>
    </row>
    <row r="1143" spans="2:7">
      <c r="B1143" s="67">
        <f t="shared" si="126"/>
        <v>44237</v>
      </c>
      <c r="C1143" s="7" t="e">
        <f t="shared" si="131"/>
        <v>#N/A</v>
      </c>
      <c r="D1143" s="7" t="e">
        <f t="shared" si="131"/>
        <v>#N/A</v>
      </c>
      <c r="E1143" s="7">
        <f t="shared" si="131"/>
        <v>3</v>
      </c>
      <c r="F1143" s="7">
        <f t="shared" si="131"/>
        <v>2</v>
      </c>
      <c r="G1143" s="7" t="e">
        <f t="shared" si="131"/>
        <v>#N/A</v>
      </c>
    </row>
    <row r="1144" spans="2:7">
      <c r="B1144" s="67">
        <f t="shared" si="126"/>
        <v>44238</v>
      </c>
      <c r="C1144" s="7" t="e">
        <f t="shared" si="131"/>
        <v>#N/A</v>
      </c>
      <c r="D1144" s="7" t="e">
        <f t="shared" si="131"/>
        <v>#N/A</v>
      </c>
      <c r="E1144" s="7">
        <f t="shared" si="131"/>
        <v>3</v>
      </c>
      <c r="F1144" s="7">
        <f t="shared" si="131"/>
        <v>2</v>
      </c>
      <c r="G1144" s="7" t="e">
        <f t="shared" si="131"/>
        <v>#N/A</v>
      </c>
    </row>
    <row r="1145" spans="2:7">
      <c r="B1145" s="67">
        <f t="shared" si="126"/>
        <v>44239</v>
      </c>
      <c r="C1145" s="7" t="e">
        <f t="shared" si="131"/>
        <v>#N/A</v>
      </c>
      <c r="D1145" s="7" t="e">
        <f t="shared" si="131"/>
        <v>#N/A</v>
      </c>
      <c r="E1145" s="7">
        <f t="shared" si="131"/>
        <v>3</v>
      </c>
      <c r="F1145" s="7">
        <f t="shared" si="131"/>
        <v>2</v>
      </c>
      <c r="G1145" s="7" t="e">
        <f t="shared" si="131"/>
        <v>#N/A</v>
      </c>
    </row>
    <row r="1146" spans="2:7">
      <c r="B1146" s="67">
        <f t="shared" si="126"/>
        <v>44240</v>
      </c>
      <c r="C1146" s="7" t="e">
        <f t="shared" si="131"/>
        <v>#N/A</v>
      </c>
      <c r="D1146" s="7" t="e">
        <f t="shared" si="131"/>
        <v>#N/A</v>
      </c>
      <c r="E1146" s="7">
        <f t="shared" si="131"/>
        <v>3</v>
      </c>
      <c r="F1146" s="7">
        <f t="shared" si="131"/>
        <v>2</v>
      </c>
      <c r="G1146" s="7" t="e">
        <f t="shared" si="131"/>
        <v>#N/A</v>
      </c>
    </row>
    <row r="1147" spans="2:7">
      <c r="B1147" s="67">
        <f t="shared" si="126"/>
        <v>44241</v>
      </c>
      <c r="C1147" s="7" t="e">
        <f t="shared" ref="C1147:G1156" si="132">IF(AND($B1147&gt;=C$3,$B1147&lt;=C$4),C$5,NA())</f>
        <v>#N/A</v>
      </c>
      <c r="D1147" s="7" t="e">
        <f t="shared" si="132"/>
        <v>#N/A</v>
      </c>
      <c r="E1147" s="7">
        <f t="shared" si="132"/>
        <v>3</v>
      </c>
      <c r="F1147" s="7">
        <f t="shared" si="132"/>
        <v>2</v>
      </c>
      <c r="G1147" s="7" t="e">
        <f t="shared" si="132"/>
        <v>#N/A</v>
      </c>
    </row>
    <row r="1148" spans="2:7">
      <c r="B1148" s="67">
        <f t="shared" si="126"/>
        <v>44242</v>
      </c>
      <c r="C1148" s="7" t="e">
        <f t="shared" si="132"/>
        <v>#N/A</v>
      </c>
      <c r="D1148" s="7" t="e">
        <f t="shared" si="132"/>
        <v>#N/A</v>
      </c>
      <c r="E1148" s="7">
        <f t="shared" si="132"/>
        <v>3</v>
      </c>
      <c r="F1148" s="7">
        <f t="shared" si="132"/>
        <v>2</v>
      </c>
      <c r="G1148" s="7" t="e">
        <f t="shared" si="132"/>
        <v>#N/A</v>
      </c>
    </row>
    <row r="1149" spans="2:7">
      <c r="B1149" s="67">
        <f t="shared" si="126"/>
        <v>44243</v>
      </c>
      <c r="C1149" s="7" t="e">
        <f t="shared" si="132"/>
        <v>#N/A</v>
      </c>
      <c r="D1149" s="7" t="e">
        <f t="shared" si="132"/>
        <v>#N/A</v>
      </c>
      <c r="E1149" s="7">
        <f t="shared" si="132"/>
        <v>3</v>
      </c>
      <c r="F1149" s="7">
        <f t="shared" si="132"/>
        <v>2</v>
      </c>
      <c r="G1149" s="7" t="e">
        <f t="shared" si="132"/>
        <v>#N/A</v>
      </c>
    </row>
    <row r="1150" spans="2:7">
      <c r="B1150" s="67">
        <f t="shared" si="126"/>
        <v>44244</v>
      </c>
      <c r="C1150" s="7" t="e">
        <f t="shared" si="132"/>
        <v>#N/A</v>
      </c>
      <c r="D1150" s="7" t="e">
        <f t="shared" si="132"/>
        <v>#N/A</v>
      </c>
      <c r="E1150" s="7">
        <f t="shared" si="132"/>
        <v>3</v>
      </c>
      <c r="F1150" s="7">
        <f t="shared" si="132"/>
        <v>2</v>
      </c>
      <c r="G1150" s="7" t="e">
        <f t="shared" si="132"/>
        <v>#N/A</v>
      </c>
    </row>
    <row r="1151" spans="2:7">
      <c r="B1151" s="67">
        <f t="shared" si="126"/>
        <v>44245</v>
      </c>
      <c r="C1151" s="7" t="e">
        <f t="shared" si="132"/>
        <v>#N/A</v>
      </c>
      <c r="D1151" s="7" t="e">
        <f t="shared" si="132"/>
        <v>#N/A</v>
      </c>
      <c r="E1151" s="7">
        <f t="shared" si="132"/>
        <v>3</v>
      </c>
      <c r="F1151" s="7">
        <f t="shared" si="132"/>
        <v>2</v>
      </c>
      <c r="G1151" s="7" t="e">
        <f t="shared" si="132"/>
        <v>#N/A</v>
      </c>
    </row>
    <row r="1152" spans="2:7">
      <c r="B1152" s="67">
        <f t="shared" si="126"/>
        <v>44246</v>
      </c>
      <c r="C1152" s="7" t="e">
        <f t="shared" si="132"/>
        <v>#N/A</v>
      </c>
      <c r="D1152" s="7" t="e">
        <f t="shared" si="132"/>
        <v>#N/A</v>
      </c>
      <c r="E1152" s="7">
        <f t="shared" si="132"/>
        <v>3</v>
      </c>
      <c r="F1152" s="7">
        <f t="shared" si="132"/>
        <v>2</v>
      </c>
      <c r="G1152" s="7" t="e">
        <f t="shared" si="132"/>
        <v>#N/A</v>
      </c>
    </row>
    <row r="1153" spans="2:7">
      <c r="B1153" s="67">
        <f t="shared" si="126"/>
        <v>44247</v>
      </c>
      <c r="C1153" s="7" t="e">
        <f t="shared" si="132"/>
        <v>#N/A</v>
      </c>
      <c r="D1153" s="7" t="e">
        <f t="shared" si="132"/>
        <v>#N/A</v>
      </c>
      <c r="E1153" s="7">
        <f t="shared" si="132"/>
        <v>3</v>
      </c>
      <c r="F1153" s="7">
        <f t="shared" si="132"/>
        <v>2</v>
      </c>
      <c r="G1153" s="7" t="e">
        <f t="shared" si="132"/>
        <v>#N/A</v>
      </c>
    </row>
    <row r="1154" spans="2:7">
      <c r="B1154" s="67">
        <f t="shared" si="126"/>
        <v>44248</v>
      </c>
      <c r="C1154" s="7" t="e">
        <f t="shared" si="132"/>
        <v>#N/A</v>
      </c>
      <c r="D1154" s="7" t="e">
        <f t="shared" si="132"/>
        <v>#N/A</v>
      </c>
      <c r="E1154" s="7">
        <f t="shared" si="132"/>
        <v>3</v>
      </c>
      <c r="F1154" s="7">
        <f t="shared" si="132"/>
        <v>2</v>
      </c>
      <c r="G1154" s="7" t="e">
        <f t="shared" si="132"/>
        <v>#N/A</v>
      </c>
    </row>
    <row r="1155" spans="2:7">
      <c r="B1155" s="67">
        <f t="shared" si="126"/>
        <v>44249</v>
      </c>
      <c r="C1155" s="7" t="e">
        <f t="shared" si="132"/>
        <v>#N/A</v>
      </c>
      <c r="D1155" s="7" t="e">
        <f t="shared" si="132"/>
        <v>#N/A</v>
      </c>
      <c r="E1155" s="7">
        <f t="shared" si="132"/>
        <v>3</v>
      </c>
      <c r="F1155" s="7">
        <f t="shared" si="132"/>
        <v>2</v>
      </c>
      <c r="G1155" s="7" t="e">
        <f t="shared" si="132"/>
        <v>#N/A</v>
      </c>
    </row>
    <row r="1156" spans="2:7">
      <c r="B1156" s="67">
        <f t="shared" si="126"/>
        <v>44250</v>
      </c>
      <c r="C1156" s="7" t="e">
        <f t="shared" si="132"/>
        <v>#N/A</v>
      </c>
      <c r="D1156" s="7" t="e">
        <f t="shared" si="132"/>
        <v>#N/A</v>
      </c>
      <c r="E1156" s="7">
        <f t="shared" si="132"/>
        <v>3</v>
      </c>
      <c r="F1156" s="7">
        <f t="shared" si="132"/>
        <v>2</v>
      </c>
      <c r="G1156" s="7" t="e">
        <f t="shared" si="132"/>
        <v>#N/A</v>
      </c>
    </row>
    <row r="1157" spans="2:7">
      <c r="B1157" s="67">
        <f t="shared" si="126"/>
        <v>44251</v>
      </c>
      <c r="C1157" s="7" t="e">
        <f t="shared" ref="C1157:G1166" si="133">IF(AND($B1157&gt;=C$3,$B1157&lt;=C$4),C$5,NA())</f>
        <v>#N/A</v>
      </c>
      <c r="D1157" s="7" t="e">
        <f t="shared" si="133"/>
        <v>#N/A</v>
      </c>
      <c r="E1157" s="7">
        <f t="shared" si="133"/>
        <v>3</v>
      </c>
      <c r="F1157" s="7">
        <f t="shared" si="133"/>
        <v>2</v>
      </c>
      <c r="G1157" s="7" t="e">
        <f t="shared" si="133"/>
        <v>#N/A</v>
      </c>
    </row>
    <row r="1158" spans="2:7">
      <c r="B1158" s="67">
        <f t="shared" si="126"/>
        <v>44252</v>
      </c>
      <c r="C1158" s="7" t="e">
        <f t="shared" si="133"/>
        <v>#N/A</v>
      </c>
      <c r="D1158" s="7" t="e">
        <f t="shared" si="133"/>
        <v>#N/A</v>
      </c>
      <c r="E1158" s="7">
        <f t="shared" si="133"/>
        <v>3</v>
      </c>
      <c r="F1158" s="7">
        <f t="shared" si="133"/>
        <v>2</v>
      </c>
      <c r="G1158" s="7" t="e">
        <f t="shared" si="133"/>
        <v>#N/A</v>
      </c>
    </row>
    <row r="1159" spans="2:7">
      <c r="B1159" s="67">
        <f t="shared" si="126"/>
        <v>44253</v>
      </c>
      <c r="C1159" s="7" t="e">
        <f t="shared" si="133"/>
        <v>#N/A</v>
      </c>
      <c r="D1159" s="7" t="e">
        <f t="shared" si="133"/>
        <v>#N/A</v>
      </c>
      <c r="E1159" s="7">
        <f t="shared" si="133"/>
        <v>3</v>
      </c>
      <c r="F1159" s="7">
        <f t="shared" si="133"/>
        <v>2</v>
      </c>
      <c r="G1159" s="7" t="e">
        <f t="shared" si="133"/>
        <v>#N/A</v>
      </c>
    </row>
    <row r="1160" spans="2:7">
      <c r="B1160" s="67">
        <f t="shared" ref="B1160:B1223" si="134">B1159+1</f>
        <v>44254</v>
      </c>
      <c r="C1160" s="7" t="e">
        <f t="shared" si="133"/>
        <v>#N/A</v>
      </c>
      <c r="D1160" s="7" t="e">
        <f t="shared" si="133"/>
        <v>#N/A</v>
      </c>
      <c r="E1160" s="7">
        <f t="shared" si="133"/>
        <v>3</v>
      </c>
      <c r="F1160" s="7">
        <f t="shared" si="133"/>
        <v>2</v>
      </c>
      <c r="G1160" s="7" t="e">
        <f t="shared" si="133"/>
        <v>#N/A</v>
      </c>
    </row>
    <row r="1161" spans="2:7">
      <c r="B1161" s="67">
        <f t="shared" si="134"/>
        <v>44255</v>
      </c>
      <c r="C1161" s="7" t="e">
        <f t="shared" si="133"/>
        <v>#N/A</v>
      </c>
      <c r="D1161" s="7" t="e">
        <f t="shared" si="133"/>
        <v>#N/A</v>
      </c>
      <c r="E1161" s="7">
        <f t="shared" si="133"/>
        <v>3</v>
      </c>
      <c r="F1161" s="7">
        <f t="shared" si="133"/>
        <v>2</v>
      </c>
      <c r="G1161" s="7" t="e">
        <f t="shared" si="133"/>
        <v>#N/A</v>
      </c>
    </row>
    <row r="1162" spans="2:7">
      <c r="B1162" s="67">
        <f t="shared" si="134"/>
        <v>44256</v>
      </c>
      <c r="C1162" s="7" t="e">
        <f t="shared" si="133"/>
        <v>#N/A</v>
      </c>
      <c r="D1162" s="7" t="e">
        <f t="shared" si="133"/>
        <v>#N/A</v>
      </c>
      <c r="E1162" s="7">
        <f t="shared" si="133"/>
        <v>3</v>
      </c>
      <c r="F1162" s="7">
        <f t="shared" si="133"/>
        <v>2</v>
      </c>
      <c r="G1162" s="7" t="e">
        <f t="shared" si="133"/>
        <v>#N/A</v>
      </c>
    </row>
    <row r="1163" spans="2:7">
      <c r="B1163" s="67">
        <f t="shared" si="134"/>
        <v>44257</v>
      </c>
      <c r="C1163" s="7" t="e">
        <f t="shared" si="133"/>
        <v>#N/A</v>
      </c>
      <c r="D1163" s="7" t="e">
        <f t="shared" si="133"/>
        <v>#N/A</v>
      </c>
      <c r="E1163" s="7">
        <f t="shared" si="133"/>
        <v>3</v>
      </c>
      <c r="F1163" s="7">
        <f t="shared" si="133"/>
        <v>2</v>
      </c>
      <c r="G1163" s="7" t="e">
        <f t="shared" si="133"/>
        <v>#N/A</v>
      </c>
    </row>
    <row r="1164" spans="2:7">
      <c r="B1164" s="67">
        <f t="shared" si="134"/>
        <v>44258</v>
      </c>
      <c r="C1164" s="7" t="e">
        <f t="shared" si="133"/>
        <v>#N/A</v>
      </c>
      <c r="D1164" s="7" t="e">
        <f t="shared" si="133"/>
        <v>#N/A</v>
      </c>
      <c r="E1164" s="7">
        <f t="shared" si="133"/>
        <v>3</v>
      </c>
      <c r="F1164" s="7">
        <f t="shared" si="133"/>
        <v>2</v>
      </c>
      <c r="G1164" s="7" t="e">
        <f t="shared" si="133"/>
        <v>#N/A</v>
      </c>
    </row>
    <row r="1165" spans="2:7">
      <c r="B1165" s="67">
        <f t="shared" si="134"/>
        <v>44259</v>
      </c>
      <c r="C1165" s="7" t="e">
        <f t="shared" si="133"/>
        <v>#N/A</v>
      </c>
      <c r="D1165" s="7" t="e">
        <f t="shared" si="133"/>
        <v>#N/A</v>
      </c>
      <c r="E1165" s="7">
        <f t="shared" si="133"/>
        <v>3</v>
      </c>
      <c r="F1165" s="7">
        <f t="shared" si="133"/>
        <v>2</v>
      </c>
      <c r="G1165" s="7" t="e">
        <f t="shared" si="133"/>
        <v>#N/A</v>
      </c>
    </row>
    <row r="1166" spans="2:7">
      <c r="B1166" s="67">
        <f t="shared" si="134"/>
        <v>44260</v>
      </c>
      <c r="C1166" s="7" t="e">
        <f t="shared" si="133"/>
        <v>#N/A</v>
      </c>
      <c r="D1166" s="7" t="e">
        <f t="shared" si="133"/>
        <v>#N/A</v>
      </c>
      <c r="E1166" s="7">
        <f t="shared" si="133"/>
        <v>3</v>
      </c>
      <c r="F1166" s="7">
        <f t="shared" si="133"/>
        <v>2</v>
      </c>
      <c r="G1166" s="7" t="e">
        <f t="shared" si="133"/>
        <v>#N/A</v>
      </c>
    </row>
    <row r="1167" spans="2:7">
      <c r="B1167" s="67">
        <f t="shared" si="134"/>
        <v>44261</v>
      </c>
      <c r="C1167" s="7" t="e">
        <f t="shared" ref="C1167:G1176" si="135">IF(AND($B1167&gt;=C$3,$B1167&lt;=C$4),C$5,NA())</f>
        <v>#N/A</v>
      </c>
      <c r="D1167" s="7" t="e">
        <f t="shared" si="135"/>
        <v>#N/A</v>
      </c>
      <c r="E1167" s="7">
        <f t="shared" si="135"/>
        <v>3</v>
      </c>
      <c r="F1167" s="7">
        <f t="shared" si="135"/>
        <v>2</v>
      </c>
      <c r="G1167" s="7" t="e">
        <f t="shared" si="135"/>
        <v>#N/A</v>
      </c>
    </row>
    <row r="1168" spans="2:7">
      <c r="B1168" s="67">
        <f t="shared" si="134"/>
        <v>44262</v>
      </c>
      <c r="C1168" s="7" t="e">
        <f t="shared" si="135"/>
        <v>#N/A</v>
      </c>
      <c r="D1168" s="7" t="e">
        <f t="shared" si="135"/>
        <v>#N/A</v>
      </c>
      <c r="E1168" s="7">
        <f t="shared" si="135"/>
        <v>3</v>
      </c>
      <c r="F1168" s="7">
        <f t="shared" si="135"/>
        <v>2</v>
      </c>
      <c r="G1168" s="7" t="e">
        <f t="shared" si="135"/>
        <v>#N/A</v>
      </c>
    </row>
    <row r="1169" spans="2:7">
      <c r="B1169" s="67">
        <f t="shared" si="134"/>
        <v>44263</v>
      </c>
      <c r="C1169" s="7" t="e">
        <f t="shared" si="135"/>
        <v>#N/A</v>
      </c>
      <c r="D1169" s="7" t="e">
        <f t="shared" si="135"/>
        <v>#N/A</v>
      </c>
      <c r="E1169" s="7">
        <f t="shared" si="135"/>
        <v>3</v>
      </c>
      <c r="F1169" s="7">
        <f t="shared" si="135"/>
        <v>2</v>
      </c>
      <c r="G1169" s="7" t="e">
        <f t="shared" si="135"/>
        <v>#N/A</v>
      </c>
    </row>
    <row r="1170" spans="2:7">
      <c r="B1170" s="67">
        <f t="shared" si="134"/>
        <v>44264</v>
      </c>
      <c r="C1170" s="7" t="e">
        <f t="shared" si="135"/>
        <v>#N/A</v>
      </c>
      <c r="D1170" s="7" t="e">
        <f t="shared" si="135"/>
        <v>#N/A</v>
      </c>
      <c r="E1170" s="7">
        <f t="shared" si="135"/>
        <v>3</v>
      </c>
      <c r="F1170" s="7">
        <f t="shared" si="135"/>
        <v>2</v>
      </c>
      <c r="G1170" s="7" t="e">
        <f t="shared" si="135"/>
        <v>#N/A</v>
      </c>
    </row>
    <row r="1171" spans="2:7">
      <c r="B1171" s="67">
        <f t="shared" si="134"/>
        <v>44265</v>
      </c>
      <c r="C1171" s="7" t="e">
        <f t="shared" si="135"/>
        <v>#N/A</v>
      </c>
      <c r="D1171" s="7" t="e">
        <f t="shared" si="135"/>
        <v>#N/A</v>
      </c>
      <c r="E1171" s="7">
        <f t="shared" si="135"/>
        <v>3</v>
      </c>
      <c r="F1171" s="7">
        <f t="shared" si="135"/>
        <v>2</v>
      </c>
      <c r="G1171" s="7" t="e">
        <f t="shared" si="135"/>
        <v>#N/A</v>
      </c>
    </row>
    <row r="1172" spans="2:7">
      <c r="B1172" s="67">
        <f t="shared" si="134"/>
        <v>44266</v>
      </c>
      <c r="C1172" s="7" t="e">
        <f t="shared" si="135"/>
        <v>#N/A</v>
      </c>
      <c r="D1172" s="7" t="e">
        <f t="shared" si="135"/>
        <v>#N/A</v>
      </c>
      <c r="E1172" s="7">
        <f t="shared" si="135"/>
        <v>3</v>
      </c>
      <c r="F1172" s="7">
        <f t="shared" si="135"/>
        <v>2</v>
      </c>
      <c r="G1172" s="7" t="e">
        <f t="shared" si="135"/>
        <v>#N/A</v>
      </c>
    </row>
    <row r="1173" spans="2:7">
      <c r="B1173" s="67">
        <f t="shared" si="134"/>
        <v>44267</v>
      </c>
      <c r="C1173" s="7" t="e">
        <f t="shared" si="135"/>
        <v>#N/A</v>
      </c>
      <c r="D1173" s="7" t="e">
        <f t="shared" si="135"/>
        <v>#N/A</v>
      </c>
      <c r="E1173" s="7">
        <f t="shared" si="135"/>
        <v>3</v>
      </c>
      <c r="F1173" s="7">
        <f t="shared" si="135"/>
        <v>2</v>
      </c>
      <c r="G1173" s="7" t="e">
        <f t="shared" si="135"/>
        <v>#N/A</v>
      </c>
    </row>
    <row r="1174" spans="2:7">
      <c r="B1174" s="67">
        <f t="shared" si="134"/>
        <v>44268</v>
      </c>
      <c r="C1174" s="7" t="e">
        <f t="shared" si="135"/>
        <v>#N/A</v>
      </c>
      <c r="D1174" s="7" t="e">
        <f t="shared" si="135"/>
        <v>#N/A</v>
      </c>
      <c r="E1174" s="7">
        <f t="shared" si="135"/>
        <v>3</v>
      </c>
      <c r="F1174" s="7">
        <f t="shared" si="135"/>
        <v>2</v>
      </c>
      <c r="G1174" s="7" t="e">
        <f t="shared" si="135"/>
        <v>#N/A</v>
      </c>
    </row>
    <row r="1175" spans="2:7">
      <c r="B1175" s="67">
        <f t="shared" si="134"/>
        <v>44269</v>
      </c>
      <c r="C1175" s="7" t="e">
        <f t="shared" si="135"/>
        <v>#N/A</v>
      </c>
      <c r="D1175" s="7" t="e">
        <f t="shared" si="135"/>
        <v>#N/A</v>
      </c>
      <c r="E1175" s="7">
        <f t="shared" si="135"/>
        <v>3</v>
      </c>
      <c r="F1175" s="7">
        <f t="shared" si="135"/>
        <v>2</v>
      </c>
      <c r="G1175" s="7" t="e">
        <f t="shared" si="135"/>
        <v>#N/A</v>
      </c>
    </row>
    <row r="1176" spans="2:7">
      <c r="B1176" s="67">
        <f t="shared" si="134"/>
        <v>44270</v>
      </c>
      <c r="C1176" s="7" t="e">
        <f t="shared" si="135"/>
        <v>#N/A</v>
      </c>
      <c r="D1176" s="7" t="e">
        <f t="shared" si="135"/>
        <v>#N/A</v>
      </c>
      <c r="E1176" s="7">
        <f t="shared" si="135"/>
        <v>3</v>
      </c>
      <c r="F1176" s="7">
        <f t="shared" si="135"/>
        <v>2</v>
      </c>
      <c r="G1176" s="7" t="e">
        <f t="shared" si="135"/>
        <v>#N/A</v>
      </c>
    </row>
    <row r="1177" spans="2:7">
      <c r="B1177" s="67">
        <f t="shared" si="134"/>
        <v>44271</v>
      </c>
      <c r="C1177" s="7" t="e">
        <f t="shared" ref="C1177:G1186" si="136">IF(AND($B1177&gt;=C$3,$B1177&lt;=C$4),C$5,NA())</f>
        <v>#N/A</v>
      </c>
      <c r="D1177" s="7" t="e">
        <f t="shared" si="136"/>
        <v>#N/A</v>
      </c>
      <c r="E1177" s="7">
        <f t="shared" si="136"/>
        <v>3</v>
      </c>
      <c r="F1177" s="7">
        <f t="shared" si="136"/>
        <v>2</v>
      </c>
      <c r="G1177" s="7" t="e">
        <f t="shared" si="136"/>
        <v>#N/A</v>
      </c>
    </row>
    <row r="1178" spans="2:7">
      <c r="B1178" s="67">
        <f t="shared" si="134"/>
        <v>44272</v>
      </c>
      <c r="C1178" s="7" t="e">
        <f t="shared" si="136"/>
        <v>#N/A</v>
      </c>
      <c r="D1178" s="7" t="e">
        <f t="shared" si="136"/>
        <v>#N/A</v>
      </c>
      <c r="E1178" s="7">
        <f t="shared" si="136"/>
        <v>3</v>
      </c>
      <c r="F1178" s="7">
        <f t="shared" si="136"/>
        <v>2</v>
      </c>
      <c r="G1178" s="7" t="e">
        <f t="shared" si="136"/>
        <v>#N/A</v>
      </c>
    </row>
    <row r="1179" spans="2:7">
      <c r="B1179" s="67">
        <f t="shared" si="134"/>
        <v>44273</v>
      </c>
      <c r="C1179" s="7" t="e">
        <f t="shared" si="136"/>
        <v>#N/A</v>
      </c>
      <c r="D1179" s="7" t="e">
        <f t="shared" si="136"/>
        <v>#N/A</v>
      </c>
      <c r="E1179" s="7">
        <f t="shared" si="136"/>
        <v>3</v>
      </c>
      <c r="F1179" s="7">
        <f t="shared" si="136"/>
        <v>2</v>
      </c>
      <c r="G1179" s="7" t="e">
        <f t="shared" si="136"/>
        <v>#N/A</v>
      </c>
    </row>
    <row r="1180" spans="2:7">
      <c r="B1180" s="67">
        <f t="shared" si="134"/>
        <v>44274</v>
      </c>
      <c r="C1180" s="7" t="e">
        <f t="shared" si="136"/>
        <v>#N/A</v>
      </c>
      <c r="D1180" s="7" t="e">
        <f t="shared" si="136"/>
        <v>#N/A</v>
      </c>
      <c r="E1180" s="7">
        <f t="shared" si="136"/>
        <v>3</v>
      </c>
      <c r="F1180" s="7">
        <f t="shared" si="136"/>
        <v>2</v>
      </c>
      <c r="G1180" s="7" t="e">
        <f t="shared" si="136"/>
        <v>#N/A</v>
      </c>
    </row>
    <row r="1181" spans="2:7">
      <c r="B1181" s="67">
        <f t="shared" si="134"/>
        <v>44275</v>
      </c>
      <c r="C1181" s="7" t="e">
        <f t="shared" si="136"/>
        <v>#N/A</v>
      </c>
      <c r="D1181" s="7" t="e">
        <f t="shared" si="136"/>
        <v>#N/A</v>
      </c>
      <c r="E1181" s="7">
        <f t="shared" si="136"/>
        <v>3</v>
      </c>
      <c r="F1181" s="7">
        <f t="shared" si="136"/>
        <v>2</v>
      </c>
      <c r="G1181" s="7" t="e">
        <f t="shared" si="136"/>
        <v>#N/A</v>
      </c>
    </row>
    <row r="1182" spans="2:7">
      <c r="B1182" s="67">
        <f t="shared" si="134"/>
        <v>44276</v>
      </c>
      <c r="C1182" s="7" t="e">
        <f t="shared" si="136"/>
        <v>#N/A</v>
      </c>
      <c r="D1182" s="7" t="e">
        <f t="shared" si="136"/>
        <v>#N/A</v>
      </c>
      <c r="E1182" s="7">
        <f t="shared" si="136"/>
        <v>3</v>
      </c>
      <c r="F1182" s="7">
        <f t="shared" si="136"/>
        <v>2</v>
      </c>
      <c r="G1182" s="7" t="e">
        <f t="shared" si="136"/>
        <v>#N/A</v>
      </c>
    </row>
    <row r="1183" spans="2:7">
      <c r="B1183" s="67">
        <f t="shared" si="134"/>
        <v>44277</v>
      </c>
      <c r="C1183" s="7" t="e">
        <f t="shared" si="136"/>
        <v>#N/A</v>
      </c>
      <c r="D1183" s="7" t="e">
        <f t="shared" si="136"/>
        <v>#N/A</v>
      </c>
      <c r="E1183" s="7">
        <f t="shared" si="136"/>
        <v>3</v>
      </c>
      <c r="F1183" s="7">
        <f t="shared" si="136"/>
        <v>2</v>
      </c>
      <c r="G1183" s="7" t="e">
        <f t="shared" si="136"/>
        <v>#N/A</v>
      </c>
    </row>
    <row r="1184" spans="2:7">
      <c r="B1184" s="67">
        <f t="shared" si="134"/>
        <v>44278</v>
      </c>
      <c r="C1184" s="7" t="e">
        <f t="shared" si="136"/>
        <v>#N/A</v>
      </c>
      <c r="D1184" s="7" t="e">
        <f t="shared" si="136"/>
        <v>#N/A</v>
      </c>
      <c r="E1184" s="7">
        <f t="shared" si="136"/>
        <v>3</v>
      </c>
      <c r="F1184" s="7">
        <f t="shared" si="136"/>
        <v>2</v>
      </c>
      <c r="G1184" s="7" t="e">
        <f t="shared" si="136"/>
        <v>#N/A</v>
      </c>
    </row>
    <row r="1185" spans="2:7">
      <c r="B1185" s="67">
        <f t="shared" si="134"/>
        <v>44279</v>
      </c>
      <c r="C1185" s="7" t="e">
        <f t="shared" si="136"/>
        <v>#N/A</v>
      </c>
      <c r="D1185" s="7" t="e">
        <f t="shared" si="136"/>
        <v>#N/A</v>
      </c>
      <c r="E1185" s="7">
        <f t="shared" si="136"/>
        <v>3</v>
      </c>
      <c r="F1185" s="7">
        <f t="shared" si="136"/>
        <v>2</v>
      </c>
      <c r="G1185" s="7" t="e">
        <f t="shared" si="136"/>
        <v>#N/A</v>
      </c>
    </row>
    <row r="1186" spans="2:7">
      <c r="B1186" s="67">
        <f t="shared" si="134"/>
        <v>44280</v>
      </c>
      <c r="C1186" s="7" t="e">
        <f t="shared" si="136"/>
        <v>#N/A</v>
      </c>
      <c r="D1186" s="7" t="e">
        <f t="shared" si="136"/>
        <v>#N/A</v>
      </c>
      <c r="E1186" s="7">
        <f t="shared" si="136"/>
        <v>3</v>
      </c>
      <c r="F1186" s="7">
        <f t="shared" si="136"/>
        <v>2</v>
      </c>
      <c r="G1186" s="7" t="e">
        <f t="shared" si="136"/>
        <v>#N/A</v>
      </c>
    </row>
    <row r="1187" spans="2:7">
      <c r="B1187" s="67">
        <f t="shared" si="134"/>
        <v>44281</v>
      </c>
      <c r="C1187" s="7" t="e">
        <f t="shared" ref="C1187:G1196" si="137">IF(AND($B1187&gt;=C$3,$B1187&lt;=C$4),C$5,NA())</f>
        <v>#N/A</v>
      </c>
      <c r="D1187" s="7" t="e">
        <f t="shared" si="137"/>
        <v>#N/A</v>
      </c>
      <c r="E1187" s="7">
        <f t="shared" si="137"/>
        <v>3</v>
      </c>
      <c r="F1187" s="7">
        <f t="shared" si="137"/>
        <v>2</v>
      </c>
      <c r="G1187" s="7" t="e">
        <f t="shared" si="137"/>
        <v>#N/A</v>
      </c>
    </row>
    <row r="1188" spans="2:7">
      <c r="B1188" s="67">
        <f t="shared" si="134"/>
        <v>44282</v>
      </c>
      <c r="C1188" s="7" t="e">
        <f t="shared" si="137"/>
        <v>#N/A</v>
      </c>
      <c r="D1188" s="7" t="e">
        <f t="shared" si="137"/>
        <v>#N/A</v>
      </c>
      <c r="E1188" s="7">
        <f t="shared" si="137"/>
        <v>3</v>
      </c>
      <c r="F1188" s="7">
        <f t="shared" si="137"/>
        <v>2</v>
      </c>
      <c r="G1188" s="7" t="e">
        <f t="shared" si="137"/>
        <v>#N/A</v>
      </c>
    </row>
    <row r="1189" spans="2:7">
      <c r="B1189" s="67">
        <f t="shared" si="134"/>
        <v>44283</v>
      </c>
      <c r="C1189" s="7" t="e">
        <f t="shared" si="137"/>
        <v>#N/A</v>
      </c>
      <c r="D1189" s="7" t="e">
        <f t="shared" si="137"/>
        <v>#N/A</v>
      </c>
      <c r="E1189" s="7">
        <f t="shared" si="137"/>
        <v>3</v>
      </c>
      <c r="F1189" s="7">
        <f t="shared" si="137"/>
        <v>2</v>
      </c>
      <c r="G1189" s="7" t="e">
        <f t="shared" si="137"/>
        <v>#N/A</v>
      </c>
    </row>
    <row r="1190" spans="2:7">
      <c r="B1190" s="67">
        <f t="shared" si="134"/>
        <v>44284</v>
      </c>
      <c r="C1190" s="7" t="e">
        <f t="shared" si="137"/>
        <v>#N/A</v>
      </c>
      <c r="D1190" s="7" t="e">
        <f t="shared" si="137"/>
        <v>#N/A</v>
      </c>
      <c r="E1190" s="7">
        <f t="shared" si="137"/>
        <v>3</v>
      </c>
      <c r="F1190" s="7">
        <f t="shared" si="137"/>
        <v>2</v>
      </c>
      <c r="G1190" s="7" t="e">
        <f t="shared" si="137"/>
        <v>#N/A</v>
      </c>
    </row>
    <row r="1191" spans="2:7">
      <c r="B1191" s="67">
        <f t="shared" si="134"/>
        <v>44285</v>
      </c>
      <c r="C1191" s="7" t="e">
        <f t="shared" si="137"/>
        <v>#N/A</v>
      </c>
      <c r="D1191" s="7" t="e">
        <f t="shared" si="137"/>
        <v>#N/A</v>
      </c>
      <c r="E1191" s="7">
        <f t="shared" si="137"/>
        <v>3</v>
      </c>
      <c r="F1191" s="7">
        <f t="shared" si="137"/>
        <v>2</v>
      </c>
      <c r="G1191" s="7" t="e">
        <f t="shared" si="137"/>
        <v>#N/A</v>
      </c>
    </row>
    <row r="1192" spans="2:7">
      <c r="B1192" s="67">
        <f t="shared" si="134"/>
        <v>44286</v>
      </c>
      <c r="C1192" s="7" t="e">
        <f t="shared" si="137"/>
        <v>#N/A</v>
      </c>
      <c r="D1192" s="7" t="e">
        <f t="shared" si="137"/>
        <v>#N/A</v>
      </c>
      <c r="E1192" s="7">
        <f t="shared" si="137"/>
        <v>3</v>
      </c>
      <c r="F1192" s="7">
        <f t="shared" si="137"/>
        <v>2</v>
      </c>
      <c r="G1192" s="7" t="e">
        <f t="shared" si="137"/>
        <v>#N/A</v>
      </c>
    </row>
    <row r="1193" spans="2:7">
      <c r="B1193" s="67">
        <f t="shared" si="134"/>
        <v>44287</v>
      </c>
      <c r="C1193" s="7" t="e">
        <f t="shared" si="137"/>
        <v>#N/A</v>
      </c>
      <c r="D1193" s="7" t="e">
        <f t="shared" si="137"/>
        <v>#N/A</v>
      </c>
      <c r="E1193" s="7">
        <f t="shared" si="137"/>
        <v>3</v>
      </c>
      <c r="F1193" s="7">
        <f t="shared" si="137"/>
        <v>2</v>
      </c>
      <c r="G1193" s="7" t="e">
        <f t="shared" si="137"/>
        <v>#N/A</v>
      </c>
    </row>
    <row r="1194" spans="2:7">
      <c r="B1194" s="67">
        <f t="shared" si="134"/>
        <v>44288</v>
      </c>
      <c r="C1194" s="7" t="e">
        <f t="shared" si="137"/>
        <v>#N/A</v>
      </c>
      <c r="D1194" s="7" t="e">
        <f t="shared" si="137"/>
        <v>#N/A</v>
      </c>
      <c r="E1194" s="7">
        <f t="shared" si="137"/>
        <v>3</v>
      </c>
      <c r="F1194" s="7">
        <f t="shared" si="137"/>
        <v>2</v>
      </c>
      <c r="G1194" s="7" t="e">
        <f t="shared" si="137"/>
        <v>#N/A</v>
      </c>
    </row>
    <row r="1195" spans="2:7">
      <c r="B1195" s="67">
        <f t="shared" si="134"/>
        <v>44289</v>
      </c>
      <c r="C1195" s="7" t="e">
        <f t="shared" si="137"/>
        <v>#N/A</v>
      </c>
      <c r="D1195" s="7" t="e">
        <f t="shared" si="137"/>
        <v>#N/A</v>
      </c>
      <c r="E1195" s="7">
        <f t="shared" si="137"/>
        <v>3</v>
      </c>
      <c r="F1195" s="7">
        <f t="shared" si="137"/>
        <v>2</v>
      </c>
      <c r="G1195" s="7" t="e">
        <f t="shared" si="137"/>
        <v>#N/A</v>
      </c>
    </row>
    <row r="1196" spans="2:7">
      <c r="B1196" s="67">
        <f t="shared" si="134"/>
        <v>44290</v>
      </c>
      <c r="C1196" s="7" t="e">
        <f t="shared" si="137"/>
        <v>#N/A</v>
      </c>
      <c r="D1196" s="7" t="e">
        <f t="shared" si="137"/>
        <v>#N/A</v>
      </c>
      <c r="E1196" s="7">
        <f t="shared" si="137"/>
        <v>3</v>
      </c>
      <c r="F1196" s="7">
        <f t="shared" si="137"/>
        <v>2</v>
      </c>
      <c r="G1196" s="7" t="e">
        <f t="shared" si="137"/>
        <v>#N/A</v>
      </c>
    </row>
    <row r="1197" spans="2:7">
      <c r="B1197" s="67">
        <f t="shared" si="134"/>
        <v>44291</v>
      </c>
      <c r="C1197" s="7" t="e">
        <f t="shared" ref="C1197:G1206" si="138">IF(AND($B1197&gt;=C$3,$B1197&lt;=C$4),C$5,NA())</f>
        <v>#N/A</v>
      </c>
      <c r="D1197" s="7" t="e">
        <f t="shared" si="138"/>
        <v>#N/A</v>
      </c>
      <c r="E1197" s="7">
        <f t="shared" si="138"/>
        <v>3</v>
      </c>
      <c r="F1197" s="7">
        <f t="shared" si="138"/>
        <v>2</v>
      </c>
      <c r="G1197" s="7" t="e">
        <f t="shared" si="138"/>
        <v>#N/A</v>
      </c>
    </row>
    <row r="1198" spans="2:7">
      <c r="B1198" s="67">
        <f t="shared" si="134"/>
        <v>44292</v>
      </c>
      <c r="C1198" s="7" t="e">
        <f t="shared" si="138"/>
        <v>#N/A</v>
      </c>
      <c r="D1198" s="7" t="e">
        <f t="shared" si="138"/>
        <v>#N/A</v>
      </c>
      <c r="E1198" s="7">
        <f t="shared" si="138"/>
        <v>3</v>
      </c>
      <c r="F1198" s="7">
        <f t="shared" si="138"/>
        <v>2</v>
      </c>
      <c r="G1198" s="7" t="e">
        <f t="shared" si="138"/>
        <v>#N/A</v>
      </c>
    </row>
    <row r="1199" spans="2:7">
      <c r="B1199" s="67">
        <f t="shared" si="134"/>
        <v>44293</v>
      </c>
      <c r="C1199" s="7" t="e">
        <f t="shared" si="138"/>
        <v>#N/A</v>
      </c>
      <c r="D1199" s="7" t="e">
        <f t="shared" si="138"/>
        <v>#N/A</v>
      </c>
      <c r="E1199" s="7">
        <f t="shared" si="138"/>
        <v>3</v>
      </c>
      <c r="F1199" s="7">
        <f t="shared" si="138"/>
        <v>2</v>
      </c>
      <c r="G1199" s="7" t="e">
        <f t="shared" si="138"/>
        <v>#N/A</v>
      </c>
    </row>
    <row r="1200" spans="2:7">
      <c r="B1200" s="67">
        <f t="shared" si="134"/>
        <v>44294</v>
      </c>
      <c r="C1200" s="7" t="e">
        <f t="shared" si="138"/>
        <v>#N/A</v>
      </c>
      <c r="D1200" s="7" t="e">
        <f t="shared" si="138"/>
        <v>#N/A</v>
      </c>
      <c r="E1200" s="7">
        <f t="shared" si="138"/>
        <v>3</v>
      </c>
      <c r="F1200" s="7">
        <f t="shared" si="138"/>
        <v>2</v>
      </c>
      <c r="G1200" s="7" t="e">
        <f t="shared" si="138"/>
        <v>#N/A</v>
      </c>
    </row>
    <row r="1201" spans="2:7">
      <c r="B1201" s="67">
        <f t="shared" si="134"/>
        <v>44295</v>
      </c>
      <c r="C1201" s="7" t="e">
        <f t="shared" si="138"/>
        <v>#N/A</v>
      </c>
      <c r="D1201" s="7" t="e">
        <f t="shared" si="138"/>
        <v>#N/A</v>
      </c>
      <c r="E1201" s="7">
        <f t="shared" si="138"/>
        <v>3</v>
      </c>
      <c r="F1201" s="7">
        <f t="shared" si="138"/>
        <v>2</v>
      </c>
      <c r="G1201" s="7" t="e">
        <f t="shared" si="138"/>
        <v>#N/A</v>
      </c>
    </row>
    <row r="1202" spans="2:7">
      <c r="B1202" s="67">
        <f t="shared" si="134"/>
        <v>44296</v>
      </c>
      <c r="C1202" s="7" t="e">
        <f t="shared" si="138"/>
        <v>#N/A</v>
      </c>
      <c r="D1202" s="7" t="e">
        <f t="shared" si="138"/>
        <v>#N/A</v>
      </c>
      <c r="E1202" s="7">
        <f t="shared" si="138"/>
        <v>3</v>
      </c>
      <c r="F1202" s="7">
        <f t="shared" si="138"/>
        <v>2</v>
      </c>
      <c r="G1202" s="7" t="e">
        <f t="shared" si="138"/>
        <v>#N/A</v>
      </c>
    </row>
    <row r="1203" spans="2:7">
      <c r="B1203" s="67">
        <f t="shared" si="134"/>
        <v>44297</v>
      </c>
      <c r="C1203" s="7" t="e">
        <f t="shared" si="138"/>
        <v>#N/A</v>
      </c>
      <c r="D1203" s="7" t="e">
        <f t="shared" si="138"/>
        <v>#N/A</v>
      </c>
      <c r="E1203" s="7">
        <f t="shared" si="138"/>
        <v>3</v>
      </c>
      <c r="F1203" s="7">
        <f t="shared" si="138"/>
        <v>2</v>
      </c>
      <c r="G1203" s="7" t="e">
        <f t="shared" si="138"/>
        <v>#N/A</v>
      </c>
    </row>
    <row r="1204" spans="2:7">
      <c r="B1204" s="67">
        <f t="shared" si="134"/>
        <v>44298</v>
      </c>
      <c r="C1204" s="7" t="e">
        <f t="shared" si="138"/>
        <v>#N/A</v>
      </c>
      <c r="D1204" s="7" t="e">
        <f t="shared" si="138"/>
        <v>#N/A</v>
      </c>
      <c r="E1204" s="7">
        <f t="shared" si="138"/>
        <v>3</v>
      </c>
      <c r="F1204" s="7">
        <f t="shared" si="138"/>
        <v>2</v>
      </c>
      <c r="G1204" s="7" t="e">
        <f t="shared" si="138"/>
        <v>#N/A</v>
      </c>
    </row>
    <row r="1205" spans="2:7">
      <c r="B1205" s="67">
        <f t="shared" si="134"/>
        <v>44299</v>
      </c>
      <c r="C1205" s="7" t="e">
        <f t="shared" si="138"/>
        <v>#N/A</v>
      </c>
      <c r="D1205" s="7" t="e">
        <f t="shared" si="138"/>
        <v>#N/A</v>
      </c>
      <c r="E1205" s="7">
        <f t="shared" si="138"/>
        <v>3</v>
      </c>
      <c r="F1205" s="7">
        <f t="shared" si="138"/>
        <v>2</v>
      </c>
      <c r="G1205" s="7" t="e">
        <f t="shared" si="138"/>
        <v>#N/A</v>
      </c>
    </row>
    <row r="1206" spans="2:7">
      <c r="B1206" s="67">
        <f t="shared" si="134"/>
        <v>44300</v>
      </c>
      <c r="C1206" s="7" t="e">
        <f t="shared" si="138"/>
        <v>#N/A</v>
      </c>
      <c r="D1206" s="7" t="e">
        <f t="shared" si="138"/>
        <v>#N/A</v>
      </c>
      <c r="E1206" s="7">
        <f t="shared" si="138"/>
        <v>3</v>
      </c>
      <c r="F1206" s="7">
        <f t="shared" si="138"/>
        <v>2</v>
      </c>
      <c r="G1206" s="7" t="e">
        <f t="shared" si="138"/>
        <v>#N/A</v>
      </c>
    </row>
    <row r="1207" spans="2:7">
      <c r="B1207" s="67">
        <f t="shared" si="134"/>
        <v>44301</v>
      </c>
      <c r="C1207" s="7" t="e">
        <f t="shared" ref="C1207:G1216" si="139">IF(AND($B1207&gt;=C$3,$B1207&lt;=C$4),C$5,NA())</f>
        <v>#N/A</v>
      </c>
      <c r="D1207" s="7" t="e">
        <f t="shared" si="139"/>
        <v>#N/A</v>
      </c>
      <c r="E1207" s="7">
        <f t="shared" si="139"/>
        <v>3</v>
      </c>
      <c r="F1207" s="7">
        <f t="shared" si="139"/>
        <v>2</v>
      </c>
      <c r="G1207" s="7" t="e">
        <f t="shared" si="139"/>
        <v>#N/A</v>
      </c>
    </row>
    <row r="1208" spans="2:7">
      <c r="B1208" s="67">
        <f t="shared" si="134"/>
        <v>44302</v>
      </c>
      <c r="C1208" s="7" t="e">
        <f t="shared" si="139"/>
        <v>#N/A</v>
      </c>
      <c r="D1208" s="7" t="e">
        <f t="shared" si="139"/>
        <v>#N/A</v>
      </c>
      <c r="E1208" s="7">
        <f t="shared" si="139"/>
        <v>3</v>
      </c>
      <c r="F1208" s="7">
        <f t="shared" si="139"/>
        <v>2</v>
      </c>
      <c r="G1208" s="7" t="e">
        <f t="shared" si="139"/>
        <v>#N/A</v>
      </c>
    </row>
    <row r="1209" spans="2:7">
      <c r="B1209" s="67">
        <f t="shared" si="134"/>
        <v>44303</v>
      </c>
      <c r="C1209" s="7" t="e">
        <f t="shared" si="139"/>
        <v>#N/A</v>
      </c>
      <c r="D1209" s="7" t="e">
        <f t="shared" si="139"/>
        <v>#N/A</v>
      </c>
      <c r="E1209" s="7">
        <f t="shared" si="139"/>
        <v>3</v>
      </c>
      <c r="F1209" s="7">
        <f t="shared" si="139"/>
        <v>2</v>
      </c>
      <c r="G1209" s="7" t="e">
        <f t="shared" si="139"/>
        <v>#N/A</v>
      </c>
    </row>
    <row r="1210" spans="2:7">
      <c r="B1210" s="67">
        <f t="shared" si="134"/>
        <v>44304</v>
      </c>
      <c r="C1210" s="7" t="e">
        <f t="shared" si="139"/>
        <v>#N/A</v>
      </c>
      <c r="D1210" s="7" t="e">
        <f t="shared" si="139"/>
        <v>#N/A</v>
      </c>
      <c r="E1210" s="7">
        <f t="shared" si="139"/>
        <v>3</v>
      </c>
      <c r="F1210" s="7">
        <f t="shared" si="139"/>
        <v>2</v>
      </c>
      <c r="G1210" s="7" t="e">
        <f t="shared" si="139"/>
        <v>#N/A</v>
      </c>
    </row>
    <row r="1211" spans="2:7">
      <c r="B1211" s="67">
        <f t="shared" si="134"/>
        <v>44305</v>
      </c>
      <c r="C1211" s="7" t="e">
        <f t="shared" si="139"/>
        <v>#N/A</v>
      </c>
      <c r="D1211" s="7" t="e">
        <f t="shared" si="139"/>
        <v>#N/A</v>
      </c>
      <c r="E1211" s="7">
        <f t="shared" si="139"/>
        <v>3</v>
      </c>
      <c r="F1211" s="7">
        <f t="shared" si="139"/>
        <v>2</v>
      </c>
      <c r="G1211" s="7" t="e">
        <f t="shared" si="139"/>
        <v>#N/A</v>
      </c>
    </row>
    <row r="1212" spans="2:7">
      <c r="B1212" s="67">
        <f t="shared" si="134"/>
        <v>44306</v>
      </c>
      <c r="C1212" s="7" t="e">
        <f t="shared" si="139"/>
        <v>#N/A</v>
      </c>
      <c r="D1212" s="7" t="e">
        <f t="shared" si="139"/>
        <v>#N/A</v>
      </c>
      <c r="E1212" s="7">
        <f t="shared" si="139"/>
        <v>3</v>
      </c>
      <c r="F1212" s="7">
        <f t="shared" si="139"/>
        <v>2</v>
      </c>
      <c r="G1212" s="7" t="e">
        <f t="shared" si="139"/>
        <v>#N/A</v>
      </c>
    </row>
    <row r="1213" spans="2:7">
      <c r="B1213" s="67">
        <f t="shared" si="134"/>
        <v>44307</v>
      </c>
      <c r="C1213" s="7" t="e">
        <f t="shared" si="139"/>
        <v>#N/A</v>
      </c>
      <c r="D1213" s="7" t="e">
        <f t="shared" si="139"/>
        <v>#N/A</v>
      </c>
      <c r="E1213" s="7">
        <f t="shared" si="139"/>
        <v>3</v>
      </c>
      <c r="F1213" s="7">
        <f t="shared" si="139"/>
        <v>2</v>
      </c>
      <c r="G1213" s="7" t="e">
        <f t="shared" si="139"/>
        <v>#N/A</v>
      </c>
    </row>
    <row r="1214" spans="2:7">
      <c r="B1214" s="67">
        <f t="shared" si="134"/>
        <v>44308</v>
      </c>
      <c r="C1214" s="7" t="e">
        <f t="shared" si="139"/>
        <v>#N/A</v>
      </c>
      <c r="D1214" s="7" t="e">
        <f t="shared" si="139"/>
        <v>#N/A</v>
      </c>
      <c r="E1214" s="7">
        <f t="shared" si="139"/>
        <v>3</v>
      </c>
      <c r="F1214" s="7">
        <f t="shared" si="139"/>
        <v>2</v>
      </c>
      <c r="G1214" s="7" t="e">
        <f t="shared" si="139"/>
        <v>#N/A</v>
      </c>
    </row>
    <row r="1215" spans="2:7">
      <c r="B1215" s="67">
        <f t="shared" si="134"/>
        <v>44309</v>
      </c>
      <c r="C1215" s="7" t="e">
        <f t="shared" si="139"/>
        <v>#N/A</v>
      </c>
      <c r="D1215" s="7" t="e">
        <f t="shared" si="139"/>
        <v>#N/A</v>
      </c>
      <c r="E1215" s="7">
        <f t="shared" si="139"/>
        <v>3</v>
      </c>
      <c r="F1215" s="7">
        <f t="shared" si="139"/>
        <v>2</v>
      </c>
      <c r="G1215" s="7" t="e">
        <f t="shared" si="139"/>
        <v>#N/A</v>
      </c>
    </row>
    <row r="1216" spans="2:7">
      <c r="B1216" s="67">
        <f t="shared" si="134"/>
        <v>44310</v>
      </c>
      <c r="C1216" s="7" t="e">
        <f t="shared" si="139"/>
        <v>#N/A</v>
      </c>
      <c r="D1216" s="7" t="e">
        <f t="shared" si="139"/>
        <v>#N/A</v>
      </c>
      <c r="E1216" s="7">
        <f t="shared" si="139"/>
        <v>3</v>
      </c>
      <c r="F1216" s="7">
        <f t="shared" si="139"/>
        <v>2</v>
      </c>
      <c r="G1216" s="7" t="e">
        <f t="shared" si="139"/>
        <v>#N/A</v>
      </c>
    </row>
    <row r="1217" spans="2:7">
      <c r="B1217" s="67">
        <f t="shared" si="134"/>
        <v>44311</v>
      </c>
      <c r="C1217" s="7" t="e">
        <f t="shared" ref="C1217:G1226" si="140">IF(AND($B1217&gt;=C$3,$B1217&lt;=C$4),C$5,NA())</f>
        <v>#N/A</v>
      </c>
      <c r="D1217" s="7" t="e">
        <f t="shared" si="140"/>
        <v>#N/A</v>
      </c>
      <c r="E1217" s="7">
        <f t="shared" si="140"/>
        <v>3</v>
      </c>
      <c r="F1217" s="7">
        <f t="shared" si="140"/>
        <v>2</v>
      </c>
      <c r="G1217" s="7" t="e">
        <f t="shared" si="140"/>
        <v>#N/A</v>
      </c>
    </row>
    <row r="1218" spans="2:7">
      <c r="B1218" s="67">
        <f t="shared" si="134"/>
        <v>44312</v>
      </c>
      <c r="C1218" s="7" t="e">
        <f t="shared" si="140"/>
        <v>#N/A</v>
      </c>
      <c r="D1218" s="7" t="e">
        <f t="shared" si="140"/>
        <v>#N/A</v>
      </c>
      <c r="E1218" s="7">
        <f t="shared" si="140"/>
        <v>3</v>
      </c>
      <c r="F1218" s="7">
        <f t="shared" si="140"/>
        <v>2</v>
      </c>
      <c r="G1218" s="7" t="e">
        <f t="shared" si="140"/>
        <v>#N/A</v>
      </c>
    </row>
    <row r="1219" spans="2:7">
      <c r="B1219" s="67">
        <f t="shared" si="134"/>
        <v>44313</v>
      </c>
      <c r="C1219" s="7" t="e">
        <f t="shared" si="140"/>
        <v>#N/A</v>
      </c>
      <c r="D1219" s="7" t="e">
        <f t="shared" si="140"/>
        <v>#N/A</v>
      </c>
      <c r="E1219" s="7">
        <f t="shared" si="140"/>
        <v>3</v>
      </c>
      <c r="F1219" s="7">
        <f t="shared" si="140"/>
        <v>2</v>
      </c>
      <c r="G1219" s="7" t="e">
        <f t="shared" si="140"/>
        <v>#N/A</v>
      </c>
    </row>
    <row r="1220" spans="2:7">
      <c r="B1220" s="67">
        <f t="shared" si="134"/>
        <v>44314</v>
      </c>
      <c r="C1220" s="7" t="e">
        <f t="shared" si="140"/>
        <v>#N/A</v>
      </c>
      <c r="D1220" s="7" t="e">
        <f t="shared" si="140"/>
        <v>#N/A</v>
      </c>
      <c r="E1220" s="7">
        <f t="shared" si="140"/>
        <v>3</v>
      </c>
      <c r="F1220" s="7">
        <f t="shared" si="140"/>
        <v>2</v>
      </c>
      <c r="G1220" s="7" t="e">
        <f t="shared" si="140"/>
        <v>#N/A</v>
      </c>
    </row>
    <row r="1221" spans="2:7">
      <c r="B1221" s="67">
        <f t="shared" si="134"/>
        <v>44315</v>
      </c>
      <c r="C1221" s="7" t="e">
        <f t="shared" si="140"/>
        <v>#N/A</v>
      </c>
      <c r="D1221" s="7" t="e">
        <f t="shared" si="140"/>
        <v>#N/A</v>
      </c>
      <c r="E1221" s="7">
        <f t="shared" si="140"/>
        <v>3</v>
      </c>
      <c r="F1221" s="7">
        <f t="shared" si="140"/>
        <v>2</v>
      </c>
      <c r="G1221" s="7" t="e">
        <f t="shared" si="140"/>
        <v>#N/A</v>
      </c>
    </row>
    <row r="1222" spans="2:7">
      <c r="B1222" s="67">
        <f t="shared" si="134"/>
        <v>44316</v>
      </c>
      <c r="C1222" s="7" t="e">
        <f t="shared" si="140"/>
        <v>#N/A</v>
      </c>
      <c r="D1222" s="7" t="e">
        <f t="shared" si="140"/>
        <v>#N/A</v>
      </c>
      <c r="E1222" s="7">
        <f t="shared" si="140"/>
        <v>3</v>
      </c>
      <c r="F1222" s="7">
        <f t="shared" si="140"/>
        <v>2</v>
      </c>
      <c r="G1222" s="7" t="e">
        <f t="shared" si="140"/>
        <v>#N/A</v>
      </c>
    </row>
    <row r="1223" spans="2:7">
      <c r="B1223" s="67">
        <f t="shared" si="134"/>
        <v>44317</v>
      </c>
      <c r="C1223" s="7" t="e">
        <f t="shared" si="140"/>
        <v>#N/A</v>
      </c>
      <c r="D1223" s="7" t="e">
        <f t="shared" si="140"/>
        <v>#N/A</v>
      </c>
      <c r="E1223" s="7">
        <f t="shared" si="140"/>
        <v>3</v>
      </c>
      <c r="F1223" s="7">
        <f t="shared" si="140"/>
        <v>2</v>
      </c>
      <c r="G1223" s="7" t="e">
        <f t="shared" si="140"/>
        <v>#N/A</v>
      </c>
    </row>
    <row r="1224" spans="2:7">
      <c r="B1224" s="67">
        <f t="shared" ref="B1224:B1287" si="141">B1223+1</f>
        <v>44318</v>
      </c>
      <c r="C1224" s="7" t="e">
        <f t="shared" si="140"/>
        <v>#N/A</v>
      </c>
      <c r="D1224" s="7" t="e">
        <f t="shared" si="140"/>
        <v>#N/A</v>
      </c>
      <c r="E1224" s="7" t="e">
        <f t="shared" si="140"/>
        <v>#N/A</v>
      </c>
      <c r="F1224" s="7">
        <f t="shared" si="140"/>
        <v>2</v>
      </c>
      <c r="G1224" s="7" t="e">
        <f t="shared" si="140"/>
        <v>#N/A</v>
      </c>
    </row>
    <row r="1225" spans="2:7">
      <c r="B1225" s="67">
        <f t="shared" si="141"/>
        <v>44319</v>
      </c>
      <c r="C1225" s="7" t="e">
        <f t="shared" si="140"/>
        <v>#N/A</v>
      </c>
      <c r="D1225" s="7" t="e">
        <f t="shared" si="140"/>
        <v>#N/A</v>
      </c>
      <c r="E1225" s="7" t="e">
        <f t="shared" si="140"/>
        <v>#N/A</v>
      </c>
      <c r="F1225" s="7">
        <f t="shared" si="140"/>
        <v>2</v>
      </c>
      <c r="G1225" s="7" t="e">
        <f t="shared" si="140"/>
        <v>#N/A</v>
      </c>
    </row>
    <row r="1226" spans="2:7">
      <c r="B1226" s="67">
        <f t="shared" si="141"/>
        <v>44320</v>
      </c>
      <c r="C1226" s="7" t="e">
        <f t="shared" si="140"/>
        <v>#N/A</v>
      </c>
      <c r="D1226" s="7" t="e">
        <f t="shared" si="140"/>
        <v>#N/A</v>
      </c>
      <c r="E1226" s="7" t="e">
        <f t="shared" si="140"/>
        <v>#N/A</v>
      </c>
      <c r="F1226" s="7">
        <f t="shared" si="140"/>
        <v>2</v>
      </c>
      <c r="G1226" s="7" t="e">
        <f t="shared" si="140"/>
        <v>#N/A</v>
      </c>
    </row>
    <row r="1227" spans="2:7">
      <c r="B1227" s="67">
        <f t="shared" si="141"/>
        <v>44321</v>
      </c>
      <c r="C1227" s="7" t="e">
        <f t="shared" ref="C1227:G1236" si="142">IF(AND($B1227&gt;=C$3,$B1227&lt;=C$4),C$5,NA())</f>
        <v>#N/A</v>
      </c>
      <c r="D1227" s="7" t="e">
        <f t="shared" si="142"/>
        <v>#N/A</v>
      </c>
      <c r="E1227" s="7" t="e">
        <f t="shared" si="142"/>
        <v>#N/A</v>
      </c>
      <c r="F1227" s="7">
        <f t="shared" si="142"/>
        <v>2</v>
      </c>
      <c r="G1227" s="7" t="e">
        <f t="shared" si="142"/>
        <v>#N/A</v>
      </c>
    </row>
    <row r="1228" spans="2:7">
      <c r="B1228" s="67">
        <f t="shared" si="141"/>
        <v>44322</v>
      </c>
      <c r="C1228" s="7" t="e">
        <f t="shared" si="142"/>
        <v>#N/A</v>
      </c>
      <c r="D1228" s="7" t="e">
        <f t="shared" si="142"/>
        <v>#N/A</v>
      </c>
      <c r="E1228" s="7" t="e">
        <f t="shared" si="142"/>
        <v>#N/A</v>
      </c>
      <c r="F1228" s="7">
        <f t="shared" si="142"/>
        <v>2</v>
      </c>
      <c r="G1228" s="7" t="e">
        <f t="shared" si="142"/>
        <v>#N/A</v>
      </c>
    </row>
    <row r="1229" spans="2:7">
      <c r="B1229" s="67">
        <f t="shared" si="141"/>
        <v>44323</v>
      </c>
      <c r="C1229" s="7" t="e">
        <f t="shared" si="142"/>
        <v>#N/A</v>
      </c>
      <c r="D1229" s="7" t="e">
        <f t="shared" si="142"/>
        <v>#N/A</v>
      </c>
      <c r="E1229" s="7" t="e">
        <f t="shared" si="142"/>
        <v>#N/A</v>
      </c>
      <c r="F1229" s="7">
        <f t="shared" si="142"/>
        <v>2</v>
      </c>
      <c r="G1229" s="7" t="e">
        <f t="shared" si="142"/>
        <v>#N/A</v>
      </c>
    </row>
    <row r="1230" spans="2:7">
      <c r="B1230" s="67">
        <f t="shared" si="141"/>
        <v>44324</v>
      </c>
      <c r="C1230" s="7" t="e">
        <f t="shared" si="142"/>
        <v>#N/A</v>
      </c>
      <c r="D1230" s="7" t="e">
        <f t="shared" si="142"/>
        <v>#N/A</v>
      </c>
      <c r="E1230" s="7" t="e">
        <f t="shared" si="142"/>
        <v>#N/A</v>
      </c>
      <c r="F1230" s="7">
        <f t="shared" si="142"/>
        <v>2</v>
      </c>
      <c r="G1230" s="7" t="e">
        <f t="shared" si="142"/>
        <v>#N/A</v>
      </c>
    </row>
    <row r="1231" spans="2:7">
      <c r="B1231" s="67">
        <f t="shared" si="141"/>
        <v>44325</v>
      </c>
      <c r="C1231" s="7" t="e">
        <f t="shared" si="142"/>
        <v>#N/A</v>
      </c>
      <c r="D1231" s="7" t="e">
        <f t="shared" si="142"/>
        <v>#N/A</v>
      </c>
      <c r="E1231" s="7" t="e">
        <f t="shared" si="142"/>
        <v>#N/A</v>
      </c>
      <c r="F1231" s="7">
        <f t="shared" si="142"/>
        <v>2</v>
      </c>
      <c r="G1231" s="7" t="e">
        <f t="shared" si="142"/>
        <v>#N/A</v>
      </c>
    </row>
    <row r="1232" spans="2:7">
      <c r="B1232" s="67">
        <f t="shared" si="141"/>
        <v>44326</v>
      </c>
      <c r="C1232" s="7" t="e">
        <f t="shared" si="142"/>
        <v>#N/A</v>
      </c>
      <c r="D1232" s="7" t="e">
        <f t="shared" si="142"/>
        <v>#N/A</v>
      </c>
      <c r="E1232" s="7" t="e">
        <f t="shared" si="142"/>
        <v>#N/A</v>
      </c>
      <c r="F1232" s="7">
        <f t="shared" si="142"/>
        <v>2</v>
      </c>
      <c r="G1232" s="7" t="e">
        <f t="shared" si="142"/>
        <v>#N/A</v>
      </c>
    </row>
    <row r="1233" spans="2:7">
      <c r="B1233" s="67">
        <f t="shared" si="141"/>
        <v>44327</v>
      </c>
      <c r="C1233" s="7" t="e">
        <f t="shared" si="142"/>
        <v>#N/A</v>
      </c>
      <c r="D1233" s="7" t="e">
        <f t="shared" si="142"/>
        <v>#N/A</v>
      </c>
      <c r="E1233" s="7" t="e">
        <f t="shared" si="142"/>
        <v>#N/A</v>
      </c>
      <c r="F1233" s="7">
        <f t="shared" si="142"/>
        <v>2</v>
      </c>
      <c r="G1233" s="7" t="e">
        <f t="shared" si="142"/>
        <v>#N/A</v>
      </c>
    </row>
    <row r="1234" spans="2:7">
      <c r="B1234" s="67">
        <f t="shared" si="141"/>
        <v>44328</v>
      </c>
      <c r="C1234" s="7" t="e">
        <f t="shared" si="142"/>
        <v>#N/A</v>
      </c>
      <c r="D1234" s="7" t="e">
        <f t="shared" si="142"/>
        <v>#N/A</v>
      </c>
      <c r="E1234" s="7" t="e">
        <f t="shared" si="142"/>
        <v>#N/A</v>
      </c>
      <c r="F1234" s="7">
        <f t="shared" si="142"/>
        <v>2</v>
      </c>
      <c r="G1234" s="7" t="e">
        <f t="shared" si="142"/>
        <v>#N/A</v>
      </c>
    </row>
    <row r="1235" spans="2:7">
      <c r="B1235" s="67">
        <f t="shared" si="141"/>
        <v>44329</v>
      </c>
      <c r="C1235" s="7" t="e">
        <f t="shared" si="142"/>
        <v>#N/A</v>
      </c>
      <c r="D1235" s="7" t="e">
        <f t="shared" si="142"/>
        <v>#N/A</v>
      </c>
      <c r="E1235" s="7" t="e">
        <f t="shared" si="142"/>
        <v>#N/A</v>
      </c>
      <c r="F1235" s="7">
        <f t="shared" si="142"/>
        <v>2</v>
      </c>
      <c r="G1235" s="7" t="e">
        <f t="shared" si="142"/>
        <v>#N/A</v>
      </c>
    </row>
    <row r="1236" spans="2:7">
      <c r="B1236" s="67">
        <f t="shared" si="141"/>
        <v>44330</v>
      </c>
      <c r="C1236" s="7" t="e">
        <f t="shared" si="142"/>
        <v>#N/A</v>
      </c>
      <c r="D1236" s="7" t="e">
        <f t="shared" si="142"/>
        <v>#N/A</v>
      </c>
      <c r="E1236" s="7" t="e">
        <f t="shared" si="142"/>
        <v>#N/A</v>
      </c>
      <c r="F1236" s="7">
        <f t="shared" si="142"/>
        <v>2</v>
      </c>
      <c r="G1236" s="7" t="e">
        <f t="shared" si="142"/>
        <v>#N/A</v>
      </c>
    </row>
    <row r="1237" spans="2:7">
      <c r="B1237" s="67">
        <f t="shared" si="141"/>
        <v>44331</v>
      </c>
      <c r="C1237" s="7" t="e">
        <f t="shared" ref="C1237:G1246" si="143">IF(AND($B1237&gt;=C$3,$B1237&lt;=C$4),C$5,NA())</f>
        <v>#N/A</v>
      </c>
      <c r="D1237" s="7" t="e">
        <f t="shared" si="143"/>
        <v>#N/A</v>
      </c>
      <c r="E1237" s="7" t="e">
        <f t="shared" si="143"/>
        <v>#N/A</v>
      </c>
      <c r="F1237" s="7">
        <f t="shared" si="143"/>
        <v>2</v>
      </c>
      <c r="G1237" s="7" t="e">
        <f t="shared" si="143"/>
        <v>#N/A</v>
      </c>
    </row>
    <row r="1238" spans="2:7">
      <c r="B1238" s="67">
        <f t="shared" si="141"/>
        <v>44332</v>
      </c>
      <c r="C1238" s="7" t="e">
        <f t="shared" si="143"/>
        <v>#N/A</v>
      </c>
      <c r="D1238" s="7" t="e">
        <f t="shared" si="143"/>
        <v>#N/A</v>
      </c>
      <c r="E1238" s="7" t="e">
        <f t="shared" si="143"/>
        <v>#N/A</v>
      </c>
      <c r="F1238" s="7">
        <f t="shared" si="143"/>
        <v>2</v>
      </c>
      <c r="G1238" s="7" t="e">
        <f t="shared" si="143"/>
        <v>#N/A</v>
      </c>
    </row>
    <row r="1239" spans="2:7">
      <c r="B1239" s="67">
        <f t="shared" si="141"/>
        <v>44333</v>
      </c>
      <c r="C1239" s="7" t="e">
        <f t="shared" si="143"/>
        <v>#N/A</v>
      </c>
      <c r="D1239" s="7" t="e">
        <f t="shared" si="143"/>
        <v>#N/A</v>
      </c>
      <c r="E1239" s="7" t="e">
        <f t="shared" si="143"/>
        <v>#N/A</v>
      </c>
      <c r="F1239" s="7">
        <f t="shared" si="143"/>
        <v>2</v>
      </c>
      <c r="G1239" s="7" t="e">
        <f t="shared" si="143"/>
        <v>#N/A</v>
      </c>
    </row>
    <row r="1240" spans="2:7">
      <c r="B1240" s="67">
        <f t="shared" si="141"/>
        <v>44334</v>
      </c>
      <c r="C1240" s="7" t="e">
        <f t="shared" si="143"/>
        <v>#N/A</v>
      </c>
      <c r="D1240" s="7" t="e">
        <f t="shared" si="143"/>
        <v>#N/A</v>
      </c>
      <c r="E1240" s="7" t="e">
        <f t="shared" si="143"/>
        <v>#N/A</v>
      </c>
      <c r="F1240" s="7">
        <f t="shared" si="143"/>
        <v>2</v>
      </c>
      <c r="G1240" s="7" t="e">
        <f t="shared" si="143"/>
        <v>#N/A</v>
      </c>
    </row>
    <row r="1241" spans="2:7">
      <c r="B1241" s="67">
        <f t="shared" si="141"/>
        <v>44335</v>
      </c>
      <c r="C1241" s="7" t="e">
        <f t="shared" si="143"/>
        <v>#N/A</v>
      </c>
      <c r="D1241" s="7" t="e">
        <f t="shared" si="143"/>
        <v>#N/A</v>
      </c>
      <c r="E1241" s="7" t="e">
        <f t="shared" si="143"/>
        <v>#N/A</v>
      </c>
      <c r="F1241" s="7">
        <f t="shared" si="143"/>
        <v>2</v>
      </c>
      <c r="G1241" s="7" t="e">
        <f t="shared" si="143"/>
        <v>#N/A</v>
      </c>
    </row>
    <row r="1242" spans="2:7">
      <c r="B1242" s="67">
        <f t="shared" si="141"/>
        <v>44336</v>
      </c>
      <c r="C1242" s="7" t="e">
        <f t="shared" si="143"/>
        <v>#N/A</v>
      </c>
      <c r="D1242" s="7" t="e">
        <f t="shared" si="143"/>
        <v>#N/A</v>
      </c>
      <c r="E1242" s="7" t="e">
        <f t="shared" si="143"/>
        <v>#N/A</v>
      </c>
      <c r="F1242" s="7">
        <f t="shared" si="143"/>
        <v>2</v>
      </c>
      <c r="G1242" s="7" t="e">
        <f t="shared" si="143"/>
        <v>#N/A</v>
      </c>
    </row>
    <row r="1243" spans="2:7">
      <c r="B1243" s="67">
        <f t="shared" si="141"/>
        <v>44337</v>
      </c>
      <c r="C1243" s="7" t="e">
        <f t="shared" si="143"/>
        <v>#N/A</v>
      </c>
      <c r="D1243" s="7" t="e">
        <f t="shared" si="143"/>
        <v>#N/A</v>
      </c>
      <c r="E1243" s="7" t="e">
        <f t="shared" si="143"/>
        <v>#N/A</v>
      </c>
      <c r="F1243" s="7">
        <f t="shared" si="143"/>
        <v>2</v>
      </c>
      <c r="G1243" s="7" t="e">
        <f t="shared" si="143"/>
        <v>#N/A</v>
      </c>
    </row>
    <row r="1244" spans="2:7">
      <c r="B1244" s="67">
        <f t="shared" si="141"/>
        <v>44338</v>
      </c>
      <c r="C1244" s="7" t="e">
        <f t="shared" si="143"/>
        <v>#N/A</v>
      </c>
      <c r="D1244" s="7" t="e">
        <f t="shared" si="143"/>
        <v>#N/A</v>
      </c>
      <c r="E1244" s="7" t="e">
        <f t="shared" si="143"/>
        <v>#N/A</v>
      </c>
      <c r="F1244" s="7">
        <f t="shared" si="143"/>
        <v>2</v>
      </c>
      <c r="G1244" s="7" t="e">
        <f t="shared" si="143"/>
        <v>#N/A</v>
      </c>
    </row>
    <row r="1245" spans="2:7">
      <c r="B1245" s="67">
        <f t="shared" si="141"/>
        <v>44339</v>
      </c>
      <c r="C1245" s="7" t="e">
        <f t="shared" si="143"/>
        <v>#N/A</v>
      </c>
      <c r="D1245" s="7" t="e">
        <f t="shared" si="143"/>
        <v>#N/A</v>
      </c>
      <c r="E1245" s="7" t="e">
        <f t="shared" si="143"/>
        <v>#N/A</v>
      </c>
      <c r="F1245" s="7">
        <f t="shared" si="143"/>
        <v>2</v>
      </c>
      <c r="G1245" s="7" t="e">
        <f t="shared" si="143"/>
        <v>#N/A</v>
      </c>
    </row>
    <row r="1246" spans="2:7">
      <c r="B1246" s="67">
        <f t="shared" si="141"/>
        <v>44340</v>
      </c>
      <c r="C1246" s="7" t="e">
        <f t="shared" si="143"/>
        <v>#N/A</v>
      </c>
      <c r="D1246" s="7" t="e">
        <f t="shared" si="143"/>
        <v>#N/A</v>
      </c>
      <c r="E1246" s="7" t="e">
        <f t="shared" si="143"/>
        <v>#N/A</v>
      </c>
      <c r="F1246" s="7">
        <f t="shared" si="143"/>
        <v>2</v>
      </c>
      <c r="G1246" s="7" t="e">
        <f t="shared" si="143"/>
        <v>#N/A</v>
      </c>
    </row>
    <row r="1247" spans="2:7">
      <c r="B1247" s="67">
        <f t="shared" si="141"/>
        <v>44341</v>
      </c>
      <c r="C1247" s="7" t="e">
        <f t="shared" ref="C1247:G1256" si="144">IF(AND($B1247&gt;=C$3,$B1247&lt;=C$4),C$5,NA())</f>
        <v>#N/A</v>
      </c>
      <c r="D1247" s="7" t="e">
        <f t="shared" si="144"/>
        <v>#N/A</v>
      </c>
      <c r="E1247" s="7" t="e">
        <f t="shared" si="144"/>
        <v>#N/A</v>
      </c>
      <c r="F1247" s="7">
        <f t="shared" si="144"/>
        <v>2</v>
      </c>
      <c r="G1247" s="7" t="e">
        <f t="shared" si="144"/>
        <v>#N/A</v>
      </c>
    </row>
    <row r="1248" spans="2:7">
      <c r="B1248" s="67">
        <f t="shared" si="141"/>
        <v>44342</v>
      </c>
      <c r="C1248" s="7" t="e">
        <f t="shared" si="144"/>
        <v>#N/A</v>
      </c>
      <c r="D1248" s="7" t="e">
        <f t="shared" si="144"/>
        <v>#N/A</v>
      </c>
      <c r="E1248" s="7" t="e">
        <f t="shared" si="144"/>
        <v>#N/A</v>
      </c>
      <c r="F1248" s="7">
        <f t="shared" si="144"/>
        <v>2</v>
      </c>
      <c r="G1248" s="7" t="e">
        <f t="shared" si="144"/>
        <v>#N/A</v>
      </c>
    </row>
    <row r="1249" spans="2:7">
      <c r="B1249" s="67">
        <f t="shared" si="141"/>
        <v>44343</v>
      </c>
      <c r="C1249" s="7" t="e">
        <f t="shared" si="144"/>
        <v>#N/A</v>
      </c>
      <c r="D1249" s="7" t="e">
        <f t="shared" si="144"/>
        <v>#N/A</v>
      </c>
      <c r="E1249" s="7" t="e">
        <f t="shared" si="144"/>
        <v>#N/A</v>
      </c>
      <c r="F1249" s="7">
        <f t="shared" si="144"/>
        <v>2</v>
      </c>
      <c r="G1249" s="7" t="e">
        <f t="shared" si="144"/>
        <v>#N/A</v>
      </c>
    </row>
    <row r="1250" spans="2:7">
      <c r="B1250" s="67">
        <f t="shared" si="141"/>
        <v>44344</v>
      </c>
      <c r="C1250" s="7" t="e">
        <f t="shared" si="144"/>
        <v>#N/A</v>
      </c>
      <c r="D1250" s="7" t="e">
        <f t="shared" si="144"/>
        <v>#N/A</v>
      </c>
      <c r="E1250" s="7" t="e">
        <f t="shared" si="144"/>
        <v>#N/A</v>
      </c>
      <c r="F1250" s="7">
        <f t="shared" si="144"/>
        <v>2</v>
      </c>
      <c r="G1250" s="7" t="e">
        <f t="shared" si="144"/>
        <v>#N/A</v>
      </c>
    </row>
    <row r="1251" spans="2:7">
      <c r="B1251" s="67">
        <f t="shared" si="141"/>
        <v>44345</v>
      </c>
      <c r="C1251" s="7" t="e">
        <f t="shared" si="144"/>
        <v>#N/A</v>
      </c>
      <c r="D1251" s="7" t="e">
        <f t="shared" si="144"/>
        <v>#N/A</v>
      </c>
      <c r="E1251" s="7" t="e">
        <f t="shared" si="144"/>
        <v>#N/A</v>
      </c>
      <c r="F1251" s="7">
        <f t="shared" si="144"/>
        <v>2</v>
      </c>
      <c r="G1251" s="7" t="e">
        <f t="shared" si="144"/>
        <v>#N/A</v>
      </c>
    </row>
    <row r="1252" spans="2:7">
      <c r="B1252" s="67">
        <f t="shared" si="141"/>
        <v>44346</v>
      </c>
      <c r="C1252" s="7" t="e">
        <f t="shared" si="144"/>
        <v>#N/A</v>
      </c>
      <c r="D1252" s="7" t="e">
        <f t="shared" si="144"/>
        <v>#N/A</v>
      </c>
      <c r="E1252" s="7" t="e">
        <f t="shared" si="144"/>
        <v>#N/A</v>
      </c>
      <c r="F1252" s="7">
        <f t="shared" si="144"/>
        <v>2</v>
      </c>
      <c r="G1252" s="7" t="e">
        <f t="shared" si="144"/>
        <v>#N/A</v>
      </c>
    </row>
    <row r="1253" spans="2:7">
      <c r="B1253" s="67">
        <f t="shared" si="141"/>
        <v>44347</v>
      </c>
      <c r="C1253" s="7" t="e">
        <f t="shared" si="144"/>
        <v>#N/A</v>
      </c>
      <c r="D1253" s="7" t="e">
        <f t="shared" si="144"/>
        <v>#N/A</v>
      </c>
      <c r="E1253" s="7" t="e">
        <f t="shared" si="144"/>
        <v>#N/A</v>
      </c>
      <c r="F1253" s="7">
        <f t="shared" si="144"/>
        <v>2</v>
      </c>
      <c r="G1253" s="7" t="e">
        <f t="shared" si="144"/>
        <v>#N/A</v>
      </c>
    </row>
    <row r="1254" spans="2:7">
      <c r="B1254" s="67">
        <f t="shared" si="141"/>
        <v>44348</v>
      </c>
      <c r="C1254" s="7" t="e">
        <f t="shared" si="144"/>
        <v>#N/A</v>
      </c>
      <c r="D1254" s="7" t="e">
        <f t="shared" si="144"/>
        <v>#N/A</v>
      </c>
      <c r="E1254" s="7" t="e">
        <f t="shared" si="144"/>
        <v>#N/A</v>
      </c>
      <c r="F1254" s="7">
        <f t="shared" si="144"/>
        <v>2</v>
      </c>
      <c r="G1254" s="7" t="e">
        <f t="shared" si="144"/>
        <v>#N/A</v>
      </c>
    </row>
    <row r="1255" spans="2:7">
      <c r="B1255" s="67">
        <f t="shared" si="141"/>
        <v>44349</v>
      </c>
      <c r="C1255" s="7" t="e">
        <f t="shared" si="144"/>
        <v>#N/A</v>
      </c>
      <c r="D1255" s="7" t="e">
        <f t="shared" si="144"/>
        <v>#N/A</v>
      </c>
      <c r="E1255" s="7" t="e">
        <f t="shared" si="144"/>
        <v>#N/A</v>
      </c>
      <c r="F1255" s="7">
        <f t="shared" si="144"/>
        <v>2</v>
      </c>
      <c r="G1255" s="7" t="e">
        <f t="shared" si="144"/>
        <v>#N/A</v>
      </c>
    </row>
    <row r="1256" spans="2:7">
      <c r="B1256" s="67">
        <f t="shared" si="141"/>
        <v>44350</v>
      </c>
      <c r="C1256" s="7" t="e">
        <f t="shared" si="144"/>
        <v>#N/A</v>
      </c>
      <c r="D1256" s="7" t="e">
        <f t="shared" si="144"/>
        <v>#N/A</v>
      </c>
      <c r="E1256" s="7" t="e">
        <f t="shared" si="144"/>
        <v>#N/A</v>
      </c>
      <c r="F1256" s="7">
        <f t="shared" si="144"/>
        <v>2</v>
      </c>
      <c r="G1256" s="7" t="e">
        <f t="shared" si="144"/>
        <v>#N/A</v>
      </c>
    </row>
    <row r="1257" spans="2:7">
      <c r="B1257" s="67">
        <f t="shared" si="141"/>
        <v>44351</v>
      </c>
      <c r="C1257" s="7" t="e">
        <f t="shared" ref="C1257:G1266" si="145">IF(AND($B1257&gt;=C$3,$B1257&lt;=C$4),C$5,NA())</f>
        <v>#N/A</v>
      </c>
      <c r="D1257" s="7" t="e">
        <f t="shared" si="145"/>
        <v>#N/A</v>
      </c>
      <c r="E1257" s="7" t="e">
        <f t="shared" si="145"/>
        <v>#N/A</v>
      </c>
      <c r="F1257" s="7">
        <f t="shared" si="145"/>
        <v>2</v>
      </c>
      <c r="G1257" s="7" t="e">
        <f t="shared" si="145"/>
        <v>#N/A</v>
      </c>
    </row>
    <row r="1258" spans="2:7">
      <c r="B1258" s="67">
        <f t="shared" si="141"/>
        <v>44352</v>
      </c>
      <c r="C1258" s="7" t="e">
        <f t="shared" si="145"/>
        <v>#N/A</v>
      </c>
      <c r="D1258" s="7" t="e">
        <f t="shared" si="145"/>
        <v>#N/A</v>
      </c>
      <c r="E1258" s="7" t="e">
        <f t="shared" si="145"/>
        <v>#N/A</v>
      </c>
      <c r="F1258" s="7">
        <f t="shared" si="145"/>
        <v>2</v>
      </c>
      <c r="G1258" s="7" t="e">
        <f t="shared" si="145"/>
        <v>#N/A</v>
      </c>
    </row>
    <row r="1259" spans="2:7">
      <c r="B1259" s="67">
        <f t="shared" si="141"/>
        <v>44353</v>
      </c>
      <c r="C1259" s="7" t="e">
        <f t="shared" si="145"/>
        <v>#N/A</v>
      </c>
      <c r="D1259" s="7" t="e">
        <f t="shared" si="145"/>
        <v>#N/A</v>
      </c>
      <c r="E1259" s="7" t="e">
        <f t="shared" si="145"/>
        <v>#N/A</v>
      </c>
      <c r="F1259" s="7">
        <f t="shared" si="145"/>
        <v>2</v>
      </c>
      <c r="G1259" s="7" t="e">
        <f t="shared" si="145"/>
        <v>#N/A</v>
      </c>
    </row>
    <row r="1260" spans="2:7">
      <c r="B1260" s="67">
        <f t="shared" si="141"/>
        <v>44354</v>
      </c>
      <c r="C1260" s="7" t="e">
        <f t="shared" si="145"/>
        <v>#N/A</v>
      </c>
      <c r="D1260" s="7" t="e">
        <f t="shared" si="145"/>
        <v>#N/A</v>
      </c>
      <c r="E1260" s="7" t="e">
        <f t="shared" si="145"/>
        <v>#N/A</v>
      </c>
      <c r="F1260" s="7">
        <f t="shared" si="145"/>
        <v>2</v>
      </c>
      <c r="G1260" s="7" t="e">
        <f t="shared" si="145"/>
        <v>#N/A</v>
      </c>
    </row>
    <row r="1261" spans="2:7">
      <c r="B1261" s="67">
        <f t="shared" si="141"/>
        <v>44355</v>
      </c>
      <c r="C1261" s="7" t="e">
        <f t="shared" si="145"/>
        <v>#N/A</v>
      </c>
      <c r="D1261" s="7" t="e">
        <f t="shared" si="145"/>
        <v>#N/A</v>
      </c>
      <c r="E1261" s="7" t="e">
        <f t="shared" si="145"/>
        <v>#N/A</v>
      </c>
      <c r="F1261" s="7">
        <f t="shared" si="145"/>
        <v>2</v>
      </c>
      <c r="G1261" s="7" t="e">
        <f t="shared" si="145"/>
        <v>#N/A</v>
      </c>
    </row>
    <row r="1262" spans="2:7">
      <c r="B1262" s="67">
        <f t="shared" si="141"/>
        <v>44356</v>
      </c>
      <c r="C1262" s="7" t="e">
        <f t="shared" si="145"/>
        <v>#N/A</v>
      </c>
      <c r="D1262" s="7" t="e">
        <f t="shared" si="145"/>
        <v>#N/A</v>
      </c>
      <c r="E1262" s="7" t="e">
        <f t="shared" si="145"/>
        <v>#N/A</v>
      </c>
      <c r="F1262" s="7">
        <f t="shared" si="145"/>
        <v>2</v>
      </c>
      <c r="G1262" s="7" t="e">
        <f t="shared" si="145"/>
        <v>#N/A</v>
      </c>
    </row>
    <row r="1263" spans="2:7">
      <c r="B1263" s="67">
        <f t="shared" si="141"/>
        <v>44357</v>
      </c>
      <c r="C1263" s="7" t="e">
        <f t="shared" si="145"/>
        <v>#N/A</v>
      </c>
      <c r="D1263" s="7" t="e">
        <f t="shared" si="145"/>
        <v>#N/A</v>
      </c>
      <c r="E1263" s="7" t="e">
        <f t="shared" si="145"/>
        <v>#N/A</v>
      </c>
      <c r="F1263" s="7">
        <f t="shared" si="145"/>
        <v>2</v>
      </c>
      <c r="G1263" s="7" t="e">
        <f t="shared" si="145"/>
        <v>#N/A</v>
      </c>
    </row>
    <row r="1264" spans="2:7">
      <c r="B1264" s="67">
        <f t="shared" si="141"/>
        <v>44358</v>
      </c>
      <c r="C1264" s="7" t="e">
        <f t="shared" si="145"/>
        <v>#N/A</v>
      </c>
      <c r="D1264" s="7" t="e">
        <f t="shared" si="145"/>
        <v>#N/A</v>
      </c>
      <c r="E1264" s="7" t="e">
        <f t="shared" si="145"/>
        <v>#N/A</v>
      </c>
      <c r="F1264" s="7">
        <f t="shared" si="145"/>
        <v>2</v>
      </c>
      <c r="G1264" s="7" t="e">
        <f t="shared" si="145"/>
        <v>#N/A</v>
      </c>
    </row>
    <row r="1265" spans="2:7">
      <c r="B1265" s="67">
        <f t="shared" si="141"/>
        <v>44359</v>
      </c>
      <c r="C1265" s="7" t="e">
        <f t="shared" si="145"/>
        <v>#N/A</v>
      </c>
      <c r="D1265" s="7" t="e">
        <f t="shared" si="145"/>
        <v>#N/A</v>
      </c>
      <c r="E1265" s="7" t="e">
        <f t="shared" si="145"/>
        <v>#N/A</v>
      </c>
      <c r="F1265" s="7">
        <f t="shared" si="145"/>
        <v>2</v>
      </c>
      <c r="G1265" s="7" t="e">
        <f t="shared" si="145"/>
        <v>#N/A</v>
      </c>
    </row>
    <row r="1266" spans="2:7">
      <c r="B1266" s="67">
        <f t="shared" si="141"/>
        <v>44360</v>
      </c>
      <c r="C1266" s="7" t="e">
        <f t="shared" si="145"/>
        <v>#N/A</v>
      </c>
      <c r="D1266" s="7" t="e">
        <f t="shared" si="145"/>
        <v>#N/A</v>
      </c>
      <c r="E1266" s="7" t="e">
        <f t="shared" si="145"/>
        <v>#N/A</v>
      </c>
      <c r="F1266" s="7">
        <f t="shared" si="145"/>
        <v>2</v>
      </c>
      <c r="G1266" s="7" t="e">
        <f t="shared" si="145"/>
        <v>#N/A</v>
      </c>
    </row>
    <row r="1267" spans="2:7">
      <c r="B1267" s="67">
        <f t="shared" si="141"/>
        <v>44361</v>
      </c>
      <c r="C1267" s="7" t="e">
        <f t="shared" ref="C1267:G1276" si="146">IF(AND($B1267&gt;=C$3,$B1267&lt;=C$4),C$5,NA())</f>
        <v>#N/A</v>
      </c>
      <c r="D1267" s="7" t="e">
        <f t="shared" si="146"/>
        <v>#N/A</v>
      </c>
      <c r="E1267" s="7" t="e">
        <f t="shared" si="146"/>
        <v>#N/A</v>
      </c>
      <c r="F1267" s="7">
        <f t="shared" si="146"/>
        <v>2</v>
      </c>
      <c r="G1267" s="7" t="e">
        <f t="shared" si="146"/>
        <v>#N/A</v>
      </c>
    </row>
    <row r="1268" spans="2:7">
      <c r="B1268" s="67">
        <f t="shared" si="141"/>
        <v>44362</v>
      </c>
      <c r="C1268" s="7" t="e">
        <f t="shared" si="146"/>
        <v>#N/A</v>
      </c>
      <c r="D1268" s="7" t="e">
        <f t="shared" si="146"/>
        <v>#N/A</v>
      </c>
      <c r="E1268" s="7" t="e">
        <f t="shared" si="146"/>
        <v>#N/A</v>
      </c>
      <c r="F1268" s="7">
        <f t="shared" si="146"/>
        <v>2</v>
      </c>
      <c r="G1268" s="7" t="e">
        <f t="shared" si="146"/>
        <v>#N/A</v>
      </c>
    </row>
    <row r="1269" spans="2:7">
      <c r="B1269" s="67">
        <f t="shared" si="141"/>
        <v>44363</v>
      </c>
      <c r="C1269" s="7" t="e">
        <f t="shared" si="146"/>
        <v>#N/A</v>
      </c>
      <c r="D1269" s="7" t="e">
        <f t="shared" si="146"/>
        <v>#N/A</v>
      </c>
      <c r="E1269" s="7" t="e">
        <f t="shared" si="146"/>
        <v>#N/A</v>
      </c>
      <c r="F1269" s="7">
        <f t="shared" si="146"/>
        <v>2</v>
      </c>
      <c r="G1269" s="7" t="e">
        <f t="shared" si="146"/>
        <v>#N/A</v>
      </c>
    </row>
    <row r="1270" spans="2:7">
      <c r="B1270" s="67">
        <f t="shared" si="141"/>
        <v>44364</v>
      </c>
      <c r="C1270" s="7" t="e">
        <f t="shared" si="146"/>
        <v>#N/A</v>
      </c>
      <c r="D1270" s="7" t="e">
        <f t="shared" si="146"/>
        <v>#N/A</v>
      </c>
      <c r="E1270" s="7" t="e">
        <f t="shared" si="146"/>
        <v>#N/A</v>
      </c>
      <c r="F1270" s="7">
        <f t="shared" si="146"/>
        <v>2</v>
      </c>
      <c r="G1270" s="7" t="e">
        <f t="shared" si="146"/>
        <v>#N/A</v>
      </c>
    </row>
    <row r="1271" spans="2:7">
      <c r="B1271" s="67">
        <f t="shared" si="141"/>
        <v>44365</v>
      </c>
      <c r="C1271" s="7" t="e">
        <f t="shared" si="146"/>
        <v>#N/A</v>
      </c>
      <c r="D1271" s="7" t="e">
        <f t="shared" si="146"/>
        <v>#N/A</v>
      </c>
      <c r="E1271" s="7" t="e">
        <f t="shared" si="146"/>
        <v>#N/A</v>
      </c>
      <c r="F1271" s="7">
        <f t="shared" si="146"/>
        <v>2</v>
      </c>
      <c r="G1271" s="7" t="e">
        <f t="shared" si="146"/>
        <v>#N/A</v>
      </c>
    </row>
    <row r="1272" spans="2:7">
      <c r="B1272" s="67">
        <f t="shared" si="141"/>
        <v>44366</v>
      </c>
      <c r="C1272" s="7" t="e">
        <f t="shared" si="146"/>
        <v>#N/A</v>
      </c>
      <c r="D1272" s="7" t="e">
        <f t="shared" si="146"/>
        <v>#N/A</v>
      </c>
      <c r="E1272" s="7" t="e">
        <f t="shared" si="146"/>
        <v>#N/A</v>
      </c>
      <c r="F1272" s="7">
        <f t="shared" si="146"/>
        <v>2</v>
      </c>
      <c r="G1272" s="7" t="e">
        <f t="shared" si="146"/>
        <v>#N/A</v>
      </c>
    </row>
    <row r="1273" spans="2:7">
      <c r="B1273" s="67">
        <f t="shared" si="141"/>
        <v>44367</v>
      </c>
      <c r="C1273" s="7" t="e">
        <f t="shared" si="146"/>
        <v>#N/A</v>
      </c>
      <c r="D1273" s="7" t="e">
        <f t="shared" si="146"/>
        <v>#N/A</v>
      </c>
      <c r="E1273" s="7" t="e">
        <f t="shared" si="146"/>
        <v>#N/A</v>
      </c>
      <c r="F1273" s="7">
        <f t="shared" si="146"/>
        <v>2</v>
      </c>
      <c r="G1273" s="7" t="e">
        <f t="shared" si="146"/>
        <v>#N/A</v>
      </c>
    </row>
    <row r="1274" spans="2:7">
      <c r="B1274" s="67">
        <f t="shared" si="141"/>
        <v>44368</v>
      </c>
      <c r="C1274" s="7" t="e">
        <f t="shared" si="146"/>
        <v>#N/A</v>
      </c>
      <c r="D1274" s="7" t="e">
        <f t="shared" si="146"/>
        <v>#N/A</v>
      </c>
      <c r="E1274" s="7" t="e">
        <f t="shared" si="146"/>
        <v>#N/A</v>
      </c>
      <c r="F1274" s="7">
        <f t="shared" si="146"/>
        <v>2</v>
      </c>
      <c r="G1274" s="7" t="e">
        <f t="shared" si="146"/>
        <v>#N/A</v>
      </c>
    </row>
    <row r="1275" spans="2:7">
      <c r="B1275" s="67">
        <f t="shared" si="141"/>
        <v>44369</v>
      </c>
      <c r="C1275" s="7" t="e">
        <f t="shared" si="146"/>
        <v>#N/A</v>
      </c>
      <c r="D1275" s="7" t="e">
        <f t="shared" si="146"/>
        <v>#N/A</v>
      </c>
      <c r="E1275" s="7" t="e">
        <f t="shared" si="146"/>
        <v>#N/A</v>
      </c>
      <c r="F1275" s="7">
        <f t="shared" si="146"/>
        <v>2</v>
      </c>
      <c r="G1275" s="7" t="e">
        <f t="shared" si="146"/>
        <v>#N/A</v>
      </c>
    </row>
    <row r="1276" spans="2:7">
      <c r="B1276" s="67">
        <f t="shared" si="141"/>
        <v>44370</v>
      </c>
      <c r="C1276" s="7" t="e">
        <f t="shared" si="146"/>
        <v>#N/A</v>
      </c>
      <c r="D1276" s="7" t="e">
        <f t="shared" si="146"/>
        <v>#N/A</v>
      </c>
      <c r="E1276" s="7" t="e">
        <f t="shared" si="146"/>
        <v>#N/A</v>
      </c>
      <c r="F1276" s="7">
        <f t="shared" si="146"/>
        <v>2</v>
      </c>
      <c r="G1276" s="7" t="e">
        <f t="shared" si="146"/>
        <v>#N/A</v>
      </c>
    </row>
    <row r="1277" spans="2:7">
      <c r="B1277" s="67">
        <f t="shared" si="141"/>
        <v>44371</v>
      </c>
      <c r="C1277" s="7" t="e">
        <f t="shared" ref="C1277:G1286" si="147">IF(AND($B1277&gt;=C$3,$B1277&lt;=C$4),C$5,NA())</f>
        <v>#N/A</v>
      </c>
      <c r="D1277" s="7" t="e">
        <f t="shared" si="147"/>
        <v>#N/A</v>
      </c>
      <c r="E1277" s="7" t="e">
        <f t="shared" si="147"/>
        <v>#N/A</v>
      </c>
      <c r="F1277" s="7">
        <f t="shared" si="147"/>
        <v>2</v>
      </c>
      <c r="G1277" s="7" t="e">
        <f t="shared" si="147"/>
        <v>#N/A</v>
      </c>
    </row>
    <row r="1278" spans="2:7">
      <c r="B1278" s="67">
        <f t="shared" si="141"/>
        <v>44372</v>
      </c>
      <c r="C1278" s="7" t="e">
        <f t="shared" si="147"/>
        <v>#N/A</v>
      </c>
      <c r="D1278" s="7" t="e">
        <f t="shared" si="147"/>
        <v>#N/A</v>
      </c>
      <c r="E1278" s="7" t="e">
        <f t="shared" si="147"/>
        <v>#N/A</v>
      </c>
      <c r="F1278" s="7">
        <f t="shared" si="147"/>
        <v>2</v>
      </c>
      <c r="G1278" s="7" t="e">
        <f t="shared" si="147"/>
        <v>#N/A</v>
      </c>
    </row>
    <row r="1279" spans="2:7">
      <c r="B1279" s="67">
        <f t="shared" si="141"/>
        <v>44373</v>
      </c>
      <c r="C1279" s="7" t="e">
        <f t="shared" si="147"/>
        <v>#N/A</v>
      </c>
      <c r="D1279" s="7" t="e">
        <f t="shared" si="147"/>
        <v>#N/A</v>
      </c>
      <c r="E1279" s="7" t="e">
        <f t="shared" si="147"/>
        <v>#N/A</v>
      </c>
      <c r="F1279" s="7">
        <f t="shared" si="147"/>
        <v>2</v>
      </c>
      <c r="G1279" s="7" t="e">
        <f t="shared" si="147"/>
        <v>#N/A</v>
      </c>
    </row>
    <row r="1280" spans="2:7">
      <c r="B1280" s="67">
        <f t="shared" si="141"/>
        <v>44374</v>
      </c>
      <c r="C1280" s="7" t="e">
        <f t="shared" si="147"/>
        <v>#N/A</v>
      </c>
      <c r="D1280" s="7" t="e">
        <f t="shared" si="147"/>
        <v>#N/A</v>
      </c>
      <c r="E1280" s="7" t="e">
        <f t="shared" si="147"/>
        <v>#N/A</v>
      </c>
      <c r="F1280" s="7">
        <f t="shared" si="147"/>
        <v>2</v>
      </c>
      <c r="G1280" s="7" t="e">
        <f t="shared" si="147"/>
        <v>#N/A</v>
      </c>
    </row>
    <row r="1281" spans="2:7">
      <c r="B1281" s="67">
        <f t="shared" si="141"/>
        <v>44375</v>
      </c>
      <c r="C1281" s="7" t="e">
        <f t="shared" si="147"/>
        <v>#N/A</v>
      </c>
      <c r="D1281" s="7" t="e">
        <f t="shared" si="147"/>
        <v>#N/A</v>
      </c>
      <c r="E1281" s="7" t="e">
        <f t="shared" si="147"/>
        <v>#N/A</v>
      </c>
      <c r="F1281" s="7">
        <f t="shared" si="147"/>
        <v>2</v>
      </c>
      <c r="G1281" s="7" t="e">
        <f t="shared" si="147"/>
        <v>#N/A</v>
      </c>
    </row>
    <row r="1282" spans="2:7">
      <c r="B1282" s="67">
        <f t="shared" si="141"/>
        <v>44376</v>
      </c>
      <c r="C1282" s="7" t="e">
        <f t="shared" si="147"/>
        <v>#N/A</v>
      </c>
      <c r="D1282" s="7" t="e">
        <f t="shared" si="147"/>
        <v>#N/A</v>
      </c>
      <c r="E1282" s="7" t="e">
        <f t="shared" si="147"/>
        <v>#N/A</v>
      </c>
      <c r="F1282" s="7">
        <f t="shared" si="147"/>
        <v>2</v>
      </c>
      <c r="G1282" s="7" t="e">
        <f t="shared" si="147"/>
        <v>#N/A</v>
      </c>
    </row>
    <row r="1283" spans="2:7">
      <c r="B1283" s="67">
        <f t="shared" si="141"/>
        <v>44377</v>
      </c>
      <c r="C1283" s="7" t="e">
        <f t="shared" si="147"/>
        <v>#N/A</v>
      </c>
      <c r="D1283" s="7" t="e">
        <f t="shared" si="147"/>
        <v>#N/A</v>
      </c>
      <c r="E1283" s="7" t="e">
        <f t="shared" si="147"/>
        <v>#N/A</v>
      </c>
      <c r="F1283" s="7">
        <f t="shared" si="147"/>
        <v>2</v>
      </c>
      <c r="G1283" s="7" t="e">
        <f t="shared" si="147"/>
        <v>#N/A</v>
      </c>
    </row>
    <row r="1284" spans="2:7">
      <c r="B1284" s="67">
        <f t="shared" si="141"/>
        <v>44378</v>
      </c>
      <c r="C1284" s="7" t="e">
        <f t="shared" si="147"/>
        <v>#N/A</v>
      </c>
      <c r="D1284" s="7" t="e">
        <f t="shared" si="147"/>
        <v>#N/A</v>
      </c>
      <c r="E1284" s="7" t="e">
        <f t="shared" si="147"/>
        <v>#N/A</v>
      </c>
      <c r="F1284" s="7">
        <f t="shared" si="147"/>
        <v>2</v>
      </c>
      <c r="G1284" s="7" t="e">
        <f t="shared" si="147"/>
        <v>#N/A</v>
      </c>
    </row>
    <row r="1285" spans="2:7">
      <c r="B1285" s="67">
        <f t="shared" si="141"/>
        <v>44379</v>
      </c>
      <c r="C1285" s="7" t="e">
        <f t="shared" si="147"/>
        <v>#N/A</v>
      </c>
      <c r="D1285" s="7" t="e">
        <f t="shared" si="147"/>
        <v>#N/A</v>
      </c>
      <c r="E1285" s="7" t="e">
        <f t="shared" si="147"/>
        <v>#N/A</v>
      </c>
      <c r="F1285" s="7">
        <f t="shared" si="147"/>
        <v>2</v>
      </c>
      <c r="G1285" s="7" t="e">
        <f t="shared" si="147"/>
        <v>#N/A</v>
      </c>
    </row>
    <row r="1286" spans="2:7">
      <c r="B1286" s="67">
        <f t="shared" si="141"/>
        <v>44380</v>
      </c>
      <c r="C1286" s="7" t="e">
        <f t="shared" si="147"/>
        <v>#N/A</v>
      </c>
      <c r="D1286" s="7" t="e">
        <f t="shared" si="147"/>
        <v>#N/A</v>
      </c>
      <c r="E1286" s="7" t="e">
        <f t="shared" si="147"/>
        <v>#N/A</v>
      </c>
      <c r="F1286" s="7">
        <f t="shared" si="147"/>
        <v>2</v>
      </c>
      <c r="G1286" s="7" t="e">
        <f t="shared" si="147"/>
        <v>#N/A</v>
      </c>
    </row>
    <row r="1287" spans="2:7">
      <c r="B1287" s="67">
        <f t="shared" si="141"/>
        <v>44381</v>
      </c>
      <c r="C1287" s="7" t="e">
        <f t="shared" ref="C1287:G1296" si="148">IF(AND($B1287&gt;=C$3,$B1287&lt;=C$4),C$5,NA())</f>
        <v>#N/A</v>
      </c>
      <c r="D1287" s="7" t="e">
        <f t="shared" si="148"/>
        <v>#N/A</v>
      </c>
      <c r="E1287" s="7" t="e">
        <f t="shared" si="148"/>
        <v>#N/A</v>
      </c>
      <c r="F1287" s="7">
        <f t="shared" si="148"/>
        <v>2</v>
      </c>
      <c r="G1287" s="7" t="e">
        <f t="shared" si="148"/>
        <v>#N/A</v>
      </c>
    </row>
    <row r="1288" spans="2:7">
      <c r="B1288" s="67">
        <f t="shared" ref="B1288:B1351" si="149">B1287+1</f>
        <v>44382</v>
      </c>
      <c r="C1288" s="7" t="e">
        <f t="shared" si="148"/>
        <v>#N/A</v>
      </c>
      <c r="D1288" s="7" t="e">
        <f t="shared" si="148"/>
        <v>#N/A</v>
      </c>
      <c r="E1288" s="7" t="e">
        <f t="shared" si="148"/>
        <v>#N/A</v>
      </c>
      <c r="F1288" s="7">
        <f t="shared" si="148"/>
        <v>2</v>
      </c>
      <c r="G1288" s="7" t="e">
        <f t="shared" si="148"/>
        <v>#N/A</v>
      </c>
    </row>
    <row r="1289" spans="2:7">
      <c r="B1289" s="67">
        <f t="shared" si="149"/>
        <v>44383</v>
      </c>
      <c r="C1289" s="7" t="e">
        <f t="shared" si="148"/>
        <v>#N/A</v>
      </c>
      <c r="D1289" s="7" t="e">
        <f t="shared" si="148"/>
        <v>#N/A</v>
      </c>
      <c r="E1289" s="7" t="e">
        <f t="shared" si="148"/>
        <v>#N/A</v>
      </c>
      <c r="F1289" s="7">
        <f t="shared" si="148"/>
        <v>2</v>
      </c>
      <c r="G1289" s="7" t="e">
        <f t="shared" si="148"/>
        <v>#N/A</v>
      </c>
    </row>
    <row r="1290" spans="2:7">
      <c r="B1290" s="67">
        <f t="shared" si="149"/>
        <v>44384</v>
      </c>
      <c r="C1290" s="7" t="e">
        <f t="shared" si="148"/>
        <v>#N/A</v>
      </c>
      <c r="D1290" s="7" t="e">
        <f t="shared" si="148"/>
        <v>#N/A</v>
      </c>
      <c r="E1290" s="7" t="e">
        <f t="shared" si="148"/>
        <v>#N/A</v>
      </c>
      <c r="F1290" s="7">
        <f t="shared" si="148"/>
        <v>2</v>
      </c>
      <c r="G1290" s="7" t="e">
        <f t="shared" si="148"/>
        <v>#N/A</v>
      </c>
    </row>
    <row r="1291" spans="2:7">
      <c r="B1291" s="67">
        <f t="shared" si="149"/>
        <v>44385</v>
      </c>
      <c r="C1291" s="7" t="e">
        <f t="shared" si="148"/>
        <v>#N/A</v>
      </c>
      <c r="D1291" s="7" t="e">
        <f t="shared" si="148"/>
        <v>#N/A</v>
      </c>
      <c r="E1291" s="7" t="e">
        <f t="shared" si="148"/>
        <v>#N/A</v>
      </c>
      <c r="F1291" s="7">
        <f t="shared" si="148"/>
        <v>2</v>
      </c>
      <c r="G1291" s="7" t="e">
        <f t="shared" si="148"/>
        <v>#N/A</v>
      </c>
    </row>
    <row r="1292" spans="2:7">
      <c r="B1292" s="67">
        <f t="shared" si="149"/>
        <v>44386</v>
      </c>
      <c r="C1292" s="7" t="e">
        <f t="shared" si="148"/>
        <v>#N/A</v>
      </c>
      <c r="D1292" s="7" t="e">
        <f t="shared" si="148"/>
        <v>#N/A</v>
      </c>
      <c r="E1292" s="7" t="e">
        <f t="shared" si="148"/>
        <v>#N/A</v>
      </c>
      <c r="F1292" s="7">
        <f t="shared" si="148"/>
        <v>2</v>
      </c>
      <c r="G1292" s="7" t="e">
        <f t="shared" si="148"/>
        <v>#N/A</v>
      </c>
    </row>
    <row r="1293" spans="2:7">
      <c r="B1293" s="67">
        <f t="shared" si="149"/>
        <v>44387</v>
      </c>
      <c r="C1293" s="7" t="e">
        <f t="shared" si="148"/>
        <v>#N/A</v>
      </c>
      <c r="D1293" s="7" t="e">
        <f t="shared" si="148"/>
        <v>#N/A</v>
      </c>
      <c r="E1293" s="7" t="e">
        <f t="shared" si="148"/>
        <v>#N/A</v>
      </c>
      <c r="F1293" s="7">
        <f t="shared" si="148"/>
        <v>2</v>
      </c>
      <c r="G1293" s="7" t="e">
        <f t="shared" si="148"/>
        <v>#N/A</v>
      </c>
    </row>
    <row r="1294" spans="2:7">
      <c r="B1294" s="67">
        <f t="shared" si="149"/>
        <v>44388</v>
      </c>
      <c r="C1294" s="7" t="e">
        <f t="shared" si="148"/>
        <v>#N/A</v>
      </c>
      <c r="D1294" s="7" t="e">
        <f t="shared" si="148"/>
        <v>#N/A</v>
      </c>
      <c r="E1294" s="7" t="e">
        <f t="shared" si="148"/>
        <v>#N/A</v>
      </c>
      <c r="F1294" s="7">
        <f t="shared" si="148"/>
        <v>2</v>
      </c>
      <c r="G1294" s="7" t="e">
        <f t="shared" si="148"/>
        <v>#N/A</v>
      </c>
    </row>
    <row r="1295" spans="2:7">
      <c r="B1295" s="67">
        <f t="shared" si="149"/>
        <v>44389</v>
      </c>
      <c r="C1295" s="7" t="e">
        <f t="shared" si="148"/>
        <v>#N/A</v>
      </c>
      <c r="D1295" s="7" t="e">
        <f t="shared" si="148"/>
        <v>#N/A</v>
      </c>
      <c r="E1295" s="7" t="e">
        <f t="shared" si="148"/>
        <v>#N/A</v>
      </c>
      <c r="F1295" s="7">
        <f t="shared" si="148"/>
        <v>2</v>
      </c>
      <c r="G1295" s="7" t="e">
        <f t="shared" si="148"/>
        <v>#N/A</v>
      </c>
    </row>
    <row r="1296" spans="2:7">
      <c r="B1296" s="67">
        <f t="shared" si="149"/>
        <v>44390</v>
      </c>
      <c r="C1296" s="7" t="e">
        <f t="shared" si="148"/>
        <v>#N/A</v>
      </c>
      <c r="D1296" s="7" t="e">
        <f t="shared" si="148"/>
        <v>#N/A</v>
      </c>
      <c r="E1296" s="7" t="e">
        <f t="shared" si="148"/>
        <v>#N/A</v>
      </c>
      <c r="F1296" s="7">
        <f t="shared" si="148"/>
        <v>2</v>
      </c>
      <c r="G1296" s="7" t="e">
        <f t="shared" si="148"/>
        <v>#N/A</v>
      </c>
    </row>
    <row r="1297" spans="2:7">
      <c r="B1297" s="67">
        <f t="shared" si="149"/>
        <v>44391</v>
      </c>
      <c r="C1297" s="7" t="e">
        <f t="shared" ref="C1297:G1306" si="150">IF(AND($B1297&gt;=C$3,$B1297&lt;=C$4),C$5,NA())</f>
        <v>#N/A</v>
      </c>
      <c r="D1297" s="7" t="e">
        <f t="shared" si="150"/>
        <v>#N/A</v>
      </c>
      <c r="E1297" s="7" t="e">
        <f t="shared" si="150"/>
        <v>#N/A</v>
      </c>
      <c r="F1297" s="7">
        <f t="shared" si="150"/>
        <v>2</v>
      </c>
      <c r="G1297" s="7" t="e">
        <f t="shared" si="150"/>
        <v>#N/A</v>
      </c>
    </row>
    <row r="1298" spans="2:7">
      <c r="B1298" s="67">
        <f t="shared" si="149"/>
        <v>44392</v>
      </c>
      <c r="C1298" s="7" t="e">
        <f t="shared" si="150"/>
        <v>#N/A</v>
      </c>
      <c r="D1298" s="7" t="e">
        <f t="shared" si="150"/>
        <v>#N/A</v>
      </c>
      <c r="E1298" s="7" t="e">
        <f t="shared" si="150"/>
        <v>#N/A</v>
      </c>
      <c r="F1298" s="7">
        <f t="shared" si="150"/>
        <v>2</v>
      </c>
      <c r="G1298" s="7" t="e">
        <f t="shared" si="150"/>
        <v>#N/A</v>
      </c>
    </row>
    <row r="1299" spans="2:7">
      <c r="B1299" s="67">
        <f t="shared" si="149"/>
        <v>44393</v>
      </c>
      <c r="C1299" s="7" t="e">
        <f t="shared" si="150"/>
        <v>#N/A</v>
      </c>
      <c r="D1299" s="7" t="e">
        <f t="shared" si="150"/>
        <v>#N/A</v>
      </c>
      <c r="E1299" s="7" t="e">
        <f t="shared" si="150"/>
        <v>#N/A</v>
      </c>
      <c r="F1299" s="7">
        <f t="shared" si="150"/>
        <v>2</v>
      </c>
      <c r="G1299" s="7" t="e">
        <f t="shared" si="150"/>
        <v>#N/A</v>
      </c>
    </row>
    <row r="1300" spans="2:7">
      <c r="B1300" s="67">
        <f t="shared" si="149"/>
        <v>44394</v>
      </c>
      <c r="C1300" s="7" t="e">
        <f t="shared" si="150"/>
        <v>#N/A</v>
      </c>
      <c r="D1300" s="7" t="e">
        <f t="shared" si="150"/>
        <v>#N/A</v>
      </c>
      <c r="E1300" s="7" t="e">
        <f t="shared" si="150"/>
        <v>#N/A</v>
      </c>
      <c r="F1300" s="7">
        <f t="shared" si="150"/>
        <v>2</v>
      </c>
      <c r="G1300" s="7" t="e">
        <f t="shared" si="150"/>
        <v>#N/A</v>
      </c>
    </row>
    <row r="1301" spans="2:7">
      <c r="B1301" s="67">
        <f t="shared" si="149"/>
        <v>44395</v>
      </c>
      <c r="C1301" s="7" t="e">
        <f t="shared" si="150"/>
        <v>#N/A</v>
      </c>
      <c r="D1301" s="7" t="e">
        <f t="shared" si="150"/>
        <v>#N/A</v>
      </c>
      <c r="E1301" s="7" t="e">
        <f t="shared" si="150"/>
        <v>#N/A</v>
      </c>
      <c r="F1301" s="7">
        <f t="shared" si="150"/>
        <v>2</v>
      </c>
      <c r="G1301" s="7" t="e">
        <f t="shared" si="150"/>
        <v>#N/A</v>
      </c>
    </row>
    <row r="1302" spans="2:7">
      <c r="B1302" s="67">
        <f t="shared" si="149"/>
        <v>44396</v>
      </c>
      <c r="C1302" s="7" t="e">
        <f t="shared" si="150"/>
        <v>#N/A</v>
      </c>
      <c r="D1302" s="7" t="e">
        <f t="shared" si="150"/>
        <v>#N/A</v>
      </c>
      <c r="E1302" s="7" t="e">
        <f t="shared" si="150"/>
        <v>#N/A</v>
      </c>
      <c r="F1302" s="7">
        <f t="shared" si="150"/>
        <v>2</v>
      </c>
      <c r="G1302" s="7" t="e">
        <f t="shared" si="150"/>
        <v>#N/A</v>
      </c>
    </row>
    <row r="1303" spans="2:7">
      <c r="B1303" s="67">
        <f t="shared" si="149"/>
        <v>44397</v>
      </c>
      <c r="C1303" s="7" t="e">
        <f t="shared" si="150"/>
        <v>#N/A</v>
      </c>
      <c r="D1303" s="7" t="e">
        <f t="shared" si="150"/>
        <v>#N/A</v>
      </c>
      <c r="E1303" s="7" t="e">
        <f t="shared" si="150"/>
        <v>#N/A</v>
      </c>
      <c r="F1303" s="7">
        <f t="shared" si="150"/>
        <v>2</v>
      </c>
      <c r="G1303" s="7" t="e">
        <f t="shared" si="150"/>
        <v>#N/A</v>
      </c>
    </row>
    <row r="1304" spans="2:7">
      <c r="B1304" s="67">
        <f t="shared" si="149"/>
        <v>44398</v>
      </c>
      <c r="C1304" s="7" t="e">
        <f t="shared" si="150"/>
        <v>#N/A</v>
      </c>
      <c r="D1304" s="7" t="e">
        <f t="shared" si="150"/>
        <v>#N/A</v>
      </c>
      <c r="E1304" s="7" t="e">
        <f t="shared" si="150"/>
        <v>#N/A</v>
      </c>
      <c r="F1304" s="7">
        <f t="shared" si="150"/>
        <v>2</v>
      </c>
      <c r="G1304" s="7" t="e">
        <f t="shared" si="150"/>
        <v>#N/A</v>
      </c>
    </row>
    <row r="1305" spans="2:7">
      <c r="B1305" s="67">
        <f t="shared" si="149"/>
        <v>44399</v>
      </c>
      <c r="C1305" s="7" t="e">
        <f t="shared" si="150"/>
        <v>#N/A</v>
      </c>
      <c r="D1305" s="7" t="e">
        <f t="shared" si="150"/>
        <v>#N/A</v>
      </c>
      <c r="E1305" s="7" t="e">
        <f t="shared" si="150"/>
        <v>#N/A</v>
      </c>
      <c r="F1305" s="7">
        <f t="shared" si="150"/>
        <v>2</v>
      </c>
      <c r="G1305" s="7" t="e">
        <f t="shared" si="150"/>
        <v>#N/A</v>
      </c>
    </row>
    <row r="1306" spans="2:7">
      <c r="B1306" s="67">
        <f t="shared" si="149"/>
        <v>44400</v>
      </c>
      <c r="C1306" s="7" t="e">
        <f t="shared" si="150"/>
        <v>#N/A</v>
      </c>
      <c r="D1306" s="7" t="e">
        <f t="shared" si="150"/>
        <v>#N/A</v>
      </c>
      <c r="E1306" s="7" t="e">
        <f t="shared" si="150"/>
        <v>#N/A</v>
      </c>
      <c r="F1306" s="7">
        <f t="shared" si="150"/>
        <v>2</v>
      </c>
      <c r="G1306" s="7" t="e">
        <f t="shared" si="150"/>
        <v>#N/A</v>
      </c>
    </row>
    <row r="1307" spans="2:7">
      <c r="B1307" s="67">
        <f t="shared" si="149"/>
        <v>44401</v>
      </c>
      <c r="C1307" s="7" t="e">
        <f t="shared" ref="C1307:G1316" si="151">IF(AND($B1307&gt;=C$3,$B1307&lt;=C$4),C$5,NA())</f>
        <v>#N/A</v>
      </c>
      <c r="D1307" s="7" t="e">
        <f t="shared" si="151"/>
        <v>#N/A</v>
      </c>
      <c r="E1307" s="7" t="e">
        <f t="shared" si="151"/>
        <v>#N/A</v>
      </c>
      <c r="F1307" s="7">
        <f t="shared" si="151"/>
        <v>2</v>
      </c>
      <c r="G1307" s="7" t="e">
        <f t="shared" si="151"/>
        <v>#N/A</v>
      </c>
    </row>
    <row r="1308" spans="2:7">
      <c r="B1308" s="67">
        <f t="shared" si="149"/>
        <v>44402</v>
      </c>
      <c r="C1308" s="7" t="e">
        <f t="shared" si="151"/>
        <v>#N/A</v>
      </c>
      <c r="D1308" s="7" t="e">
        <f t="shared" si="151"/>
        <v>#N/A</v>
      </c>
      <c r="E1308" s="7" t="e">
        <f t="shared" si="151"/>
        <v>#N/A</v>
      </c>
      <c r="F1308" s="7">
        <f t="shared" si="151"/>
        <v>2</v>
      </c>
      <c r="G1308" s="7" t="e">
        <f t="shared" si="151"/>
        <v>#N/A</v>
      </c>
    </row>
    <row r="1309" spans="2:7">
      <c r="B1309" s="67">
        <f t="shared" si="149"/>
        <v>44403</v>
      </c>
      <c r="C1309" s="7" t="e">
        <f t="shared" si="151"/>
        <v>#N/A</v>
      </c>
      <c r="D1309" s="7" t="e">
        <f t="shared" si="151"/>
        <v>#N/A</v>
      </c>
      <c r="E1309" s="7" t="e">
        <f t="shared" si="151"/>
        <v>#N/A</v>
      </c>
      <c r="F1309" s="7">
        <f t="shared" si="151"/>
        <v>2</v>
      </c>
      <c r="G1309" s="7" t="e">
        <f t="shared" si="151"/>
        <v>#N/A</v>
      </c>
    </row>
    <row r="1310" spans="2:7">
      <c r="B1310" s="67">
        <f t="shared" si="149"/>
        <v>44404</v>
      </c>
      <c r="C1310" s="7" t="e">
        <f t="shared" si="151"/>
        <v>#N/A</v>
      </c>
      <c r="D1310" s="7" t="e">
        <f t="shared" si="151"/>
        <v>#N/A</v>
      </c>
      <c r="E1310" s="7" t="e">
        <f t="shared" si="151"/>
        <v>#N/A</v>
      </c>
      <c r="F1310" s="7">
        <f t="shared" si="151"/>
        <v>2</v>
      </c>
      <c r="G1310" s="7" t="e">
        <f t="shared" si="151"/>
        <v>#N/A</v>
      </c>
    </row>
    <row r="1311" spans="2:7">
      <c r="B1311" s="67">
        <f t="shared" si="149"/>
        <v>44405</v>
      </c>
      <c r="C1311" s="7" t="e">
        <f t="shared" si="151"/>
        <v>#N/A</v>
      </c>
      <c r="D1311" s="7" t="e">
        <f t="shared" si="151"/>
        <v>#N/A</v>
      </c>
      <c r="E1311" s="7" t="e">
        <f t="shared" si="151"/>
        <v>#N/A</v>
      </c>
      <c r="F1311" s="7">
        <f t="shared" si="151"/>
        <v>2</v>
      </c>
      <c r="G1311" s="7" t="e">
        <f t="shared" si="151"/>
        <v>#N/A</v>
      </c>
    </row>
    <row r="1312" spans="2:7">
      <c r="B1312" s="67">
        <f t="shared" si="149"/>
        <v>44406</v>
      </c>
      <c r="C1312" s="7" t="e">
        <f t="shared" si="151"/>
        <v>#N/A</v>
      </c>
      <c r="D1312" s="7" t="e">
        <f t="shared" si="151"/>
        <v>#N/A</v>
      </c>
      <c r="E1312" s="7" t="e">
        <f t="shared" si="151"/>
        <v>#N/A</v>
      </c>
      <c r="F1312" s="7">
        <f t="shared" si="151"/>
        <v>2</v>
      </c>
      <c r="G1312" s="7" t="e">
        <f t="shared" si="151"/>
        <v>#N/A</v>
      </c>
    </row>
    <row r="1313" spans="2:7">
      <c r="B1313" s="67">
        <f t="shared" si="149"/>
        <v>44407</v>
      </c>
      <c r="C1313" s="7" t="e">
        <f t="shared" si="151"/>
        <v>#N/A</v>
      </c>
      <c r="D1313" s="7" t="e">
        <f t="shared" si="151"/>
        <v>#N/A</v>
      </c>
      <c r="E1313" s="7" t="e">
        <f t="shared" si="151"/>
        <v>#N/A</v>
      </c>
      <c r="F1313" s="7">
        <f t="shared" si="151"/>
        <v>2</v>
      </c>
      <c r="G1313" s="7" t="e">
        <f t="shared" si="151"/>
        <v>#N/A</v>
      </c>
    </row>
    <row r="1314" spans="2:7">
      <c r="B1314" s="67">
        <f t="shared" si="149"/>
        <v>44408</v>
      </c>
      <c r="C1314" s="7" t="e">
        <f t="shared" si="151"/>
        <v>#N/A</v>
      </c>
      <c r="D1314" s="7" t="e">
        <f t="shared" si="151"/>
        <v>#N/A</v>
      </c>
      <c r="E1314" s="7" t="e">
        <f t="shared" si="151"/>
        <v>#N/A</v>
      </c>
      <c r="F1314" s="7">
        <f t="shared" si="151"/>
        <v>2</v>
      </c>
      <c r="G1314" s="7" t="e">
        <f t="shared" si="151"/>
        <v>#N/A</v>
      </c>
    </row>
    <row r="1315" spans="2:7">
      <c r="B1315" s="67">
        <f t="shared" si="149"/>
        <v>44409</v>
      </c>
      <c r="C1315" s="7" t="e">
        <f t="shared" si="151"/>
        <v>#N/A</v>
      </c>
      <c r="D1315" s="7" t="e">
        <f t="shared" si="151"/>
        <v>#N/A</v>
      </c>
      <c r="E1315" s="7" t="e">
        <f t="shared" si="151"/>
        <v>#N/A</v>
      </c>
      <c r="F1315" s="7">
        <f t="shared" si="151"/>
        <v>2</v>
      </c>
      <c r="G1315" s="7" t="e">
        <f t="shared" si="151"/>
        <v>#N/A</v>
      </c>
    </row>
    <row r="1316" spans="2:7">
      <c r="B1316" s="67">
        <f t="shared" si="149"/>
        <v>44410</v>
      </c>
      <c r="C1316" s="7" t="e">
        <f t="shared" si="151"/>
        <v>#N/A</v>
      </c>
      <c r="D1316" s="7" t="e">
        <f t="shared" si="151"/>
        <v>#N/A</v>
      </c>
      <c r="E1316" s="7" t="e">
        <f t="shared" si="151"/>
        <v>#N/A</v>
      </c>
      <c r="F1316" s="7">
        <f t="shared" si="151"/>
        <v>2</v>
      </c>
      <c r="G1316" s="7" t="e">
        <f t="shared" si="151"/>
        <v>#N/A</v>
      </c>
    </row>
    <row r="1317" spans="2:7">
      <c r="B1317" s="67">
        <f t="shared" si="149"/>
        <v>44411</v>
      </c>
      <c r="C1317" s="7" t="e">
        <f t="shared" ref="C1317:G1326" si="152">IF(AND($B1317&gt;=C$3,$B1317&lt;=C$4),C$5,NA())</f>
        <v>#N/A</v>
      </c>
      <c r="D1317" s="7" t="e">
        <f t="shared" si="152"/>
        <v>#N/A</v>
      </c>
      <c r="E1317" s="7" t="e">
        <f t="shared" si="152"/>
        <v>#N/A</v>
      </c>
      <c r="F1317" s="7">
        <f t="shared" si="152"/>
        <v>2</v>
      </c>
      <c r="G1317" s="7" t="e">
        <f t="shared" si="152"/>
        <v>#N/A</v>
      </c>
    </row>
    <row r="1318" spans="2:7">
      <c r="B1318" s="67">
        <f t="shared" si="149"/>
        <v>44412</v>
      </c>
      <c r="C1318" s="7" t="e">
        <f t="shared" si="152"/>
        <v>#N/A</v>
      </c>
      <c r="D1318" s="7" t="e">
        <f t="shared" si="152"/>
        <v>#N/A</v>
      </c>
      <c r="E1318" s="7" t="e">
        <f t="shared" si="152"/>
        <v>#N/A</v>
      </c>
      <c r="F1318" s="7">
        <f t="shared" si="152"/>
        <v>2</v>
      </c>
      <c r="G1318" s="7" t="e">
        <f t="shared" si="152"/>
        <v>#N/A</v>
      </c>
    </row>
    <row r="1319" spans="2:7">
      <c r="B1319" s="67">
        <f t="shared" si="149"/>
        <v>44413</v>
      </c>
      <c r="C1319" s="7" t="e">
        <f t="shared" si="152"/>
        <v>#N/A</v>
      </c>
      <c r="D1319" s="7" t="e">
        <f t="shared" si="152"/>
        <v>#N/A</v>
      </c>
      <c r="E1319" s="7" t="e">
        <f t="shared" si="152"/>
        <v>#N/A</v>
      </c>
      <c r="F1319" s="7">
        <f t="shared" si="152"/>
        <v>2</v>
      </c>
      <c r="G1319" s="7" t="e">
        <f t="shared" si="152"/>
        <v>#N/A</v>
      </c>
    </row>
    <row r="1320" spans="2:7">
      <c r="B1320" s="67">
        <f t="shared" si="149"/>
        <v>44414</v>
      </c>
      <c r="C1320" s="7" t="e">
        <f t="shared" si="152"/>
        <v>#N/A</v>
      </c>
      <c r="D1320" s="7" t="e">
        <f t="shared" si="152"/>
        <v>#N/A</v>
      </c>
      <c r="E1320" s="7" t="e">
        <f t="shared" si="152"/>
        <v>#N/A</v>
      </c>
      <c r="F1320" s="7">
        <f t="shared" si="152"/>
        <v>2</v>
      </c>
      <c r="G1320" s="7" t="e">
        <f t="shared" si="152"/>
        <v>#N/A</v>
      </c>
    </row>
    <row r="1321" spans="2:7">
      <c r="B1321" s="67">
        <f t="shared" si="149"/>
        <v>44415</v>
      </c>
      <c r="C1321" s="7" t="e">
        <f t="shared" si="152"/>
        <v>#N/A</v>
      </c>
      <c r="D1321" s="7" t="e">
        <f t="shared" si="152"/>
        <v>#N/A</v>
      </c>
      <c r="E1321" s="7" t="e">
        <f t="shared" si="152"/>
        <v>#N/A</v>
      </c>
      <c r="F1321" s="7">
        <f t="shared" si="152"/>
        <v>2</v>
      </c>
      <c r="G1321" s="7" t="e">
        <f t="shared" si="152"/>
        <v>#N/A</v>
      </c>
    </row>
    <row r="1322" spans="2:7">
      <c r="B1322" s="67">
        <f t="shared" si="149"/>
        <v>44416</v>
      </c>
      <c r="C1322" s="7" t="e">
        <f t="shared" si="152"/>
        <v>#N/A</v>
      </c>
      <c r="D1322" s="7" t="e">
        <f t="shared" si="152"/>
        <v>#N/A</v>
      </c>
      <c r="E1322" s="7" t="e">
        <f t="shared" si="152"/>
        <v>#N/A</v>
      </c>
      <c r="F1322" s="7">
        <f t="shared" si="152"/>
        <v>2</v>
      </c>
      <c r="G1322" s="7" t="e">
        <f t="shared" si="152"/>
        <v>#N/A</v>
      </c>
    </row>
    <row r="1323" spans="2:7">
      <c r="B1323" s="67">
        <f t="shared" si="149"/>
        <v>44417</v>
      </c>
      <c r="C1323" s="7" t="e">
        <f t="shared" si="152"/>
        <v>#N/A</v>
      </c>
      <c r="D1323" s="7" t="e">
        <f t="shared" si="152"/>
        <v>#N/A</v>
      </c>
      <c r="E1323" s="7" t="e">
        <f t="shared" si="152"/>
        <v>#N/A</v>
      </c>
      <c r="F1323" s="7">
        <f t="shared" si="152"/>
        <v>2</v>
      </c>
      <c r="G1323" s="7" t="e">
        <f t="shared" si="152"/>
        <v>#N/A</v>
      </c>
    </row>
    <row r="1324" spans="2:7">
      <c r="B1324" s="67">
        <f t="shared" si="149"/>
        <v>44418</v>
      </c>
      <c r="C1324" s="7" t="e">
        <f t="shared" si="152"/>
        <v>#N/A</v>
      </c>
      <c r="D1324" s="7" t="e">
        <f t="shared" si="152"/>
        <v>#N/A</v>
      </c>
      <c r="E1324" s="7" t="e">
        <f t="shared" si="152"/>
        <v>#N/A</v>
      </c>
      <c r="F1324" s="7">
        <f t="shared" si="152"/>
        <v>2</v>
      </c>
      <c r="G1324" s="7" t="e">
        <f t="shared" si="152"/>
        <v>#N/A</v>
      </c>
    </row>
    <row r="1325" spans="2:7">
      <c r="B1325" s="67">
        <f t="shared" si="149"/>
        <v>44419</v>
      </c>
      <c r="C1325" s="7" t="e">
        <f t="shared" si="152"/>
        <v>#N/A</v>
      </c>
      <c r="D1325" s="7" t="e">
        <f t="shared" si="152"/>
        <v>#N/A</v>
      </c>
      <c r="E1325" s="7" t="e">
        <f t="shared" si="152"/>
        <v>#N/A</v>
      </c>
      <c r="F1325" s="7">
        <f t="shared" si="152"/>
        <v>2</v>
      </c>
      <c r="G1325" s="7" t="e">
        <f t="shared" si="152"/>
        <v>#N/A</v>
      </c>
    </row>
    <row r="1326" spans="2:7">
      <c r="B1326" s="67">
        <f t="shared" si="149"/>
        <v>44420</v>
      </c>
      <c r="C1326" s="7" t="e">
        <f t="shared" si="152"/>
        <v>#N/A</v>
      </c>
      <c r="D1326" s="7" t="e">
        <f t="shared" si="152"/>
        <v>#N/A</v>
      </c>
      <c r="E1326" s="7" t="e">
        <f t="shared" si="152"/>
        <v>#N/A</v>
      </c>
      <c r="F1326" s="7">
        <f t="shared" si="152"/>
        <v>2</v>
      </c>
      <c r="G1326" s="7" t="e">
        <f t="shared" si="152"/>
        <v>#N/A</v>
      </c>
    </row>
    <row r="1327" spans="2:7">
      <c r="B1327" s="67">
        <f t="shared" si="149"/>
        <v>44421</v>
      </c>
      <c r="C1327" s="7" t="e">
        <f t="shared" ref="C1327:G1336" si="153">IF(AND($B1327&gt;=C$3,$B1327&lt;=C$4),C$5,NA())</f>
        <v>#N/A</v>
      </c>
      <c r="D1327" s="7" t="e">
        <f t="shared" si="153"/>
        <v>#N/A</v>
      </c>
      <c r="E1327" s="7" t="e">
        <f t="shared" si="153"/>
        <v>#N/A</v>
      </c>
      <c r="F1327" s="7">
        <f t="shared" si="153"/>
        <v>2</v>
      </c>
      <c r="G1327" s="7" t="e">
        <f t="shared" si="153"/>
        <v>#N/A</v>
      </c>
    </row>
    <row r="1328" spans="2:7">
      <c r="B1328" s="67">
        <f t="shared" si="149"/>
        <v>44422</v>
      </c>
      <c r="C1328" s="7" t="e">
        <f t="shared" si="153"/>
        <v>#N/A</v>
      </c>
      <c r="D1328" s="7" t="e">
        <f t="shared" si="153"/>
        <v>#N/A</v>
      </c>
      <c r="E1328" s="7" t="e">
        <f t="shared" si="153"/>
        <v>#N/A</v>
      </c>
      <c r="F1328" s="7">
        <f t="shared" si="153"/>
        <v>2</v>
      </c>
      <c r="G1328" s="7" t="e">
        <f t="shared" si="153"/>
        <v>#N/A</v>
      </c>
    </row>
    <row r="1329" spans="2:7">
      <c r="B1329" s="67">
        <f t="shared" si="149"/>
        <v>44423</v>
      </c>
      <c r="C1329" s="7" t="e">
        <f t="shared" si="153"/>
        <v>#N/A</v>
      </c>
      <c r="D1329" s="7" t="e">
        <f t="shared" si="153"/>
        <v>#N/A</v>
      </c>
      <c r="E1329" s="7" t="e">
        <f t="shared" si="153"/>
        <v>#N/A</v>
      </c>
      <c r="F1329" s="7">
        <f t="shared" si="153"/>
        <v>2</v>
      </c>
      <c r="G1329" s="7" t="e">
        <f t="shared" si="153"/>
        <v>#N/A</v>
      </c>
    </row>
    <row r="1330" spans="2:7">
      <c r="B1330" s="67">
        <f t="shared" si="149"/>
        <v>44424</v>
      </c>
      <c r="C1330" s="7" t="e">
        <f t="shared" si="153"/>
        <v>#N/A</v>
      </c>
      <c r="D1330" s="7" t="e">
        <f t="shared" si="153"/>
        <v>#N/A</v>
      </c>
      <c r="E1330" s="7" t="e">
        <f t="shared" si="153"/>
        <v>#N/A</v>
      </c>
      <c r="F1330" s="7">
        <f t="shared" si="153"/>
        <v>2</v>
      </c>
      <c r="G1330" s="7" t="e">
        <f t="shared" si="153"/>
        <v>#N/A</v>
      </c>
    </row>
    <row r="1331" spans="2:7">
      <c r="B1331" s="67">
        <f t="shared" si="149"/>
        <v>44425</v>
      </c>
      <c r="C1331" s="7" t="e">
        <f t="shared" si="153"/>
        <v>#N/A</v>
      </c>
      <c r="D1331" s="7" t="e">
        <f t="shared" si="153"/>
        <v>#N/A</v>
      </c>
      <c r="E1331" s="7" t="e">
        <f t="shared" si="153"/>
        <v>#N/A</v>
      </c>
      <c r="F1331" s="7">
        <f t="shared" si="153"/>
        <v>2</v>
      </c>
      <c r="G1331" s="7" t="e">
        <f t="shared" si="153"/>
        <v>#N/A</v>
      </c>
    </row>
    <row r="1332" spans="2:7">
      <c r="B1332" s="67">
        <f t="shared" si="149"/>
        <v>44426</v>
      </c>
      <c r="C1332" s="7" t="e">
        <f t="shared" si="153"/>
        <v>#N/A</v>
      </c>
      <c r="D1332" s="7" t="e">
        <f t="shared" si="153"/>
        <v>#N/A</v>
      </c>
      <c r="E1332" s="7" t="e">
        <f t="shared" si="153"/>
        <v>#N/A</v>
      </c>
      <c r="F1332" s="7">
        <f t="shared" si="153"/>
        <v>2</v>
      </c>
      <c r="G1332" s="7" t="e">
        <f t="shared" si="153"/>
        <v>#N/A</v>
      </c>
    </row>
    <row r="1333" spans="2:7">
      <c r="B1333" s="67">
        <f t="shared" si="149"/>
        <v>44427</v>
      </c>
      <c r="C1333" s="7" t="e">
        <f t="shared" si="153"/>
        <v>#N/A</v>
      </c>
      <c r="D1333" s="7" t="e">
        <f t="shared" si="153"/>
        <v>#N/A</v>
      </c>
      <c r="E1333" s="7" t="e">
        <f t="shared" si="153"/>
        <v>#N/A</v>
      </c>
      <c r="F1333" s="7">
        <f t="shared" si="153"/>
        <v>2</v>
      </c>
      <c r="G1333" s="7" t="e">
        <f t="shared" si="153"/>
        <v>#N/A</v>
      </c>
    </row>
    <row r="1334" spans="2:7">
      <c r="B1334" s="67">
        <f t="shared" si="149"/>
        <v>44428</v>
      </c>
      <c r="C1334" s="7" t="e">
        <f t="shared" si="153"/>
        <v>#N/A</v>
      </c>
      <c r="D1334" s="7" t="e">
        <f t="shared" si="153"/>
        <v>#N/A</v>
      </c>
      <c r="E1334" s="7" t="e">
        <f t="shared" si="153"/>
        <v>#N/A</v>
      </c>
      <c r="F1334" s="7">
        <f t="shared" si="153"/>
        <v>2</v>
      </c>
      <c r="G1334" s="7" t="e">
        <f t="shared" si="153"/>
        <v>#N/A</v>
      </c>
    </row>
    <row r="1335" spans="2:7">
      <c r="B1335" s="67">
        <f t="shared" si="149"/>
        <v>44429</v>
      </c>
      <c r="C1335" s="7" t="e">
        <f t="shared" si="153"/>
        <v>#N/A</v>
      </c>
      <c r="D1335" s="7" t="e">
        <f t="shared" si="153"/>
        <v>#N/A</v>
      </c>
      <c r="E1335" s="7" t="e">
        <f t="shared" si="153"/>
        <v>#N/A</v>
      </c>
      <c r="F1335" s="7">
        <f t="shared" si="153"/>
        <v>2</v>
      </c>
      <c r="G1335" s="7" t="e">
        <f t="shared" si="153"/>
        <v>#N/A</v>
      </c>
    </row>
    <row r="1336" spans="2:7">
      <c r="B1336" s="67">
        <f t="shared" si="149"/>
        <v>44430</v>
      </c>
      <c r="C1336" s="7" t="e">
        <f t="shared" si="153"/>
        <v>#N/A</v>
      </c>
      <c r="D1336" s="7" t="e">
        <f t="shared" si="153"/>
        <v>#N/A</v>
      </c>
      <c r="E1336" s="7" t="e">
        <f t="shared" si="153"/>
        <v>#N/A</v>
      </c>
      <c r="F1336" s="7">
        <f t="shared" si="153"/>
        <v>2</v>
      </c>
      <c r="G1336" s="7" t="e">
        <f t="shared" si="153"/>
        <v>#N/A</v>
      </c>
    </row>
    <row r="1337" spans="2:7">
      <c r="B1337" s="67">
        <f t="shared" si="149"/>
        <v>44431</v>
      </c>
      <c r="C1337" s="7" t="e">
        <f t="shared" ref="C1337:G1346" si="154">IF(AND($B1337&gt;=C$3,$B1337&lt;=C$4),C$5,NA())</f>
        <v>#N/A</v>
      </c>
      <c r="D1337" s="7" t="e">
        <f t="shared" si="154"/>
        <v>#N/A</v>
      </c>
      <c r="E1337" s="7" t="e">
        <f t="shared" si="154"/>
        <v>#N/A</v>
      </c>
      <c r="F1337" s="7">
        <f t="shared" si="154"/>
        <v>2</v>
      </c>
      <c r="G1337" s="7" t="e">
        <f t="shared" si="154"/>
        <v>#N/A</v>
      </c>
    </row>
    <row r="1338" spans="2:7">
      <c r="B1338" s="67">
        <f t="shared" si="149"/>
        <v>44432</v>
      </c>
      <c r="C1338" s="7" t="e">
        <f t="shared" si="154"/>
        <v>#N/A</v>
      </c>
      <c r="D1338" s="7" t="e">
        <f t="shared" si="154"/>
        <v>#N/A</v>
      </c>
      <c r="E1338" s="7" t="e">
        <f t="shared" si="154"/>
        <v>#N/A</v>
      </c>
      <c r="F1338" s="7">
        <f t="shared" si="154"/>
        <v>2</v>
      </c>
      <c r="G1338" s="7" t="e">
        <f t="shared" si="154"/>
        <v>#N/A</v>
      </c>
    </row>
    <row r="1339" spans="2:7">
      <c r="B1339" s="67">
        <f t="shared" si="149"/>
        <v>44433</v>
      </c>
      <c r="C1339" s="7" t="e">
        <f t="shared" si="154"/>
        <v>#N/A</v>
      </c>
      <c r="D1339" s="7" t="e">
        <f t="shared" si="154"/>
        <v>#N/A</v>
      </c>
      <c r="E1339" s="7" t="e">
        <f t="shared" si="154"/>
        <v>#N/A</v>
      </c>
      <c r="F1339" s="7">
        <f t="shared" si="154"/>
        <v>2</v>
      </c>
      <c r="G1339" s="7" t="e">
        <f t="shared" si="154"/>
        <v>#N/A</v>
      </c>
    </row>
    <row r="1340" spans="2:7">
      <c r="B1340" s="67">
        <f t="shared" si="149"/>
        <v>44434</v>
      </c>
      <c r="C1340" s="7" t="e">
        <f t="shared" si="154"/>
        <v>#N/A</v>
      </c>
      <c r="D1340" s="7" t="e">
        <f t="shared" si="154"/>
        <v>#N/A</v>
      </c>
      <c r="E1340" s="7" t="e">
        <f t="shared" si="154"/>
        <v>#N/A</v>
      </c>
      <c r="F1340" s="7">
        <f t="shared" si="154"/>
        <v>2</v>
      </c>
      <c r="G1340" s="7" t="e">
        <f t="shared" si="154"/>
        <v>#N/A</v>
      </c>
    </row>
    <row r="1341" spans="2:7">
      <c r="B1341" s="67">
        <f t="shared" si="149"/>
        <v>44435</v>
      </c>
      <c r="C1341" s="7" t="e">
        <f t="shared" si="154"/>
        <v>#N/A</v>
      </c>
      <c r="D1341" s="7" t="e">
        <f t="shared" si="154"/>
        <v>#N/A</v>
      </c>
      <c r="E1341" s="7" t="e">
        <f t="shared" si="154"/>
        <v>#N/A</v>
      </c>
      <c r="F1341" s="7">
        <f t="shared" si="154"/>
        <v>2</v>
      </c>
      <c r="G1341" s="7" t="e">
        <f t="shared" si="154"/>
        <v>#N/A</v>
      </c>
    </row>
    <row r="1342" spans="2:7">
      <c r="B1342" s="67">
        <f t="shared" si="149"/>
        <v>44436</v>
      </c>
      <c r="C1342" s="7" t="e">
        <f t="shared" si="154"/>
        <v>#N/A</v>
      </c>
      <c r="D1342" s="7" t="e">
        <f t="shared" si="154"/>
        <v>#N/A</v>
      </c>
      <c r="E1342" s="7" t="e">
        <f t="shared" si="154"/>
        <v>#N/A</v>
      </c>
      <c r="F1342" s="7">
        <f t="shared" si="154"/>
        <v>2</v>
      </c>
      <c r="G1342" s="7" t="e">
        <f t="shared" si="154"/>
        <v>#N/A</v>
      </c>
    </row>
    <row r="1343" spans="2:7">
      <c r="B1343" s="67">
        <f t="shared" si="149"/>
        <v>44437</v>
      </c>
      <c r="C1343" s="7" t="e">
        <f t="shared" si="154"/>
        <v>#N/A</v>
      </c>
      <c r="D1343" s="7" t="e">
        <f t="shared" si="154"/>
        <v>#N/A</v>
      </c>
      <c r="E1343" s="7" t="e">
        <f t="shared" si="154"/>
        <v>#N/A</v>
      </c>
      <c r="F1343" s="7">
        <f t="shared" si="154"/>
        <v>2</v>
      </c>
      <c r="G1343" s="7" t="e">
        <f t="shared" si="154"/>
        <v>#N/A</v>
      </c>
    </row>
    <row r="1344" spans="2:7">
      <c r="B1344" s="67">
        <f t="shared" si="149"/>
        <v>44438</v>
      </c>
      <c r="C1344" s="7" t="e">
        <f t="shared" si="154"/>
        <v>#N/A</v>
      </c>
      <c r="D1344" s="7" t="e">
        <f t="shared" si="154"/>
        <v>#N/A</v>
      </c>
      <c r="E1344" s="7" t="e">
        <f t="shared" si="154"/>
        <v>#N/A</v>
      </c>
      <c r="F1344" s="7">
        <f t="shared" si="154"/>
        <v>2</v>
      </c>
      <c r="G1344" s="7" t="e">
        <f t="shared" si="154"/>
        <v>#N/A</v>
      </c>
    </row>
    <row r="1345" spans="2:7">
      <c r="B1345" s="67">
        <f t="shared" si="149"/>
        <v>44439</v>
      </c>
      <c r="C1345" s="7" t="e">
        <f t="shared" si="154"/>
        <v>#N/A</v>
      </c>
      <c r="D1345" s="7" t="e">
        <f t="shared" si="154"/>
        <v>#N/A</v>
      </c>
      <c r="E1345" s="7" t="e">
        <f t="shared" si="154"/>
        <v>#N/A</v>
      </c>
      <c r="F1345" s="7">
        <f t="shared" si="154"/>
        <v>2</v>
      </c>
      <c r="G1345" s="7" t="e">
        <f t="shared" si="154"/>
        <v>#N/A</v>
      </c>
    </row>
    <row r="1346" spans="2:7">
      <c r="B1346" s="67">
        <f t="shared" si="149"/>
        <v>44440</v>
      </c>
      <c r="C1346" s="7" t="e">
        <f t="shared" si="154"/>
        <v>#N/A</v>
      </c>
      <c r="D1346" s="7" t="e">
        <f t="shared" si="154"/>
        <v>#N/A</v>
      </c>
      <c r="E1346" s="7" t="e">
        <f t="shared" si="154"/>
        <v>#N/A</v>
      </c>
      <c r="F1346" s="7">
        <f t="shared" si="154"/>
        <v>2</v>
      </c>
      <c r="G1346" s="7" t="e">
        <f t="shared" si="154"/>
        <v>#N/A</v>
      </c>
    </row>
    <row r="1347" spans="2:7">
      <c r="B1347" s="67">
        <f t="shared" si="149"/>
        <v>44441</v>
      </c>
      <c r="C1347" s="7" t="e">
        <f t="shared" ref="C1347:G1356" si="155">IF(AND($B1347&gt;=C$3,$B1347&lt;=C$4),C$5,NA())</f>
        <v>#N/A</v>
      </c>
      <c r="D1347" s="7" t="e">
        <f t="shared" si="155"/>
        <v>#N/A</v>
      </c>
      <c r="E1347" s="7" t="e">
        <f t="shared" si="155"/>
        <v>#N/A</v>
      </c>
      <c r="F1347" s="7">
        <f t="shared" si="155"/>
        <v>2</v>
      </c>
      <c r="G1347" s="7" t="e">
        <f t="shared" si="155"/>
        <v>#N/A</v>
      </c>
    </row>
    <row r="1348" spans="2:7">
      <c r="B1348" s="67">
        <f t="shared" si="149"/>
        <v>44442</v>
      </c>
      <c r="C1348" s="7" t="e">
        <f t="shared" si="155"/>
        <v>#N/A</v>
      </c>
      <c r="D1348" s="7" t="e">
        <f t="shared" si="155"/>
        <v>#N/A</v>
      </c>
      <c r="E1348" s="7" t="e">
        <f t="shared" si="155"/>
        <v>#N/A</v>
      </c>
      <c r="F1348" s="7">
        <f t="shared" si="155"/>
        <v>2</v>
      </c>
      <c r="G1348" s="7" t="e">
        <f t="shared" si="155"/>
        <v>#N/A</v>
      </c>
    </row>
    <row r="1349" spans="2:7">
      <c r="B1349" s="67">
        <f t="shared" si="149"/>
        <v>44443</v>
      </c>
      <c r="C1349" s="7" t="e">
        <f t="shared" si="155"/>
        <v>#N/A</v>
      </c>
      <c r="D1349" s="7" t="e">
        <f t="shared" si="155"/>
        <v>#N/A</v>
      </c>
      <c r="E1349" s="7" t="e">
        <f t="shared" si="155"/>
        <v>#N/A</v>
      </c>
      <c r="F1349" s="7">
        <f t="shared" si="155"/>
        <v>2</v>
      </c>
      <c r="G1349" s="7" t="e">
        <f t="shared" si="155"/>
        <v>#N/A</v>
      </c>
    </row>
    <row r="1350" spans="2:7">
      <c r="B1350" s="67">
        <f t="shared" si="149"/>
        <v>44444</v>
      </c>
      <c r="C1350" s="7" t="e">
        <f t="shared" si="155"/>
        <v>#N/A</v>
      </c>
      <c r="D1350" s="7" t="e">
        <f t="shared" si="155"/>
        <v>#N/A</v>
      </c>
      <c r="E1350" s="7" t="e">
        <f t="shared" si="155"/>
        <v>#N/A</v>
      </c>
      <c r="F1350" s="7">
        <f t="shared" si="155"/>
        <v>2</v>
      </c>
      <c r="G1350" s="7" t="e">
        <f t="shared" si="155"/>
        <v>#N/A</v>
      </c>
    </row>
    <row r="1351" spans="2:7">
      <c r="B1351" s="67">
        <f t="shared" si="149"/>
        <v>44445</v>
      </c>
      <c r="C1351" s="7" t="e">
        <f t="shared" si="155"/>
        <v>#N/A</v>
      </c>
      <c r="D1351" s="7" t="e">
        <f t="shared" si="155"/>
        <v>#N/A</v>
      </c>
      <c r="E1351" s="7" t="e">
        <f t="shared" si="155"/>
        <v>#N/A</v>
      </c>
      <c r="F1351" s="7">
        <f t="shared" si="155"/>
        <v>2</v>
      </c>
      <c r="G1351" s="7" t="e">
        <f t="shared" si="155"/>
        <v>#N/A</v>
      </c>
    </row>
    <row r="1352" spans="2:7">
      <c r="B1352" s="67">
        <f t="shared" ref="B1352:B1415" si="156">B1351+1</f>
        <v>44446</v>
      </c>
      <c r="C1352" s="7" t="e">
        <f t="shared" si="155"/>
        <v>#N/A</v>
      </c>
      <c r="D1352" s="7" t="e">
        <f t="shared" si="155"/>
        <v>#N/A</v>
      </c>
      <c r="E1352" s="7" t="e">
        <f t="shared" si="155"/>
        <v>#N/A</v>
      </c>
      <c r="F1352" s="7">
        <f t="shared" si="155"/>
        <v>2</v>
      </c>
      <c r="G1352" s="7" t="e">
        <f t="shared" si="155"/>
        <v>#N/A</v>
      </c>
    </row>
    <row r="1353" spans="2:7">
      <c r="B1353" s="67">
        <f t="shared" si="156"/>
        <v>44447</v>
      </c>
      <c r="C1353" s="7" t="e">
        <f t="shared" si="155"/>
        <v>#N/A</v>
      </c>
      <c r="D1353" s="7" t="e">
        <f t="shared" si="155"/>
        <v>#N/A</v>
      </c>
      <c r="E1353" s="7" t="e">
        <f t="shared" si="155"/>
        <v>#N/A</v>
      </c>
      <c r="F1353" s="7">
        <f t="shared" si="155"/>
        <v>2</v>
      </c>
      <c r="G1353" s="7" t="e">
        <f t="shared" si="155"/>
        <v>#N/A</v>
      </c>
    </row>
    <row r="1354" spans="2:7">
      <c r="B1354" s="67">
        <f t="shared" si="156"/>
        <v>44448</v>
      </c>
      <c r="C1354" s="7" t="e">
        <f t="shared" si="155"/>
        <v>#N/A</v>
      </c>
      <c r="D1354" s="7" t="e">
        <f t="shared" si="155"/>
        <v>#N/A</v>
      </c>
      <c r="E1354" s="7" t="e">
        <f t="shared" si="155"/>
        <v>#N/A</v>
      </c>
      <c r="F1354" s="7">
        <f t="shared" si="155"/>
        <v>2</v>
      </c>
      <c r="G1354" s="7" t="e">
        <f t="shared" si="155"/>
        <v>#N/A</v>
      </c>
    </row>
    <row r="1355" spans="2:7">
      <c r="B1355" s="67">
        <f t="shared" si="156"/>
        <v>44449</v>
      </c>
      <c r="C1355" s="7" t="e">
        <f t="shared" si="155"/>
        <v>#N/A</v>
      </c>
      <c r="D1355" s="7" t="e">
        <f t="shared" si="155"/>
        <v>#N/A</v>
      </c>
      <c r="E1355" s="7" t="e">
        <f t="shared" si="155"/>
        <v>#N/A</v>
      </c>
      <c r="F1355" s="7">
        <f t="shared" si="155"/>
        <v>2</v>
      </c>
      <c r="G1355" s="7" t="e">
        <f t="shared" si="155"/>
        <v>#N/A</v>
      </c>
    </row>
    <row r="1356" spans="2:7">
      <c r="B1356" s="67">
        <f t="shared" si="156"/>
        <v>44450</v>
      </c>
      <c r="C1356" s="7" t="e">
        <f t="shared" si="155"/>
        <v>#N/A</v>
      </c>
      <c r="D1356" s="7" t="e">
        <f t="shared" si="155"/>
        <v>#N/A</v>
      </c>
      <c r="E1356" s="7" t="e">
        <f t="shared" si="155"/>
        <v>#N/A</v>
      </c>
      <c r="F1356" s="7">
        <f t="shared" si="155"/>
        <v>2</v>
      </c>
      <c r="G1356" s="7" t="e">
        <f t="shared" si="155"/>
        <v>#N/A</v>
      </c>
    </row>
    <row r="1357" spans="2:7">
      <c r="B1357" s="67">
        <f t="shared" si="156"/>
        <v>44451</v>
      </c>
      <c r="C1357" s="7" t="e">
        <f t="shared" ref="C1357:G1366" si="157">IF(AND($B1357&gt;=C$3,$B1357&lt;=C$4),C$5,NA())</f>
        <v>#N/A</v>
      </c>
      <c r="D1357" s="7" t="e">
        <f t="shared" si="157"/>
        <v>#N/A</v>
      </c>
      <c r="E1357" s="7" t="e">
        <f t="shared" si="157"/>
        <v>#N/A</v>
      </c>
      <c r="F1357" s="7">
        <f t="shared" si="157"/>
        <v>2</v>
      </c>
      <c r="G1357" s="7" t="e">
        <f t="shared" si="157"/>
        <v>#N/A</v>
      </c>
    </row>
    <row r="1358" spans="2:7">
      <c r="B1358" s="67">
        <f t="shared" si="156"/>
        <v>44452</v>
      </c>
      <c r="C1358" s="7" t="e">
        <f t="shared" si="157"/>
        <v>#N/A</v>
      </c>
      <c r="D1358" s="7" t="e">
        <f t="shared" si="157"/>
        <v>#N/A</v>
      </c>
      <c r="E1358" s="7" t="e">
        <f t="shared" si="157"/>
        <v>#N/A</v>
      </c>
      <c r="F1358" s="7">
        <f t="shared" si="157"/>
        <v>2</v>
      </c>
      <c r="G1358" s="7" t="e">
        <f t="shared" si="157"/>
        <v>#N/A</v>
      </c>
    </row>
    <row r="1359" spans="2:7">
      <c r="B1359" s="67">
        <f t="shared" si="156"/>
        <v>44453</v>
      </c>
      <c r="C1359" s="7" t="e">
        <f t="shared" si="157"/>
        <v>#N/A</v>
      </c>
      <c r="D1359" s="7" t="e">
        <f t="shared" si="157"/>
        <v>#N/A</v>
      </c>
      <c r="E1359" s="7" t="e">
        <f t="shared" si="157"/>
        <v>#N/A</v>
      </c>
      <c r="F1359" s="7">
        <f t="shared" si="157"/>
        <v>2</v>
      </c>
      <c r="G1359" s="7" t="e">
        <f t="shared" si="157"/>
        <v>#N/A</v>
      </c>
    </row>
    <row r="1360" spans="2:7">
      <c r="B1360" s="67">
        <f t="shared" si="156"/>
        <v>44454</v>
      </c>
      <c r="C1360" s="7" t="e">
        <f t="shared" si="157"/>
        <v>#N/A</v>
      </c>
      <c r="D1360" s="7" t="e">
        <f t="shared" si="157"/>
        <v>#N/A</v>
      </c>
      <c r="E1360" s="7" t="e">
        <f t="shared" si="157"/>
        <v>#N/A</v>
      </c>
      <c r="F1360" s="7">
        <f t="shared" si="157"/>
        <v>2</v>
      </c>
      <c r="G1360" s="7" t="e">
        <f t="shared" si="157"/>
        <v>#N/A</v>
      </c>
    </row>
    <row r="1361" spans="2:7">
      <c r="B1361" s="67">
        <f t="shared" si="156"/>
        <v>44455</v>
      </c>
      <c r="C1361" s="7" t="e">
        <f t="shared" si="157"/>
        <v>#N/A</v>
      </c>
      <c r="D1361" s="7" t="e">
        <f t="shared" si="157"/>
        <v>#N/A</v>
      </c>
      <c r="E1361" s="7" t="e">
        <f t="shared" si="157"/>
        <v>#N/A</v>
      </c>
      <c r="F1361" s="7">
        <f t="shared" si="157"/>
        <v>2</v>
      </c>
      <c r="G1361" s="7" t="e">
        <f t="shared" si="157"/>
        <v>#N/A</v>
      </c>
    </row>
    <row r="1362" spans="2:7">
      <c r="B1362" s="67">
        <f t="shared" si="156"/>
        <v>44456</v>
      </c>
      <c r="C1362" s="7" t="e">
        <f t="shared" si="157"/>
        <v>#N/A</v>
      </c>
      <c r="D1362" s="7" t="e">
        <f t="shared" si="157"/>
        <v>#N/A</v>
      </c>
      <c r="E1362" s="7" t="e">
        <f t="shared" si="157"/>
        <v>#N/A</v>
      </c>
      <c r="F1362" s="7">
        <f t="shared" si="157"/>
        <v>2</v>
      </c>
      <c r="G1362" s="7" t="e">
        <f t="shared" si="157"/>
        <v>#N/A</v>
      </c>
    </row>
    <row r="1363" spans="2:7">
      <c r="B1363" s="67">
        <f t="shared" si="156"/>
        <v>44457</v>
      </c>
      <c r="C1363" s="7" t="e">
        <f t="shared" si="157"/>
        <v>#N/A</v>
      </c>
      <c r="D1363" s="7" t="e">
        <f t="shared" si="157"/>
        <v>#N/A</v>
      </c>
      <c r="E1363" s="7" t="e">
        <f t="shared" si="157"/>
        <v>#N/A</v>
      </c>
      <c r="F1363" s="7">
        <f t="shared" si="157"/>
        <v>2</v>
      </c>
      <c r="G1363" s="7" t="e">
        <f t="shared" si="157"/>
        <v>#N/A</v>
      </c>
    </row>
    <row r="1364" spans="2:7">
      <c r="B1364" s="67">
        <f t="shared" si="156"/>
        <v>44458</v>
      </c>
      <c r="C1364" s="7" t="e">
        <f t="shared" si="157"/>
        <v>#N/A</v>
      </c>
      <c r="D1364" s="7" t="e">
        <f t="shared" si="157"/>
        <v>#N/A</v>
      </c>
      <c r="E1364" s="7" t="e">
        <f t="shared" si="157"/>
        <v>#N/A</v>
      </c>
      <c r="F1364" s="7">
        <f t="shared" si="157"/>
        <v>2</v>
      </c>
      <c r="G1364" s="7" t="e">
        <f t="shared" si="157"/>
        <v>#N/A</v>
      </c>
    </row>
    <row r="1365" spans="2:7">
      <c r="B1365" s="67">
        <f t="shared" si="156"/>
        <v>44459</v>
      </c>
      <c r="C1365" s="7" t="e">
        <f t="shared" si="157"/>
        <v>#N/A</v>
      </c>
      <c r="D1365" s="7" t="e">
        <f t="shared" si="157"/>
        <v>#N/A</v>
      </c>
      <c r="E1365" s="7" t="e">
        <f t="shared" si="157"/>
        <v>#N/A</v>
      </c>
      <c r="F1365" s="7">
        <f t="shared" si="157"/>
        <v>2</v>
      </c>
      <c r="G1365" s="7" t="e">
        <f t="shared" si="157"/>
        <v>#N/A</v>
      </c>
    </row>
    <row r="1366" spans="2:7">
      <c r="B1366" s="67">
        <f t="shared" si="156"/>
        <v>44460</v>
      </c>
      <c r="C1366" s="7" t="e">
        <f t="shared" si="157"/>
        <v>#N/A</v>
      </c>
      <c r="D1366" s="7" t="e">
        <f t="shared" si="157"/>
        <v>#N/A</v>
      </c>
      <c r="E1366" s="7" t="e">
        <f t="shared" si="157"/>
        <v>#N/A</v>
      </c>
      <c r="F1366" s="7">
        <f t="shared" si="157"/>
        <v>2</v>
      </c>
      <c r="G1366" s="7" t="e">
        <f t="shared" si="157"/>
        <v>#N/A</v>
      </c>
    </row>
    <row r="1367" spans="2:7">
      <c r="B1367" s="67">
        <f t="shared" si="156"/>
        <v>44461</v>
      </c>
      <c r="C1367" s="7" t="e">
        <f t="shared" ref="C1367:G1376" si="158">IF(AND($B1367&gt;=C$3,$B1367&lt;=C$4),C$5,NA())</f>
        <v>#N/A</v>
      </c>
      <c r="D1367" s="7" t="e">
        <f t="shared" si="158"/>
        <v>#N/A</v>
      </c>
      <c r="E1367" s="7" t="e">
        <f t="shared" si="158"/>
        <v>#N/A</v>
      </c>
      <c r="F1367" s="7">
        <f t="shared" si="158"/>
        <v>2</v>
      </c>
      <c r="G1367" s="7" t="e">
        <f t="shared" si="158"/>
        <v>#N/A</v>
      </c>
    </row>
    <row r="1368" spans="2:7">
      <c r="B1368" s="67">
        <f t="shared" si="156"/>
        <v>44462</v>
      </c>
      <c r="C1368" s="7" t="e">
        <f t="shared" si="158"/>
        <v>#N/A</v>
      </c>
      <c r="D1368" s="7" t="e">
        <f t="shared" si="158"/>
        <v>#N/A</v>
      </c>
      <c r="E1368" s="7" t="e">
        <f t="shared" si="158"/>
        <v>#N/A</v>
      </c>
      <c r="F1368" s="7">
        <f t="shared" si="158"/>
        <v>2</v>
      </c>
      <c r="G1368" s="7" t="e">
        <f t="shared" si="158"/>
        <v>#N/A</v>
      </c>
    </row>
    <row r="1369" spans="2:7">
      <c r="B1369" s="67">
        <f t="shared" si="156"/>
        <v>44463</v>
      </c>
      <c r="C1369" s="7" t="e">
        <f t="shared" si="158"/>
        <v>#N/A</v>
      </c>
      <c r="D1369" s="7" t="e">
        <f t="shared" si="158"/>
        <v>#N/A</v>
      </c>
      <c r="E1369" s="7" t="e">
        <f t="shared" si="158"/>
        <v>#N/A</v>
      </c>
      <c r="F1369" s="7">
        <f t="shared" si="158"/>
        <v>2</v>
      </c>
      <c r="G1369" s="7" t="e">
        <f t="shared" si="158"/>
        <v>#N/A</v>
      </c>
    </row>
    <row r="1370" spans="2:7">
      <c r="B1370" s="67">
        <f t="shared" si="156"/>
        <v>44464</v>
      </c>
      <c r="C1370" s="7" t="e">
        <f t="shared" si="158"/>
        <v>#N/A</v>
      </c>
      <c r="D1370" s="7" t="e">
        <f t="shared" si="158"/>
        <v>#N/A</v>
      </c>
      <c r="E1370" s="7" t="e">
        <f t="shared" si="158"/>
        <v>#N/A</v>
      </c>
      <c r="F1370" s="7">
        <f t="shared" si="158"/>
        <v>2</v>
      </c>
      <c r="G1370" s="7" t="e">
        <f t="shared" si="158"/>
        <v>#N/A</v>
      </c>
    </row>
    <row r="1371" spans="2:7">
      <c r="B1371" s="67">
        <f t="shared" si="156"/>
        <v>44465</v>
      </c>
      <c r="C1371" s="7" t="e">
        <f t="shared" si="158"/>
        <v>#N/A</v>
      </c>
      <c r="D1371" s="7" t="e">
        <f t="shared" si="158"/>
        <v>#N/A</v>
      </c>
      <c r="E1371" s="7" t="e">
        <f t="shared" si="158"/>
        <v>#N/A</v>
      </c>
      <c r="F1371" s="7">
        <f t="shared" si="158"/>
        <v>2</v>
      </c>
      <c r="G1371" s="7" t="e">
        <f t="shared" si="158"/>
        <v>#N/A</v>
      </c>
    </row>
    <row r="1372" spans="2:7">
      <c r="B1372" s="67">
        <f t="shared" si="156"/>
        <v>44466</v>
      </c>
      <c r="C1372" s="7" t="e">
        <f t="shared" si="158"/>
        <v>#N/A</v>
      </c>
      <c r="D1372" s="7" t="e">
        <f t="shared" si="158"/>
        <v>#N/A</v>
      </c>
      <c r="E1372" s="7" t="e">
        <f t="shared" si="158"/>
        <v>#N/A</v>
      </c>
      <c r="F1372" s="7">
        <f t="shared" si="158"/>
        <v>2</v>
      </c>
      <c r="G1372" s="7" t="e">
        <f t="shared" si="158"/>
        <v>#N/A</v>
      </c>
    </row>
    <row r="1373" spans="2:7">
      <c r="B1373" s="67">
        <f t="shared" si="156"/>
        <v>44467</v>
      </c>
      <c r="C1373" s="7" t="e">
        <f t="shared" si="158"/>
        <v>#N/A</v>
      </c>
      <c r="D1373" s="7" t="e">
        <f t="shared" si="158"/>
        <v>#N/A</v>
      </c>
      <c r="E1373" s="7" t="e">
        <f t="shared" si="158"/>
        <v>#N/A</v>
      </c>
      <c r="F1373" s="7">
        <f t="shared" si="158"/>
        <v>2</v>
      </c>
      <c r="G1373" s="7" t="e">
        <f t="shared" si="158"/>
        <v>#N/A</v>
      </c>
    </row>
    <row r="1374" spans="2:7">
      <c r="B1374" s="67">
        <f t="shared" si="156"/>
        <v>44468</v>
      </c>
      <c r="C1374" s="7" t="e">
        <f t="shared" si="158"/>
        <v>#N/A</v>
      </c>
      <c r="D1374" s="7" t="e">
        <f t="shared" si="158"/>
        <v>#N/A</v>
      </c>
      <c r="E1374" s="7" t="e">
        <f t="shared" si="158"/>
        <v>#N/A</v>
      </c>
      <c r="F1374" s="7">
        <f t="shared" si="158"/>
        <v>2</v>
      </c>
      <c r="G1374" s="7" t="e">
        <f t="shared" si="158"/>
        <v>#N/A</v>
      </c>
    </row>
    <row r="1375" spans="2:7">
      <c r="B1375" s="67">
        <f t="shared" si="156"/>
        <v>44469</v>
      </c>
      <c r="C1375" s="7" t="e">
        <f t="shared" si="158"/>
        <v>#N/A</v>
      </c>
      <c r="D1375" s="7" t="e">
        <f t="shared" si="158"/>
        <v>#N/A</v>
      </c>
      <c r="E1375" s="7" t="e">
        <f t="shared" si="158"/>
        <v>#N/A</v>
      </c>
      <c r="F1375" s="7">
        <f t="shared" si="158"/>
        <v>2</v>
      </c>
      <c r="G1375" s="7" t="e">
        <f t="shared" si="158"/>
        <v>#N/A</v>
      </c>
    </row>
    <row r="1376" spans="2:7">
      <c r="B1376" s="67">
        <f t="shared" si="156"/>
        <v>44470</v>
      </c>
      <c r="C1376" s="7" t="e">
        <f t="shared" si="158"/>
        <v>#N/A</v>
      </c>
      <c r="D1376" s="7" t="e">
        <f t="shared" si="158"/>
        <v>#N/A</v>
      </c>
      <c r="E1376" s="7" t="e">
        <f t="shared" si="158"/>
        <v>#N/A</v>
      </c>
      <c r="F1376" s="7">
        <f t="shared" si="158"/>
        <v>2</v>
      </c>
      <c r="G1376" s="7" t="e">
        <f t="shared" si="158"/>
        <v>#N/A</v>
      </c>
    </row>
    <row r="1377" spans="2:7">
      <c r="B1377" s="67">
        <f t="shared" si="156"/>
        <v>44471</v>
      </c>
      <c r="C1377" s="7" t="e">
        <f t="shared" ref="C1377:G1386" si="159">IF(AND($B1377&gt;=C$3,$B1377&lt;=C$4),C$5,NA())</f>
        <v>#N/A</v>
      </c>
      <c r="D1377" s="7" t="e">
        <f t="shared" si="159"/>
        <v>#N/A</v>
      </c>
      <c r="E1377" s="7" t="e">
        <f t="shared" si="159"/>
        <v>#N/A</v>
      </c>
      <c r="F1377" s="7">
        <f t="shared" si="159"/>
        <v>2</v>
      </c>
      <c r="G1377" s="7" t="e">
        <f t="shared" si="159"/>
        <v>#N/A</v>
      </c>
    </row>
    <row r="1378" spans="2:7">
      <c r="B1378" s="67">
        <f t="shared" si="156"/>
        <v>44472</v>
      </c>
      <c r="C1378" s="7" t="e">
        <f t="shared" si="159"/>
        <v>#N/A</v>
      </c>
      <c r="D1378" s="7" t="e">
        <f t="shared" si="159"/>
        <v>#N/A</v>
      </c>
      <c r="E1378" s="7" t="e">
        <f t="shared" si="159"/>
        <v>#N/A</v>
      </c>
      <c r="F1378" s="7">
        <f t="shared" si="159"/>
        <v>2</v>
      </c>
      <c r="G1378" s="7" t="e">
        <f t="shared" si="159"/>
        <v>#N/A</v>
      </c>
    </row>
    <row r="1379" spans="2:7">
      <c r="B1379" s="67">
        <f t="shared" si="156"/>
        <v>44473</v>
      </c>
      <c r="C1379" s="7" t="e">
        <f t="shared" si="159"/>
        <v>#N/A</v>
      </c>
      <c r="D1379" s="7" t="e">
        <f t="shared" si="159"/>
        <v>#N/A</v>
      </c>
      <c r="E1379" s="7" t="e">
        <f t="shared" si="159"/>
        <v>#N/A</v>
      </c>
      <c r="F1379" s="7">
        <f t="shared" si="159"/>
        <v>2</v>
      </c>
      <c r="G1379" s="7" t="e">
        <f t="shared" si="159"/>
        <v>#N/A</v>
      </c>
    </row>
    <row r="1380" spans="2:7">
      <c r="B1380" s="67">
        <f t="shared" si="156"/>
        <v>44474</v>
      </c>
      <c r="C1380" s="7" t="e">
        <f t="shared" si="159"/>
        <v>#N/A</v>
      </c>
      <c r="D1380" s="7" t="e">
        <f t="shared" si="159"/>
        <v>#N/A</v>
      </c>
      <c r="E1380" s="7" t="e">
        <f t="shared" si="159"/>
        <v>#N/A</v>
      </c>
      <c r="F1380" s="7">
        <f t="shared" si="159"/>
        <v>2</v>
      </c>
      <c r="G1380" s="7" t="e">
        <f t="shared" si="159"/>
        <v>#N/A</v>
      </c>
    </row>
    <row r="1381" spans="2:7">
      <c r="B1381" s="67">
        <f t="shared" si="156"/>
        <v>44475</v>
      </c>
      <c r="C1381" s="7" t="e">
        <f t="shared" si="159"/>
        <v>#N/A</v>
      </c>
      <c r="D1381" s="7" t="e">
        <f t="shared" si="159"/>
        <v>#N/A</v>
      </c>
      <c r="E1381" s="7" t="e">
        <f t="shared" si="159"/>
        <v>#N/A</v>
      </c>
      <c r="F1381" s="7">
        <f t="shared" si="159"/>
        <v>2</v>
      </c>
      <c r="G1381" s="7" t="e">
        <f t="shared" si="159"/>
        <v>#N/A</v>
      </c>
    </row>
    <row r="1382" spans="2:7">
      <c r="B1382" s="67">
        <f t="shared" si="156"/>
        <v>44476</v>
      </c>
      <c r="C1382" s="7" t="e">
        <f t="shared" si="159"/>
        <v>#N/A</v>
      </c>
      <c r="D1382" s="7" t="e">
        <f t="shared" si="159"/>
        <v>#N/A</v>
      </c>
      <c r="E1382" s="7" t="e">
        <f t="shared" si="159"/>
        <v>#N/A</v>
      </c>
      <c r="F1382" s="7">
        <f t="shared" si="159"/>
        <v>2</v>
      </c>
      <c r="G1382" s="7" t="e">
        <f t="shared" si="159"/>
        <v>#N/A</v>
      </c>
    </row>
    <row r="1383" spans="2:7">
      <c r="B1383" s="67">
        <f t="shared" si="156"/>
        <v>44477</v>
      </c>
      <c r="C1383" s="7" t="e">
        <f t="shared" si="159"/>
        <v>#N/A</v>
      </c>
      <c r="D1383" s="7" t="e">
        <f t="shared" si="159"/>
        <v>#N/A</v>
      </c>
      <c r="E1383" s="7" t="e">
        <f t="shared" si="159"/>
        <v>#N/A</v>
      </c>
      <c r="F1383" s="7">
        <f t="shared" si="159"/>
        <v>2</v>
      </c>
      <c r="G1383" s="7" t="e">
        <f t="shared" si="159"/>
        <v>#N/A</v>
      </c>
    </row>
    <row r="1384" spans="2:7">
      <c r="B1384" s="67">
        <f t="shared" si="156"/>
        <v>44478</v>
      </c>
      <c r="C1384" s="7" t="e">
        <f t="shared" si="159"/>
        <v>#N/A</v>
      </c>
      <c r="D1384" s="7" t="e">
        <f t="shared" si="159"/>
        <v>#N/A</v>
      </c>
      <c r="E1384" s="7" t="e">
        <f t="shared" si="159"/>
        <v>#N/A</v>
      </c>
      <c r="F1384" s="7">
        <f t="shared" si="159"/>
        <v>2</v>
      </c>
      <c r="G1384" s="7" t="e">
        <f t="shared" si="159"/>
        <v>#N/A</v>
      </c>
    </row>
    <row r="1385" spans="2:7">
      <c r="B1385" s="67">
        <f t="shared" si="156"/>
        <v>44479</v>
      </c>
      <c r="C1385" s="7" t="e">
        <f t="shared" si="159"/>
        <v>#N/A</v>
      </c>
      <c r="D1385" s="7" t="e">
        <f t="shared" si="159"/>
        <v>#N/A</v>
      </c>
      <c r="E1385" s="7" t="e">
        <f t="shared" si="159"/>
        <v>#N/A</v>
      </c>
      <c r="F1385" s="7">
        <f t="shared" si="159"/>
        <v>2</v>
      </c>
      <c r="G1385" s="7" t="e">
        <f t="shared" si="159"/>
        <v>#N/A</v>
      </c>
    </row>
    <row r="1386" spans="2:7">
      <c r="B1386" s="67">
        <f t="shared" si="156"/>
        <v>44480</v>
      </c>
      <c r="C1386" s="7" t="e">
        <f t="shared" si="159"/>
        <v>#N/A</v>
      </c>
      <c r="D1386" s="7" t="e">
        <f t="shared" si="159"/>
        <v>#N/A</v>
      </c>
      <c r="E1386" s="7" t="e">
        <f t="shared" si="159"/>
        <v>#N/A</v>
      </c>
      <c r="F1386" s="7">
        <f t="shared" si="159"/>
        <v>2</v>
      </c>
      <c r="G1386" s="7" t="e">
        <f t="shared" si="159"/>
        <v>#N/A</v>
      </c>
    </row>
    <row r="1387" spans="2:7">
      <c r="B1387" s="67">
        <f t="shared" si="156"/>
        <v>44481</v>
      </c>
      <c r="C1387" s="7" t="e">
        <f t="shared" ref="C1387:G1396" si="160">IF(AND($B1387&gt;=C$3,$B1387&lt;=C$4),C$5,NA())</f>
        <v>#N/A</v>
      </c>
      <c r="D1387" s="7" t="e">
        <f t="shared" si="160"/>
        <v>#N/A</v>
      </c>
      <c r="E1387" s="7" t="e">
        <f t="shared" si="160"/>
        <v>#N/A</v>
      </c>
      <c r="F1387" s="7">
        <f t="shared" si="160"/>
        <v>2</v>
      </c>
      <c r="G1387" s="7" t="e">
        <f t="shared" si="160"/>
        <v>#N/A</v>
      </c>
    </row>
    <row r="1388" spans="2:7">
      <c r="B1388" s="67">
        <f t="shared" si="156"/>
        <v>44482</v>
      </c>
      <c r="C1388" s="7" t="e">
        <f t="shared" si="160"/>
        <v>#N/A</v>
      </c>
      <c r="D1388" s="7" t="e">
        <f t="shared" si="160"/>
        <v>#N/A</v>
      </c>
      <c r="E1388" s="7" t="e">
        <f t="shared" si="160"/>
        <v>#N/A</v>
      </c>
      <c r="F1388" s="7">
        <f t="shared" si="160"/>
        <v>2</v>
      </c>
      <c r="G1388" s="7" t="e">
        <f t="shared" si="160"/>
        <v>#N/A</v>
      </c>
    </row>
    <row r="1389" spans="2:7">
      <c r="B1389" s="67">
        <f t="shared" si="156"/>
        <v>44483</v>
      </c>
      <c r="C1389" s="7" t="e">
        <f t="shared" si="160"/>
        <v>#N/A</v>
      </c>
      <c r="D1389" s="7" t="e">
        <f t="shared" si="160"/>
        <v>#N/A</v>
      </c>
      <c r="E1389" s="7" t="e">
        <f t="shared" si="160"/>
        <v>#N/A</v>
      </c>
      <c r="F1389" s="7">
        <f t="shared" si="160"/>
        <v>2</v>
      </c>
      <c r="G1389" s="7" t="e">
        <f t="shared" si="160"/>
        <v>#N/A</v>
      </c>
    </row>
    <row r="1390" spans="2:7">
      <c r="B1390" s="67">
        <f t="shared" si="156"/>
        <v>44484</v>
      </c>
      <c r="C1390" s="7" t="e">
        <f t="shared" si="160"/>
        <v>#N/A</v>
      </c>
      <c r="D1390" s="7" t="e">
        <f t="shared" si="160"/>
        <v>#N/A</v>
      </c>
      <c r="E1390" s="7" t="e">
        <f t="shared" si="160"/>
        <v>#N/A</v>
      </c>
      <c r="F1390" s="7">
        <f t="shared" si="160"/>
        <v>2</v>
      </c>
      <c r="G1390" s="7" t="e">
        <f t="shared" si="160"/>
        <v>#N/A</v>
      </c>
    </row>
    <row r="1391" spans="2:7">
      <c r="B1391" s="67">
        <f t="shared" si="156"/>
        <v>44485</v>
      </c>
      <c r="C1391" s="7" t="e">
        <f t="shared" si="160"/>
        <v>#N/A</v>
      </c>
      <c r="D1391" s="7" t="e">
        <f t="shared" si="160"/>
        <v>#N/A</v>
      </c>
      <c r="E1391" s="7" t="e">
        <f t="shared" si="160"/>
        <v>#N/A</v>
      </c>
      <c r="F1391" s="7">
        <f t="shared" si="160"/>
        <v>2</v>
      </c>
      <c r="G1391" s="7" t="e">
        <f t="shared" si="160"/>
        <v>#N/A</v>
      </c>
    </row>
    <row r="1392" spans="2:7">
      <c r="B1392" s="67">
        <f t="shared" si="156"/>
        <v>44486</v>
      </c>
      <c r="C1392" s="7" t="e">
        <f t="shared" si="160"/>
        <v>#N/A</v>
      </c>
      <c r="D1392" s="7" t="e">
        <f t="shared" si="160"/>
        <v>#N/A</v>
      </c>
      <c r="E1392" s="7" t="e">
        <f t="shared" si="160"/>
        <v>#N/A</v>
      </c>
      <c r="F1392" s="7">
        <f t="shared" si="160"/>
        <v>2</v>
      </c>
      <c r="G1392" s="7" t="e">
        <f t="shared" si="160"/>
        <v>#N/A</v>
      </c>
    </row>
    <row r="1393" spans="2:7">
      <c r="B1393" s="67">
        <f t="shared" si="156"/>
        <v>44487</v>
      </c>
      <c r="C1393" s="7" t="e">
        <f t="shared" si="160"/>
        <v>#N/A</v>
      </c>
      <c r="D1393" s="7" t="e">
        <f t="shared" si="160"/>
        <v>#N/A</v>
      </c>
      <c r="E1393" s="7" t="e">
        <f t="shared" si="160"/>
        <v>#N/A</v>
      </c>
      <c r="F1393" s="7">
        <f t="shared" si="160"/>
        <v>2</v>
      </c>
      <c r="G1393" s="7" t="e">
        <f t="shared" si="160"/>
        <v>#N/A</v>
      </c>
    </row>
    <row r="1394" spans="2:7">
      <c r="B1394" s="67">
        <f t="shared" si="156"/>
        <v>44488</v>
      </c>
      <c r="C1394" s="7" t="e">
        <f t="shared" si="160"/>
        <v>#N/A</v>
      </c>
      <c r="D1394" s="7" t="e">
        <f t="shared" si="160"/>
        <v>#N/A</v>
      </c>
      <c r="E1394" s="7" t="e">
        <f t="shared" si="160"/>
        <v>#N/A</v>
      </c>
      <c r="F1394" s="7">
        <f t="shared" si="160"/>
        <v>2</v>
      </c>
      <c r="G1394" s="7" t="e">
        <f t="shared" si="160"/>
        <v>#N/A</v>
      </c>
    </row>
    <row r="1395" spans="2:7">
      <c r="B1395" s="67">
        <f t="shared" si="156"/>
        <v>44489</v>
      </c>
      <c r="C1395" s="7" t="e">
        <f t="shared" si="160"/>
        <v>#N/A</v>
      </c>
      <c r="D1395" s="7" t="e">
        <f t="shared" si="160"/>
        <v>#N/A</v>
      </c>
      <c r="E1395" s="7" t="e">
        <f t="shared" si="160"/>
        <v>#N/A</v>
      </c>
      <c r="F1395" s="7">
        <f t="shared" si="160"/>
        <v>2</v>
      </c>
      <c r="G1395" s="7" t="e">
        <f t="shared" si="160"/>
        <v>#N/A</v>
      </c>
    </row>
    <row r="1396" spans="2:7">
      <c r="B1396" s="67">
        <f t="shared" si="156"/>
        <v>44490</v>
      </c>
      <c r="C1396" s="7" t="e">
        <f t="shared" si="160"/>
        <v>#N/A</v>
      </c>
      <c r="D1396" s="7" t="e">
        <f t="shared" si="160"/>
        <v>#N/A</v>
      </c>
      <c r="E1396" s="7" t="e">
        <f t="shared" si="160"/>
        <v>#N/A</v>
      </c>
      <c r="F1396" s="7">
        <f t="shared" si="160"/>
        <v>2</v>
      </c>
      <c r="G1396" s="7" t="e">
        <f t="shared" si="160"/>
        <v>#N/A</v>
      </c>
    </row>
    <row r="1397" spans="2:7">
      <c r="B1397" s="67">
        <f t="shared" si="156"/>
        <v>44491</v>
      </c>
      <c r="C1397" s="7" t="e">
        <f t="shared" ref="C1397:G1406" si="161">IF(AND($B1397&gt;=C$3,$B1397&lt;=C$4),C$5,NA())</f>
        <v>#N/A</v>
      </c>
      <c r="D1397" s="7" t="e">
        <f t="shared" si="161"/>
        <v>#N/A</v>
      </c>
      <c r="E1397" s="7" t="e">
        <f t="shared" si="161"/>
        <v>#N/A</v>
      </c>
      <c r="F1397" s="7">
        <f t="shared" si="161"/>
        <v>2</v>
      </c>
      <c r="G1397" s="7" t="e">
        <f t="shared" si="161"/>
        <v>#N/A</v>
      </c>
    </row>
    <row r="1398" spans="2:7">
      <c r="B1398" s="67">
        <f t="shared" si="156"/>
        <v>44492</v>
      </c>
      <c r="C1398" s="7" t="e">
        <f t="shared" si="161"/>
        <v>#N/A</v>
      </c>
      <c r="D1398" s="7" t="e">
        <f t="shared" si="161"/>
        <v>#N/A</v>
      </c>
      <c r="E1398" s="7" t="e">
        <f t="shared" si="161"/>
        <v>#N/A</v>
      </c>
      <c r="F1398" s="7">
        <f t="shared" si="161"/>
        <v>2</v>
      </c>
      <c r="G1398" s="7" t="e">
        <f t="shared" si="161"/>
        <v>#N/A</v>
      </c>
    </row>
    <row r="1399" spans="2:7">
      <c r="B1399" s="67">
        <f t="shared" si="156"/>
        <v>44493</v>
      </c>
      <c r="C1399" s="7" t="e">
        <f t="shared" si="161"/>
        <v>#N/A</v>
      </c>
      <c r="D1399" s="7" t="e">
        <f t="shared" si="161"/>
        <v>#N/A</v>
      </c>
      <c r="E1399" s="7" t="e">
        <f t="shared" si="161"/>
        <v>#N/A</v>
      </c>
      <c r="F1399" s="7">
        <f t="shared" si="161"/>
        <v>2</v>
      </c>
      <c r="G1399" s="7" t="e">
        <f t="shared" si="161"/>
        <v>#N/A</v>
      </c>
    </row>
    <row r="1400" spans="2:7">
      <c r="B1400" s="67">
        <f t="shared" si="156"/>
        <v>44494</v>
      </c>
      <c r="C1400" s="7" t="e">
        <f t="shared" si="161"/>
        <v>#N/A</v>
      </c>
      <c r="D1400" s="7" t="e">
        <f t="shared" si="161"/>
        <v>#N/A</v>
      </c>
      <c r="E1400" s="7" t="e">
        <f t="shared" si="161"/>
        <v>#N/A</v>
      </c>
      <c r="F1400" s="7">
        <f t="shared" si="161"/>
        <v>2</v>
      </c>
      <c r="G1400" s="7" t="e">
        <f t="shared" si="161"/>
        <v>#N/A</v>
      </c>
    </row>
    <row r="1401" spans="2:7">
      <c r="B1401" s="67">
        <f t="shared" si="156"/>
        <v>44495</v>
      </c>
      <c r="C1401" s="7" t="e">
        <f t="shared" si="161"/>
        <v>#N/A</v>
      </c>
      <c r="D1401" s="7" t="e">
        <f t="shared" si="161"/>
        <v>#N/A</v>
      </c>
      <c r="E1401" s="7" t="e">
        <f t="shared" si="161"/>
        <v>#N/A</v>
      </c>
      <c r="F1401" s="7">
        <f t="shared" si="161"/>
        <v>2</v>
      </c>
      <c r="G1401" s="7" t="e">
        <f t="shared" si="161"/>
        <v>#N/A</v>
      </c>
    </row>
    <row r="1402" spans="2:7">
      <c r="B1402" s="67">
        <f t="shared" si="156"/>
        <v>44496</v>
      </c>
      <c r="C1402" s="7" t="e">
        <f t="shared" si="161"/>
        <v>#N/A</v>
      </c>
      <c r="D1402" s="7" t="e">
        <f t="shared" si="161"/>
        <v>#N/A</v>
      </c>
      <c r="E1402" s="7" t="e">
        <f t="shared" si="161"/>
        <v>#N/A</v>
      </c>
      <c r="F1402" s="7">
        <f t="shared" si="161"/>
        <v>2</v>
      </c>
      <c r="G1402" s="7" t="e">
        <f t="shared" si="161"/>
        <v>#N/A</v>
      </c>
    </row>
    <row r="1403" spans="2:7">
      <c r="B1403" s="67">
        <f t="shared" si="156"/>
        <v>44497</v>
      </c>
      <c r="C1403" s="7" t="e">
        <f t="shared" si="161"/>
        <v>#N/A</v>
      </c>
      <c r="D1403" s="7" t="e">
        <f t="shared" si="161"/>
        <v>#N/A</v>
      </c>
      <c r="E1403" s="7" t="e">
        <f t="shared" si="161"/>
        <v>#N/A</v>
      </c>
      <c r="F1403" s="7">
        <f t="shared" si="161"/>
        <v>2</v>
      </c>
      <c r="G1403" s="7" t="e">
        <f t="shared" si="161"/>
        <v>#N/A</v>
      </c>
    </row>
    <row r="1404" spans="2:7">
      <c r="B1404" s="67">
        <f t="shared" si="156"/>
        <v>44498</v>
      </c>
      <c r="C1404" s="7" t="e">
        <f t="shared" si="161"/>
        <v>#N/A</v>
      </c>
      <c r="D1404" s="7" t="e">
        <f t="shared" si="161"/>
        <v>#N/A</v>
      </c>
      <c r="E1404" s="7" t="e">
        <f t="shared" si="161"/>
        <v>#N/A</v>
      </c>
      <c r="F1404" s="7">
        <f t="shared" si="161"/>
        <v>2</v>
      </c>
      <c r="G1404" s="7" t="e">
        <f t="shared" si="161"/>
        <v>#N/A</v>
      </c>
    </row>
    <row r="1405" spans="2:7">
      <c r="B1405" s="67">
        <f t="shared" si="156"/>
        <v>44499</v>
      </c>
      <c r="C1405" s="7" t="e">
        <f t="shared" si="161"/>
        <v>#N/A</v>
      </c>
      <c r="D1405" s="7" t="e">
        <f t="shared" si="161"/>
        <v>#N/A</v>
      </c>
      <c r="E1405" s="7" t="e">
        <f t="shared" si="161"/>
        <v>#N/A</v>
      </c>
      <c r="F1405" s="7">
        <f t="shared" si="161"/>
        <v>2</v>
      </c>
      <c r="G1405" s="7" t="e">
        <f t="shared" si="161"/>
        <v>#N/A</v>
      </c>
    </row>
    <row r="1406" spans="2:7">
      <c r="B1406" s="67">
        <f t="shared" si="156"/>
        <v>44500</v>
      </c>
      <c r="C1406" s="7" t="e">
        <f t="shared" si="161"/>
        <v>#N/A</v>
      </c>
      <c r="D1406" s="7" t="e">
        <f t="shared" si="161"/>
        <v>#N/A</v>
      </c>
      <c r="E1406" s="7" t="e">
        <f t="shared" si="161"/>
        <v>#N/A</v>
      </c>
      <c r="F1406" s="7">
        <f t="shared" si="161"/>
        <v>2</v>
      </c>
      <c r="G1406" s="7" t="e">
        <f t="shared" si="161"/>
        <v>#N/A</v>
      </c>
    </row>
    <row r="1407" spans="2:7">
      <c r="B1407" s="67">
        <f t="shared" si="156"/>
        <v>44501</v>
      </c>
      <c r="C1407" s="7" t="e">
        <f t="shared" ref="C1407:G1416" si="162">IF(AND($B1407&gt;=C$3,$B1407&lt;=C$4),C$5,NA())</f>
        <v>#N/A</v>
      </c>
      <c r="D1407" s="7" t="e">
        <f t="shared" si="162"/>
        <v>#N/A</v>
      </c>
      <c r="E1407" s="7" t="e">
        <f t="shared" si="162"/>
        <v>#N/A</v>
      </c>
      <c r="F1407" s="7">
        <f t="shared" si="162"/>
        <v>2</v>
      </c>
      <c r="G1407" s="7" t="e">
        <f t="shared" si="162"/>
        <v>#N/A</v>
      </c>
    </row>
    <row r="1408" spans="2:7">
      <c r="B1408" s="67">
        <f t="shared" si="156"/>
        <v>44502</v>
      </c>
      <c r="C1408" s="7" t="e">
        <f t="shared" si="162"/>
        <v>#N/A</v>
      </c>
      <c r="D1408" s="7" t="e">
        <f t="shared" si="162"/>
        <v>#N/A</v>
      </c>
      <c r="E1408" s="7" t="e">
        <f t="shared" si="162"/>
        <v>#N/A</v>
      </c>
      <c r="F1408" s="7">
        <f t="shared" si="162"/>
        <v>2</v>
      </c>
      <c r="G1408" s="7" t="e">
        <f t="shared" si="162"/>
        <v>#N/A</v>
      </c>
    </row>
    <row r="1409" spans="2:7">
      <c r="B1409" s="67">
        <f t="shared" si="156"/>
        <v>44503</v>
      </c>
      <c r="C1409" s="7" t="e">
        <f t="shared" si="162"/>
        <v>#N/A</v>
      </c>
      <c r="D1409" s="7" t="e">
        <f t="shared" si="162"/>
        <v>#N/A</v>
      </c>
      <c r="E1409" s="7" t="e">
        <f t="shared" si="162"/>
        <v>#N/A</v>
      </c>
      <c r="F1409" s="7">
        <f t="shared" si="162"/>
        <v>2</v>
      </c>
      <c r="G1409" s="7" t="e">
        <f t="shared" si="162"/>
        <v>#N/A</v>
      </c>
    </row>
    <row r="1410" spans="2:7">
      <c r="B1410" s="67">
        <f t="shared" si="156"/>
        <v>44504</v>
      </c>
      <c r="C1410" s="7" t="e">
        <f t="shared" si="162"/>
        <v>#N/A</v>
      </c>
      <c r="D1410" s="7" t="e">
        <f t="shared" si="162"/>
        <v>#N/A</v>
      </c>
      <c r="E1410" s="7" t="e">
        <f t="shared" si="162"/>
        <v>#N/A</v>
      </c>
      <c r="F1410" s="7">
        <f t="shared" si="162"/>
        <v>2</v>
      </c>
      <c r="G1410" s="7" t="e">
        <f t="shared" si="162"/>
        <v>#N/A</v>
      </c>
    </row>
    <row r="1411" spans="2:7">
      <c r="B1411" s="67">
        <f t="shared" si="156"/>
        <v>44505</v>
      </c>
      <c r="C1411" s="7" t="e">
        <f t="shared" si="162"/>
        <v>#N/A</v>
      </c>
      <c r="D1411" s="7" t="e">
        <f t="shared" si="162"/>
        <v>#N/A</v>
      </c>
      <c r="E1411" s="7" t="e">
        <f t="shared" si="162"/>
        <v>#N/A</v>
      </c>
      <c r="F1411" s="7">
        <f t="shared" si="162"/>
        <v>2</v>
      </c>
      <c r="G1411" s="7" t="e">
        <f t="shared" si="162"/>
        <v>#N/A</v>
      </c>
    </row>
    <row r="1412" spans="2:7">
      <c r="B1412" s="67">
        <f t="shared" si="156"/>
        <v>44506</v>
      </c>
      <c r="C1412" s="7" t="e">
        <f t="shared" si="162"/>
        <v>#N/A</v>
      </c>
      <c r="D1412" s="7" t="e">
        <f t="shared" si="162"/>
        <v>#N/A</v>
      </c>
      <c r="E1412" s="7" t="e">
        <f t="shared" si="162"/>
        <v>#N/A</v>
      </c>
      <c r="F1412" s="7">
        <f t="shared" si="162"/>
        <v>2</v>
      </c>
      <c r="G1412" s="7" t="e">
        <f t="shared" si="162"/>
        <v>#N/A</v>
      </c>
    </row>
    <row r="1413" spans="2:7">
      <c r="B1413" s="67">
        <f t="shared" si="156"/>
        <v>44507</v>
      </c>
      <c r="C1413" s="7" t="e">
        <f t="shared" si="162"/>
        <v>#N/A</v>
      </c>
      <c r="D1413" s="7" t="e">
        <f t="shared" si="162"/>
        <v>#N/A</v>
      </c>
      <c r="E1413" s="7" t="e">
        <f t="shared" si="162"/>
        <v>#N/A</v>
      </c>
      <c r="F1413" s="7">
        <f t="shared" si="162"/>
        <v>2</v>
      </c>
      <c r="G1413" s="7" t="e">
        <f t="shared" si="162"/>
        <v>#N/A</v>
      </c>
    </row>
    <row r="1414" spans="2:7">
      <c r="B1414" s="67">
        <f t="shared" si="156"/>
        <v>44508</v>
      </c>
      <c r="C1414" s="7" t="e">
        <f t="shared" si="162"/>
        <v>#N/A</v>
      </c>
      <c r="D1414" s="7" t="e">
        <f t="shared" si="162"/>
        <v>#N/A</v>
      </c>
      <c r="E1414" s="7" t="e">
        <f t="shared" si="162"/>
        <v>#N/A</v>
      </c>
      <c r="F1414" s="7">
        <f t="shared" si="162"/>
        <v>2</v>
      </c>
      <c r="G1414" s="7" t="e">
        <f t="shared" si="162"/>
        <v>#N/A</v>
      </c>
    </row>
    <row r="1415" spans="2:7">
      <c r="B1415" s="67">
        <f t="shared" si="156"/>
        <v>44509</v>
      </c>
      <c r="C1415" s="7" t="e">
        <f t="shared" si="162"/>
        <v>#N/A</v>
      </c>
      <c r="D1415" s="7" t="e">
        <f t="shared" si="162"/>
        <v>#N/A</v>
      </c>
      <c r="E1415" s="7" t="e">
        <f t="shared" si="162"/>
        <v>#N/A</v>
      </c>
      <c r="F1415" s="7">
        <f t="shared" si="162"/>
        <v>2</v>
      </c>
      <c r="G1415" s="7" t="e">
        <f t="shared" si="162"/>
        <v>#N/A</v>
      </c>
    </row>
    <row r="1416" spans="2:7">
      <c r="B1416" s="67">
        <f t="shared" ref="B1416:B1479" si="163">B1415+1</f>
        <v>44510</v>
      </c>
      <c r="C1416" s="7" t="e">
        <f t="shared" si="162"/>
        <v>#N/A</v>
      </c>
      <c r="D1416" s="7" t="e">
        <f t="shared" si="162"/>
        <v>#N/A</v>
      </c>
      <c r="E1416" s="7" t="e">
        <f t="shared" si="162"/>
        <v>#N/A</v>
      </c>
      <c r="F1416" s="7">
        <f t="shared" si="162"/>
        <v>2</v>
      </c>
      <c r="G1416" s="7" t="e">
        <f t="shared" si="162"/>
        <v>#N/A</v>
      </c>
    </row>
    <row r="1417" spans="2:7">
      <c r="B1417" s="67">
        <f t="shared" si="163"/>
        <v>44511</v>
      </c>
      <c r="C1417" s="7" t="e">
        <f t="shared" ref="C1417:G1426" si="164">IF(AND($B1417&gt;=C$3,$B1417&lt;=C$4),C$5,NA())</f>
        <v>#N/A</v>
      </c>
      <c r="D1417" s="7" t="e">
        <f t="shared" si="164"/>
        <v>#N/A</v>
      </c>
      <c r="E1417" s="7" t="e">
        <f t="shared" si="164"/>
        <v>#N/A</v>
      </c>
      <c r="F1417" s="7">
        <f t="shared" si="164"/>
        <v>2</v>
      </c>
      <c r="G1417" s="7" t="e">
        <f t="shared" si="164"/>
        <v>#N/A</v>
      </c>
    </row>
    <row r="1418" spans="2:7">
      <c r="B1418" s="67">
        <f t="shared" si="163"/>
        <v>44512</v>
      </c>
      <c r="C1418" s="7" t="e">
        <f t="shared" si="164"/>
        <v>#N/A</v>
      </c>
      <c r="D1418" s="7" t="e">
        <f t="shared" si="164"/>
        <v>#N/A</v>
      </c>
      <c r="E1418" s="7" t="e">
        <f t="shared" si="164"/>
        <v>#N/A</v>
      </c>
      <c r="F1418" s="7">
        <f t="shared" si="164"/>
        <v>2</v>
      </c>
      <c r="G1418" s="7" t="e">
        <f t="shared" si="164"/>
        <v>#N/A</v>
      </c>
    </row>
    <row r="1419" spans="2:7">
      <c r="B1419" s="67">
        <f t="shared" si="163"/>
        <v>44513</v>
      </c>
      <c r="C1419" s="7" t="e">
        <f t="shared" si="164"/>
        <v>#N/A</v>
      </c>
      <c r="D1419" s="7" t="e">
        <f t="shared" si="164"/>
        <v>#N/A</v>
      </c>
      <c r="E1419" s="7" t="e">
        <f t="shared" si="164"/>
        <v>#N/A</v>
      </c>
      <c r="F1419" s="7">
        <f t="shared" si="164"/>
        <v>2</v>
      </c>
      <c r="G1419" s="7" t="e">
        <f t="shared" si="164"/>
        <v>#N/A</v>
      </c>
    </row>
    <row r="1420" spans="2:7">
      <c r="B1420" s="67">
        <f t="shared" si="163"/>
        <v>44514</v>
      </c>
      <c r="C1420" s="7" t="e">
        <f t="shared" si="164"/>
        <v>#N/A</v>
      </c>
      <c r="D1420" s="7" t="e">
        <f t="shared" si="164"/>
        <v>#N/A</v>
      </c>
      <c r="E1420" s="7" t="e">
        <f t="shared" si="164"/>
        <v>#N/A</v>
      </c>
      <c r="F1420" s="7">
        <f t="shared" si="164"/>
        <v>2</v>
      </c>
      <c r="G1420" s="7" t="e">
        <f t="shared" si="164"/>
        <v>#N/A</v>
      </c>
    </row>
    <row r="1421" spans="2:7">
      <c r="B1421" s="67">
        <f t="shared" si="163"/>
        <v>44515</v>
      </c>
      <c r="C1421" s="7" t="e">
        <f t="shared" si="164"/>
        <v>#N/A</v>
      </c>
      <c r="D1421" s="7" t="e">
        <f t="shared" si="164"/>
        <v>#N/A</v>
      </c>
      <c r="E1421" s="7" t="e">
        <f t="shared" si="164"/>
        <v>#N/A</v>
      </c>
      <c r="F1421" s="7">
        <f t="shared" si="164"/>
        <v>2</v>
      </c>
      <c r="G1421" s="7" t="e">
        <f t="shared" si="164"/>
        <v>#N/A</v>
      </c>
    </row>
    <row r="1422" spans="2:7">
      <c r="B1422" s="67">
        <f t="shared" si="163"/>
        <v>44516</v>
      </c>
      <c r="C1422" s="7" t="e">
        <f t="shared" si="164"/>
        <v>#N/A</v>
      </c>
      <c r="D1422" s="7" t="e">
        <f t="shared" si="164"/>
        <v>#N/A</v>
      </c>
      <c r="E1422" s="7" t="e">
        <f t="shared" si="164"/>
        <v>#N/A</v>
      </c>
      <c r="F1422" s="7">
        <f t="shared" si="164"/>
        <v>2</v>
      </c>
      <c r="G1422" s="7" t="e">
        <f t="shared" si="164"/>
        <v>#N/A</v>
      </c>
    </row>
    <row r="1423" spans="2:7">
      <c r="B1423" s="67">
        <f t="shared" si="163"/>
        <v>44517</v>
      </c>
      <c r="C1423" s="7" t="e">
        <f t="shared" si="164"/>
        <v>#N/A</v>
      </c>
      <c r="D1423" s="7" t="e">
        <f t="shared" si="164"/>
        <v>#N/A</v>
      </c>
      <c r="E1423" s="7" t="e">
        <f t="shared" si="164"/>
        <v>#N/A</v>
      </c>
      <c r="F1423" s="7">
        <f t="shared" si="164"/>
        <v>2</v>
      </c>
      <c r="G1423" s="7" t="e">
        <f t="shared" si="164"/>
        <v>#N/A</v>
      </c>
    </row>
    <row r="1424" spans="2:7">
      <c r="B1424" s="67">
        <f t="shared" si="163"/>
        <v>44518</v>
      </c>
      <c r="C1424" s="7" t="e">
        <f t="shared" si="164"/>
        <v>#N/A</v>
      </c>
      <c r="D1424" s="7" t="e">
        <f t="shared" si="164"/>
        <v>#N/A</v>
      </c>
      <c r="E1424" s="7" t="e">
        <f t="shared" si="164"/>
        <v>#N/A</v>
      </c>
      <c r="F1424" s="7">
        <f t="shared" si="164"/>
        <v>2</v>
      </c>
      <c r="G1424" s="7" t="e">
        <f t="shared" si="164"/>
        <v>#N/A</v>
      </c>
    </row>
    <row r="1425" spans="2:7">
      <c r="B1425" s="67">
        <f t="shared" si="163"/>
        <v>44519</v>
      </c>
      <c r="C1425" s="7" t="e">
        <f t="shared" si="164"/>
        <v>#N/A</v>
      </c>
      <c r="D1425" s="7" t="e">
        <f t="shared" si="164"/>
        <v>#N/A</v>
      </c>
      <c r="E1425" s="7" t="e">
        <f t="shared" si="164"/>
        <v>#N/A</v>
      </c>
      <c r="F1425" s="7">
        <f t="shared" si="164"/>
        <v>2</v>
      </c>
      <c r="G1425" s="7" t="e">
        <f t="shared" si="164"/>
        <v>#N/A</v>
      </c>
    </row>
    <row r="1426" spans="2:7">
      <c r="B1426" s="67">
        <f t="shared" si="163"/>
        <v>44520</v>
      </c>
      <c r="C1426" s="7" t="e">
        <f t="shared" si="164"/>
        <v>#N/A</v>
      </c>
      <c r="D1426" s="7" t="e">
        <f t="shared" si="164"/>
        <v>#N/A</v>
      </c>
      <c r="E1426" s="7" t="e">
        <f t="shared" si="164"/>
        <v>#N/A</v>
      </c>
      <c r="F1426" s="7">
        <f t="shared" si="164"/>
        <v>2</v>
      </c>
      <c r="G1426" s="7" t="e">
        <f t="shared" si="164"/>
        <v>#N/A</v>
      </c>
    </row>
    <row r="1427" spans="2:7">
      <c r="B1427" s="67">
        <f t="shared" si="163"/>
        <v>44521</v>
      </c>
      <c r="C1427" s="7" t="e">
        <f t="shared" ref="C1427:G1436" si="165">IF(AND($B1427&gt;=C$3,$B1427&lt;=C$4),C$5,NA())</f>
        <v>#N/A</v>
      </c>
      <c r="D1427" s="7" t="e">
        <f t="shared" si="165"/>
        <v>#N/A</v>
      </c>
      <c r="E1427" s="7" t="e">
        <f t="shared" si="165"/>
        <v>#N/A</v>
      </c>
      <c r="F1427" s="7">
        <f t="shared" si="165"/>
        <v>2</v>
      </c>
      <c r="G1427" s="7" t="e">
        <f t="shared" si="165"/>
        <v>#N/A</v>
      </c>
    </row>
    <row r="1428" spans="2:7">
      <c r="B1428" s="67">
        <f t="shared" si="163"/>
        <v>44522</v>
      </c>
      <c r="C1428" s="7" t="e">
        <f t="shared" si="165"/>
        <v>#N/A</v>
      </c>
      <c r="D1428" s="7" t="e">
        <f t="shared" si="165"/>
        <v>#N/A</v>
      </c>
      <c r="E1428" s="7" t="e">
        <f t="shared" si="165"/>
        <v>#N/A</v>
      </c>
      <c r="F1428" s="7">
        <f t="shared" si="165"/>
        <v>2</v>
      </c>
      <c r="G1428" s="7" t="e">
        <f t="shared" si="165"/>
        <v>#N/A</v>
      </c>
    </row>
    <row r="1429" spans="2:7">
      <c r="B1429" s="67">
        <f t="shared" si="163"/>
        <v>44523</v>
      </c>
      <c r="C1429" s="7" t="e">
        <f t="shared" si="165"/>
        <v>#N/A</v>
      </c>
      <c r="D1429" s="7" t="e">
        <f t="shared" si="165"/>
        <v>#N/A</v>
      </c>
      <c r="E1429" s="7" t="e">
        <f t="shared" si="165"/>
        <v>#N/A</v>
      </c>
      <c r="F1429" s="7">
        <f t="shared" si="165"/>
        <v>2</v>
      </c>
      <c r="G1429" s="7" t="e">
        <f t="shared" si="165"/>
        <v>#N/A</v>
      </c>
    </row>
    <row r="1430" spans="2:7">
      <c r="B1430" s="67">
        <f t="shared" si="163"/>
        <v>44524</v>
      </c>
      <c r="C1430" s="7" t="e">
        <f t="shared" si="165"/>
        <v>#N/A</v>
      </c>
      <c r="D1430" s="7" t="e">
        <f t="shared" si="165"/>
        <v>#N/A</v>
      </c>
      <c r="E1430" s="7" t="e">
        <f t="shared" si="165"/>
        <v>#N/A</v>
      </c>
      <c r="F1430" s="7">
        <f t="shared" si="165"/>
        <v>2</v>
      </c>
      <c r="G1430" s="7" t="e">
        <f t="shared" si="165"/>
        <v>#N/A</v>
      </c>
    </row>
    <row r="1431" spans="2:7">
      <c r="B1431" s="67">
        <f t="shared" si="163"/>
        <v>44525</v>
      </c>
      <c r="C1431" s="7" t="e">
        <f t="shared" si="165"/>
        <v>#N/A</v>
      </c>
      <c r="D1431" s="7" t="e">
        <f t="shared" si="165"/>
        <v>#N/A</v>
      </c>
      <c r="E1431" s="7" t="e">
        <f t="shared" si="165"/>
        <v>#N/A</v>
      </c>
      <c r="F1431" s="7">
        <f t="shared" si="165"/>
        <v>2</v>
      </c>
      <c r="G1431" s="7" t="e">
        <f t="shared" si="165"/>
        <v>#N/A</v>
      </c>
    </row>
    <row r="1432" spans="2:7">
      <c r="B1432" s="67">
        <f t="shared" si="163"/>
        <v>44526</v>
      </c>
      <c r="C1432" s="7" t="e">
        <f t="shared" si="165"/>
        <v>#N/A</v>
      </c>
      <c r="D1432" s="7" t="e">
        <f t="shared" si="165"/>
        <v>#N/A</v>
      </c>
      <c r="E1432" s="7" t="e">
        <f t="shared" si="165"/>
        <v>#N/A</v>
      </c>
      <c r="F1432" s="7" t="e">
        <f t="shared" si="165"/>
        <v>#N/A</v>
      </c>
      <c r="G1432" s="7" t="e">
        <f t="shared" si="165"/>
        <v>#N/A</v>
      </c>
    </row>
    <row r="1433" spans="2:7">
      <c r="B1433" s="67">
        <f t="shared" si="163"/>
        <v>44527</v>
      </c>
      <c r="C1433" s="7" t="e">
        <f t="shared" si="165"/>
        <v>#N/A</v>
      </c>
      <c r="D1433" s="7" t="e">
        <f t="shared" si="165"/>
        <v>#N/A</v>
      </c>
      <c r="E1433" s="7" t="e">
        <f t="shared" si="165"/>
        <v>#N/A</v>
      </c>
      <c r="F1433" s="7" t="e">
        <f t="shared" si="165"/>
        <v>#N/A</v>
      </c>
      <c r="G1433" s="7" t="e">
        <f t="shared" si="165"/>
        <v>#N/A</v>
      </c>
    </row>
    <row r="1434" spans="2:7">
      <c r="B1434" s="67">
        <f t="shared" si="163"/>
        <v>44528</v>
      </c>
      <c r="C1434" s="7" t="e">
        <f t="shared" si="165"/>
        <v>#N/A</v>
      </c>
      <c r="D1434" s="7" t="e">
        <f t="shared" si="165"/>
        <v>#N/A</v>
      </c>
      <c r="E1434" s="7" t="e">
        <f t="shared" si="165"/>
        <v>#N/A</v>
      </c>
      <c r="F1434" s="7" t="e">
        <f t="shared" si="165"/>
        <v>#N/A</v>
      </c>
      <c r="G1434" s="7" t="e">
        <f t="shared" si="165"/>
        <v>#N/A</v>
      </c>
    </row>
    <row r="1435" spans="2:7">
      <c r="B1435" s="67">
        <f t="shared" si="163"/>
        <v>44529</v>
      </c>
      <c r="C1435" s="7" t="e">
        <f t="shared" si="165"/>
        <v>#N/A</v>
      </c>
      <c r="D1435" s="7" t="e">
        <f t="shared" si="165"/>
        <v>#N/A</v>
      </c>
      <c r="E1435" s="7" t="e">
        <f t="shared" si="165"/>
        <v>#N/A</v>
      </c>
      <c r="F1435" s="7" t="e">
        <f t="shared" si="165"/>
        <v>#N/A</v>
      </c>
      <c r="G1435" s="7" t="e">
        <f t="shared" si="165"/>
        <v>#N/A</v>
      </c>
    </row>
    <row r="1436" spans="2:7">
      <c r="B1436" s="67">
        <f t="shared" si="163"/>
        <v>44530</v>
      </c>
      <c r="C1436" s="7" t="e">
        <f t="shared" si="165"/>
        <v>#N/A</v>
      </c>
      <c r="D1436" s="7" t="e">
        <f t="shared" si="165"/>
        <v>#N/A</v>
      </c>
      <c r="E1436" s="7" t="e">
        <f t="shared" si="165"/>
        <v>#N/A</v>
      </c>
      <c r="F1436" s="7" t="e">
        <f t="shared" si="165"/>
        <v>#N/A</v>
      </c>
      <c r="G1436" s="7" t="e">
        <f t="shared" si="165"/>
        <v>#N/A</v>
      </c>
    </row>
    <row r="1437" spans="2:7">
      <c r="B1437" s="67">
        <f t="shared" si="163"/>
        <v>44531</v>
      </c>
      <c r="C1437" s="7" t="e">
        <f t="shared" ref="C1437:G1446" si="166">IF(AND($B1437&gt;=C$3,$B1437&lt;=C$4),C$5,NA())</f>
        <v>#N/A</v>
      </c>
      <c r="D1437" s="7" t="e">
        <f t="shared" si="166"/>
        <v>#N/A</v>
      </c>
      <c r="E1437" s="7" t="e">
        <f t="shared" si="166"/>
        <v>#N/A</v>
      </c>
      <c r="F1437" s="7" t="e">
        <f t="shared" si="166"/>
        <v>#N/A</v>
      </c>
      <c r="G1437" s="7" t="e">
        <f t="shared" si="166"/>
        <v>#N/A</v>
      </c>
    </row>
    <row r="1438" spans="2:7">
      <c r="B1438" s="67">
        <f t="shared" si="163"/>
        <v>44532</v>
      </c>
      <c r="C1438" s="7" t="e">
        <f t="shared" si="166"/>
        <v>#N/A</v>
      </c>
      <c r="D1438" s="7" t="e">
        <f t="shared" si="166"/>
        <v>#N/A</v>
      </c>
      <c r="E1438" s="7" t="e">
        <f t="shared" si="166"/>
        <v>#N/A</v>
      </c>
      <c r="F1438" s="7" t="e">
        <f t="shared" si="166"/>
        <v>#N/A</v>
      </c>
      <c r="G1438" s="7" t="e">
        <f t="shared" si="166"/>
        <v>#N/A</v>
      </c>
    </row>
    <row r="1439" spans="2:7">
      <c r="B1439" s="67">
        <f t="shared" si="163"/>
        <v>44533</v>
      </c>
      <c r="C1439" s="7" t="e">
        <f t="shared" si="166"/>
        <v>#N/A</v>
      </c>
      <c r="D1439" s="7" t="e">
        <f t="shared" si="166"/>
        <v>#N/A</v>
      </c>
      <c r="E1439" s="7" t="e">
        <f t="shared" si="166"/>
        <v>#N/A</v>
      </c>
      <c r="F1439" s="7" t="e">
        <f t="shared" si="166"/>
        <v>#N/A</v>
      </c>
      <c r="G1439" s="7" t="e">
        <f t="shared" si="166"/>
        <v>#N/A</v>
      </c>
    </row>
    <row r="1440" spans="2:7">
      <c r="B1440" s="67">
        <f t="shared" si="163"/>
        <v>44534</v>
      </c>
      <c r="C1440" s="7" t="e">
        <f t="shared" si="166"/>
        <v>#N/A</v>
      </c>
      <c r="D1440" s="7" t="e">
        <f t="shared" si="166"/>
        <v>#N/A</v>
      </c>
      <c r="E1440" s="7" t="e">
        <f t="shared" si="166"/>
        <v>#N/A</v>
      </c>
      <c r="F1440" s="7" t="e">
        <f t="shared" si="166"/>
        <v>#N/A</v>
      </c>
      <c r="G1440" s="7" t="e">
        <f t="shared" si="166"/>
        <v>#N/A</v>
      </c>
    </row>
    <row r="1441" spans="2:7">
      <c r="B1441" s="67">
        <f t="shared" si="163"/>
        <v>44535</v>
      </c>
      <c r="C1441" s="7" t="e">
        <f t="shared" si="166"/>
        <v>#N/A</v>
      </c>
      <c r="D1441" s="7" t="e">
        <f t="shared" si="166"/>
        <v>#N/A</v>
      </c>
      <c r="E1441" s="7" t="e">
        <f t="shared" si="166"/>
        <v>#N/A</v>
      </c>
      <c r="F1441" s="7" t="e">
        <f t="shared" si="166"/>
        <v>#N/A</v>
      </c>
      <c r="G1441" s="7" t="e">
        <f t="shared" si="166"/>
        <v>#N/A</v>
      </c>
    </row>
    <row r="1442" spans="2:7">
      <c r="B1442" s="67">
        <f t="shared" si="163"/>
        <v>44536</v>
      </c>
      <c r="C1442" s="7" t="e">
        <f t="shared" si="166"/>
        <v>#N/A</v>
      </c>
      <c r="D1442" s="7" t="e">
        <f t="shared" si="166"/>
        <v>#N/A</v>
      </c>
      <c r="E1442" s="7" t="e">
        <f t="shared" si="166"/>
        <v>#N/A</v>
      </c>
      <c r="F1442" s="7" t="e">
        <f t="shared" si="166"/>
        <v>#N/A</v>
      </c>
      <c r="G1442" s="7" t="e">
        <f t="shared" si="166"/>
        <v>#N/A</v>
      </c>
    </row>
    <row r="1443" spans="2:7">
      <c r="B1443" s="67">
        <f t="shared" si="163"/>
        <v>44537</v>
      </c>
      <c r="C1443" s="7" t="e">
        <f t="shared" si="166"/>
        <v>#N/A</v>
      </c>
      <c r="D1443" s="7" t="e">
        <f t="shared" si="166"/>
        <v>#N/A</v>
      </c>
      <c r="E1443" s="7" t="e">
        <f t="shared" si="166"/>
        <v>#N/A</v>
      </c>
      <c r="F1443" s="7" t="e">
        <f t="shared" si="166"/>
        <v>#N/A</v>
      </c>
      <c r="G1443" s="7" t="e">
        <f t="shared" si="166"/>
        <v>#N/A</v>
      </c>
    </row>
    <row r="1444" spans="2:7">
      <c r="B1444" s="67">
        <f t="shared" si="163"/>
        <v>44538</v>
      </c>
      <c r="C1444" s="7" t="e">
        <f t="shared" si="166"/>
        <v>#N/A</v>
      </c>
      <c r="D1444" s="7" t="e">
        <f t="shared" si="166"/>
        <v>#N/A</v>
      </c>
      <c r="E1444" s="7" t="e">
        <f t="shared" si="166"/>
        <v>#N/A</v>
      </c>
      <c r="F1444" s="7" t="e">
        <f t="shared" si="166"/>
        <v>#N/A</v>
      </c>
      <c r="G1444" s="7" t="e">
        <f t="shared" si="166"/>
        <v>#N/A</v>
      </c>
    </row>
    <row r="1445" spans="2:7">
      <c r="B1445" s="67">
        <f t="shared" si="163"/>
        <v>44539</v>
      </c>
      <c r="C1445" s="7" t="e">
        <f t="shared" si="166"/>
        <v>#N/A</v>
      </c>
      <c r="D1445" s="7" t="e">
        <f t="shared" si="166"/>
        <v>#N/A</v>
      </c>
      <c r="E1445" s="7" t="e">
        <f t="shared" si="166"/>
        <v>#N/A</v>
      </c>
      <c r="F1445" s="7" t="e">
        <f t="shared" si="166"/>
        <v>#N/A</v>
      </c>
      <c r="G1445" s="7" t="e">
        <f t="shared" si="166"/>
        <v>#N/A</v>
      </c>
    </row>
    <row r="1446" spans="2:7">
      <c r="B1446" s="67">
        <f t="shared" si="163"/>
        <v>44540</v>
      </c>
      <c r="C1446" s="7" t="e">
        <f t="shared" si="166"/>
        <v>#N/A</v>
      </c>
      <c r="D1446" s="7" t="e">
        <f t="shared" si="166"/>
        <v>#N/A</v>
      </c>
      <c r="E1446" s="7" t="e">
        <f t="shared" si="166"/>
        <v>#N/A</v>
      </c>
      <c r="F1446" s="7" t="e">
        <f t="shared" si="166"/>
        <v>#N/A</v>
      </c>
      <c r="G1446" s="7" t="e">
        <f t="shared" si="166"/>
        <v>#N/A</v>
      </c>
    </row>
    <row r="1447" spans="2:7">
      <c r="B1447" s="67">
        <f t="shared" si="163"/>
        <v>44541</v>
      </c>
      <c r="C1447" s="7" t="e">
        <f t="shared" ref="C1447:G1456" si="167">IF(AND($B1447&gt;=C$3,$B1447&lt;=C$4),C$5,NA())</f>
        <v>#N/A</v>
      </c>
      <c r="D1447" s="7" t="e">
        <f t="shared" si="167"/>
        <v>#N/A</v>
      </c>
      <c r="E1447" s="7" t="e">
        <f t="shared" si="167"/>
        <v>#N/A</v>
      </c>
      <c r="F1447" s="7" t="e">
        <f t="shared" si="167"/>
        <v>#N/A</v>
      </c>
      <c r="G1447" s="7" t="e">
        <f t="shared" si="167"/>
        <v>#N/A</v>
      </c>
    </row>
    <row r="1448" spans="2:7">
      <c r="B1448" s="67">
        <f t="shared" si="163"/>
        <v>44542</v>
      </c>
      <c r="C1448" s="7" t="e">
        <f t="shared" si="167"/>
        <v>#N/A</v>
      </c>
      <c r="D1448" s="7" t="e">
        <f t="shared" si="167"/>
        <v>#N/A</v>
      </c>
      <c r="E1448" s="7" t="e">
        <f t="shared" si="167"/>
        <v>#N/A</v>
      </c>
      <c r="F1448" s="7" t="e">
        <f t="shared" si="167"/>
        <v>#N/A</v>
      </c>
      <c r="G1448" s="7" t="e">
        <f t="shared" si="167"/>
        <v>#N/A</v>
      </c>
    </row>
    <row r="1449" spans="2:7">
      <c r="B1449" s="67">
        <f t="shared" si="163"/>
        <v>44543</v>
      </c>
      <c r="C1449" s="7" t="e">
        <f t="shared" si="167"/>
        <v>#N/A</v>
      </c>
      <c r="D1449" s="7" t="e">
        <f t="shared" si="167"/>
        <v>#N/A</v>
      </c>
      <c r="E1449" s="7" t="e">
        <f t="shared" si="167"/>
        <v>#N/A</v>
      </c>
      <c r="F1449" s="7" t="e">
        <f t="shared" si="167"/>
        <v>#N/A</v>
      </c>
      <c r="G1449" s="7" t="e">
        <f t="shared" si="167"/>
        <v>#N/A</v>
      </c>
    </row>
    <row r="1450" spans="2:7">
      <c r="B1450" s="67">
        <f t="shared" si="163"/>
        <v>44544</v>
      </c>
      <c r="C1450" s="7" t="e">
        <f t="shared" si="167"/>
        <v>#N/A</v>
      </c>
      <c r="D1450" s="7" t="e">
        <f t="shared" si="167"/>
        <v>#N/A</v>
      </c>
      <c r="E1450" s="7" t="e">
        <f t="shared" si="167"/>
        <v>#N/A</v>
      </c>
      <c r="F1450" s="7" t="e">
        <f t="shared" si="167"/>
        <v>#N/A</v>
      </c>
      <c r="G1450" s="7" t="e">
        <f t="shared" si="167"/>
        <v>#N/A</v>
      </c>
    </row>
    <row r="1451" spans="2:7">
      <c r="B1451" s="67">
        <f t="shared" si="163"/>
        <v>44545</v>
      </c>
      <c r="C1451" s="7" t="e">
        <f t="shared" si="167"/>
        <v>#N/A</v>
      </c>
      <c r="D1451" s="7" t="e">
        <f t="shared" si="167"/>
        <v>#N/A</v>
      </c>
      <c r="E1451" s="7" t="e">
        <f t="shared" si="167"/>
        <v>#N/A</v>
      </c>
      <c r="F1451" s="7" t="e">
        <f t="shared" si="167"/>
        <v>#N/A</v>
      </c>
      <c r="G1451" s="7" t="e">
        <f t="shared" si="167"/>
        <v>#N/A</v>
      </c>
    </row>
    <row r="1452" spans="2:7">
      <c r="B1452" s="67">
        <f t="shared" si="163"/>
        <v>44546</v>
      </c>
      <c r="C1452" s="7" t="e">
        <f t="shared" si="167"/>
        <v>#N/A</v>
      </c>
      <c r="D1452" s="7" t="e">
        <f t="shared" si="167"/>
        <v>#N/A</v>
      </c>
      <c r="E1452" s="7" t="e">
        <f t="shared" si="167"/>
        <v>#N/A</v>
      </c>
      <c r="F1452" s="7" t="e">
        <f t="shared" si="167"/>
        <v>#N/A</v>
      </c>
      <c r="G1452" s="7" t="e">
        <f t="shared" si="167"/>
        <v>#N/A</v>
      </c>
    </row>
    <row r="1453" spans="2:7">
      <c r="B1453" s="67">
        <f t="shared" si="163"/>
        <v>44547</v>
      </c>
      <c r="C1453" s="7" t="e">
        <f t="shared" si="167"/>
        <v>#N/A</v>
      </c>
      <c r="D1453" s="7" t="e">
        <f t="shared" si="167"/>
        <v>#N/A</v>
      </c>
      <c r="E1453" s="7" t="e">
        <f t="shared" si="167"/>
        <v>#N/A</v>
      </c>
      <c r="F1453" s="7" t="e">
        <f t="shared" si="167"/>
        <v>#N/A</v>
      </c>
      <c r="G1453" s="7" t="e">
        <f t="shared" si="167"/>
        <v>#N/A</v>
      </c>
    </row>
    <row r="1454" spans="2:7">
      <c r="B1454" s="67">
        <f t="shared" si="163"/>
        <v>44548</v>
      </c>
      <c r="C1454" s="7" t="e">
        <f t="shared" si="167"/>
        <v>#N/A</v>
      </c>
      <c r="D1454" s="7" t="e">
        <f t="shared" si="167"/>
        <v>#N/A</v>
      </c>
      <c r="E1454" s="7" t="e">
        <f t="shared" si="167"/>
        <v>#N/A</v>
      </c>
      <c r="F1454" s="7" t="e">
        <f t="shared" si="167"/>
        <v>#N/A</v>
      </c>
      <c r="G1454" s="7" t="e">
        <f t="shared" si="167"/>
        <v>#N/A</v>
      </c>
    </row>
    <row r="1455" spans="2:7">
      <c r="B1455" s="67">
        <f t="shared" si="163"/>
        <v>44549</v>
      </c>
      <c r="C1455" s="7" t="e">
        <f t="shared" si="167"/>
        <v>#N/A</v>
      </c>
      <c r="D1455" s="7" t="e">
        <f t="shared" si="167"/>
        <v>#N/A</v>
      </c>
      <c r="E1455" s="7" t="e">
        <f t="shared" si="167"/>
        <v>#N/A</v>
      </c>
      <c r="F1455" s="7" t="e">
        <f t="shared" si="167"/>
        <v>#N/A</v>
      </c>
      <c r="G1455" s="7" t="e">
        <f t="shared" si="167"/>
        <v>#N/A</v>
      </c>
    </row>
    <row r="1456" spans="2:7">
      <c r="B1456" s="67">
        <f t="shared" si="163"/>
        <v>44550</v>
      </c>
      <c r="C1456" s="7" t="e">
        <f t="shared" si="167"/>
        <v>#N/A</v>
      </c>
      <c r="D1456" s="7" t="e">
        <f t="shared" si="167"/>
        <v>#N/A</v>
      </c>
      <c r="E1456" s="7" t="e">
        <f t="shared" si="167"/>
        <v>#N/A</v>
      </c>
      <c r="F1456" s="7" t="e">
        <f t="shared" si="167"/>
        <v>#N/A</v>
      </c>
      <c r="G1456" s="7" t="e">
        <f t="shared" si="167"/>
        <v>#N/A</v>
      </c>
    </row>
    <row r="1457" spans="2:7">
      <c r="B1457" s="67">
        <f t="shared" si="163"/>
        <v>44551</v>
      </c>
      <c r="C1457" s="7" t="e">
        <f t="shared" ref="C1457:G1466" si="168">IF(AND($B1457&gt;=C$3,$B1457&lt;=C$4),C$5,NA())</f>
        <v>#N/A</v>
      </c>
      <c r="D1457" s="7" t="e">
        <f t="shared" si="168"/>
        <v>#N/A</v>
      </c>
      <c r="E1457" s="7" t="e">
        <f t="shared" si="168"/>
        <v>#N/A</v>
      </c>
      <c r="F1457" s="7" t="e">
        <f t="shared" si="168"/>
        <v>#N/A</v>
      </c>
      <c r="G1457" s="7" t="e">
        <f t="shared" si="168"/>
        <v>#N/A</v>
      </c>
    </row>
    <row r="1458" spans="2:7">
      <c r="B1458" s="67">
        <f t="shared" si="163"/>
        <v>44552</v>
      </c>
      <c r="C1458" s="7" t="e">
        <f t="shared" si="168"/>
        <v>#N/A</v>
      </c>
      <c r="D1458" s="7" t="e">
        <f t="shared" si="168"/>
        <v>#N/A</v>
      </c>
      <c r="E1458" s="7" t="e">
        <f t="shared" si="168"/>
        <v>#N/A</v>
      </c>
      <c r="F1458" s="7" t="e">
        <f t="shared" si="168"/>
        <v>#N/A</v>
      </c>
      <c r="G1458" s="7" t="e">
        <f t="shared" si="168"/>
        <v>#N/A</v>
      </c>
    </row>
    <row r="1459" spans="2:7">
      <c r="B1459" s="67">
        <f t="shared" si="163"/>
        <v>44553</v>
      </c>
      <c r="C1459" s="7" t="e">
        <f t="shared" si="168"/>
        <v>#N/A</v>
      </c>
      <c r="D1459" s="7" t="e">
        <f t="shared" si="168"/>
        <v>#N/A</v>
      </c>
      <c r="E1459" s="7" t="e">
        <f t="shared" si="168"/>
        <v>#N/A</v>
      </c>
      <c r="F1459" s="7" t="e">
        <f t="shared" si="168"/>
        <v>#N/A</v>
      </c>
      <c r="G1459" s="7" t="e">
        <f t="shared" si="168"/>
        <v>#N/A</v>
      </c>
    </row>
    <row r="1460" spans="2:7">
      <c r="B1460" s="67">
        <f t="shared" si="163"/>
        <v>44554</v>
      </c>
      <c r="C1460" s="7" t="e">
        <f t="shared" si="168"/>
        <v>#N/A</v>
      </c>
      <c r="D1460" s="7" t="e">
        <f t="shared" si="168"/>
        <v>#N/A</v>
      </c>
      <c r="E1460" s="7" t="e">
        <f t="shared" si="168"/>
        <v>#N/A</v>
      </c>
      <c r="F1460" s="7" t="e">
        <f t="shared" si="168"/>
        <v>#N/A</v>
      </c>
      <c r="G1460" s="7" t="e">
        <f t="shared" si="168"/>
        <v>#N/A</v>
      </c>
    </row>
    <row r="1461" spans="2:7">
      <c r="B1461" s="67">
        <f t="shared" si="163"/>
        <v>44555</v>
      </c>
      <c r="C1461" s="7" t="e">
        <f t="shared" si="168"/>
        <v>#N/A</v>
      </c>
      <c r="D1461" s="7" t="e">
        <f t="shared" si="168"/>
        <v>#N/A</v>
      </c>
      <c r="E1461" s="7" t="e">
        <f t="shared" si="168"/>
        <v>#N/A</v>
      </c>
      <c r="F1461" s="7" t="e">
        <f t="shared" si="168"/>
        <v>#N/A</v>
      </c>
      <c r="G1461" s="7" t="e">
        <f t="shared" si="168"/>
        <v>#N/A</v>
      </c>
    </row>
    <row r="1462" spans="2:7">
      <c r="B1462" s="67">
        <f t="shared" si="163"/>
        <v>44556</v>
      </c>
      <c r="C1462" s="7" t="e">
        <f t="shared" si="168"/>
        <v>#N/A</v>
      </c>
      <c r="D1462" s="7" t="e">
        <f t="shared" si="168"/>
        <v>#N/A</v>
      </c>
      <c r="E1462" s="7" t="e">
        <f t="shared" si="168"/>
        <v>#N/A</v>
      </c>
      <c r="F1462" s="7" t="e">
        <f t="shared" si="168"/>
        <v>#N/A</v>
      </c>
      <c r="G1462" s="7" t="e">
        <f t="shared" si="168"/>
        <v>#N/A</v>
      </c>
    </row>
    <row r="1463" spans="2:7">
      <c r="B1463" s="67">
        <f t="shared" si="163"/>
        <v>44557</v>
      </c>
      <c r="C1463" s="7" t="e">
        <f t="shared" si="168"/>
        <v>#N/A</v>
      </c>
      <c r="D1463" s="7" t="e">
        <f t="shared" si="168"/>
        <v>#N/A</v>
      </c>
      <c r="E1463" s="7" t="e">
        <f t="shared" si="168"/>
        <v>#N/A</v>
      </c>
      <c r="F1463" s="7" t="e">
        <f t="shared" si="168"/>
        <v>#N/A</v>
      </c>
      <c r="G1463" s="7" t="e">
        <f t="shared" si="168"/>
        <v>#N/A</v>
      </c>
    </row>
    <row r="1464" spans="2:7">
      <c r="B1464" s="67">
        <f t="shared" si="163"/>
        <v>44558</v>
      </c>
      <c r="C1464" s="7" t="e">
        <f t="shared" si="168"/>
        <v>#N/A</v>
      </c>
      <c r="D1464" s="7" t="e">
        <f t="shared" si="168"/>
        <v>#N/A</v>
      </c>
      <c r="E1464" s="7" t="e">
        <f t="shared" si="168"/>
        <v>#N/A</v>
      </c>
      <c r="F1464" s="7" t="e">
        <f t="shared" si="168"/>
        <v>#N/A</v>
      </c>
      <c r="G1464" s="7" t="e">
        <f t="shared" si="168"/>
        <v>#N/A</v>
      </c>
    </row>
    <row r="1465" spans="2:7">
      <c r="B1465" s="67">
        <f t="shared" si="163"/>
        <v>44559</v>
      </c>
      <c r="C1465" s="7" t="e">
        <f t="shared" si="168"/>
        <v>#N/A</v>
      </c>
      <c r="D1465" s="7" t="e">
        <f t="shared" si="168"/>
        <v>#N/A</v>
      </c>
      <c r="E1465" s="7" t="e">
        <f t="shared" si="168"/>
        <v>#N/A</v>
      </c>
      <c r="F1465" s="7" t="e">
        <f t="shared" si="168"/>
        <v>#N/A</v>
      </c>
      <c r="G1465" s="7" t="e">
        <f t="shared" si="168"/>
        <v>#N/A</v>
      </c>
    </row>
    <row r="1466" spans="2:7">
      <c r="B1466" s="67">
        <f t="shared" si="163"/>
        <v>44560</v>
      </c>
      <c r="C1466" s="7" t="e">
        <f t="shared" si="168"/>
        <v>#N/A</v>
      </c>
      <c r="D1466" s="7" t="e">
        <f t="shared" si="168"/>
        <v>#N/A</v>
      </c>
      <c r="E1466" s="7" t="e">
        <f t="shared" si="168"/>
        <v>#N/A</v>
      </c>
      <c r="F1466" s="7" t="e">
        <f t="shared" si="168"/>
        <v>#N/A</v>
      </c>
      <c r="G1466" s="7" t="e">
        <f t="shared" si="168"/>
        <v>#N/A</v>
      </c>
    </row>
    <row r="1467" spans="2:7">
      <c r="B1467" s="67">
        <f t="shared" si="163"/>
        <v>44561</v>
      </c>
      <c r="C1467" s="7" t="e">
        <f t="shared" ref="C1467:G1476" si="169">IF(AND($B1467&gt;=C$3,$B1467&lt;=C$4),C$5,NA())</f>
        <v>#N/A</v>
      </c>
      <c r="D1467" s="7" t="e">
        <f t="shared" si="169"/>
        <v>#N/A</v>
      </c>
      <c r="E1467" s="7" t="e">
        <f t="shared" si="169"/>
        <v>#N/A</v>
      </c>
      <c r="F1467" s="7" t="e">
        <f t="shared" si="169"/>
        <v>#N/A</v>
      </c>
      <c r="G1467" s="7" t="e">
        <f t="shared" si="169"/>
        <v>#N/A</v>
      </c>
    </row>
    <row r="1468" spans="2:7">
      <c r="B1468" s="67">
        <f t="shared" si="163"/>
        <v>44562</v>
      </c>
      <c r="C1468" s="7" t="e">
        <f t="shared" si="169"/>
        <v>#N/A</v>
      </c>
      <c r="D1468" s="7" t="e">
        <f t="shared" si="169"/>
        <v>#N/A</v>
      </c>
      <c r="E1468" s="7" t="e">
        <f t="shared" si="169"/>
        <v>#N/A</v>
      </c>
      <c r="F1468" s="7" t="e">
        <f t="shared" si="169"/>
        <v>#N/A</v>
      </c>
      <c r="G1468" s="7" t="e">
        <f t="shared" si="169"/>
        <v>#N/A</v>
      </c>
    </row>
    <row r="1469" spans="2:7">
      <c r="B1469" s="67">
        <f t="shared" si="163"/>
        <v>44563</v>
      </c>
      <c r="C1469" s="7" t="e">
        <f t="shared" si="169"/>
        <v>#N/A</v>
      </c>
      <c r="D1469" s="7" t="e">
        <f t="shared" si="169"/>
        <v>#N/A</v>
      </c>
      <c r="E1469" s="7" t="e">
        <f t="shared" si="169"/>
        <v>#N/A</v>
      </c>
      <c r="F1469" s="7" t="e">
        <f t="shared" si="169"/>
        <v>#N/A</v>
      </c>
      <c r="G1469" s="7" t="e">
        <f t="shared" si="169"/>
        <v>#N/A</v>
      </c>
    </row>
    <row r="1470" spans="2:7">
      <c r="B1470" s="67">
        <f t="shared" si="163"/>
        <v>44564</v>
      </c>
      <c r="C1470" s="7" t="e">
        <f t="shared" si="169"/>
        <v>#N/A</v>
      </c>
      <c r="D1470" s="7" t="e">
        <f t="shared" si="169"/>
        <v>#N/A</v>
      </c>
      <c r="E1470" s="7" t="e">
        <f t="shared" si="169"/>
        <v>#N/A</v>
      </c>
      <c r="F1470" s="7" t="e">
        <f t="shared" si="169"/>
        <v>#N/A</v>
      </c>
      <c r="G1470" s="7" t="e">
        <f t="shared" si="169"/>
        <v>#N/A</v>
      </c>
    </row>
    <row r="1471" spans="2:7">
      <c r="B1471" s="67">
        <f t="shared" si="163"/>
        <v>44565</v>
      </c>
      <c r="C1471" s="7" t="e">
        <f t="shared" si="169"/>
        <v>#N/A</v>
      </c>
      <c r="D1471" s="7" t="e">
        <f t="shared" si="169"/>
        <v>#N/A</v>
      </c>
      <c r="E1471" s="7" t="e">
        <f t="shared" si="169"/>
        <v>#N/A</v>
      </c>
      <c r="F1471" s="7" t="e">
        <f t="shared" si="169"/>
        <v>#N/A</v>
      </c>
      <c r="G1471" s="7" t="e">
        <f t="shared" si="169"/>
        <v>#N/A</v>
      </c>
    </row>
    <row r="1472" spans="2:7">
      <c r="B1472" s="67">
        <f t="shared" si="163"/>
        <v>44566</v>
      </c>
      <c r="C1472" s="7" t="e">
        <f t="shared" si="169"/>
        <v>#N/A</v>
      </c>
      <c r="D1472" s="7" t="e">
        <f t="shared" si="169"/>
        <v>#N/A</v>
      </c>
      <c r="E1472" s="7" t="e">
        <f t="shared" si="169"/>
        <v>#N/A</v>
      </c>
      <c r="F1472" s="7" t="e">
        <f t="shared" si="169"/>
        <v>#N/A</v>
      </c>
      <c r="G1472" s="7" t="e">
        <f t="shared" si="169"/>
        <v>#N/A</v>
      </c>
    </row>
    <row r="1473" spans="2:7">
      <c r="B1473" s="67">
        <f t="shared" si="163"/>
        <v>44567</v>
      </c>
      <c r="C1473" s="7" t="e">
        <f t="shared" si="169"/>
        <v>#N/A</v>
      </c>
      <c r="D1473" s="7" t="e">
        <f t="shared" si="169"/>
        <v>#N/A</v>
      </c>
      <c r="E1473" s="7" t="e">
        <f t="shared" si="169"/>
        <v>#N/A</v>
      </c>
      <c r="F1473" s="7" t="e">
        <f t="shared" si="169"/>
        <v>#N/A</v>
      </c>
      <c r="G1473" s="7" t="e">
        <f t="shared" si="169"/>
        <v>#N/A</v>
      </c>
    </row>
    <row r="1474" spans="2:7">
      <c r="B1474" s="67">
        <f t="shared" si="163"/>
        <v>44568</v>
      </c>
      <c r="C1474" s="7" t="e">
        <f t="shared" si="169"/>
        <v>#N/A</v>
      </c>
      <c r="D1474" s="7" t="e">
        <f t="shared" si="169"/>
        <v>#N/A</v>
      </c>
      <c r="E1474" s="7" t="e">
        <f t="shared" si="169"/>
        <v>#N/A</v>
      </c>
      <c r="F1474" s="7" t="e">
        <f t="shared" si="169"/>
        <v>#N/A</v>
      </c>
      <c r="G1474" s="7" t="e">
        <f t="shared" si="169"/>
        <v>#N/A</v>
      </c>
    </row>
    <row r="1475" spans="2:7">
      <c r="B1475" s="67">
        <f t="shared" si="163"/>
        <v>44569</v>
      </c>
      <c r="C1475" s="7" t="e">
        <f t="shared" si="169"/>
        <v>#N/A</v>
      </c>
      <c r="D1475" s="7" t="e">
        <f t="shared" si="169"/>
        <v>#N/A</v>
      </c>
      <c r="E1475" s="7" t="e">
        <f t="shared" si="169"/>
        <v>#N/A</v>
      </c>
      <c r="F1475" s="7" t="e">
        <f t="shared" si="169"/>
        <v>#N/A</v>
      </c>
      <c r="G1475" s="7" t="e">
        <f t="shared" si="169"/>
        <v>#N/A</v>
      </c>
    </row>
    <row r="1476" spans="2:7">
      <c r="B1476" s="67">
        <f t="shared" si="163"/>
        <v>44570</v>
      </c>
      <c r="C1476" s="7" t="e">
        <f t="shared" si="169"/>
        <v>#N/A</v>
      </c>
      <c r="D1476" s="7" t="e">
        <f t="shared" si="169"/>
        <v>#N/A</v>
      </c>
      <c r="E1476" s="7" t="e">
        <f t="shared" si="169"/>
        <v>#N/A</v>
      </c>
      <c r="F1476" s="7" t="e">
        <f t="shared" si="169"/>
        <v>#N/A</v>
      </c>
      <c r="G1476" s="7" t="e">
        <f t="shared" si="169"/>
        <v>#N/A</v>
      </c>
    </row>
    <row r="1477" spans="2:7">
      <c r="B1477" s="67">
        <f t="shared" si="163"/>
        <v>44571</v>
      </c>
      <c r="C1477" s="7" t="e">
        <f t="shared" ref="C1477:G1486" si="170">IF(AND($B1477&gt;=C$3,$B1477&lt;=C$4),C$5,NA())</f>
        <v>#N/A</v>
      </c>
      <c r="D1477" s="7" t="e">
        <f t="shared" si="170"/>
        <v>#N/A</v>
      </c>
      <c r="E1477" s="7" t="e">
        <f t="shared" si="170"/>
        <v>#N/A</v>
      </c>
      <c r="F1477" s="7" t="e">
        <f t="shared" si="170"/>
        <v>#N/A</v>
      </c>
      <c r="G1477" s="7" t="e">
        <f t="shared" si="170"/>
        <v>#N/A</v>
      </c>
    </row>
    <row r="1478" spans="2:7">
      <c r="B1478" s="67">
        <f t="shared" si="163"/>
        <v>44572</v>
      </c>
      <c r="C1478" s="7" t="e">
        <f t="shared" si="170"/>
        <v>#N/A</v>
      </c>
      <c r="D1478" s="7" t="e">
        <f t="shared" si="170"/>
        <v>#N/A</v>
      </c>
      <c r="E1478" s="7" t="e">
        <f t="shared" si="170"/>
        <v>#N/A</v>
      </c>
      <c r="F1478" s="7" t="e">
        <f t="shared" si="170"/>
        <v>#N/A</v>
      </c>
      <c r="G1478" s="7" t="e">
        <f t="shared" si="170"/>
        <v>#N/A</v>
      </c>
    </row>
    <row r="1479" spans="2:7">
      <c r="B1479" s="67">
        <f t="shared" si="163"/>
        <v>44573</v>
      </c>
      <c r="C1479" s="7" t="e">
        <f t="shared" si="170"/>
        <v>#N/A</v>
      </c>
      <c r="D1479" s="7" t="e">
        <f t="shared" si="170"/>
        <v>#N/A</v>
      </c>
      <c r="E1479" s="7" t="e">
        <f t="shared" si="170"/>
        <v>#N/A</v>
      </c>
      <c r="F1479" s="7" t="e">
        <f t="shared" si="170"/>
        <v>#N/A</v>
      </c>
      <c r="G1479" s="7" t="e">
        <f t="shared" si="170"/>
        <v>#N/A</v>
      </c>
    </row>
    <row r="1480" spans="2:7">
      <c r="B1480" s="67">
        <f t="shared" ref="B1480:B1543" si="171">B1479+1</f>
        <v>44574</v>
      </c>
      <c r="C1480" s="7" t="e">
        <f t="shared" si="170"/>
        <v>#N/A</v>
      </c>
      <c r="D1480" s="7" t="e">
        <f t="shared" si="170"/>
        <v>#N/A</v>
      </c>
      <c r="E1480" s="7" t="e">
        <f t="shared" si="170"/>
        <v>#N/A</v>
      </c>
      <c r="F1480" s="7" t="e">
        <f t="shared" si="170"/>
        <v>#N/A</v>
      </c>
      <c r="G1480" s="7" t="e">
        <f t="shared" si="170"/>
        <v>#N/A</v>
      </c>
    </row>
    <row r="1481" spans="2:7">
      <c r="B1481" s="67">
        <f t="shared" si="171"/>
        <v>44575</v>
      </c>
      <c r="C1481" s="7" t="e">
        <f t="shared" si="170"/>
        <v>#N/A</v>
      </c>
      <c r="D1481" s="7" t="e">
        <f t="shared" si="170"/>
        <v>#N/A</v>
      </c>
      <c r="E1481" s="7" t="e">
        <f t="shared" si="170"/>
        <v>#N/A</v>
      </c>
      <c r="F1481" s="7" t="e">
        <f t="shared" si="170"/>
        <v>#N/A</v>
      </c>
      <c r="G1481" s="7" t="e">
        <f t="shared" si="170"/>
        <v>#N/A</v>
      </c>
    </row>
    <row r="1482" spans="2:7">
      <c r="B1482" s="67">
        <f t="shared" si="171"/>
        <v>44576</v>
      </c>
      <c r="C1482" s="7" t="e">
        <f t="shared" si="170"/>
        <v>#N/A</v>
      </c>
      <c r="D1482" s="7" t="e">
        <f t="shared" si="170"/>
        <v>#N/A</v>
      </c>
      <c r="E1482" s="7" t="e">
        <f t="shared" si="170"/>
        <v>#N/A</v>
      </c>
      <c r="F1482" s="7" t="e">
        <f t="shared" si="170"/>
        <v>#N/A</v>
      </c>
      <c r="G1482" s="7" t="e">
        <f t="shared" si="170"/>
        <v>#N/A</v>
      </c>
    </row>
    <row r="1483" spans="2:7">
      <c r="B1483" s="67">
        <f t="shared" si="171"/>
        <v>44577</v>
      </c>
      <c r="C1483" s="7" t="e">
        <f t="shared" si="170"/>
        <v>#N/A</v>
      </c>
      <c r="D1483" s="7" t="e">
        <f t="shared" si="170"/>
        <v>#N/A</v>
      </c>
      <c r="E1483" s="7" t="e">
        <f t="shared" si="170"/>
        <v>#N/A</v>
      </c>
      <c r="F1483" s="7" t="e">
        <f t="shared" si="170"/>
        <v>#N/A</v>
      </c>
      <c r="G1483" s="7" t="e">
        <f t="shared" si="170"/>
        <v>#N/A</v>
      </c>
    </row>
    <row r="1484" spans="2:7">
      <c r="B1484" s="67">
        <f t="shared" si="171"/>
        <v>44578</v>
      </c>
      <c r="C1484" s="7" t="e">
        <f t="shared" si="170"/>
        <v>#N/A</v>
      </c>
      <c r="D1484" s="7" t="e">
        <f t="shared" si="170"/>
        <v>#N/A</v>
      </c>
      <c r="E1484" s="7" t="e">
        <f t="shared" si="170"/>
        <v>#N/A</v>
      </c>
      <c r="F1484" s="7" t="e">
        <f t="shared" si="170"/>
        <v>#N/A</v>
      </c>
      <c r="G1484" s="7" t="e">
        <f t="shared" si="170"/>
        <v>#N/A</v>
      </c>
    </row>
    <row r="1485" spans="2:7">
      <c r="B1485" s="67">
        <f t="shared" si="171"/>
        <v>44579</v>
      </c>
      <c r="C1485" s="7" t="e">
        <f t="shared" si="170"/>
        <v>#N/A</v>
      </c>
      <c r="D1485" s="7" t="e">
        <f t="shared" si="170"/>
        <v>#N/A</v>
      </c>
      <c r="E1485" s="7" t="e">
        <f t="shared" si="170"/>
        <v>#N/A</v>
      </c>
      <c r="F1485" s="7" t="e">
        <f t="shared" si="170"/>
        <v>#N/A</v>
      </c>
      <c r="G1485" s="7" t="e">
        <f t="shared" si="170"/>
        <v>#N/A</v>
      </c>
    </row>
    <row r="1486" spans="2:7">
      <c r="B1486" s="67">
        <f t="shared" si="171"/>
        <v>44580</v>
      </c>
      <c r="C1486" s="7" t="e">
        <f t="shared" si="170"/>
        <v>#N/A</v>
      </c>
      <c r="D1486" s="7" t="e">
        <f t="shared" si="170"/>
        <v>#N/A</v>
      </c>
      <c r="E1486" s="7" t="e">
        <f t="shared" si="170"/>
        <v>#N/A</v>
      </c>
      <c r="F1486" s="7" t="e">
        <f t="shared" si="170"/>
        <v>#N/A</v>
      </c>
      <c r="G1486" s="7" t="e">
        <f t="shared" si="170"/>
        <v>#N/A</v>
      </c>
    </row>
    <row r="1487" spans="2:7">
      <c r="B1487" s="67">
        <f t="shared" si="171"/>
        <v>44581</v>
      </c>
      <c r="C1487" s="7" t="e">
        <f t="shared" ref="C1487:G1496" si="172">IF(AND($B1487&gt;=C$3,$B1487&lt;=C$4),C$5,NA())</f>
        <v>#N/A</v>
      </c>
      <c r="D1487" s="7" t="e">
        <f t="shared" si="172"/>
        <v>#N/A</v>
      </c>
      <c r="E1487" s="7" t="e">
        <f t="shared" si="172"/>
        <v>#N/A</v>
      </c>
      <c r="F1487" s="7" t="e">
        <f t="shared" si="172"/>
        <v>#N/A</v>
      </c>
      <c r="G1487" s="7" t="e">
        <f t="shared" si="172"/>
        <v>#N/A</v>
      </c>
    </row>
    <row r="1488" spans="2:7">
      <c r="B1488" s="67">
        <f t="shared" si="171"/>
        <v>44582</v>
      </c>
      <c r="C1488" s="7" t="e">
        <f t="shared" si="172"/>
        <v>#N/A</v>
      </c>
      <c r="D1488" s="7" t="e">
        <f t="shared" si="172"/>
        <v>#N/A</v>
      </c>
      <c r="E1488" s="7" t="e">
        <f t="shared" si="172"/>
        <v>#N/A</v>
      </c>
      <c r="F1488" s="7" t="e">
        <f t="shared" si="172"/>
        <v>#N/A</v>
      </c>
      <c r="G1488" s="7" t="e">
        <f t="shared" si="172"/>
        <v>#N/A</v>
      </c>
    </row>
    <row r="1489" spans="2:7">
      <c r="B1489" s="67">
        <f t="shared" si="171"/>
        <v>44583</v>
      </c>
      <c r="C1489" s="7" t="e">
        <f t="shared" si="172"/>
        <v>#N/A</v>
      </c>
      <c r="D1489" s="7" t="e">
        <f t="shared" si="172"/>
        <v>#N/A</v>
      </c>
      <c r="E1489" s="7" t="e">
        <f t="shared" si="172"/>
        <v>#N/A</v>
      </c>
      <c r="F1489" s="7" t="e">
        <f t="shared" si="172"/>
        <v>#N/A</v>
      </c>
      <c r="G1489" s="7" t="e">
        <f t="shared" si="172"/>
        <v>#N/A</v>
      </c>
    </row>
    <row r="1490" spans="2:7">
      <c r="B1490" s="67">
        <f t="shared" si="171"/>
        <v>44584</v>
      </c>
      <c r="C1490" s="7" t="e">
        <f t="shared" si="172"/>
        <v>#N/A</v>
      </c>
      <c r="D1490" s="7" t="e">
        <f t="shared" si="172"/>
        <v>#N/A</v>
      </c>
      <c r="E1490" s="7" t="e">
        <f t="shared" si="172"/>
        <v>#N/A</v>
      </c>
      <c r="F1490" s="7" t="e">
        <f t="shared" si="172"/>
        <v>#N/A</v>
      </c>
      <c r="G1490" s="7" t="e">
        <f t="shared" si="172"/>
        <v>#N/A</v>
      </c>
    </row>
    <row r="1491" spans="2:7">
      <c r="B1491" s="67">
        <f t="shared" si="171"/>
        <v>44585</v>
      </c>
      <c r="C1491" s="7" t="e">
        <f t="shared" si="172"/>
        <v>#N/A</v>
      </c>
      <c r="D1491" s="7" t="e">
        <f t="shared" si="172"/>
        <v>#N/A</v>
      </c>
      <c r="E1491" s="7" t="e">
        <f t="shared" si="172"/>
        <v>#N/A</v>
      </c>
      <c r="F1491" s="7" t="e">
        <f t="shared" si="172"/>
        <v>#N/A</v>
      </c>
      <c r="G1491" s="7" t="e">
        <f t="shared" si="172"/>
        <v>#N/A</v>
      </c>
    </row>
    <row r="1492" spans="2:7">
      <c r="B1492" s="67">
        <f t="shared" si="171"/>
        <v>44586</v>
      </c>
      <c r="C1492" s="7" t="e">
        <f t="shared" si="172"/>
        <v>#N/A</v>
      </c>
      <c r="D1492" s="7" t="e">
        <f t="shared" si="172"/>
        <v>#N/A</v>
      </c>
      <c r="E1492" s="7" t="e">
        <f t="shared" si="172"/>
        <v>#N/A</v>
      </c>
      <c r="F1492" s="7" t="e">
        <f t="shared" si="172"/>
        <v>#N/A</v>
      </c>
      <c r="G1492" s="7" t="e">
        <f t="shared" si="172"/>
        <v>#N/A</v>
      </c>
    </row>
    <row r="1493" spans="2:7">
      <c r="B1493" s="67">
        <f t="shared" si="171"/>
        <v>44587</v>
      </c>
      <c r="C1493" s="7" t="e">
        <f t="shared" si="172"/>
        <v>#N/A</v>
      </c>
      <c r="D1493" s="7" t="e">
        <f t="shared" si="172"/>
        <v>#N/A</v>
      </c>
      <c r="E1493" s="7" t="e">
        <f t="shared" si="172"/>
        <v>#N/A</v>
      </c>
      <c r="F1493" s="7" t="e">
        <f t="shared" si="172"/>
        <v>#N/A</v>
      </c>
      <c r="G1493" s="7" t="e">
        <f t="shared" si="172"/>
        <v>#N/A</v>
      </c>
    </row>
    <row r="1494" spans="2:7">
      <c r="B1494" s="67">
        <f t="shared" si="171"/>
        <v>44588</v>
      </c>
      <c r="C1494" s="7" t="e">
        <f t="shared" si="172"/>
        <v>#N/A</v>
      </c>
      <c r="D1494" s="7" t="e">
        <f t="shared" si="172"/>
        <v>#N/A</v>
      </c>
      <c r="E1494" s="7" t="e">
        <f t="shared" si="172"/>
        <v>#N/A</v>
      </c>
      <c r="F1494" s="7" t="e">
        <f t="shared" si="172"/>
        <v>#N/A</v>
      </c>
      <c r="G1494" s="7" t="e">
        <f t="shared" si="172"/>
        <v>#N/A</v>
      </c>
    </row>
    <row r="1495" spans="2:7">
      <c r="B1495" s="67">
        <f t="shared" si="171"/>
        <v>44589</v>
      </c>
      <c r="C1495" s="7" t="e">
        <f t="shared" si="172"/>
        <v>#N/A</v>
      </c>
      <c r="D1495" s="7" t="e">
        <f t="shared" si="172"/>
        <v>#N/A</v>
      </c>
      <c r="E1495" s="7" t="e">
        <f t="shared" si="172"/>
        <v>#N/A</v>
      </c>
      <c r="F1495" s="7" t="e">
        <f t="shared" si="172"/>
        <v>#N/A</v>
      </c>
      <c r="G1495" s="7" t="e">
        <f t="shared" si="172"/>
        <v>#N/A</v>
      </c>
    </row>
    <row r="1496" spans="2:7">
      <c r="B1496" s="67">
        <f t="shared" si="171"/>
        <v>44590</v>
      </c>
      <c r="C1496" s="7" t="e">
        <f t="shared" si="172"/>
        <v>#N/A</v>
      </c>
      <c r="D1496" s="7" t="e">
        <f t="shared" si="172"/>
        <v>#N/A</v>
      </c>
      <c r="E1496" s="7" t="e">
        <f t="shared" si="172"/>
        <v>#N/A</v>
      </c>
      <c r="F1496" s="7" t="e">
        <f t="shared" si="172"/>
        <v>#N/A</v>
      </c>
      <c r="G1496" s="7" t="e">
        <f t="shared" si="172"/>
        <v>#N/A</v>
      </c>
    </row>
    <row r="1497" spans="2:7">
      <c r="B1497" s="67">
        <f t="shared" si="171"/>
        <v>44591</v>
      </c>
      <c r="C1497" s="7" t="e">
        <f t="shared" ref="C1497:G1506" si="173">IF(AND($B1497&gt;=C$3,$B1497&lt;=C$4),C$5,NA())</f>
        <v>#N/A</v>
      </c>
      <c r="D1497" s="7" t="e">
        <f t="shared" si="173"/>
        <v>#N/A</v>
      </c>
      <c r="E1497" s="7" t="e">
        <f t="shared" si="173"/>
        <v>#N/A</v>
      </c>
      <c r="F1497" s="7" t="e">
        <f t="shared" si="173"/>
        <v>#N/A</v>
      </c>
      <c r="G1497" s="7" t="e">
        <f t="shared" si="173"/>
        <v>#N/A</v>
      </c>
    </row>
    <row r="1498" spans="2:7">
      <c r="B1498" s="67">
        <f t="shared" si="171"/>
        <v>44592</v>
      </c>
      <c r="C1498" s="7" t="e">
        <f t="shared" si="173"/>
        <v>#N/A</v>
      </c>
      <c r="D1498" s="7" t="e">
        <f t="shared" si="173"/>
        <v>#N/A</v>
      </c>
      <c r="E1498" s="7" t="e">
        <f t="shared" si="173"/>
        <v>#N/A</v>
      </c>
      <c r="F1498" s="7" t="e">
        <f t="shared" si="173"/>
        <v>#N/A</v>
      </c>
      <c r="G1498" s="7" t="e">
        <f t="shared" si="173"/>
        <v>#N/A</v>
      </c>
    </row>
    <row r="1499" spans="2:7">
      <c r="B1499" s="67">
        <f t="shared" si="171"/>
        <v>44593</v>
      </c>
      <c r="C1499" s="7" t="e">
        <f t="shared" si="173"/>
        <v>#N/A</v>
      </c>
      <c r="D1499" s="7" t="e">
        <f t="shared" si="173"/>
        <v>#N/A</v>
      </c>
      <c r="E1499" s="7" t="e">
        <f t="shared" si="173"/>
        <v>#N/A</v>
      </c>
      <c r="F1499" s="7" t="e">
        <f t="shared" si="173"/>
        <v>#N/A</v>
      </c>
      <c r="G1499" s="7" t="e">
        <f t="shared" si="173"/>
        <v>#N/A</v>
      </c>
    </row>
    <row r="1500" spans="2:7">
      <c r="B1500" s="67">
        <f t="shared" si="171"/>
        <v>44594</v>
      </c>
      <c r="C1500" s="7" t="e">
        <f t="shared" si="173"/>
        <v>#N/A</v>
      </c>
      <c r="D1500" s="7" t="e">
        <f t="shared" si="173"/>
        <v>#N/A</v>
      </c>
      <c r="E1500" s="7" t="e">
        <f t="shared" si="173"/>
        <v>#N/A</v>
      </c>
      <c r="F1500" s="7" t="e">
        <f t="shared" si="173"/>
        <v>#N/A</v>
      </c>
      <c r="G1500" s="7" t="e">
        <f t="shared" si="173"/>
        <v>#N/A</v>
      </c>
    </row>
    <row r="1501" spans="2:7">
      <c r="B1501" s="67">
        <f t="shared" si="171"/>
        <v>44595</v>
      </c>
      <c r="C1501" s="7" t="e">
        <f t="shared" si="173"/>
        <v>#N/A</v>
      </c>
      <c r="D1501" s="7" t="e">
        <f t="shared" si="173"/>
        <v>#N/A</v>
      </c>
      <c r="E1501" s="7" t="e">
        <f t="shared" si="173"/>
        <v>#N/A</v>
      </c>
      <c r="F1501" s="7" t="e">
        <f t="shared" si="173"/>
        <v>#N/A</v>
      </c>
      <c r="G1501" s="7" t="e">
        <f t="shared" si="173"/>
        <v>#N/A</v>
      </c>
    </row>
    <row r="1502" spans="2:7">
      <c r="B1502" s="67">
        <f t="shared" si="171"/>
        <v>44596</v>
      </c>
      <c r="C1502" s="7" t="e">
        <f t="shared" si="173"/>
        <v>#N/A</v>
      </c>
      <c r="D1502" s="7" t="e">
        <f t="shared" si="173"/>
        <v>#N/A</v>
      </c>
      <c r="E1502" s="7" t="e">
        <f t="shared" si="173"/>
        <v>#N/A</v>
      </c>
      <c r="F1502" s="7" t="e">
        <f t="shared" si="173"/>
        <v>#N/A</v>
      </c>
      <c r="G1502" s="7" t="e">
        <f t="shared" si="173"/>
        <v>#N/A</v>
      </c>
    </row>
    <row r="1503" spans="2:7">
      <c r="B1503" s="67">
        <f t="shared" si="171"/>
        <v>44597</v>
      </c>
      <c r="C1503" s="7" t="e">
        <f t="shared" si="173"/>
        <v>#N/A</v>
      </c>
      <c r="D1503" s="7" t="e">
        <f t="shared" si="173"/>
        <v>#N/A</v>
      </c>
      <c r="E1503" s="7" t="e">
        <f t="shared" si="173"/>
        <v>#N/A</v>
      </c>
      <c r="F1503" s="7" t="e">
        <f t="shared" si="173"/>
        <v>#N/A</v>
      </c>
      <c r="G1503" s="7" t="e">
        <f t="shared" si="173"/>
        <v>#N/A</v>
      </c>
    </row>
    <row r="1504" spans="2:7">
      <c r="B1504" s="67">
        <f t="shared" si="171"/>
        <v>44598</v>
      </c>
      <c r="C1504" s="7" t="e">
        <f t="shared" si="173"/>
        <v>#N/A</v>
      </c>
      <c r="D1504" s="7" t="e">
        <f t="shared" si="173"/>
        <v>#N/A</v>
      </c>
      <c r="E1504" s="7" t="e">
        <f t="shared" si="173"/>
        <v>#N/A</v>
      </c>
      <c r="F1504" s="7" t="e">
        <f t="shared" si="173"/>
        <v>#N/A</v>
      </c>
      <c r="G1504" s="7" t="e">
        <f t="shared" si="173"/>
        <v>#N/A</v>
      </c>
    </row>
    <row r="1505" spans="2:7">
      <c r="B1505" s="67">
        <f t="shared" si="171"/>
        <v>44599</v>
      </c>
      <c r="C1505" s="7" t="e">
        <f t="shared" si="173"/>
        <v>#N/A</v>
      </c>
      <c r="D1505" s="7" t="e">
        <f t="shared" si="173"/>
        <v>#N/A</v>
      </c>
      <c r="E1505" s="7" t="e">
        <f t="shared" si="173"/>
        <v>#N/A</v>
      </c>
      <c r="F1505" s="7" t="e">
        <f t="shared" si="173"/>
        <v>#N/A</v>
      </c>
      <c r="G1505" s="7" t="e">
        <f t="shared" si="173"/>
        <v>#N/A</v>
      </c>
    </row>
    <row r="1506" spans="2:7">
      <c r="B1506" s="67">
        <f t="shared" si="171"/>
        <v>44600</v>
      </c>
      <c r="C1506" s="7" t="e">
        <f t="shared" si="173"/>
        <v>#N/A</v>
      </c>
      <c r="D1506" s="7" t="e">
        <f t="shared" si="173"/>
        <v>#N/A</v>
      </c>
      <c r="E1506" s="7" t="e">
        <f t="shared" si="173"/>
        <v>#N/A</v>
      </c>
      <c r="F1506" s="7" t="e">
        <f t="shared" si="173"/>
        <v>#N/A</v>
      </c>
      <c r="G1506" s="7" t="e">
        <f t="shared" si="173"/>
        <v>#N/A</v>
      </c>
    </row>
    <row r="1507" spans="2:7">
      <c r="B1507" s="67">
        <f t="shared" si="171"/>
        <v>44601</v>
      </c>
      <c r="C1507" s="7" t="e">
        <f t="shared" ref="C1507:G1516" si="174">IF(AND($B1507&gt;=C$3,$B1507&lt;=C$4),C$5,NA())</f>
        <v>#N/A</v>
      </c>
      <c r="D1507" s="7" t="e">
        <f t="shared" si="174"/>
        <v>#N/A</v>
      </c>
      <c r="E1507" s="7" t="e">
        <f t="shared" si="174"/>
        <v>#N/A</v>
      </c>
      <c r="F1507" s="7" t="e">
        <f t="shared" si="174"/>
        <v>#N/A</v>
      </c>
      <c r="G1507" s="7" t="e">
        <f t="shared" si="174"/>
        <v>#N/A</v>
      </c>
    </row>
    <row r="1508" spans="2:7">
      <c r="B1508" s="67">
        <f t="shared" si="171"/>
        <v>44602</v>
      </c>
      <c r="C1508" s="7" t="e">
        <f t="shared" si="174"/>
        <v>#N/A</v>
      </c>
      <c r="D1508" s="7" t="e">
        <f t="shared" si="174"/>
        <v>#N/A</v>
      </c>
      <c r="E1508" s="7" t="e">
        <f t="shared" si="174"/>
        <v>#N/A</v>
      </c>
      <c r="F1508" s="7" t="e">
        <f t="shared" si="174"/>
        <v>#N/A</v>
      </c>
      <c r="G1508" s="7" t="e">
        <f t="shared" si="174"/>
        <v>#N/A</v>
      </c>
    </row>
    <row r="1509" spans="2:7">
      <c r="B1509" s="67">
        <f t="shared" si="171"/>
        <v>44603</v>
      </c>
      <c r="C1509" s="7" t="e">
        <f t="shared" si="174"/>
        <v>#N/A</v>
      </c>
      <c r="D1509" s="7" t="e">
        <f t="shared" si="174"/>
        <v>#N/A</v>
      </c>
      <c r="E1509" s="7" t="e">
        <f t="shared" si="174"/>
        <v>#N/A</v>
      </c>
      <c r="F1509" s="7" t="e">
        <f t="shared" si="174"/>
        <v>#N/A</v>
      </c>
      <c r="G1509" s="7" t="e">
        <f t="shared" si="174"/>
        <v>#N/A</v>
      </c>
    </row>
    <row r="1510" spans="2:7">
      <c r="B1510" s="67">
        <f t="shared" si="171"/>
        <v>44604</v>
      </c>
      <c r="C1510" s="7" t="e">
        <f t="shared" si="174"/>
        <v>#N/A</v>
      </c>
      <c r="D1510" s="7" t="e">
        <f t="shared" si="174"/>
        <v>#N/A</v>
      </c>
      <c r="E1510" s="7" t="e">
        <f t="shared" si="174"/>
        <v>#N/A</v>
      </c>
      <c r="F1510" s="7" t="e">
        <f t="shared" si="174"/>
        <v>#N/A</v>
      </c>
      <c r="G1510" s="7" t="e">
        <f t="shared" si="174"/>
        <v>#N/A</v>
      </c>
    </row>
    <row r="1511" spans="2:7">
      <c r="B1511" s="67">
        <f t="shared" si="171"/>
        <v>44605</v>
      </c>
      <c r="C1511" s="7" t="e">
        <f t="shared" si="174"/>
        <v>#N/A</v>
      </c>
      <c r="D1511" s="7" t="e">
        <f t="shared" si="174"/>
        <v>#N/A</v>
      </c>
      <c r="E1511" s="7" t="e">
        <f t="shared" si="174"/>
        <v>#N/A</v>
      </c>
      <c r="F1511" s="7" t="e">
        <f t="shared" si="174"/>
        <v>#N/A</v>
      </c>
      <c r="G1511" s="7" t="e">
        <f t="shared" si="174"/>
        <v>#N/A</v>
      </c>
    </row>
    <row r="1512" spans="2:7">
      <c r="B1512" s="67">
        <f t="shared" si="171"/>
        <v>44606</v>
      </c>
      <c r="C1512" s="7" t="e">
        <f t="shared" si="174"/>
        <v>#N/A</v>
      </c>
      <c r="D1512" s="7" t="e">
        <f t="shared" si="174"/>
        <v>#N/A</v>
      </c>
      <c r="E1512" s="7" t="e">
        <f t="shared" si="174"/>
        <v>#N/A</v>
      </c>
      <c r="F1512" s="7" t="e">
        <f t="shared" si="174"/>
        <v>#N/A</v>
      </c>
      <c r="G1512" s="7" t="e">
        <f t="shared" si="174"/>
        <v>#N/A</v>
      </c>
    </row>
    <row r="1513" spans="2:7">
      <c r="B1513" s="67">
        <f t="shared" si="171"/>
        <v>44607</v>
      </c>
      <c r="C1513" s="7" t="e">
        <f t="shared" si="174"/>
        <v>#N/A</v>
      </c>
      <c r="D1513" s="7" t="e">
        <f t="shared" si="174"/>
        <v>#N/A</v>
      </c>
      <c r="E1513" s="7" t="e">
        <f t="shared" si="174"/>
        <v>#N/A</v>
      </c>
      <c r="F1513" s="7" t="e">
        <f t="shared" si="174"/>
        <v>#N/A</v>
      </c>
      <c r="G1513" s="7" t="e">
        <f t="shared" si="174"/>
        <v>#N/A</v>
      </c>
    </row>
    <row r="1514" spans="2:7">
      <c r="B1514" s="67">
        <f t="shared" si="171"/>
        <v>44608</v>
      </c>
      <c r="C1514" s="7" t="e">
        <f t="shared" si="174"/>
        <v>#N/A</v>
      </c>
      <c r="D1514" s="7" t="e">
        <f t="shared" si="174"/>
        <v>#N/A</v>
      </c>
      <c r="E1514" s="7" t="e">
        <f t="shared" si="174"/>
        <v>#N/A</v>
      </c>
      <c r="F1514" s="7" t="e">
        <f t="shared" si="174"/>
        <v>#N/A</v>
      </c>
      <c r="G1514" s="7" t="e">
        <f t="shared" si="174"/>
        <v>#N/A</v>
      </c>
    </row>
    <row r="1515" spans="2:7">
      <c r="B1515" s="67">
        <f t="shared" si="171"/>
        <v>44609</v>
      </c>
      <c r="C1515" s="7" t="e">
        <f t="shared" si="174"/>
        <v>#N/A</v>
      </c>
      <c r="D1515" s="7" t="e">
        <f t="shared" si="174"/>
        <v>#N/A</v>
      </c>
      <c r="E1515" s="7" t="e">
        <f t="shared" si="174"/>
        <v>#N/A</v>
      </c>
      <c r="F1515" s="7" t="e">
        <f t="shared" si="174"/>
        <v>#N/A</v>
      </c>
      <c r="G1515" s="7" t="e">
        <f t="shared" si="174"/>
        <v>#N/A</v>
      </c>
    </row>
    <row r="1516" spans="2:7">
      <c r="B1516" s="67">
        <f t="shared" si="171"/>
        <v>44610</v>
      </c>
      <c r="C1516" s="7" t="e">
        <f t="shared" si="174"/>
        <v>#N/A</v>
      </c>
      <c r="D1516" s="7" t="e">
        <f t="shared" si="174"/>
        <v>#N/A</v>
      </c>
      <c r="E1516" s="7" t="e">
        <f t="shared" si="174"/>
        <v>#N/A</v>
      </c>
      <c r="F1516" s="7" t="e">
        <f t="shared" si="174"/>
        <v>#N/A</v>
      </c>
      <c r="G1516" s="7" t="e">
        <f t="shared" si="174"/>
        <v>#N/A</v>
      </c>
    </row>
    <row r="1517" spans="2:7">
      <c r="B1517" s="67">
        <f t="shared" si="171"/>
        <v>44611</v>
      </c>
      <c r="C1517" s="7" t="e">
        <f t="shared" ref="C1517:G1526" si="175">IF(AND($B1517&gt;=C$3,$B1517&lt;=C$4),C$5,NA())</f>
        <v>#N/A</v>
      </c>
      <c r="D1517" s="7" t="e">
        <f t="shared" si="175"/>
        <v>#N/A</v>
      </c>
      <c r="E1517" s="7" t="e">
        <f t="shared" si="175"/>
        <v>#N/A</v>
      </c>
      <c r="F1517" s="7" t="e">
        <f t="shared" si="175"/>
        <v>#N/A</v>
      </c>
      <c r="G1517" s="7" t="e">
        <f t="shared" si="175"/>
        <v>#N/A</v>
      </c>
    </row>
    <row r="1518" spans="2:7">
      <c r="B1518" s="67">
        <f t="shared" si="171"/>
        <v>44612</v>
      </c>
      <c r="C1518" s="7" t="e">
        <f t="shared" si="175"/>
        <v>#N/A</v>
      </c>
      <c r="D1518" s="7" t="e">
        <f t="shared" si="175"/>
        <v>#N/A</v>
      </c>
      <c r="E1518" s="7" t="e">
        <f t="shared" si="175"/>
        <v>#N/A</v>
      </c>
      <c r="F1518" s="7" t="e">
        <f t="shared" si="175"/>
        <v>#N/A</v>
      </c>
      <c r="G1518" s="7" t="e">
        <f t="shared" si="175"/>
        <v>#N/A</v>
      </c>
    </row>
    <row r="1519" spans="2:7">
      <c r="B1519" s="67">
        <f t="shared" si="171"/>
        <v>44613</v>
      </c>
      <c r="C1519" s="7" t="e">
        <f t="shared" si="175"/>
        <v>#N/A</v>
      </c>
      <c r="D1519" s="7" t="e">
        <f t="shared" si="175"/>
        <v>#N/A</v>
      </c>
      <c r="E1519" s="7" t="e">
        <f t="shared" si="175"/>
        <v>#N/A</v>
      </c>
      <c r="F1519" s="7" t="e">
        <f t="shared" si="175"/>
        <v>#N/A</v>
      </c>
      <c r="G1519" s="7" t="e">
        <f t="shared" si="175"/>
        <v>#N/A</v>
      </c>
    </row>
    <row r="1520" spans="2:7">
      <c r="B1520" s="67">
        <f t="shared" si="171"/>
        <v>44614</v>
      </c>
      <c r="C1520" s="7" t="e">
        <f t="shared" si="175"/>
        <v>#N/A</v>
      </c>
      <c r="D1520" s="7" t="e">
        <f t="shared" si="175"/>
        <v>#N/A</v>
      </c>
      <c r="E1520" s="7" t="e">
        <f t="shared" si="175"/>
        <v>#N/A</v>
      </c>
      <c r="F1520" s="7" t="e">
        <f t="shared" si="175"/>
        <v>#N/A</v>
      </c>
      <c r="G1520" s="7" t="e">
        <f t="shared" si="175"/>
        <v>#N/A</v>
      </c>
    </row>
    <row r="1521" spans="2:7">
      <c r="B1521" s="67">
        <f t="shared" si="171"/>
        <v>44615</v>
      </c>
      <c r="C1521" s="7" t="e">
        <f t="shared" si="175"/>
        <v>#N/A</v>
      </c>
      <c r="D1521" s="7" t="e">
        <f t="shared" si="175"/>
        <v>#N/A</v>
      </c>
      <c r="E1521" s="7" t="e">
        <f t="shared" si="175"/>
        <v>#N/A</v>
      </c>
      <c r="F1521" s="7" t="e">
        <f t="shared" si="175"/>
        <v>#N/A</v>
      </c>
      <c r="G1521" s="7" t="e">
        <f t="shared" si="175"/>
        <v>#N/A</v>
      </c>
    </row>
    <row r="1522" spans="2:7">
      <c r="B1522" s="67">
        <f t="shared" si="171"/>
        <v>44616</v>
      </c>
      <c r="C1522" s="7" t="e">
        <f t="shared" si="175"/>
        <v>#N/A</v>
      </c>
      <c r="D1522" s="7" t="e">
        <f t="shared" si="175"/>
        <v>#N/A</v>
      </c>
      <c r="E1522" s="7" t="e">
        <f t="shared" si="175"/>
        <v>#N/A</v>
      </c>
      <c r="F1522" s="7" t="e">
        <f t="shared" si="175"/>
        <v>#N/A</v>
      </c>
      <c r="G1522" s="7" t="e">
        <f t="shared" si="175"/>
        <v>#N/A</v>
      </c>
    </row>
    <row r="1523" spans="2:7">
      <c r="B1523" s="67">
        <f t="shared" si="171"/>
        <v>44617</v>
      </c>
      <c r="C1523" s="7" t="e">
        <f t="shared" si="175"/>
        <v>#N/A</v>
      </c>
      <c r="D1523" s="7" t="e">
        <f t="shared" si="175"/>
        <v>#N/A</v>
      </c>
      <c r="E1523" s="7" t="e">
        <f t="shared" si="175"/>
        <v>#N/A</v>
      </c>
      <c r="F1523" s="7" t="e">
        <f t="shared" si="175"/>
        <v>#N/A</v>
      </c>
      <c r="G1523" s="7" t="e">
        <f t="shared" si="175"/>
        <v>#N/A</v>
      </c>
    </row>
    <row r="1524" spans="2:7">
      <c r="B1524" s="67">
        <f t="shared" si="171"/>
        <v>44618</v>
      </c>
      <c r="C1524" s="7" t="e">
        <f t="shared" si="175"/>
        <v>#N/A</v>
      </c>
      <c r="D1524" s="7" t="e">
        <f t="shared" si="175"/>
        <v>#N/A</v>
      </c>
      <c r="E1524" s="7" t="e">
        <f t="shared" si="175"/>
        <v>#N/A</v>
      </c>
      <c r="F1524" s="7" t="e">
        <f t="shared" si="175"/>
        <v>#N/A</v>
      </c>
      <c r="G1524" s="7" t="e">
        <f t="shared" si="175"/>
        <v>#N/A</v>
      </c>
    </row>
    <row r="1525" spans="2:7">
      <c r="B1525" s="67">
        <f t="shared" si="171"/>
        <v>44619</v>
      </c>
      <c r="C1525" s="7" t="e">
        <f t="shared" si="175"/>
        <v>#N/A</v>
      </c>
      <c r="D1525" s="7" t="e">
        <f t="shared" si="175"/>
        <v>#N/A</v>
      </c>
      <c r="E1525" s="7" t="e">
        <f t="shared" si="175"/>
        <v>#N/A</v>
      </c>
      <c r="F1525" s="7" t="e">
        <f t="shared" si="175"/>
        <v>#N/A</v>
      </c>
      <c r="G1525" s="7" t="e">
        <f t="shared" si="175"/>
        <v>#N/A</v>
      </c>
    </row>
    <row r="1526" spans="2:7">
      <c r="B1526" s="67">
        <f t="shared" si="171"/>
        <v>44620</v>
      </c>
      <c r="C1526" s="7" t="e">
        <f t="shared" si="175"/>
        <v>#N/A</v>
      </c>
      <c r="D1526" s="7" t="e">
        <f t="shared" si="175"/>
        <v>#N/A</v>
      </c>
      <c r="E1526" s="7" t="e">
        <f t="shared" si="175"/>
        <v>#N/A</v>
      </c>
      <c r="F1526" s="7" t="e">
        <f t="shared" si="175"/>
        <v>#N/A</v>
      </c>
      <c r="G1526" s="7" t="e">
        <f t="shared" si="175"/>
        <v>#N/A</v>
      </c>
    </row>
    <row r="1527" spans="2:7">
      <c r="B1527" s="67">
        <f t="shared" si="171"/>
        <v>44621</v>
      </c>
      <c r="C1527" s="7" t="e">
        <f t="shared" ref="C1527:G1536" si="176">IF(AND($B1527&gt;=C$3,$B1527&lt;=C$4),C$5,NA())</f>
        <v>#N/A</v>
      </c>
      <c r="D1527" s="7" t="e">
        <f t="shared" si="176"/>
        <v>#N/A</v>
      </c>
      <c r="E1527" s="7" t="e">
        <f t="shared" si="176"/>
        <v>#N/A</v>
      </c>
      <c r="F1527" s="7" t="e">
        <f t="shared" si="176"/>
        <v>#N/A</v>
      </c>
      <c r="G1527" s="7" t="e">
        <f t="shared" si="176"/>
        <v>#N/A</v>
      </c>
    </row>
    <row r="1528" spans="2:7">
      <c r="B1528" s="67">
        <f t="shared" si="171"/>
        <v>44622</v>
      </c>
      <c r="C1528" s="7" t="e">
        <f t="shared" si="176"/>
        <v>#N/A</v>
      </c>
      <c r="D1528" s="7" t="e">
        <f t="shared" si="176"/>
        <v>#N/A</v>
      </c>
      <c r="E1528" s="7" t="e">
        <f t="shared" si="176"/>
        <v>#N/A</v>
      </c>
      <c r="F1528" s="7" t="e">
        <f t="shared" si="176"/>
        <v>#N/A</v>
      </c>
      <c r="G1528" s="7" t="e">
        <f t="shared" si="176"/>
        <v>#N/A</v>
      </c>
    </row>
    <row r="1529" spans="2:7">
      <c r="B1529" s="67">
        <f t="shared" si="171"/>
        <v>44623</v>
      </c>
      <c r="C1529" s="7" t="e">
        <f t="shared" si="176"/>
        <v>#N/A</v>
      </c>
      <c r="D1529" s="7" t="e">
        <f t="shared" si="176"/>
        <v>#N/A</v>
      </c>
      <c r="E1529" s="7" t="e">
        <f t="shared" si="176"/>
        <v>#N/A</v>
      </c>
      <c r="F1529" s="7" t="e">
        <f t="shared" si="176"/>
        <v>#N/A</v>
      </c>
      <c r="G1529" s="7" t="e">
        <f t="shared" si="176"/>
        <v>#N/A</v>
      </c>
    </row>
    <row r="1530" spans="2:7">
      <c r="B1530" s="67">
        <f t="shared" si="171"/>
        <v>44624</v>
      </c>
      <c r="C1530" s="7" t="e">
        <f t="shared" si="176"/>
        <v>#N/A</v>
      </c>
      <c r="D1530" s="7" t="e">
        <f t="shared" si="176"/>
        <v>#N/A</v>
      </c>
      <c r="E1530" s="7" t="e">
        <f t="shared" si="176"/>
        <v>#N/A</v>
      </c>
      <c r="F1530" s="7" t="e">
        <f t="shared" si="176"/>
        <v>#N/A</v>
      </c>
      <c r="G1530" s="7" t="e">
        <f t="shared" si="176"/>
        <v>#N/A</v>
      </c>
    </row>
    <row r="1531" spans="2:7">
      <c r="B1531" s="67">
        <f t="shared" si="171"/>
        <v>44625</v>
      </c>
      <c r="C1531" s="7" t="e">
        <f t="shared" si="176"/>
        <v>#N/A</v>
      </c>
      <c r="D1531" s="7" t="e">
        <f t="shared" si="176"/>
        <v>#N/A</v>
      </c>
      <c r="E1531" s="7" t="e">
        <f t="shared" si="176"/>
        <v>#N/A</v>
      </c>
      <c r="F1531" s="7" t="e">
        <f t="shared" si="176"/>
        <v>#N/A</v>
      </c>
      <c r="G1531" s="7" t="e">
        <f t="shared" si="176"/>
        <v>#N/A</v>
      </c>
    </row>
    <row r="1532" spans="2:7">
      <c r="B1532" s="67">
        <f t="shared" si="171"/>
        <v>44626</v>
      </c>
      <c r="C1532" s="7" t="e">
        <f t="shared" si="176"/>
        <v>#N/A</v>
      </c>
      <c r="D1532" s="7" t="e">
        <f t="shared" si="176"/>
        <v>#N/A</v>
      </c>
      <c r="E1532" s="7" t="e">
        <f t="shared" si="176"/>
        <v>#N/A</v>
      </c>
      <c r="F1532" s="7" t="e">
        <f t="shared" si="176"/>
        <v>#N/A</v>
      </c>
      <c r="G1532" s="7" t="e">
        <f t="shared" si="176"/>
        <v>#N/A</v>
      </c>
    </row>
    <row r="1533" spans="2:7">
      <c r="B1533" s="67">
        <f t="shared" si="171"/>
        <v>44627</v>
      </c>
      <c r="C1533" s="7" t="e">
        <f t="shared" si="176"/>
        <v>#N/A</v>
      </c>
      <c r="D1533" s="7" t="e">
        <f t="shared" si="176"/>
        <v>#N/A</v>
      </c>
      <c r="E1533" s="7" t="e">
        <f t="shared" si="176"/>
        <v>#N/A</v>
      </c>
      <c r="F1533" s="7" t="e">
        <f t="shared" si="176"/>
        <v>#N/A</v>
      </c>
      <c r="G1533" s="7" t="e">
        <f t="shared" si="176"/>
        <v>#N/A</v>
      </c>
    </row>
    <row r="1534" spans="2:7">
      <c r="B1534" s="67">
        <f t="shared" si="171"/>
        <v>44628</v>
      </c>
      <c r="C1534" s="7" t="e">
        <f t="shared" si="176"/>
        <v>#N/A</v>
      </c>
      <c r="D1534" s="7" t="e">
        <f t="shared" si="176"/>
        <v>#N/A</v>
      </c>
      <c r="E1534" s="7" t="e">
        <f t="shared" si="176"/>
        <v>#N/A</v>
      </c>
      <c r="F1534" s="7" t="e">
        <f t="shared" si="176"/>
        <v>#N/A</v>
      </c>
      <c r="G1534" s="7" t="e">
        <f t="shared" si="176"/>
        <v>#N/A</v>
      </c>
    </row>
    <row r="1535" spans="2:7">
      <c r="B1535" s="67">
        <f t="shared" si="171"/>
        <v>44629</v>
      </c>
      <c r="C1535" s="7" t="e">
        <f t="shared" si="176"/>
        <v>#N/A</v>
      </c>
      <c r="D1535" s="7" t="e">
        <f t="shared" si="176"/>
        <v>#N/A</v>
      </c>
      <c r="E1535" s="7" t="e">
        <f t="shared" si="176"/>
        <v>#N/A</v>
      </c>
      <c r="F1535" s="7" t="e">
        <f t="shared" si="176"/>
        <v>#N/A</v>
      </c>
      <c r="G1535" s="7" t="e">
        <f t="shared" si="176"/>
        <v>#N/A</v>
      </c>
    </row>
    <row r="1536" spans="2:7">
      <c r="B1536" s="67">
        <f t="shared" si="171"/>
        <v>44630</v>
      </c>
      <c r="C1536" s="7" t="e">
        <f t="shared" si="176"/>
        <v>#N/A</v>
      </c>
      <c r="D1536" s="7" t="e">
        <f t="shared" si="176"/>
        <v>#N/A</v>
      </c>
      <c r="E1536" s="7" t="e">
        <f t="shared" si="176"/>
        <v>#N/A</v>
      </c>
      <c r="F1536" s="7" t="e">
        <f t="shared" si="176"/>
        <v>#N/A</v>
      </c>
      <c r="G1536" s="7" t="e">
        <f t="shared" si="176"/>
        <v>#N/A</v>
      </c>
    </row>
    <row r="1537" spans="2:7">
      <c r="B1537" s="67">
        <f t="shared" si="171"/>
        <v>44631</v>
      </c>
      <c r="C1537" s="7" t="e">
        <f t="shared" ref="C1537:G1546" si="177">IF(AND($B1537&gt;=C$3,$B1537&lt;=C$4),C$5,NA())</f>
        <v>#N/A</v>
      </c>
      <c r="D1537" s="7" t="e">
        <f t="shared" si="177"/>
        <v>#N/A</v>
      </c>
      <c r="E1537" s="7" t="e">
        <f t="shared" si="177"/>
        <v>#N/A</v>
      </c>
      <c r="F1537" s="7" t="e">
        <f t="shared" si="177"/>
        <v>#N/A</v>
      </c>
      <c r="G1537" s="7" t="e">
        <f t="shared" si="177"/>
        <v>#N/A</v>
      </c>
    </row>
    <row r="1538" spans="2:7">
      <c r="B1538" s="67">
        <f t="shared" si="171"/>
        <v>44632</v>
      </c>
      <c r="C1538" s="7" t="e">
        <f t="shared" si="177"/>
        <v>#N/A</v>
      </c>
      <c r="D1538" s="7" t="e">
        <f t="shared" si="177"/>
        <v>#N/A</v>
      </c>
      <c r="E1538" s="7" t="e">
        <f t="shared" si="177"/>
        <v>#N/A</v>
      </c>
      <c r="F1538" s="7" t="e">
        <f t="shared" si="177"/>
        <v>#N/A</v>
      </c>
      <c r="G1538" s="7" t="e">
        <f t="shared" si="177"/>
        <v>#N/A</v>
      </c>
    </row>
    <row r="1539" spans="2:7">
      <c r="B1539" s="67">
        <f t="shared" si="171"/>
        <v>44633</v>
      </c>
      <c r="C1539" s="7" t="e">
        <f t="shared" si="177"/>
        <v>#N/A</v>
      </c>
      <c r="D1539" s="7" t="e">
        <f t="shared" si="177"/>
        <v>#N/A</v>
      </c>
      <c r="E1539" s="7" t="e">
        <f t="shared" si="177"/>
        <v>#N/A</v>
      </c>
      <c r="F1539" s="7" t="e">
        <f t="shared" si="177"/>
        <v>#N/A</v>
      </c>
      <c r="G1539" s="7" t="e">
        <f t="shared" si="177"/>
        <v>#N/A</v>
      </c>
    </row>
    <row r="1540" spans="2:7">
      <c r="B1540" s="67">
        <f t="shared" si="171"/>
        <v>44634</v>
      </c>
      <c r="C1540" s="7" t="e">
        <f t="shared" si="177"/>
        <v>#N/A</v>
      </c>
      <c r="D1540" s="7" t="e">
        <f t="shared" si="177"/>
        <v>#N/A</v>
      </c>
      <c r="E1540" s="7" t="e">
        <f t="shared" si="177"/>
        <v>#N/A</v>
      </c>
      <c r="F1540" s="7" t="e">
        <f t="shared" si="177"/>
        <v>#N/A</v>
      </c>
      <c r="G1540" s="7" t="e">
        <f t="shared" si="177"/>
        <v>#N/A</v>
      </c>
    </row>
    <row r="1541" spans="2:7">
      <c r="B1541" s="67">
        <f t="shared" si="171"/>
        <v>44635</v>
      </c>
      <c r="C1541" s="7" t="e">
        <f t="shared" si="177"/>
        <v>#N/A</v>
      </c>
      <c r="D1541" s="7" t="e">
        <f t="shared" si="177"/>
        <v>#N/A</v>
      </c>
      <c r="E1541" s="7" t="e">
        <f t="shared" si="177"/>
        <v>#N/A</v>
      </c>
      <c r="F1541" s="7" t="e">
        <f t="shared" si="177"/>
        <v>#N/A</v>
      </c>
      <c r="G1541" s="7" t="e">
        <f t="shared" si="177"/>
        <v>#N/A</v>
      </c>
    </row>
    <row r="1542" spans="2:7">
      <c r="B1542" s="67">
        <f t="shared" si="171"/>
        <v>44636</v>
      </c>
      <c r="C1542" s="7" t="e">
        <f t="shared" si="177"/>
        <v>#N/A</v>
      </c>
      <c r="D1542" s="7" t="e">
        <f t="shared" si="177"/>
        <v>#N/A</v>
      </c>
      <c r="E1542" s="7" t="e">
        <f t="shared" si="177"/>
        <v>#N/A</v>
      </c>
      <c r="F1542" s="7" t="e">
        <f t="shared" si="177"/>
        <v>#N/A</v>
      </c>
      <c r="G1542" s="7" t="e">
        <f t="shared" si="177"/>
        <v>#N/A</v>
      </c>
    </row>
    <row r="1543" spans="2:7">
      <c r="B1543" s="67">
        <f t="shared" si="171"/>
        <v>44637</v>
      </c>
      <c r="C1543" s="7" t="e">
        <f t="shared" si="177"/>
        <v>#N/A</v>
      </c>
      <c r="D1543" s="7" t="e">
        <f t="shared" si="177"/>
        <v>#N/A</v>
      </c>
      <c r="E1543" s="7" t="e">
        <f t="shared" si="177"/>
        <v>#N/A</v>
      </c>
      <c r="F1543" s="7" t="e">
        <f t="shared" si="177"/>
        <v>#N/A</v>
      </c>
      <c r="G1543" s="7" t="e">
        <f t="shared" si="177"/>
        <v>#N/A</v>
      </c>
    </row>
    <row r="1544" spans="2:7">
      <c r="B1544" s="67">
        <f t="shared" ref="B1544:B1607" si="178">B1543+1</f>
        <v>44638</v>
      </c>
      <c r="C1544" s="7" t="e">
        <f t="shared" si="177"/>
        <v>#N/A</v>
      </c>
      <c r="D1544" s="7" t="e">
        <f t="shared" si="177"/>
        <v>#N/A</v>
      </c>
      <c r="E1544" s="7" t="e">
        <f t="shared" si="177"/>
        <v>#N/A</v>
      </c>
      <c r="F1544" s="7" t="e">
        <f t="shared" si="177"/>
        <v>#N/A</v>
      </c>
      <c r="G1544" s="7" t="e">
        <f t="shared" si="177"/>
        <v>#N/A</v>
      </c>
    </row>
    <row r="1545" spans="2:7">
      <c r="B1545" s="67">
        <f t="shared" si="178"/>
        <v>44639</v>
      </c>
      <c r="C1545" s="7" t="e">
        <f t="shared" si="177"/>
        <v>#N/A</v>
      </c>
      <c r="D1545" s="7" t="e">
        <f t="shared" si="177"/>
        <v>#N/A</v>
      </c>
      <c r="E1545" s="7" t="e">
        <f t="shared" si="177"/>
        <v>#N/A</v>
      </c>
      <c r="F1545" s="7" t="e">
        <f t="shared" si="177"/>
        <v>#N/A</v>
      </c>
      <c r="G1545" s="7" t="e">
        <f t="shared" si="177"/>
        <v>#N/A</v>
      </c>
    </row>
    <row r="1546" spans="2:7">
      <c r="B1546" s="67">
        <f t="shared" si="178"/>
        <v>44640</v>
      </c>
      <c r="C1546" s="7" t="e">
        <f t="shared" si="177"/>
        <v>#N/A</v>
      </c>
      <c r="D1546" s="7" t="e">
        <f t="shared" si="177"/>
        <v>#N/A</v>
      </c>
      <c r="E1546" s="7" t="e">
        <f t="shared" si="177"/>
        <v>#N/A</v>
      </c>
      <c r="F1546" s="7" t="e">
        <f t="shared" si="177"/>
        <v>#N/A</v>
      </c>
      <c r="G1546" s="7" t="e">
        <f t="shared" si="177"/>
        <v>#N/A</v>
      </c>
    </row>
    <row r="1547" spans="2:7">
      <c r="B1547" s="67">
        <f t="shared" si="178"/>
        <v>44641</v>
      </c>
      <c r="C1547" s="7" t="e">
        <f t="shared" ref="C1547:G1556" si="179">IF(AND($B1547&gt;=C$3,$B1547&lt;=C$4),C$5,NA())</f>
        <v>#N/A</v>
      </c>
      <c r="D1547" s="7" t="e">
        <f t="shared" si="179"/>
        <v>#N/A</v>
      </c>
      <c r="E1547" s="7" t="e">
        <f t="shared" si="179"/>
        <v>#N/A</v>
      </c>
      <c r="F1547" s="7" t="e">
        <f t="shared" si="179"/>
        <v>#N/A</v>
      </c>
      <c r="G1547" s="7" t="e">
        <f t="shared" si="179"/>
        <v>#N/A</v>
      </c>
    </row>
    <row r="1548" spans="2:7">
      <c r="B1548" s="67">
        <f t="shared" si="178"/>
        <v>44642</v>
      </c>
      <c r="C1548" s="7" t="e">
        <f t="shared" si="179"/>
        <v>#N/A</v>
      </c>
      <c r="D1548" s="7" t="e">
        <f t="shared" si="179"/>
        <v>#N/A</v>
      </c>
      <c r="E1548" s="7" t="e">
        <f t="shared" si="179"/>
        <v>#N/A</v>
      </c>
      <c r="F1548" s="7" t="e">
        <f t="shared" si="179"/>
        <v>#N/A</v>
      </c>
      <c r="G1548" s="7" t="e">
        <f t="shared" si="179"/>
        <v>#N/A</v>
      </c>
    </row>
    <row r="1549" spans="2:7">
      <c r="B1549" s="67">
        <f t="shared" si="178"/>
        <v>44643</v>
      </c>
      <c r="C1549" s="7" t="e">
        <f t="shared" si="179"/>
        <v>#N/A</v>
      </c>
      <c r="D1549" s="7" t="e">
        <f t="shared" si="179"/>
        <v>#N/A</v>
      </c>
      <c r="E1549" s="7" t="e">
        <f t="shared" si="179"/>
        <v>#N/A</v>
      </c>
      <c r="F1549" s="7" t="e">
        <f t="shared" si="179"/>
        <v>#N/A</v>
      </c>
      <c r="G1549" s="7" t="e">
        <f t="shared" si="179"/>
        <v>#N/A</v>
      </c>
    </row>
    <row r="1550" spans="2:7">
      <c r="B1550" s="67">
        <f t="shared" si="178"/>
        <v>44644</v>
      </c>
      <c r="C1550" s="7" t="e">
        <f t="shared" si="179"/>
        <v>#N/A</v>
      </c>
      <c r="D1550" s="7" t="e">
        <f t="shared" si="179"/>
        <v>#N/A</v>
      </c>
      <c r="E1550" s="7" t="e">
        <f t="shared" si="179"/>
        <v>#N/A</v>
      </c>
      <c r="F1550" s="7" t="e">
        <f t="shared" si="179"/>
        <v>#N/A</v>
      </c>
      <c r="G1550" s="7" t="e">
        <f t="shared" si="179"/>
        <v>#N/A</v>
      </c>
    </row>
    <row r="1551" spans="2:7">
      <c r="B1551" s="67">
        <f t="shared" si="178"/>
        <v>44645</v>
      </c>
      <c r="C1551" s="7" t="e">
        <f t="shared" si="179"/>
        <v>#N/A</v>
      </c>
      <c r="D1551" s="7" t="e">
        <f t="shared" si="179"/>
        <v>#N/A</v>
      </c>
      <c r="E1551" s="7" t="e">
        <f t="shared" si="179"/>
        <v>#N/A</v>
      </c>
      <c r="F1551" s="7" t="e">
        <f t="shared" si="179"/>
        <v>#N/A</v>
      </c>
      <c r="G1551" s="7" t="e">
        <f t="shared" si="179"/>
        <v>#N/A</v>
      </c>
    </row>
    <row r="1552" spans="2:7">
      <c r="B1552" s="67">
        <f t="shared" si="178"/>
        <v>44646</v>
      </c>
      <c r="C1552" s="7" t="e">
        <f t="shared" si="179"/>
        <v>#N/A</v>
      </c>
      <c r="D1552" s="7" t="e">
        <f t="shared" si="179"/>
        <v>#N/A</v>
      </c>
      <c r="E1552" s="7" t="e">
        <f t="shared" si="179"/>
        <v>#N/A</v>
      </c>
      <c r="F1552" s="7" t="e">
        <f t="shared" si="179"/>
        <v>#N/A</v>
      </c>
      <c r="G1552" s="7" t="e">
        <f t="shared" si="179"/>
        <v>#N/A</v>
      </c>
    </row>
    <row r="1553" spans="2:7">
      <c r="B1553" s="67">
        <f t="shared" si="178"/>
        <v>44647</v>
      </c>
      <c r="C1553" s="7" t="e">
        <f t="shared" si="179"/>
        <v>#N/A</v>
      </c>
      <c r="D1553" s="7" t="e">
        <f t="shared" si="179"/>
        <v>#N/A</v>
      </c>
      <c r="E1553" s="7" t="e">
        <f t="shared" si="179"/>
        <v>#N/A</v>
      </c>
      <c r="F1553" s="7" t="e">
        <f t="shared" si="179"/>
        <v>#N/A</v>
      </c>
      <c r="G1553" s="7" t="e">
        <f t="shared" si="179"/>
        <v>#N/A</v>
      </c>
    </row>
    <row r="1554" spans="2:7">
      <c r="B1554" s="67">
        <f t="shared" si="178"/>
        <v>44648</v>
      </c>
      <c r="C1554" s="7" t="e">
        <f t="shared" si="179"/>
        <v>#N/A</v>
      </c>
      <c r="D1554" s="7" t="e">
        <f t="shared" si="179"/>
        <v>#N/A</v>
      </c>
      <c r="E1554" s="7" t="e">
        <f t="shared" si="179"/>
        <v>#N/A</v>
      </c>
      <c r="F1554" s="7" t="e">
        <f t="shared" si="179"/>
        <v>#N/A</v>
      </c>
      <c r="G1554" s="7" t="e">
        <f t="shared" si="179"/>
        <v>#N/A</v>
      </c>
    </row>
    <row r="1555" spans="2:7">
      <c r="B1555" s="67">
        <f t="shared" si="178"/>
        <v>44649</v>
      </c>
      <c r="C1555" s="7" t="e">
        <f t="shared" si="179"/>
        <v>#N/A</v>
      </c>
      <c r="D1555" s="7" t="e">
        <f t="shared" si="179"/>
        <v>#N/A</v>
      </c>
      <c r="E1555" s="7" t="e">
        <f t="shared" si="179"/>
        <v>#N/A</v>
      </c>
      <c r="F1555" s="7" t="e">
        <f t="shared" si="179"/>
        <v>#N/A</v>
      </c>
      <c r="G1555" s="7" t="e">
        <f t="shared" si="179"/>
        <v>#N/A</v>
      </c>
    </row>
    <row r="1556" spans="2:7">
      <c r="B1556" s="67">
        <f t="shared" si="178"/>
        <v>44650</v>
      </c>
      <c r="C1556" s="7" t="e">
        <f t="shared" si="179"/>
        <v>#N/A</v>
      </c>
      <c r="D1556" s="7" t="e">
        <f t="shared" si="179"/>
        <v>#N/A</v>
      </c>
      <c r="E1556" s="7" t="e">
        <f t="shared" si="179"/>
        <v>#N/A</v>
      </c>
      <c r="F1556" s="7" t="e">
        <f t="shared" si="179"/>
        <v>#N/A</v>
      </c>
      <c r="G1556" s="7" t="e">
        <f t="shared" si="179"/>
        <v>#N/A</v>
      </c>
    </row>
    <row r="1557" spans="2:7">
      <c r="B1557" s="67">
        <f t="shared" si="178"/>
        <v>44651</v>
      </c>
      <c r="C1557" s="7" t="e">
        <f t="shared" ref="C1557:G1566" si="180">IF(AND($B1557&gt;=C$3,$B1557&lt;=C$4),C$5,NA())</f>
        <v>#N/A</v>
      </c>
      <c r="D1557" s="7" t="e">
        <f t="shared" si="180"/>
        <v>#N/A</v>
      </c>
      <c r="E1557" s="7" t="e">
        <f t="shared" si="180"/>
        <v>#N/A</v>
      </c>
      <c r="F1557" s="7" t="e">
        <f t="shared" si="180"/>
        <v>#N/A</v>
      </c>
      <c r="G1557" s="7" t="e">
        <f t="shared" si="180"/>
        <v>#N/A</v>
      </c>
    </row>
    <row r="1558" spans="2:7">
      <c r="B1558" s="67">
        <f t="shared" si="178"/>
        <v>44652</v>
      </c>
      <c r="C1558" s="7" t="e">
        <f t="shared" si="180"/>
        <v>#N/A</v>
      </c>
      <c r="D1558" s="7" t="e">
        <f t="shared" si="180"/>
        <v>#N/A</v>
      </c>
      <c r="E1558" s="7" t="e">
        <f t="shared" si="180"/>
        <v>#N/A</v>
      </c>
      <c r="F1558" s="7" t="e">
        <f t="shared" si="180"/>
        <v>#N/A</v>
      </c>
      <c r="G1558" s="7" t="e">
        <f t="shared" si="180"/>
        <v>#N/A</v>
      </c>
    </row>
    <row r="1559" spans="2:7">
      <c r="B1559" s="67">
        <f t="shared" si="178"/>
        <v>44653</v>
      </c>
      <c r="C1559" s="7" t="e">
        <f t="shared" si="180"/>
        <v>#N/A</v>
      </c>
      <c r="D1559" s="7" t="e">
        <f t="shared" si="180"/>
        <v>#N/A</v>
      </c>
      <c r="E1559" s="7" t="e">
        <f t="shared" si="180"/>
        <v>#N/A</v>
      </c>
      <c r="F1559" s="7" t="e">
        <f t="shared" si="180"/>
        <v>#N/A</v>
      </c>
      <c r="G1559" s="7" t="e">
        <f t="shared" si="180"/>
        <v>#N/A</v>
      </c>
    </row>
    <row r="1560" spans="2:7">
      <c r="B1560" s="67">
        <f t="shared" si="178"/>
        <v>44654</v>
      </c>
      <c r="C1560" s="7" t="e">
        <f t="shared" si="180"/>
        <v>#N/A</v>
      </c>
      <c r="D1560" s="7" t="e">
        <f t="shared" si="180"/>
        <v>#N/A</v>
      </c>
      <c r="E1560" s="7" t="e">
        <f t="shared" si="180"/>
        <v>#N/A</v>
      </c>
      <c r="F1560" s="7" t="e">
        <f t="shared" si="180"/>
        <v>#N/A</v>
      </c>
      <c r="G1560" s="7" t="e">
        <f t="shared" si="180"/>
        <v>#N/A</v>
      </c>
    </row>
    <row r="1561" spans="2:7">
      <c r="B1561" s="67">
        <f t="shared" si="178"/>
        <v>44655</v>
      </c>
      <c r="C1561" s="7" t="e">
        <f t="shared" si="180"/>
        <v>#N/A</v>
      </c>
      <c r="D1561" s="7" t="e">
        <f t="shared" si="180"/>
        <v>#N/A</v>
      </c>
      <c r="E1561" s="7" t="e">
        <f t="shared" si="180"/>
        <v>#N/A</v>
      </c>
      <c r="F1561" s="7" t="e">
        <f t="shared" si="180"/>
        <v>#N/A</v>
      </c>
      <c r="G1561" s="7" t="e">
        <f t="shared" si="180"/>
        <v>#N/A</v>
      </c>
    </row>
    <row r="1562" spans="2:7">
      <c r="B1562" s="67">
        <f t="shared" si="178"/>
        <v>44656</v>
      </c>
      <c r="C1562" s="7" t="e">
        <f t="shared" si="180"/>
        <v>#N/A</v>
      </c>
      <c r="D1562" s="7" t="e">
        <f t="shared" si="180"/>
        <v>#N/A</v>
      </c>
      <c r="E1562" s="7" t="e">
        <f t="shared" si="180"/>
        <v>#N/A</v>
      </c>
      <c r="F1562" s="7" t="e">
        <f t="shared" si="180"/>
        <v>#N/A</v>
      </c>
      <c r="G1562" s="7" t="e">
        <f t="shared" si="180"/>
        <v>#N/A</v>
      </c>
    </row>
    <row r="1563" spans="2:7">
      <c r="B1563" s="67">
        <f t="shared" si="178"/>
        <v>44657</v>
      </c>
      <c r="C1563" s="7" t="e">
        <f t="shared" si="180"/>
        <v>#N/A</v>
      </c>
      <c r="D1563" s="7" t="e">
        <f t="shared" si="180"/>
        <v>#N/A</v>
      </c>
      <c r="E1563" s="7" t="e">
        <f t="shared" si="180"/>
        <v>#N/A</v>
      </c>
      <c r="F1563" s="7" t="e">
        <f t="shared" si="180"/>
        <v>#N/A</v>
      </c>
      <c r="G1563" s="7" t="e">
        <f t="shared" si="180"/>
        <v>#N/A</v>
      </c>
    </row>
    <row r="1564" spans="2:7">
      <c r="B1564" s="67">
        <f t="shared" si="178"/>
        <v>44658</v>
      </c>
      <c r="C1564" s="7" t="e">
        <f t="shared" si="180"/>
        <v>#N/A</v>
      </c>
      <c r="D1564" s="7" t="e">
        <f t="shared" si="180"/>
        <v>#N/A</v>
      </c>
      <c r="E1564" s="7" t="e">
        <f t="shared" si="180"/>
        <v>#N/A</v>
      </c>
      <c r="F1564" s="7" t="e">
        <f t="shared" si="180"/>
        <v>#N/A</v>
      </c>
      <c r="G1564" s="7" t="e">
        <f t="shared" si="180"/>
        <v>#N/A</v>
      </c>
    </row>
    <row r="1565" spans="2:7">
      <c r="B1565" s="67">
        <f t="shared" si="178"/>
        <v>44659</v>
      </c>
      <c r="C1565" s="7" t="e">
        <f t="shared" si="180"/>
        <v>#N/A</v>
      </c>
      <c r="D1565" s="7" t="e">
        <f t="shared" si="180"/>
        <v>#N/A</v>
      </c>
      <c r="E1565" s="7" t="e">
        <f t="shared" si="180"/>
        <v>#N/A</v>
      </c>
      <c r="F1565" s="7" t="e">
        <f t="shared" si="180"/>
        <v>#N/A</v>
      </c>
      <c r="G1565" s="7" t="e">
        <f t="shared" si="180"/>
        <v>#N/A</v>
      </c>
    </row>
    <row r="1566" spans="2:7">
      <c r="B1566" s="67">
        <f t="shared" si="178"/>
        <v>44660</v>
      </c>
      <c r="C1566" s="7" t="e">
        <f t="shared" si="180"/>
        <v>#N/A</v>
      </c>
      <c r="D1566" s="7" t="e">
        <f t="shared" si="180"/>
        <v>#N/A</v>
      </c>
      <c r="E1566" s="7" t="e">
        <f t="shared" si="180"/>
        <v>#N/A</v>
      </c>
      <c r="F1566" s="7" t="e">
        <f t="shared" si="180"/>
        <v>#N/A</v>
      </c>
      <c r="G1566" s="7" t="e">
        <f t="shared" si="180"/>
        <v>#N/A</v>
      </c>
    </row>
    <row r="1567" spans="2:7">
      <c r="B1567" s="67">
        <f t="shared" si="178"/>
        <v>44661</v>
      </c>
      <c r="C1567" s="7" t="e">
        <f t="shared" ref="C1567:G1576" si="181">IF(AND($B1567&gt;=C$3,$B1567&lt;=C$4),C$5,NA())</f>
        <v>#N/A</v>
      </c>
      <c r="D1567" s="7" t="e">
        <f t="shared" si="181"/>
        <v>#N/A</v>
      </c>
      <c r="E1567" s="7" t="e">
        <f t="shared" si="181"/>
        <v>#N/A</v>
      </c>
      <c r="F1567" s="7" t="e">
        <f t="shared" si="181"/>
        <v>#N/A</v>
      </c>
      <c r="G1567" s="7" t="e">
        <f t="shared" si="181"/>
        <v>#N/A</v>
      </c>
    </row>
    <row r="1568" spans="2:7">
      <c r="B1568" s="67">
        <f t="shared" si="178"/>
        <v>44662</v>
      </c>
      <c r="C1568" s="7" t="e">
        <f t="shared" si="181"/>
        <v>#N/A</v>
      </c>
      <c r="D1568" s="7" t="e">
        <f t="shared" si="181"/>
        <v>#N/A</v>
      </c>
      <c r="E1568" s="7" t="e">
        <f t="shared" si="181"/>
        <v>#N/A</v>
      </c>
      <c r="F1568" s="7" t="e">
        <f t="shared" si="181"/>
        <v>#N/A</v>
      </c>
      <c r="G1568" s="7" t="e">
        <f t="shared" si="181"/>
        <v>#N/A</v>
      </c>
    </row>
    <row r="1569" spans="2:7">
      <c r="B1569" s="67">
        <f t="shared" si="178"/>
        <v>44663</v>
      </c>
      <c r="C1569" s="7" t="e">
        <f t="shared" si="181"/>
        <v>#N/A</v>
      </c>
      <c r="D1569" s="7" t="e">
        <f t="shared" si="181"/>
        <v>#N/A</v>
      </c>
      <c r="E1569" s="7" t="e">
        <f t="shared" si="181"/>
        <v>#N/A</v>
      </c>
      <c r="F1569" s="7" t="e">
        <f t="shared" si="181"/>
        <v>#N/A</v>
      </c>
      <c r="G1569" s="7" t="e">
        <f t="shared" si="181"/>
        <v>#N/A</v>
      </c>
    </row>
    <row r="1570" spans="2:7">
      <c r="B1570" s="67">
        <f t="shared" si="178"/>
        <v>44664</v>
      </c>
      <c r="C1570" s="7" t="e">
        <f t="shared" si="181"/>
        <v>#N/A</v>
      </c>
      <c r="D1570" s="7" t="e">
        <f t="shared" si="181"/>
        <v>#N/A</v>
      </c>
      <c r="E1570" s="7" t="e">
        <f t="shared" si="181"/>
        <v>#N/A</v>
      </c>
      <c r="F1570" s="7" t="e">
        <f t="shared" si="181"/>
        <v>#N/A</v>
      </c>
      <c r="G1570" s="7" t="e">
        <f t="shared" si="181"/>
        <v>#N/A</v>
      </c>
    </row>
    <row r="1571" spans="2:7">
      <c r="B1571" s="67">
        <f t="shared" si="178"/>
        <v>44665</v>
      </c>
      <c r="C1571" s="7" t="e">
        <f t="shared" si="181"/>
        <v>#N/A</v>
      </c>
      <c r="D1571" s="7" t="e">
        <f t="shared" si="181"/>
        <v>#N/A</v>
      </c>
      <c r="E1571" s="7" t="e">
        <f t="shared" si="181"/>
        <v>#N/A</v>
      </c>
      <c r="F1571" s="7" t="e">
        <f t="shared" si="181"/>
        <v>#N/A</v>
      </c>
      <c r="G1571" s="7" t="e">
        <f t="shared" si="181"/>
        <v>#N/A</v>
      </c>
    </row>
    <row r="1572" spans="2:7">
      <c r="B1572" s="67">
        <f t="shared" si="178"/>
        <v>44666</v>
      </c>
      <c r="C1572" s="7" t="e">
        <f t="shared" si="181"/>
        <v>#N/A</v>
      </c>
      <c r="D1572" s="7" t="e">
        <f t="shared" si="181"/>
        <v>#N/A</v>
      </c>
      <c r="E1572" s="7" t="e">
        <f t="shared" si="181"/>
        <v>#N/A</v>
      </c>
      <c r="F1572" s="7" t="e">
        <f t="shared" si="181"/>
        <v>#N/A</v>
      </c>
      <c r="G1572" s="7" t="e">
        <f t="shared" si="181"/>
        <v>#N/A</v>
      </c>
    </row>
    <row r="1573" spans="2:7">
      <c r="B1573" s="67">
        <f t="shared" si="178"/>
        <v>44667</v>
      </c>
      <c r="C1573" s="7" t="e">
        <f t="shared" si="181"/>
        <v>#N/A</v>
      </c>
      <c r="D1573" s="7" t="e">
        <f t="shared" si="181"/>
        <v>#N/A</v>
      </c>
      <c r="E1573" s="7" t="e">
        <f t="shared" si="181"/>
        <v>#N/A</v>
      </c>
      <c r="F1573" s="7" t="e">
        <f t="shared" si="181"/>
        <v>#N/A</v>
      </c>
      <c r="G1573" s="7" t="e">
        <f t="shared" si="181"/>
        <v>#N/A</v>
      </c>
    </row>
    <row r="1574" spans="2:7">
      <c r="B1574" s="67">
        <f t="shared" si="178"/>
        <v>44668</v>
      </c>
      <c r="C1574" s="7" t="e">
        <f t="shared" si="181"/>
        <v>#N/A</v>
      </c>
      <c r="D1574" s="7" t="e">
        <f t="shared" si="181"/>
        <v>#N/A</v>
      </c>
      <c r="E1574" s="7" t="e">
        <f t="shared" si="181"/>
        <v>#N/A</v>
      </c>
      <c r="F1574" s="7" t="e">
        <f t="shared" si="181"/>
        <v>#N/A</v>
      </c>
      <c r="G1574" s="7" t="e">
        <f t="shared" si="181"/>
        <v>#N/A</v>
      </c>
    </row>
    <row r="1575" spans="2:7">
      <c r="B1575" s="67">
        <f t="shared" si="178"/>
        <v>44669</v>
      </c>
      <c r="C1575" s="7" t="e">
        <f t="shared" si="181"/>
        <v>#N/A</v>
      </c>
      <c r="D1575" s="7" t="e">
        <f t="shared" si="181"/>
        <v>#N/A</v>
      </c>
      <c r="E1575" s="7" t="e">
        <f t="shared" si="181"/>
        <v>#N/A</v>
      </c>
      <c r="F1575" s="7" t="e">
        <f t="shared" si="181"/>
        <v>#N/A</v>
      </c>
      <c r="G1575" s="7" t="e">
        <f t="shared" si="181"/>
        <v>#N/A</v>
      </c>
    </row>
    <row r="1576" spans="2:7">
      <c r="B1576" s="67">
        <f t="shared" si="178"/>
        <v>44670</v>
      </c>
      <c r="C1576" s="7" t="e">
        <f t="shared" si="181"/>
        <v>#N/A</v>
      </c>
      <c r="D1576" s="7" t="e">
        <f t="shared" si="181"/>
        <v>#N/A</v>
      </c>
      <c r="E1576" s="7" t="e">
        <f t="shared" si="181"/>
        <v>#N/A</v>
      </c>
      <c r="F1576" s="7" t="e">
        <f t="shared" si="181"/>
        <v>#N/A</v>
      </c>
      <c r="G1576" s="7" t="e">
        <f t="shared" si="181"/>
        <v>#N/A</v>
      </c>
    </row>
    <row r="1577" spans="2:7">
      <c r="B1577" s="67">
        <f t="shared" si="178"/>
        <v>44671</v>
      </c>
      <c r="C1577" s="7" t="e">
        <f t="shared" ref="C1577:G1586" si="182">IF(AND($B1577&gt;=C$3,$B1577&lt;=C$4),C$5,NA())</f>
        <v>#N/A</v>
      </c>
      <c r="D1577" s="7" t="e">
        <f t="shared" si="182"/>
        <v>#N/A</v>
      </c>
      <c r="E1577" s="7" t="e">
        <f t="shared" si="182"/>
        <v>#N/A</v>
      </c>
      <c r="F1577" s="7" t="e">
        <f t="shared" si="182"/>
        <v>#N/A</v>
      </c>
      <c r="G1577" s="7" t="e">
        <f t="shared" si="182"/>
        <v>#N/A</v>
      </c>
    </row>
    <row r="1578" spans="2:7">
      <c r="B1578" s="67">
        <f t="shared" si="178"/>
        <v>44672</v>
      </c>
      <c r="C1578" s="7" t="e">
        <f t="shared" si="182"/>
        <v>#N/A</v>
      </c>
      <c r="D1578" s="7" t="e">
        <f t="shared" si="182"/>
        <v>#N/A</v>
      </c>
      <c r="E1578" s="7" t="e">
        <f t="shared" si="182"/>
        <v>#N/A</v>
      </c>
      <c r="F1578" s="7" t="e">
        <f t="shared" si="182"/>
        <v>#N/A</v>
      </c>
      <c r="G1578" s="7" t="e">
        <f t="shared" si="182"/>
        <v>#N/A</v>
      </c>
    </row>
    <row r="1579" spans="2:7">
      <c r="B1579" s="67">
        <f t="shared" si="178"/>
        <v>44673</v>
      </c>
      <c r="C1579" s="7" t="e">
        <f t="shared" si="182"/>
        <v>#N/A</v>
      </c>
      <c r="D1579" s="7" t="e">
        <f t="shared" si="182"/>
        <v>#N/A</v>
      </c>
      <c r="E1579" s="7" t="e">
        <f t="shared" si="182"/>
        <v>#N/A</v>
      </c>
      <c r="F1579" s="7" t="e">
        <f t="shared" si="182"/>
        <v>#N/A</v>
      </c>
      <c r="G1579" s="7" t="e">
        <f t="shared" si="182"/>
        <v>#N/A</v>
      </c>
    </row>
    <row r="1580" spans="2:7">
      <c r="B1580" s="67">
        <f t="shared" si="178"/>
        <v>44674</v>
      </c>
      <c r="C1580" s="7" t="e">
        <f t="shared" si="182"/>
        <v>#N/A</v>
      </c>
      <c r="D1580" s="7" t="e">
        <f t="shared" si="182"/>
        <v>#N/A</v>
      </c>
      <c r="E1580" s="7" t="e">
        <f t="shared" si="182"/>
        <v>#N/A</v>
      </c>
      <c r="F1580" s="7" t="e">
        <f t="shared" si="182"/>
        <v>#N/A</v>
      </c>
      <c r="G1580" s="7" t="e">
        <f t="shared" si="182"/>
        <v>#N/A</v>
      </c>
    </row>
    <row r="1581" spans="2:7">
      <c r="B1581" s="67">
        <f t="shared" si="178"/>
        <v>44675</v>
      </c>
      <c r="C1581" s="7" t="e">
        <f t="shared" si="182"/>
        <v>#N/A</v>
      </c>
      <c r="D1581" s="7" t="e">
        <f t="shared" si="182"/>
        <v>#N/A</v>
      </c>
      <c r="E1581" s="7" t="e">
        <f t="shared" si="182"/>
        <v>#N/A</v>
      </c>
      <c r="F1581" s="7" t="e">
        <f t="shared" si="182"/>
        <v>#N/A</v>
      </c>
      <c r="G1581" s="7" t="e">
        <f t="shared" si="182"/>
        <v>#N/A</v>
      </c>
    </row>
    <row r="1582" spans="2:7">
      <c r="B1582" s="67">
        <f t="shared" si="178"/>
        <v>44676</v>
      </c>
      <c r="C1582" s="7" t="e">
        <f t="shared" si="182"/>
        <v>#N/A</v>
      </c>
      <c r="D1582" s="7" t="e">
        <f t="shared" si="182"/>
        <v>#N/A</v>
      </c>
      <c r="E1582" s="7" t="e">
        <f t="shared" si="182"/>
        <v>#N/A</v>
      </c>
      <c r="F1582" s="7" t="e">
        <f t="shared" si="182"/>
        <v>#N/A</v>
      </c>
      <c r="G1582" s="7" t="e">
        <f t="shared" si="182"/>
        <v>#N/A</v>
      </c>
    </row>
    <row r="1583" spans="2:7">
      <c r="B1583" s="67">
        <f t="shared" si="178"/>
        <v>44677</v>
      </c>
      <c r="C1583" s="7" t="e">
        <f t="shared" si="182"/>
        <v>#N/A</v>
      </c>
      <c r="D1583" s="7" t="e">
        <f t="shared" si="182"/>
        <v>#N/A</v>
      </c>
      <c r="E1583" s="7" t="e">
        <f t="shared" si="182"/>
        <v>#N/A</v>
      </c>
      <c r="F1583" s="7" t="e">
        <f t="shared" si="182"/>
        <v>#N/A</v>
      </c>
      <c r="G1583" s="7" t="e">
        <f t="shared" si="182"/>
        <v>#N/A</v>
      </c>
    </row>
    <row r="1584" spans="2:7">
      <c r="B1584" s="67">
        <f t="shared" si="178"/>
        <v>44678</v>
      </c>
      <c r="C1584" s="7" t="e">
        <f t="shared" si="182"/>
        <v>#N/A</v>
      </c>
      <c r="D1584" s="7" t="e">
        <f t="shared" si="182"/>
        <v>#N/A</v>
      </c>
      <c r="E1584" s="7" t="e">
        <f t="shared" si="182"/>
        <v>#N/A</v>
      </c>
      <c r="F1584" s="7" t="e">
        <f t="shared" si="182"/>
        <v>#N/A</v>
      </c>
      <c r="G1584" s="7" t="e">
        <f t="shared" si="182"/>
        <v>#N/A</v>
      </c>
    </row>
    <row r="1585" spans="2:7">
      <c r="B1585" s="67">
        <f t="shared" si="178"/>
        <v>44679</v>
      </c>
      <c r="C1585" s="7" t="e">
        <f t="shared" si="182"/>
        <v>#N/A</v>
      </c>
      <c r="D1585" s="7" t="e">
        <f t="shared" si="182"/>
        <v>#N/A</v>
      </c>
      <c r="E1585" s="7" t="e">
        <f t="shared" si="182"/>
        <v>#N/A</v>
      </c>
      <c r="F1585" s="7" t="e">
        <f t="shared" si="182"/>
        <v>#N/A</v>
      </c>
      <c r="G1585" s="7" t="e">
        <f t="shared" si="182"/>
        <v>#N/A</v>
      </c>
    </row>
    <row r="1586" spans="2:7">
      <c r="B1586" s="67">
        <f t="shared" si="178"/>
        <v>44680</v>
      </c>
      <c r="C1586" s="7" t="e">
        <f t="shared" si="182"/>
        <v>#N/A</v>
      </c>
      <c r="D1586" s="7" t="e">
        <f t="shared" si="182"/>
        <v>#N/A</v>
      </c>
      <c r="E1586" s="7" t="e">
        <f t="shared" si="182"/>
        <v>#N/A</v>
      </c>
      <c r="F1586" s="7" t="e">
        <f t="shared" si="182"/>
        <v>#N/A</v>
      </c>
      <c r="G1586" s="7" t="e">
        <f t="shared" si="182"/>
        <v>#N/A</v>
      </c>
    </row>
    <row r="1587" spans="2:7">
      <c r="B1587" s="67">
        <f t="shared" si="178"/>
        <v>44681</v>
      </c>
      <c r="C1587" s="7" t="e">
        <f t="shared" ref="C1587:G1596" si="183">IF(AND($B1587&gt;=C$3,$B1587&lt;=C$4),C$5,NA())</f>
        <v>#N/A</v>
      </c>
      <c r="D1587" s="7" t="e">
        <f t="shared" si="183"/>
        <v>#N/A</v>
      </c>
      <c r="E1587" s="7" t="e">
        <f t="shared" si="183"/>
        <v>#N/A</v>
      </c>
      <c r="F1587" s="7" t="e">
        <f t="shared" si="183"/>
        <v>#N/A</v>
      </c>
      <c r="G1587" s="7" t="e">
        <f t="shared" si="183"/>
        <v>#N/A</v>
      </c>
    </row>
    <row r="1588" spans="2:7">
      <c r="B1588" s="67">
        <f t="shared" si="178"/>
        <v>44682</v>
      </c>
      <c r="C1588" s="7" t="e">
        <f t="shared" si="183"/>
        <v>#N/A</v>
      </c>
      <c r="D1588" s="7" t="e">
        <f t="shared" si="183"/>
        <v>#N/A</v>
      </c>
      <c r="E1588" s="7" t="e">
        <f t="shared" si="183"/>
        <v>#N/A</v>
      </c>
      <c r="F1588" s="7" t="e">
        <f t="shared" si="183"/>
        <v>#N/A</v>
      </c>
      <c r="G1588" s="7" t="e">
        <f t="shared" si="183"/>
        <v>#N/A</v>
      </c>
    </row>
    <row r="1589" spans="2:7">
      <c r="B1589" s="67">
        <f t="shared" si="178"/>
        <v>44683</v>
      </c>
      <c r="C1589" s="7" t="e">
        <f t="shared" si="183"/>
        <v>#N/A</v>
      </c>
      <c r="D1589" s="7" t="e">
        <f t="shared" si="183"/>
        <v>#N/A</v>
      </c>
      <c r="E1589" s="7" t="e">
        <f t="shared" si="183"/>
        <v>#N/A</v>
      </c>
      <c r="F1589" s="7" t="e">
        <f t="shared" si="183"/>
        <v>#N/A</v>
      </c>
      <c r="G1589" s="7" t="e">
        <f t="shared" si="183"/>
        <v>#N/A</v>
      </c>
    </row>
    <row r="1590" spans="2:7">
      <c r="B1590" s="67">
        <f t="shared" si="178"/>
        <v>44684</v>
      </c>
      <c r="C1590" s="7" t="e">
        <f t="shared" si="183"/>
        <v>#N/A</v>
      </c>
      <c r="D1590" s="7" t="e">
        <f t="shared" si="183"/>
        <v>#N/A</v>
      </c>
      <c r="E1590" s="7" t="e">
        <f t="shared" si="183"/>
        <v>#N/A</v>
      </c>
      <c r="F1590" s="7" t="e">
        <f t="shared" si="183"/>
        <v>#N/A</v>
      </c>
      <c r="G1590" s="7" t="e">
        <f t="shared" si="183"/>
        <v>#N/A</v>
      </c>
    </row>
    <row r="1591" spans="2:7">
      <c r="B1591" s="67">
        <f t="shared" si="178"/>
        <v>44685</v>
      </c>
      <c r="C1591" s="7" t="e">
        <f t="shared" si="183"/>
        <v>#N/A</v>
      </c>
      <c r="D1591" s="7" t="e">
        <f t="shared" si="183"/>
        <v>#N/A</v>
      </c>
      <c r="E1591" s="7" t="e">
        <f t="shared" si="183"/>
        <v>#N/A</v>
      </c>
      <c r="F1591" s="7" t="e">
        <f t="shared" si="183"/>
        <v>#N/A</v>
      </c>
      <c r="G1591" s="7" t="e">
        <f t="shared" si="183"/>
        <v>#N/A</v>
      </c>
    </row>
    <row r="1592" spans="2:7">
      <c r="B1592" s="67">
        <f t="shared" si="178"/>
        <v>44686</v>
      </c>
      <c r="C1592" s="7" t="e">
        <f t="shared" si="183"/>
        <v>#N/A</v>
      </c>
      <c r="D1592" s="7" t="e">
        <f t="shared" si="183"/>
        <v>#N/A</v>
      </c>
      <c r="E1592" s="7" t="e">
        <f t="shared" si="183"/>
        <v>#N/A</v>
      </c>
      <c r="F1592" s="7" t="e">
        <f t="shared" si="183"/>
        <v>#N/A</v>
      </c>
      <c r="G1592" s="7" t="e">
        <f t="shared" si="183"/>
        <v>#N/A</v>
      </c>
    </row>
    <row r="1593" spans="2:7">
      <c r="B1593" s="67">
        <f t="shared" si="178"/>
        <v>44687</v>
      </c>
      <c r="C1593" s="7" t="e">
        <f t="shared" si="183"/>
        <v>#N/A</v>
      </c>
      <c r="D1593" s="7" t="e">
        <f t="shared" si="183"/>
        <v>#N/A</v>
      </c>
      <c r="E1593" s="7" t="e">
        <f t="shared" si="183"/>
        <v>#N/A</v>
      </c>
      <c r="F1593" s="7" t="e">
        <f t="shared" si="183"/>
        <v>#N/A</v>
      </c>
      <c r="G1593" s="7" t="e">
        <f t="shared" si="183"/>
        <v>#N/A</v>
      </c>
    </row>
    <row r="1594" spans="2:7">
      <c r="B1594" s="67">
        <f t="shared" si="178"/>
        <v>44688</v>
      </c>
      <c r="C1594" s="7" t="e">
        <f t="shared" si="183"/>
        <v>#N/A</v>
      </c>
      <c r="D1594" s="7" t="e">
        <f t="shared" si="183"/>
        <v>#N/A</v>
      </c>
      <c r="E1594" s="7" t="e">
        <f t="shared" si="183"/>
        <v>#N/A</v>
      </c>
      <c r="F1594" s="7" t="e">
        <f t="shared" si="183"/>
        <v>#N/A</v>
      </c>
      <c r="G1594" s="7" t="e">
        <f t="shared" si="183"/>
        <v>#N/A</v>
      </c>
    </row>
    <row r="1595" spans="2:7">
      <c r="B1595" s="67">
        <f t="shared" si="178"/>
        <v>44689</v>
      </c>
      <c r="C1595" s="7" t="e">
        <f t="shared" si="183"/>
        <v>#N/A</v>
      </c>
      <c r="D1595" s="7" t="e">
        <f t="shared" si="183"/>
        <v>#N/A</v>
      </c>
      <c r="E1595" s="7" t="e">
        <f t="shared" si="183"/>
        <v>#N/A</v>
      </c>
      <c r="F1595" s="7" t="e">
        <f t="shared" si="183"/>
        <v>#N/A</v>
      </c>
      <c r="G1595" s="7" t="e">
        <f t="shared" si="183"/>
        <v>#N/A</v>
      </c>
    </row>
    <row r="1596" spans="2:7">
      <c r="B1596" s="67">
        <f t="shared" si="178"/>
        <v>44690</v>
      </c>
      <c r="C1596" s="7" t="e">
        <f t="shared" si="183"/>
        <v>#N/A</v>
      </c>
      <c r="D1596" s="7" t="e">
        <f t="shared" si="183"/>
        <v>#N/A</v>
      </c>
      <c r="E1596" s="7" t="e">
        <f t="shared" si="183"/>
        <v>#N/A</v>
      </c>
      <c r="F1596" s="7" t="e">
        <f t="shared" si="183"/>
        <v>#N/A</v>
      </c>
      <c r="G1596" s="7" t="e">
        <f t="shared" si="183"/>
        <v>#N/A</v>
      </c>
    </row>
    <row r="1597" spans="2:7">
      <c r="B1597" s="67">
        <f t="shared" si="178"/>
        <v>44691</v>
      </c>
      <c r="C1597" s="7" t="e">
        <f t="shared" ref="C1597:G1606" si="184">IF(AND($B1597&gt;=C$3,$B1597&lt;=C$4),C$5,NA())</f>
        <v>#N/A</v>
      </c>
      <c r="D1597" s="7" t="e">
        <f t="shared" si="184"/>
        <v>#N/A</v>
      </c>
      <c r="E1597" s="7" t="e">
        <f t="shared" si="184"/>
        <v>#N/A</v>
      </c>
      <c r="F1597" s="7" t="e">
        <f t="shared" si="184"/>
        <v>#N/A</v>
      </c>
      <c r="G1597" s="7" t="e">
        <f t="shared" si="184"/>
        <v>#N/A</v>
      </c>
    </row>
    <row r="1598" spans="2:7">
      <c r="B1598" s="67">
        <f t="shared" si="178"/>
        <v>44692</v>
      </c>
      <c r="C1598" s="7" t="e">
        <f t="shared" si="184"/>
        <v>#N/A</v>
      </c>
      <c r="D1598" s="7" t="e">
        <f t="shared" si="184"/>
        <v>#N/A</v>
      </c>
      <c r="E1598" s="7" t="e">
        <f t="shared" si="184"/>
        <v>#N/A</v>
      </c>
      <c r="F1598" s="7" t="e">
        <f t="shared" si="184"/>
        <v>#N/A</v>
      </c>
      <c r="G1598" s="7" t="e">
        <f t="shared" si="184"/>
        <v>#N/A</v>
      </c>
    </row>
    <row r="1599" spans="2:7">
      <c r="B1599" s="67">
        <f t="shared" si="178"/>
        <v>44693</v>
      </c>
      <c r="C1599" s="7" t="e">
        <f t="shared" si="184"/>
        <v>#N/A</v>
      </c>
      <c r="D1599" s="7" t="e">
        <f t="shared" si="184"/>
        <v>#N/A</v>
      </c>
      <c r="E1599" s="7" t="e">
        <f t="shared" si="184"/>
        <v>#N/A</v>
      </c>
      <c r="F1599" s="7" t="e">
        <f t="shared" si="184"/>
        <v>#N/A</v>
      </c>
      <c r="G1599" s="7" t="e">
        <f t="shared" si="184"/>
        <v>#N/A</v>
      </c>
    </row>
    <row r="1600" spans="2:7">
      <c r="B1600" s="67">
        <f t="shared" si="178"/>
        <v>44694</v>
      </c>
      <c r="C1600" s="7" t="e">
        <f t="shared" si="184"/>
        <v>#N/A</v>
      </c>
      <c r="D1600" s="7" t="e">
        <f t="shared" si="184"/>
        <v>#N/A</v>
      </c>
      <c r="E1600" s="7" t="e">
        <f t="shared" si="184"/>
        <v>#N/A</v>
      </c>
      <c r="F1600" s="7" t="e">
        <f t="shared" si="184"/>
        <v>#N/A</v>
      </c>
      <c r="G1600" s="7" t="e">
        <f t="shared" si="184"/>
        <v>#N/A</v>
      </c>
    </row>
    <row r="1601" spans="2:7">
      <c r="B1601" s="67">
        <f t="shared" si="178"/>
        <v>44695</v>
      </c>
      <c r="C1601" s="7" t="e">
        <f t="shared" si="184"/>
        <v>#N/A</v>
      </c>
      <c r="D1601" s="7" t="e">
        <f t="shared" si="184"/>
        <v>#N/A</v>
      </c>
      <c r="E1601" s="7" t="e">
        <f t="shared" si="184"/>
        <v>#N/A</v>
      </c>
      <c r="F1601" s="7" t="e">
        <f t="shared" si="184"/>
        <v>#N/A</v>
      </c>
      <c r="G1601" s="7" t="e">
        <f t="shared" si="184"/>
        <v>#N/A</v>
      </c>
    </row>
    <row r="1602" spans="2:7">
      <c r="B1602" s="67">
        <f t="shared" si="178"/>
        <v>44696</v>
      </c>
      <c r="C1602" s="7" t="e">
        <f t="shared" si="184"/>
        <v>#N/A</v>
      </c>
      <c r="D1602" s="7" t="e">
        <f t="shared" si="184"/>
        <v>#N/A</v>
      </c>
      <c r="E1602" s="7" t="e">
        <f t="shared" si="184"/>
        <v>#N/A</v>
      </c>
      <c r="F1602" s="7" t="e">
        <f t="shared" si="184"/>
        <v>#N/A</v>
      </c>
      <c r="G1602" s="7" t="e">
        <f t="shared" si="184"/>
        <v>#N/A</v>
      </c>
    </row>
    <row r="1603" spans="2:7">
      <c r="B1603" s="67">
        <f t="shared" si="178"/>
        <v>44697</v>
      </c>
      <c r="C1603" s="7" t="e">
        <f t="shared" si="184"/>
        <v>#N/A</v>
      </c>
      <c r="D1603" s="7" t="e">
        <f t="shared" si="184"/>
        <v>#N/A</v>
      </c>
      <c r="E1603" s="7" t="e">
        <f t="shared" si="184"/>
        <v>#N/A</v>
      </c>
      <c r="F1603" s="7" t="e">
        <f t="shared" si="184"/>
        <v>#N/A</v>
      </c>
      <c r="G1603" s="7" t="e">
        <f t="shared" si="184"/>
        <v>#N/A</v>
      </c>
    </row>
    <row r="1604" spans="2:7">
      <c r="B1604" s="67">
        <f t="shared" si="178"/>
        <v>44698</v>
      </c>
      <c r="C1604" s="7" t="e">
        <f t="shared" si="184"/>
        <v>#N/A</v>
      </c>
      <c r="D1604" s="7" t="e">
        <f t="shared" si="184"/>
        <v>#N/A</v>
      </c>
      <c r="E1604" s="7" t="e">
        <f t="shared" si="184"/>
        <v>#N/A</v>
      </c>
      <c r="F1604" s="7" t="e">
        <f t="shared" si="184"/>
        <v>#N/A</v>
      </c>
      <c r="G1604" s="7" t="e">
        <f t="shared" si="184"/>
        <v>#N/A</v>
      </c>
    </row>
    <row r="1605" spans="2:7">
      <c r="B1605" s="67">
        <f t="shared" si="178"/>
        <v>44699</v>
      </c>
      <c r="C1605" s="7" t="e">
        <f t="shared" si="184"/>
        <v>#N/A</v>
      </c>
      <c r="D1605" s="7" t="e">
        <f t="shared" si="184"/>
        <v>#N/A</v>
      </c>
      <c r="E1605" s="7" t="e">
        <f t="shared" si="184"/>
        <v>#N/A</v>
      </c>
      <c r="F1605" s="7" t="e">
        <f t="shared" si="184"/>
        <v>#N/A</v>
      </c>
      <c r="G1605" s="7" t="e">
        <f t="shared" si="184"/>
        <v>#N/A</v>
      </c>
    </row>
    <row r="1606" spans="2:7">
      <c r="B1606" s="67">
        <f t="shared" si="178"/>
        <v>44700</v>
      </c>
      <c r="C1606" s="7" t="e">
        <f t="shared" si="184"/>
        <v>#N/A</v>
      </c>
      <c r="D1606" s="7" t="e">
        <f t="shared" si="184"/>
        <v>#N/A</v>
      </c>
      <c r="E1606" s="7" t="e">
        <f t="shared" si="184"/>
        <v>#N/A</v>
      </c>
      <c r="F1606" s="7" t="e">
        <f t="shared" si="184"/>
        <v>#N/A</v>
      </c>
      <c r="G1606" s="7" t="e">
        <f t="shared" si="184"/>
        <v>#N/A</v>
      </c>
    </row>
    <row r="1607" spans="2:7">
      <c r="B1607" s="67">
        <f t="shared" si="178"/>
        <v>44701</v>
      </c>
      <c r="C1607" s="7" t="e">
        <f t="shared" ref="C1607:G1616" si="185">IF(AND($B1607&gt;=C$3,$B1607&lt;=C$4),C$5,NA())</f>
        <v>#N/A</v>
      </c>
      <c r="D1607" s="7" t="e">
        <f t="shared" si="185"/>
        <v>#N/A</v>
      </c>
      <c r="E1607" s="7" t="e">
        <f t="shared" si="185"/>
        <v>#N/A</v>
      </c>
      <c r="F1607" s="7" t="e">
        <f t="shared" si="185"/>
        <v>#N/A</v>
      </c>
      <c r="G1607" s="7" t="e">
        <f t="shared" si="185"/>
        <v>#N/A</v>
      </c>
    </row>
    <row r="1608" spans="2:7">
      <c r="B1608" s="67">
        <f t="shared" ref="B1608:B1671" si="186">B1607+1</f>
        <v>44702</v>
      </c>
      <c r="C1608" s="7" t="e">
        <f t="shared" si="185"/>
        <v>#N/A</v>
      </c>
      <c r="D1608" s="7" t="e">
        <f t="shared" si="185"/>
        <v>#N/A</v>
      </c>
      <c r="E1608" s="7" t="e">
        <f t="shared" si="185"/>
        <v>#N/A</v>
      </c>
      <c r="F1608" s="7" t="e">
        <f t="shared" si="185"/>
        <v>#N/A</v>
      </c>
      <c r="G1608" s="7" t="e">
        <f t="shared" si="185"/>
        <v>#N/A</v>
      </c>
    </row>
    <row r="1609" spans="2:7">
      <c r="B1609" s="67">
        <f t="shared" si="186"/>
        <v>44703</v>
      </c>
      <c r="C1609" s="7" t="e">
        <f t="shared" si="185"/>
        <v>#N/A</v>
      </c>
      <c r="D1609" s="7" t="e">
        <f t="shared" si="185"/>
        <v>#N/A</v>
      </c>
      <c r="E1609" s="7" t="e">
        <f t="shared" si="185"/>
        <v>#N/A</v>
      </c>
      <c r="F1609" s="7" t="e">
        <f t="shared" si="185"/>
        <v>#N/A</v>
      </c>
      <c r="G1609" s="7" t="e">
        <f t="shared" si="185"/>
        <v>#N/A</v>
      </c>
    </row>
    <row r="1610" spans="2:7">
      <c r="B1610" s="67">
        <f t="shared" si="186"/>
        <v>44704</v>
      </c>
      <c r="C1610" s="7" t="e">
        <f t="shared" si="185"/>
        <v>#N/A</v>
      </c>
      <c r="D1610" s="7" t="e">
        <f t="shared" si="185"/>
        <v>#N/A</v>
      </c>
      <c r="E1610" s="7" t="e">
        <f t="shared" si="185"/>
        <v>#N/A</v>
      </c>
      <c r="F1610" s="7" t="e">
        <f t="shared" si="185"/>
        <v>#N/A</v>
      </c>
      <c r="G1610" s="7" t="e">
        <f t="shared" si="185"/>
        <v>#N/A</v>
      </c>
    </row>
    <row r="1611" spans="2:7">
      <c r="B1611" s="67">
        <f t="shared" si="186"/>
        <v>44705</v>
      </c>
      <c r="C1611" s="7" t="e">
        <f t="shared" si="185"/>
        <v>#N/A</v>
      </c>
      <c r="D1611" s="7" t="e">
        <f t="shared" si="185"/>
        <v>#N/A</v>
      </c>
      <c r="E1611" s="7" t="e">
        <f t="shared" si="185"/>
        <v>#N/A</v>
      </c>
      <c r="F1611" s="7" t="e">
        <f t="shared" si="185"/>
        <v>#N/A</v>
      </c>
      <c r="G1611" s="7" t="e">
        <f t="shared" si="185"/>
        <v>#N/A</v>
      </c>
    </row>
    <row r="1612" spans="2:7">
      <c r="B1612" s="67">
        <f t="shared" si="186"/>
        <v>44706</v>
      </c>
      <c r="C1612" s="7" t="e">
        <f t="shared" si="185"/>
        <v>#N/A</v>
      </c>
      <c r="D1612" s="7" t="e">
        <f t="shared" si="185"/>
        <v>#N/A</v>
      </c>
      <c r="E1612" s="7" t="e">
        <f t="shared" si="185"/>
        <v>#N/A</v>
      </c>
      <c r="F1612" s="7" t="e">
        <f t="shared" si="185"/>
        <v>#N/A</v>
      </c>
      <c r="G1612" s="7" t="e">
        <f t="shared" si="185"/>
        <v>#N/A</v>
      </c>
    </row>
    <row r="1613" spans="2:7">
      <c r="B1613" s="67">
        <f t="shared" si="186"/>
        <v>44707</v>
      </c>
      <c r="C1613" s="7" t="e">
        <f t="shared" si="185"/>
        <v>#N/A</v>
      </c>
      <c r="D1613" s="7" t="e">
        <f t="shared" si="185"/>
        <v>#N/A</v>
      </c>
      <c r="E1613" s="7" t="e">
        <f t="shared" si="185"/>
        <v>#N/A</v>
      </c>
      <c r="F1613" s="7" t="e">
        <f t="shared" si="185"/>
        <v>#N/A</v>
      </c>
      <c r="G1613" s="7" t="e">
        <f t="shared" si="185"/>
        <v>#N/A</v>
      </c>
    </row>
    <row r="1614" spans="2:7">
      <c r="B1614" s="67">
        <f t="shared" si="186"/>
        <v>44708</v>
      </c>
      <c r="C1614" s="7" t="e">
        <f t="shared" si="185"/>
        <v>#N/A</v>
      </c>
      <c r="D1614" s="7" t="e">
        <f t="shared" si="185"/>
        <v>#N/A</v>
      </c>
      <c r="E1614" s="7" t="e">
        <f t="shared" si="185"/>
        <v>#N/A</v>
      </c>
      <c r="F1614" s="7" t="e">
        <f t="shared" si="185"/>
        <v>#N/A</v>
      </c>
      <c r="G1614" s="7" t="e">
        <f t="shared" si="185"/>
        <v>#N/A</v>
      </c>
    </row>
    <row r="1615" spans="2:7">
      <c r="B1615" s="67">
        <f t="shared" si="186"/>
        <v>44709</v>
      </c>
      <c r="C1615" s="7" t="e">
        <f t="shared" si="185"/>
        <v>#N/A</v>
      </c>
      <c r="D1615" s="7" t="e">
        <f t="shared" si="185"/>
        <v>#N/A</v>
      </c>
      <c r="E1615" s="7" t="e">
        <f t="shared" si="185"/>
        <v>#N/A</v>
      </c>
      <c r="F1615" s="7" t="e">
        <f t="shared" si="185"/>
        <v>#N/A</v>
      </c>
      <c r="G1615" s="7" t="e">
        <f t="shared" si="185"/>
        <v>#N/A</v>
      </c>
    </row>
    <row r="1616" spans="2:7">
      <c r="B1616" s="67">
        <f t="shared" si="186"/>
        <v>44710</v>
      </c>
      <c r="C1616" s="7" t="e">
        <f t="shared" si="185"/>
        <v>#N/A</v>
      </c>
      <c r="D1616" s="7" t="e">
        <f t="shared" si="185"/>
        <v>#N/A</v>
      </c>
      <c r="E1616" s="7" t="e">
        <f t="shared" si="185"/>
        <v>#N/A</v>
      </c>
      <c r="F1616" s="7" t="e">
        <f t="shared" si="185"/>
        <v>#N/A</v>
      </c>
      <c r="G1616" s="7" t="e">
        <f t="shared" si="185"/>
        <v>#N/A</v>
      </c>
    </row>
    <row r="1617" spans="2:7">
      <c r="B1617" s="67">
        <f t="shared" si="186"/>
        <v>44711</v>
      </c>
      <c r="C1617" s="7" t="e">
        <f t="shared" ref="C1617:G1626" si="187">IF(AND($B1617&gt;=C$3,$B1617&lt;=C$4),C$5,NA())</f>
        <v>#N/A</v>
      </c>
      <c r="D1617" s="7" t="e">
        <f t="shared" si="187"/>
        <v>#N/A</v>
      </c>
      <c r="E1617" s="7" t="e">
        <f t="shared" si="187"/>
        <v>#N/A</v>
      </c>
      <c r="F1617" s="7" t="e">
        <f t="shared" si="187"/>
        <v>#N/A</v>
      </c>
      <c r="G1617" s="7" t="e">
        <f t="shared" si="187"/>
        <v>#N/A</v>
      </c>
    </row>
    <row r="1618" spans="2:7">
      <c r="B1618" s="67">
        <f t="shared" si="186"/>
        <v>44712</v>
      </c>
      <c r="C1618" s="7" t="e">
        <f t="shared" si="187"/>
        <v>#N/A</v>
      </c>
      <c r="D1618" s="7" t="e">
        <f t="shared" si="187"/>
        <v>#N/A</v>
      </c>
      <c r="E1618" s="7" t="e">
        <f t="shared" si="187"/>
        <v>#N/A</v>
      </c>
      <c r="F1618" s="7" t="e">
        <f t="shared" si="187"/>
        <v>#N/A</v>
      </c>
      <c r="G1618" s="7" t="e">
        <f t="shared" si="187"/>
        <v>#N/A</v>
      </c>
    </row>
    <row r="1619" spans="2:7">
      <c r="B1619" s="67">
        <f t="shared" si="186"/>
        <v>44713</v>
      </c>
      <c r="C1619" s="7" t="e">
        <f t="shared" si="187"/>
        <v>#N/A</v>
      </c>
      <c r="D1619" s="7" t="e">
        <f t="shared" si="187"/>
        <v>#N/A</v>
      </c>
      <c r="E1619" s="7" t="e">
        <f t="shared" si="187"/>
        <v>#N/A</v>
      </c>
      <c r="F1619" s="7" t="e">
        <f t="shared" si="187"/>
        <v>#N/A</v>
      </c>
      <c r="G1619" s="7" t="e">
        <f t="shared" si="187"/>
        <v>#N/A</v>
      </c>
    </row>
    <row r="1620" spans="2:7">
      <c r="B1620" s="67">
        <f t="shared" si="186"/>
        <v>44714</v>
      </c>
      <c r="C1620" s="7" t="e">
        <f t="shared" si="187"/>
        <v>#N/A</v>
      </c>
      <c r="D1620" s="7" t="e">
        <f t="shared" si="187"/>
        <v>#N/A</v>
      </c>
      <c r="E1620" s="7" t="e">
        <f t="shared" si="187"/>
        <v>#N/A</v>
      </c>
      <c r="F1620" s="7" t="e">
        <f t="shared" si="187"/>
        <v>#N/A</v>
      </c>
      <c r="G1620" s="7" t="e">
        <f t="shared" si="187"/>
        <v>#N/A</v>
      </c>
    </row>
    <row r="1621" spans="2:7">
      <c r="B1621" s="67">
        <f t="shared" si="186"/>
        <v>44715</v>
      </c>
      <c r="C1621" s="7" t="e">
        <f t="shared" si="187"/>
        <v>#N/A</v>
      </c>
      <c r="D1621" s="7" t="e">
        <f t="shared" si="187"/>
        <v>#N/A</v>
      </c>
      <c r="E1621" s="7" t="e">
        <f t="shared" si="187"/>
        <v>#N/A</v>
      </c>
      <c r="F1621" s="7" t="e">
        <f t="shared" si="187"/>
        <v>#N/A</v>
      </c>
      <c r="G1621" s="7" t="e">
        <f t="shared" si="187"/>
        <v>#N/A</v>
      </c>
    </row>
    <row r="1622" spans="2:7">
      <c r="B1622" s="67">
        <f t="shared" si="186"/>
        <v>44716</v>
      </c>
      <c r="C1622" s="7" t="e">
        <f t="shared" si="187"/>
        <v>#N/A</v>
      </c>
      <c r="D1622" s="7" t="e">
        <f t="shared" si="187"/>
        <v>#N/A</v>
      </c>
      <c r="E1622" s="7" t="e">
        <f t="shared" si="187"/>
        <v>#N/A</v>
      </c>
      <c r="F1622" s="7" t="e">
        <f t="shared" si="187"/>
        <v>#N/A</v>
      </c>
      <c r="G1622" s="7" t="e">
        <f t="shared" si="187"/>
        <v>#N/A</v>
      </c>
    </row>
    <row r="1623" spans="2:7">
      <c r="B1623" s="67">
        <f t="shared" si="186"/>
        <v>44717</v>
      </c>
      <c r="C1623" s="7" t="e">
        <f t="shared" si="187"/>
        <v>#N/A</v>
      </c>
      <c r="D1623" s="7" t="e">
        <f t="shared" si="187"/>
        <v>#N/A</v>
      </c>
      <c r="E1623" s="7" t="e">
        <f t="shared" si="187"/>
        <v>#N/A</v>
      </c>
      <c r="F1623" s="7" t="e">
        <f t="shared" si="187"/>
        <v>#N/A</v>
      </c>
      <c r="G1623" s="7" t="e">
        <f t="shared" si="187"/>
        <v>#N/A</v>
      </c>
    </row>
    <row r="1624" spans="2:7">
      <c r="B1624" s="67">
        <f t="shared" si="186"/>
        <v>44718</v>
      </c>
      <c r="C1624" s="7" t="e">
        <f t="shared" si="187"/>
        <v>#N/A</v>
      </c>
      <c r="D1624" s="7" t="e">
        <f t="shared" si="187"/>
        <v>#N/A</v>
      </c>
      <c r="E1624" s="7" t="e">
        <f t="shared" si="187"/>
        <v>#N/A</v>
      </c>
      <c r="F1624" s="7" t="e">
        <f t="shared" si="187"/>
        <v>#N/A</v>
      </c>
      <c r="G1624" s="7" t="e">
        <f t="shared" si="187"/>
        <v>#N/A</v>
      </c>
    </row>
    <row r="1625" spans="2:7">
      <c r="B1625" s="67">
        <f t="shared" si="186"/>
        <v>44719</v>
      </c>
      <c r="C1625" s="7" t="e">
        <f t="shared" si="187"/>
        <v>#N/A</v>
      </c>
      <c r="D1625" s="7" t="e">
        <f t="shared" si="187"/>
        <v>#N/A</v>
      </c>
      <c r="E1625" s="7" t="e">
        <f t="shared" si="187"/>
        <v>#N/A</v>
      </c>
      <c r="F1625" s="7" t="e">
        <f t="shared" si="187"/>
        <v>#N/A</v>
      </c>
      <c r="G1625" s="7" t="e">
        <f t="shared" si="187"/>
        <v>#N/A</v>
      </c>
    </row>
    <row r="1626" spans="2:7">
      <c r="B1626" s="67">
        <f t="shared" si="186"/>
        <v>44720</v>
      </c>
      <c r="C1626" s="7" t="e">
        <f t="shared" si="187"/>
        <v>#N/A</v>
      </c>
      <c r="D1626" s="7" t="e">
        <f t="shared" si="187"/>
        <v>#N/A</v>
      </c>
      <c r="E1626" s="7" t="e">
        <f t="shared" si="187"/>
        <v>#N/A</v>
      </c>
      <c r="F1626" s="7" t="e">
        <f t="shared" si="187"/>
        <v>#N/A</v>
      </c>
      <c r="G1626" s="7" t="e">
        <f t="shared" si="187"/>
        <v>#N/A</v>
      </c>
    </row>
    <row r="1627" spans="2:7">
      <c r="B1627" s="67">
        <f t="shared" si="186"/>
        <v>44721</v>
      </c>
      <c r="C1627" s="7" t="e">
        <f t="shared" ref="C1627:G1636" si="188">IF(AND($B1627&gt;=C$3,$B1627&lt;=C$4),C$5,NA())</f>
        <v>#N/A</v>
      </c>
      <c r="D1627" s="7" t="e">
        <f t="shared" si="188"/>
        <v>#N/A</v>
      </c>
      <c r="E1627" s="7" t="e">
        <f t="shared" si="188"/>
        <v>#N/A</v>
      </c>
      <c r="F1627" s="7" t="e">
        <f t="shared" si="188"/>
        <v>#N/A</v>
      </c>
      <c r="G1627" s="7" t="e">
        <f t="shared" si="188"/>
        <v>#N/A</v>
      </c>
    </row>
    <row r="1628" spans="2:7">
      <c r="B1628" s="67">
        <f t="shared" si="186"/>
        <v>44722</v>
      </c>
      <c r="C1628" s="7" t="e">
        <f t="shared" si="188"/>
        <v>#N/A</v>
      </c>
      <c r="D1628" s="7" t="e">
        <f t="shared" si="188"/>
        <v>#N/A</v>
      </c>
      <c r="E1628" s="7" t="e">
        <f t="shared" si="188"/>
        <v>#N/A</v>
      </c>
      <c r="F1628" s="7" t="e">
        <f t="shared" si="188"/>
        <v>#N/A</v>
      </c>
      <c r="G1628" s="7" t="e">
        <f t="shared" si="188"/>
        <v>#N/A</v>
      </c>
    </row>
    <row r="1629" spans="2:7">
      <c r="B1629" s="67">
        <f t="shared" si="186"/>
        <v>44723</v>
      </c>
      <c r="C1629" s="7" t="e">
        <f t="shared" si="188"/>
        <v>#N/A</v>
      </c>
      <c r="D1629" s="7" t="e">
        <f t="shared" si="188"/>
        <v>#N/A</v>
      </c>
      <c r="E1629" s="7" t="e">
        <f t="shared" si="188"/>
        <v>#N/A</v>
      </c>
      <c r="F1629" s="7" t="e">
        <f t="shared" si="188"/>
        <v>#N/A</v>
      </c>
      <c r="G1629" s="7" t="e">
        <f t="shared" si="188"/>
        <v>#N/A</v>
      </c>
    </row>
    <row r="1630" spans="2:7">
      <c r="B1630" s="67">
        <f t="shared" si="186"/>
        <v>44724</v>
      </c>
      <c r="C1630" s="7" t="e">
        <f t="shared" si="188"/>
        <v>#N/A</v>
      </c>
      <c r="D1630" s="7" t="e">
        <f t="shared" si="188"/>
        <v>#N/A</v>
      </c>
      <c r="E1630" s="7" t="e">
        <f t="shared" si="188"/>
        <v>#N/A</v>
      </c>
      <c r="F1630" s="7" t="e">
        <f t="shared" si="188"/>
        <v>#N/A</v>
      </c>
      <c r="G1630" s="7" t="e">
        <f t="shared" si="188"/>
        <v>#N/A</v>
      </c>
    </row>
    <row r="1631" spans="2:7">
      <c r="B1631" s="67">
        <f t="shared" si="186"/>
        <v>44725</v>
      </c>
      <c r="C1631" s="7" t="e">
        <f t="shared" si="188"/>
        <v>#N/A</v>
      </c>
      <c r="D1631" s="7" t="e">
        <f t="shared" si="188"/>
        <v>#N/A</v>
      </c>
      <c r="E1631" s="7" t="e">
        <f t="shared" si="188"/>
        <v>#N/A</v>
      </c>
      <c r="F1631" s="7" t="e">
        <f t="shared" si="188"/>
        <v>#N/A</v>
      </c>
      <c r="G1631" s="7" t="e">
        <f t="shared" si="188"/>
        <v>#N/A</v>
      </c>
    </row>
    <row r="1632" spans="2:7">
      <c r="B1632" s="67">
        <f t="shared" si="186"/>
        <v>44726</v>
      </c>
      <c r="C1632" s="7" t="e">
        <f t="shared" si="188"/>
        <v>#N/A</v>
      </c>
      <c r="D1632" s="7" t="e">
        <f t="shared" si="188"/>
        <v>#N/A</v>
      </c>
      <c r="E1632" s="7" t="e">
        <f t="shared" si="188"/>
        <v>#N/A</v>
      </c>
      <c r="F1632" s="7" t="e">
        <f t="shared" si="188"/>
        <v>#N/A</v>
      </c>
      <c r="G1632" s="7" t="e">
        <f t="shared" si="188"/>
        <v>#N/A</v>
      </c>
    </row>
    <row r="1633" spans="2:7">
      <c r="B1633" s="67">
        <f t="shared" si="186"/>
        <v>44727</v>
      </c>
      <c r="C1633" s="7" t="e">
        <f t="shared" si="188"/>
        <v>#N/A</v>
      </c>
      <c r="D1633" s="7" t="e">
        <f t="shared" si="188"/>
        <v>#N/A</v>
      </c>
      <c r="E1633" s="7" t="e">
        <f t="shared" si="188"/>
        <v>#N/A</v>
      </c>
      <c r="F1633" s="7" t="e">
        <f t="shared" si="188"/>
        <v>#N/A</v>
      </c>
      <c r="G1633" s="7" t="e">
        <f t="shared" si="188"/>
        <v>#N/A</v>
      </c>
    </row>
    <row r="1634" spans="2:7">
      <c r="B1634" s="67">
        <f t="shared" si="186"/>
        <v>44728</v>
      </c>
      <c r="C1634" s="7" t="e">
        <f t="shared" si="188"/>
        <v>#N/A</v>
      </c>
      <c r="D1634" s="7" t="e">
        <f t="shared" si="188"/>
        <v>#N/A</v>
      </c>
      <c r="E1634" s="7" t="e">
        <f t="shared" si="188"/>
        <v>#N/A</v>
      </c>
      <c r="F1634" s="7" t="e">
        <f t="shared" si="188"/>
        <v>#N/A</v>
      </c>
      <c r="G1634" s="7" t="e">
        <f t="shared" si="188"/>
        <v>#N/A</v>
      </c>
    </row>
    <row r="1635" spans="2:7">
      <c r="B1635" s="67">
        <f t="shared" si="186"/>
        <v>44729</v>
      </c>
      <c r="C1635" s="7" t="e">
        <f t="shared" si="188"/>
        <v>#N/A</v>
      </c>
      <c r="D1635" s="7" t="e">
        <f t="shared" si="188"/>
        <v>#N/A</v>
      </c>
      <c r="E1635" s="7" t="e">
        <f t="shared" si="188"/>
        <v>#N/A</v>
      </c>
      <c r="F1635" s="7" t="e">
        <f t="shared" si="188"/>
        <v>#N/A</v>
      </c>
      <c r="G1635" s="7" t="e">
        <f t="shared" si="188"/>
        <v>#N/A</v>
      </c>
    </row>
    <row r="1636" spans="2:7">
      <c r="B1636" s="67">
        <f t="shared" si="186"/>
        <v>44730</v>
      </c>
      <c r="C1636" s="7" t="e">
        <f t="shared" si="188"/>
        <v>#N/A</v>
      </c>
      <c r="D1636" s="7" t="e">
        <f t="shared" si="188"/>
        <v>#N/A</v>
      </c>
      <c r="E1636" s="7" t="e">
        <f t="shared" si="188"/>
        <v>#N/A</v>
      </c>
      <c r="F1636" s="7" t="e">
        <f t="shared" si="188"/>
        <v>#N/A</v>
      </c>
      <c r="G1636" s="7" t="e">
        <f t="shared" si="188"/>
        <v>#N/A</v>
      </c>
    </row>
    <row r="1637" spans="2:7">
      <c r="B1637" s="67">
        <f t="shared" si="186"/>
        <v>44731</v>
      </c>
      <c r="C1637" s="7" t="e">
        <f t="shared" ref="C1637:G1646" si="189">IF(AND($B1637&gt;=C$3,$B1637&lt;=C$4),C$5,NA())</f>
        <v>#N/A</v>
      </c>
      <c r="D1637" s="7" t="e">
        <f t="shared" si="189"/>
        <v>#N/A</v>
      </c>
      <c r="E1637" s="7" t="e">
        <f t="shared" si="189"/>
        <v>#N/A</v>
      </c>
      <c r="F1637" s="7" t="e">
        <f t="shared" si="189"/>
        <v>#N/A</v>
      </c>
      <c r="G1637" s="7" t="e">
        <f t="shared" si="189"/>
        <v>#N/A</v>
      </c>
    </row>
    <row r="1638" spans="2:7">
      <c r="B1638" s="67">
        <f t="shared" si="186"/>
        <v>44732</v>
      </c>
      <c r="C1638" s="7" t="e">
        <f t="shared" si="189"/>
        <v>#N/A</v>
      </c>
      <c r="D1638" s="7" t="e">
        <f t="shared" si="189"/>
        <v>#N/A</v>
      </c>
      <c r="E1638" s="7" t="e">
        <f t="shared" si="189"/>
        <v>#N/A</v>
      </c>
      <c r="F1638" s="7" t="e">
        <f t="shared" si="189"/>
        <v>#N/A</v>
      </c>
      <c r="G1638" s="7" t="e">
        <f t="shared" si="189"/>
        <v>#N/A</v>
      </c>
    </row>
    <row r="1639" spans="2:7">
      <c r="B1639" s="67">
        <f t="shared" si="186"/>
        <v>44733</v>
      </c>
      <c r="C1639" s="7" t="e">
        <f t="shared" si="189"/>
        <v>#N/A</v>
      </c>
      <c r="D1639" s="7" t="e">
        <f t="shared" si="189"/>
        <v>#N/A</v>
      </c>
      <c r="E1639" s="7" t="e">
        <f t="shared" si="189"/>
        <v>#N/A</v>
      </c>
      <c r="F1639" s="7" t="e">
        <f t="shared" si="189"/>
        <v>#N/A</v>
      </c>
      <c r="G1639" s="7" t="e">
        <f t="shared" si="189"/>
        <v>#N/A</v>
      </c>
    </row>
    <row r="1640" spans="2:7">
      <c r="B1640" s="67">
        <f t="shared" si="186"/>
        <v>44734</v>
      </c>
      <c r="C1640" s="7" t="e">
        <f t="shared" si="189"/>
        <v>#N/A</v>
      </c>
      <c r="D1640" s="7" t="e">
        <f t="shared" si="189"/>
        <v>#N/A</v>
      </c>
      <c r="E1640" s="7" t="e">
        <f t="shared" si="189"/>
        <v>#N/A</v>
      </c>
      <c r="F1640" s="7" t="e">
        <f t="shared" si="189"/>
        <v>#N/A</v>
      </c>
      <c r="G1640" s="7" t="e">
        <f t="shared" si="189"/>
        <v>#N/A</v>
      </c>
    </row>
    <row r="1641" spans="2:7">
      <c r="B1641" s="67">
        <f t="shared" si="186"/>
        <v>44735</v>
      </c>
      <c r="C1641" s="7" t="e">
        <f t="shared" si="189"/>
        <v>#N/A</v>
      </c>
      <c r="D1641" s="7" t="e">
        <f t="shared" si="189"/>
        <v>#N/A</v>
      </c>
      <c r="E1641" s="7" t="e">
        <f t="shared" si="189"/>
        <v>#N/A</v>
      </c>
      <c r="F1641" s="7" t="e">
        <f t="shared" si="189"/>
        <v>#N/A</v>
      </c>
      <c r="G1641" s="7" t="e">
        <f t="shared" si="189"/>
        <v>#N/A</v>
      </c>
    </row>
    <row r="1642" spans="2:7">
      <c r="B1642" s="67">
        <f t="shared" si="186"/>
        <v>44736</v>
      </c>
      <c r="C1642" s="7" t="e">
        <f t="shared" si="189"/>
        <v>#N/A</v>
      </c>
      <c r="D1642" s="7" t="e">
        <f t="shared" si="189"/>
        <v>#N/A</v>
      </c>
      <c r="E1642" s="7" t="e">
        <f t="shared" si="189"/>
        <v>#N/A</v>
      </c>
      <c r="F1642" s="7" t="e">
        <f t="shared" si="189"/>
        <v>#N/A</v>
      </c>
      <c r="G1642" s="7" t="e">
        <f t="shared" si="189"/>
        <v>#N/A</v>
      </c>
    </row>
    <row r="1643" spans="2:7">
      <c r="B1643" s="67">
        <f t="shared" si="186"/>
        <v>44737</v>
      </c>
      <c r="C1643" s="7" t="e">
        <f t="shared" si="189"/>
        <v>#N/A</v>
      </c>
      <c r="D1643" s="7" t="e">
        <f t="shared" si="189"/>
        <v>#N/A</v>
      </c>
      <c r="E1643" s="7" t="e">
        <f t="shared" si="189"/>
        <v>#N/A</v>
      </c>
      <c r="F1643" s="7" t="e">
        <f t="shared" si="189"/>
        <v>#N/A</v>
      </c>
      <c r="G1643" s="7" t="e">
        <f t="shared" si="189"/>
        <v>#N/A</v>
      </c>
    </row>
    <row r="1644" spans="2:7">
      <c r="B1644" s="67">
        <f t="shared" si="186"/>
        <v>44738</v>
      </c>
      <c r="C1644" s="7" t="e">
        <f t="shared" si="189"/>
        <v>#N/A</v>
      </c>
      <c r="D1644" s="7" t="e">
        <f t="shared" si="189"/>
        <v>#N/A</v>
      </c>
      <c r="E1644" s="7" t="e">
        <f t="shared" si="189"/>
        <v>#N/A</v>
      </c>
      <c r="F1644" s="7" t="e">
        <f t="shared" si="189"/>
        <v>#N/A</v>
      </c>
      <c r="G1644" s="7" t="e">
        <f t="shared" si="189"/>
        <v>#N/A</v>
      </c>
    </row>
    <row r="1645" spans="2:7">
      <c r="B1645" s="67">
        <f t="shared" si="186"/>
        <v>44739</v>
      </c>
      <c r="C1645" s="7" t="e">
        <f t="shared" si="189"/>
        <v>#N/A</v>
      </c>
      <c r="D1645" s="7" t="e">
        <f t="shared" si="189"/>
        <v>#N/A</v>
      </c>
      <c r="E1645" s="7" t="e">
        <f t="shared" si="189"/>
        <v>#N/A</v>
      </c>
      <c r="F1645" s="7" t="e">
        <f t="shared" si="189"/>
        <v>#N/A</v>
      </c>
      <c r="G1645" s="7" t="e">
        <f t="shared" si="189"/>
        <v>#N/A</v>
      </c>
    </row>
    <row r="1646" spans="2:7">
      <c r="B1646" s="67">
        <f t="shared" si="186"/>
        <v>44740</v>
      </c>
      <c r="C1646" s="7" t="e">
        <f t="shared" si="189"/>
        <v>#N/A</v>
      </c>
      <c r="D1646" s="7" t="e">
        <f t="shared" si="189"/>
        <v>#N/A</v>
      </c>
      <c r="E1646" s="7" t="e">
        <f t="shared" si="189"/>
        <v>#N/A</v>
      </c>
      <c r="F1646" s="7" t="e">
        <f t="shared" si="189"/>
        <v>#N/A</v>
      </c>
      <c r="G1646" s="7" t="e">
        <f t="shared" si="189"/>
        <v>#N/A</v>
      </c>
    </row>
    <row r="1647" spans="2:7">
      <c r="B1647" s="67">
        <f t="shared" si="186"/>
        <v>44741</v>
      </c>
      <c r="C1647" s="7" t="e">
        <f t="shared" ref="C1647:G1656" si="190">IF(AND($B1647&gt;=C$3,$B1647&lt;=C$4),C$5,NA())</f>
        <v>#N/A</v>
      </c>
      <c r="D1647" s="7" t="e">
        <f t="shared" si="190"/>
        <v>#N/A</v>
      </c>
      <c r="E1647" s="7" t="e">
        <f t="shared" si="190"/>
        <v>#N/A</v>
      </c>
      <c r="F1647" s="7" t="e">
        <f t="shared" si="190"/>
        <v>#N/A</v>
      </c>
      <c r="G1647" s="7" t="e">
        <f t="shared" si="190"/>
        <v>#N/A</v>
      </c>
    </row>
    <row r="1648" spans="2:7">
      <c r="B1648" s="67">
        <f t="shared" si="186"/>
        <v>44742</v>
      </c>
      <c r="C1648" s="7" t="e">
        <f t="shared" si="190"/>
        <v>#N/A</v>
      </c>
      <c r="D1648" s="7" t="e">
        <f t="shared" si="190"/>
        <v>#N/A</v>
      </c>
      <c r="E1648" s="7" t="e">
        <f t="shared" si="190"/>
        <v>#N/A</v>
      </c>
      <c r="F1648" s="7" t="e">
        <f t="shared" si="190"/>
        <v>#N/A</v>
      </c>
      <c r="G1648" s="7" t="e">
        <f t="shared" si="190"/>
        <v>#N/A</v>
      </c>
    </row>
    <row r="1649" spans="2:7">
      <c r="B1649" s="67">
        <f t="shared" si="186"/>
        <v>44743</v>
      </c>
      <c r="C1649" s="7" t="e">
        <f t="shared" si="190"/>
        <v>#N/A</v>
      </c>
      <c r="D1649" s="7" t="e">
        <f t="shared" si="190"/>
        <v>#N/A</v>
      </c>
      <c r="E1649" s="7" t="e">
        <f t="shared" si="190"/>
        <v>#N/A</v>
      </c>
      <c r="F1649" s="7" t="e">
        <f t="shared" si="190"/>
        <v>#N/A</v>
      </c>
      <c r="G1649" s="7" t="e">
        <f t="shared" si="190"/>
        <v>#N/A</v>
      </c>
    </row>
    <row r="1650" spans="2:7">
      <c r="B1650" s="67">
        <f t="shared" si="186"/>
        <v>44744</v>
      </c>
      <c r="C1650" s="7" t="e">
        <f t="shared" si="190"/>
        <v>#N/A</v>
      </c>
      <c r="D1650" s="7" t="e">
        <f t="shared" si="190"/>
        <v>#N/A</v>
      </c>
      <c r="E1650" s="7" t="e">
        <f t="shared" si="190"/>
        <v>#N/A</v>
      </c>
      <c r="F1650" s="7" t="e">
        <f t="shared" si="190"/>
        <v>#N/A</v>
      </c>
      <c r="G1650" s="7" t="e">
        <f t="shared" si="190"/>
        <v>#N/A</v>
      </c>
    </row>
    <row r="1651" spans="2:7">
      <c r="B1651" s="67">
        <f t="shared" si="186"/>
        <v>44745</v>
      </c>
      <c r="C1651" s="7" t="e">
        <f t="shared" si="190"/>
        <v>#N/A</v>
      </c>
      <c r="D1651" s="7" t="e">
        <f t="shared" si="190"/>
        <v>#N/A</v>
      </c>
      <c r="E1651" s="7" t="e">
        <f t="shared" si="190"/>
        <v>#N/A</v>
      </c>
      <c r="F1651" s="7" t="e">
        <f t="shared" si="190"/>
        <v>#N/A</v>
      </c>
      <c r="G1651" s="7" t="e">
        <f t="shared" si="190"/>
        <v>#N/A</v>
      </c>
    </row>
    <row r="1652" spans="2:7">
      <c r="B1652" s="67">
        <f t="shared" si="186"/>
        <v>44746</v>
      </c>
      <c r="C1652" s="7" t="e">
        <f t="shared" si="190"/>
        <v>#N/A</v>
      </c>
      <c r="D1652" s="7" t="e">
        <f t="shared" si="190"/>
        <v>#N/A</v>
      </c>
      <c r="E1652" s="7" t="e">
        <f t="shared" si="190"/>
        <v>#N/A</v>
      </c>
      <c r="F1652" s="7" t="e">
        <f t="shared" si="190"/>
        <v>#N/A</v>
      </c>
      <c r="G1652" s="7" t="e">
        <f t="shared" si="190"/>
        <v>#N/A</v>
      </c>
    </row>
    <row r="1653" spans="2:7">
      <c r="B1653" s="67">
        <f t="shared" si="186"/>
        <v>44747</v>
      </c>
      <c r="C1653" s="7" t="e">
        <f t="shared" si="190"/>
        <v>#N/A</v>
      </c>
      <c r="D1653" s="7" t="e">
        <f t="shared" si="190"/>
        <v>#N/A</v>
      </c>
      <c r="E1653" s="7" t="e">
        <f t="shared" si="190"/>
        <v>#N/A</v>
      </c>
      <c r="F1653" s="7" t="e">
        <f t="shared" si="190"/>
        <v>#N/A</v>
      </c>
      <c r="G1653" s="7" t="e">
        <f t="shared" si="190"/>
        <v>#N/A</v>
      </c>
    </row>
    <row r="1654" spans="2:7">
      <c r="B1654" s="67">
        <f t="shared" si="186"/>
        <v>44748</v>
      </c>
      <c r="C1654" s="7" t="e">
        <f t="shared" si="190"/>
        <v>#N/A</v>
      </c>
      <c r="D1654" s="7" t="e">
        <f t="shared" si="190"/>
        <v>#N/A</v>
      </c>
      <c r="E1654" s="7" t="e">
        <f t="shared" si="190"/>
        <v>#N/A</v>
      </c>
      <c r="F1654" s="7" t="e">
        <f t="shared" si="190"/>
        <v>#N/A</v>
      </c>
      <c r="G1654" s="7" t="e">
        <f t="shared" si="190"/>
        <v>#N/A</v>
      </c>
    </row>
    <row r="1655" spans="2:7">
      <c r="B1655" s="67">
        <f t="shared" si="186"/>
        <v>44749</v>
      </c>
      <c r="C1655" s="7" t="e">
        <f t="shared" si="190"/>
        <v>#N/A</v>
      </c>
      <c r="D1655" s="7" t="e">
        <f t="shared" si="190"/>
        <v>#N/A</v>
      </c>
      <c r="E1655" s="7" t="e">
        <f t="shared" si="190"/>
        <v>#N/A</v>
      </c>
      <c r="F1655" s="7" t="e">
        <f t="shared" si="190"/>
        <v>#N/A</v>
      </c>
      <c r="G1655" s="7" t="e">
        <f t="shared" si="190"/>
        <v>#N/A</v>
      </c>
    </row>
    <row r="1656" spans="2:7">
      <c r="B1656" s="67">
        <f t="shared" si="186"/>
        <v>44750</v>
      </c>
      <c r="C1656" s="7" t="e">
        <f t="shared" si="190"/>
        <v>#N/A</v>
      </c>
      <c r="D1656" s="7" t="e">
        <f t="shared" si="190"/>
        <v>#N/A</v>
      </c>
      <c r="E1656" s="7" t="e">
        <f t="shared" si="190"/>
        <v>#N/A</v>
      </c>
      <c r="F1656" s="7" t="e">
        <f t="shared" si="190"/>
        <v>#N/A</v>
      </c>
      <c r="G1656" s="7" t="e">
        <f t="shared" si="190"/>
        <v>#N/A</v>
      </c>
    </row>
    <row r="1657" spans="2:7">
      <c r="B1657" s="67">
        <f t="shared" si="186"/>
        <v>44751</v>
      </c>
      <c r="C1657" s="7" t="e">
        <f t="shared" ref="C1657:G1666" si="191">IF(AND($B1657&gt;=C$3,$B1657&lt;=C$4),C$5,NA())</f>
        <v>#N/A</v>
      </c>
      <c r="D1657" s="7" t="e">
        <f t="shared" si="191"/>
        <v>#N/A</v>
      </c>
      <c r="E1657" s="7" t="e">
        <f t="shared" si="191"/>
        <v>#N/A</v>
      </c>
      <c r="F1657" s="7" t="e">
        <f t="shared" si="191"/>
        <v>#N/A</v>
      </c>
      <c r="G1657" s="7" t="e">
        <f t="shared" si="191"/>
        <v>#N/A</v>
      </c>
    </row>
    <row r="1658" spans="2:7">
      <c r="B1658" s="67">
        <f t="shared" si="186"/>
        <v>44752</v>
      </c>
      <c r="C1658" s="7" t="e">
        <f t="shared" si="191"/>
        <v>#N/A</v>
      </c>
      <c r="D1658" s="7" t="e">
        <f t="shared" si="191"/>
        <v>#N/A</v>
      </c>
      <c r="E1658" s="7" t="e">
        <f t="shared" si="191"/>
        <v>#N/A</v>
      </c>
      <c r="F1658" s="7" t="e">
        <f t="shared" si="191"/>
        <v>#N/A</v>
      </c>
      <c r="G1658" s="7" t="e">
        <f t="shared" si="191"/>
        <v>#N/A</v>
      </c>
    </row>
    <row r="1659" spans="2:7">
      <c r="B1659" s="67">
        <f t="shared" si="186"/>
        <v>44753</v>
      </c>
      <c r="C1659" s="7" t="e">
        <f t="shared" si="191"/>
        <v>#N/A</v>
      </c>
      <c r="D1659" s="7" t="e">
        <f t="shared" si="191"/>
        <v>#N/A</v>
      </c>
      <c r="E1659" s="7" t="e">
        <f t="shared" si="191"/>
        <v>#N/A</v>
      </c>
      <c r="F1659" s="7" t="e">
        <f t="shared" si="191"/>
        <v>#N/A</v>
      </c>
      <c r="G1659" s="7" t="e">
        <f t="shared" si="191"/>
        <v>#N/A</v>
      </c>
    </row>
    <row r="1660" spans="2:7">
      <c r="B1660" s="67">
        <f t="shared" si="186"/>
        <v>44754</v>
      </c>
      <c r="C1660" s="7" t="e">
        <f t="shared" si="191"/>
        <v>#N/A</v>
      </c>
      <c r="D1660" s="7" t="e">
        <f t="shared" si="191"/>
        <v>#N/A</v>
      </c>
      <c r="E1660" s="7" t="e">
        <f t="shared" si="191"/>
        <v>#N/A</v>
      </c>
      <c r="F1660" s="7" t="e">
        <f t="shared" si="191"/>
        <v>#N/A</v>
      </c>
      <c r="G1660" s="7" t="e">
        <f t="shared" si="191"/>
        <v>#N/A</v>
      </c>
    </row>
    <row r="1661" spans="2:7">
      <c r="B1661" s="67">
        <f t="shared" si="186"/>
        <v>44755</v>
      </c>
      <c r="C1661" s="7" t="e">
        <f t="shared" si="191"/>
        <v>#N/A</v>
      </c>
      <c r="D1661" s="7" t="e">
        <f t="shared" si="191"/>
        <v>#N/A</v>
      </c>
      <c r="E1661" s="7" t="e">
        <f t="shared" si="191"/>
        <v>#N/A</v>
      </c>
      <c r="F1661" s="7" t="e">
        <f t="shared" si="191"/>
        <v>#N/A</v>
      </c>
      <c r="G1661" s="7" t="e">
        <f t="shared" si="191"/>
        <v>#N/A</v>
      </c>
    </row>
    <row r="1662" spans="2:7">
      <c r="B1662" s="67">
        <f t="shared" si="186"/>
        <v>44756</v>
      </c>
      <c r="C1662" s="7" t="e">
        <f t="shared" si="191"/>
        <v>#N/A</v>
      </c>
      <c r="D1662" s="7" t="e">
        <f t="shared" si="191"/>
        <v>#N/A</v>
      </c>
      <c r="E1662" s="7" t="e">
        <f t="shared" si="191"/>
        <v>#N/A</v>
      </c>
      <c r="F1662" s="7" t="e">
        <f t="shared" si="191"/>
        <v>#N/A</v>
      </c>
      <c r="G1662" s="7" t="e">
        <f t="shared" si="191"/>
        <v>#N/A</v>
      </c>
    </row>
    <row r="1663" spans="2:7">
      <c r="B1663" s="67">
        <f t="shared" si="186"/>
        <v>44757</v>
      </c>
      <c r="C1663" s="7" t="e">
        <f t="shared" si="191"/>
        <v>#N/A</v>
      </c>
      <c r="D1663" s="7" t="e">
        <f t="shared" si="191"/>
        <v>#N/A</v>
      </c>
      <c r="E1663" s="7" t="e">
        <f t="shared" si="191"/>
        <v>#N/A</v>
      </c>
      <c r="F1663" s="7" t="e">
        <f t="shared" si="191"/>
        <v>#N/A</v>
      </c>
      <c r="G1663" s="7" t="e">
        <f t="shared" si="191"/>
        <v>#N/A</v>
      </c>
    </row>
    <row r="1664" spans="2:7">
      <c r="B1664" s="67">
        <f t="shared" si="186"/>
        <v>44758</v>
      </c>
      <c r="C1664" s="7" t="e">
        <f t="shared" si="191"/>
        <v>#N/A</v>
      </c>
      <c r="D1664" s="7" t="e">
        <f t="shared" si="191"/>
        <v>#N/A</v>
      </c>
      <c r="E1664" s="7" t="e">
        <f t="shared" si="191"/>
        <v>#N/A</v>
      </c>
      <c r="F1664" s="7" t="e">
        <f t="shared" si="191"/>
        <v>#N/A</v>
      </c>
      <c r="G1664" s="7" t="e">
        <f t="shared" si="191"/>
        <v>#N/A</v>
      </c>
    </row>
    <row r="1665" spans="2:7">
      <c r="B1665" s="67">
        <f t="shared" si="186"/>
        <v>44759</v>
      </c>
      <c r="C1665" s="7" t="e">
        <f t="shared" si="191"/>
        <v>#N/A</v>
      </c>
      <c r="D1665" s="7" t="e">
        <f t="shared" si="191"/>
        <v>#N/A</v>
      </c>
      <c r="E1665" s="7" t="e">
        <f t="shared" si="191"/>
        <v>#N/A</v>
      </c>
      <c r="F1665" s="7" t="e">
        <f t="shared" si="191"/>
        <v>#N/A</v>
      </c>
      <c r="G1665" s="7" t="e">
        <f t="shared" si="191"/>
        <v>#N/A</v>
      </c>
    </row>
    <row r="1666" spans="2:7">
      <c r="B1666" s="67">
        <f t="shared" si="186"/>
        <v>44760</v>
      </c>
      <c r="C1666" s="7" t="e">
        <f t="shared" si="191"/>
        <v>#N/A</v>
      </c>
      <c r="D1666" s="7" t="e">
        <f t="shared" si="191"/>
        <v>#N/A</v>
      </c>
      <c r="E1666" s="7" t="e">
        <f t="shared" si="191"/>
        <v>#N/A</v>
      </c>
      <c r="F1666" s="7" t="e">
        <f t="shared" si="191"/>
        <v>#N/A</v>
      </c>
      <c r="G1666" s="7" t="e">
        <f t="shared" si="191"/>
        <v>#N/A</v>
      </c>
    </row>
    <row r="1667" spans="2:7">
      <c r="B1667" s="67">
        <f t="shared" si="186"/>
        <v>44761</v>
      </c>
      <c r="C1667" s="7" t="e">
        <f t="shared" ref="C1667:G1676" si="192">IF(AND($B1667&gt;=C$3,$B1667&lt;=C$4),C$5,NA())</f>
        <v>#N/A</v>
      </c>
      <c r="D1667" s="7" t="e">
        <f t="shared" si="192"/>
        <v>#N/A</v>
      </c>
      <c r="E1667" s="7" t="e">
        <f t="shared" si="192"/>
        <v>#N/A</v>
      </c>
      <c r="F1667" s="7" t="e">
        <f t="shared" si="192"/>
        <v>#N/A</v>
      </c>
      <c r="G1667" s="7" t="e">
        <f t="shared" si="192"/>
        <v>#N/A</v>
      </c>
    </row>
    <row r="1668" spans="2:7">
      <c r="B1668" s="67">
        <f t="shared" si="186"/>
        <v>44762</v>
      </c>
      <c r="C1668" s="7" t="e">
        <f t="shared" si="192"/>
        <v>#N/A</v>
      </c>
      <c r="D1668" s="7" t="e">
        <f t="shared" si="192"/>
        <v>#N/A</v>
      </c>
      <c r="E1668" s="7" t="e">
        <f t="shared" si="192"/>
        <v>#N/A</v>
      </c>
      <c r="F1668" s="7" t="e">
        <f t="shared" si="192"/>
        <v>#N/A</v>
      </c>
      <c r="G1668" s="7" t="e">
        <f t="shared" si="192"/>
        <v>#N/A</v>
      </c>
    </row>
    <row r="1669" spans="2:7">
      <c r="B1669" s="67">
        <f t="shared" si="186"/>
        <v>44763</v>
      </c>
      <c r="C1669" s="7" t="e">
        <f t="shared" si="192"/>
        <v>#N/A</v>
      </c>
      <c r="D1669" s="7" t="e">
        <f t="shared" si="192"/>
        <v>#N/A</v>
      </c>
      <c r="E1669" s="7" t="e">
        <f t="shared" si="192"/>
        <v>#N/A</v>
      </c>
      <c r="F1669" s="7" t="e">
        <f t="shared" si="192"/>
        <v>#N/A</v>
      </c>
      <c r="G1669" s="7" t="e">
        <f t="shared" si="192"/>
        <v>#N/A</v>
      </c>
    </row>
    <row r="1670" spans="2:7">
      <c r="B1670" s="67">
        <f t="shared" si="186"/>
        <v>44764</v>
      </c>
      <c r="C1670" s="7" t="e">
        <f t="shared" si="192"/>
        <v>#N/A</v>
      </c>
      <c r="D1670" s="7" t="e">
        <f t="shared" si="192"/>
        <v>#N/A</v>
      </c>
      <c r="E1670" s="7" t="e">
        <f t="shared" si="192"/>
        <v>#N/A</v>
      </c>
      <c r="F1670" s="7" t="e">
        <f t="shared" si="192"/>
        <v>#N/A</v>
      </c>
      <c r="G1670" s="7" t="e">
        <f t="shared" si="192"/>
        <v>#N/A</v>
      </c>
    </row>
    <row r="1671" spans="2:7">
      <c r="B1671" s="67">
        <f t="shared" si="186"/>
        <v>44765</v>
      </c>
      <c r="C1671" s="7" t="e">
        <f t="shared" si="192"/>
        <v>#N/A</v>
      </c>
      <c r="D1671" s="7" t="e">
        <f t="shared" si="192"/>
        <v>#N/A</v>
      </c>
      <c r="E1671" s="7" t="e">
        <f t="shared" si="192"/>
        <v>#N/A</v>
      </c>
      <c r="F1671" s="7" t="e">
        <f t="shared" si="192"/>
        <v>#N/A</v>
      </c>
      <c r="G1671" s="7" t="e">
        <f t="shared" si="192"/>
        <v>#N/A</v>
      </c>
    </row>
    <row r="1672" spans="2:7">
      <c r="B1672" s="67">
        <f t="shared" ref="B1672:B1735" si="193">B1671+1</f>
        <v>44766</v>
      </c>
      <c r="C1672" s="7" t="e">
        <f t="shared" si="192"/>
        <v>#N/A</v>
      </c>
      <c r="D1672" s="7" t="e">
        <f t="shared" si="192"/>
        <v>#N/A</v>
      </c>
      <c r="E1672" s="7" t="e">
        <f t="shared" si="192"/>
        <v>#N/A</v>
      </c>
      <c r="F1672" s="7" t="e">
        <f t="shared" si="192"/>
        <v>#N/A</v>
      </c>
      <c r="G1672" s="7" t="e">
        <f t="shared" si="192"/>
        <v>#N/A</v>
      </c>
    </row>
    <row r="1673" spans="2:7">
      <c r="B1673" s="67">
        <f t="shared" si="193"/>
        <v>44767</v>
      </c>
      <c r="C1673" s="7" t="e">
        <f t="shared" si="192"/>
        <v>#N/A</v>
      </c>
      <c r="D1673" s="7" t="e">
        <f t="shared" si="192"/>
        <v>#N/A</v>
      </c>
      <c r="E1673" s="7" t="e">
        <f t="shared" si="192"/>
        <v>#N/A</v>
      </c>
      <c r="F1673" s="7" t="e">
        <f t="shared" si="192"/>
        <v>#N/A</v>
      </c>
      <c r="G1673" s="7" t="e">
        <f t="shared" si="192"/>
        <v>#N/A</v>
      </c>
    </row>
    <row r="1674" spans="2:7">
      <c r="B1674" s="67">
        <f t="shared" si="193"/>
        <v>44768</v>
      </c>
      <c r="C1674" s="7" t="e">
        <f t="shared" si="192"/>
        <v>#N/A</v>
      </c>
      <c r="D1674" s="7" t="e">
        <f t="shared" si="192"/>
        <v>#N/A</v>
      </c>
      <c r="E1674" s="7" t="e">
        <f t="shared" si="192"/>
        <v>#N/A</v>
      </c>
      <c r="F1674" s="7" t="e">
        <f t="shared" si="192"/>
        <v>#N/A</v>
      </c>
      <c r="G1674" s="7" t="e">
        <f t="shared" si="192"/>
        <v>#N/A</v>
      </c>
    </row>
    <row r="1675" spans="2:7">
      <c r="B1675" s="67">
        <f t="shared" si="193"/>
        <v>44769</v>
      </c>
      <c r="C1675" s="7" t="e">
        <f t="shared" si="192"/>
        <v>#N/A</v>
      </c>
      <c r="D1675" s="7" t="e">
        <f t="shared" si="192"/>
        <v>#N/A</v>
      </c>
      <c r="E1675" s="7" t="e">
        <f t="shared" si="192"/>
        <v>#N/A</v>
      </c>
      <c r="F1675" s="7" t="e">
        <f t="shared" si="192"/>
        <v>#N/A</v>
      </c>
      <c r="G1675" s="7" t="e">
        <f t="shared" si="192"/>
        <v>#N/A</v>
      </c>
    </row>
    <row r="1676" spans="2:7">
      <c r="B1676" s="67">
        <f t="shared" si="193"/>
        <v>44770</v>
      </c>
      <c r="C1676" s="7" t="e">
        <f t="shared" si="192"/>
        <v>#N/A</v>
      </c>
      <c r="D1676" s="7" t="e">
        <f t="shared" si="192"/>
        <v>#N/A</v>
      </c>
      <c r="E1676" s="7" t="e">
        <f t="shared" si="192"/>
        <v>#N/A</v>
      </c>
      <c r="F1676" s="7" t="e">
        <f t="shared" si="192"/>
        <v>#N/A</v>
      </c>
      <c r="G1676" s="7" t="e">
        <f t="shared" si="192"/>
        <v>#N/A</v>
      </c>
    </row>
    <row r="1677" spans="2:7">
      <c r="B1677" s="67">
        <f t="shared" si="193"/>
        <v>44771</v>
      </c>
      <c r="C1677" s="7" t="e">
        <f t="shared" ref="C1677:G1686" si="194">IF(AND($B1677&gt;=C$3,$B1677&lt;=C$4),C$5,NA())</f>
        <v>#N/A</v>
      </c>
      <c r="D1677" s="7" t="e">
        <f t="shared" si="194"/>
        <v>#N/A</v>
      </c>
      <c r="E1677" s="7" t="e">
        <f t="shared" si="194"/>
        <v>#N/A</v>
      </c>
      <c r="F1677" s="7" t="e">
        <f t="shared" si="194"/>
        <v>#N/A</v>
      </c>
      <c r="G1677" s="7" t="e">
        <f t="shared" si="194"/>
        <v>#N/A</v>
      </c>
    </row>
    <row r="1678" spans="2:7">
      <c r="B1678" s="67">
        <f t="shared" si="193"/>
        <v>44772</v>
      </c>
      <c r="C1678" s="7" t="e">
        <f t="shared" si="194"/>
        <v>#N/A</v>
      </c>
      <c r="D1678" s="7" t="e">
        <f t="shared" si="194"/>
        <v>#N/A</v>
      </c>
      <c r="E1678" s="7" t="e">
        <f t="shared" si="194"/>
        <v>#N/A</v>
      </c>
      <c r="F1678" s="7" t="e">
        <f t="shared" si="194"/>
        <v>#N/A</v>
      </c>
      <c r="G1678" s="7" t="e">
        <f t="shared" si="194"/>
        <v>#N/A</v>
      </c>
    </row>
    <row r="1679" spans="2:7">
      <c r="B1679" s="67">
        <f t="shared" si="193"/>
        <v>44773</v>
      </c>
      <c r="C1679" s="7" t="e">
        <f t="shared" si="194"/>
        <v>#N/A</v>
      </c>
      <c r="D1679" s="7" t="e">
        <f t="shared" si="194"/>
        <v>#N/A</v>
      </c>
      <c r="E1679" s="7" t="e">
        <f t="shared" si="194"/>
        <v>#N/A</v>
      </c>
      <c r="F1679" s="7" t="e">
        <f t="shared" si="194"/>
        <v>#N/A</v>
      </c>
      <c r="G1679" s="7" t="e">
        <f t="shared" si="194"/>
        <v>#N/A</v>
      </c>
    </row>
    <row r="1680" spans="2:7">
      <c r="B1680" s="67">
        <f t="shared" si="193"/>
        <v>44774</v>
      </c>
      <c r="C1680" s="7" t="e">
        <f t="shared" si="194"/>
        <v>#N/A</v>
      </c>
      <c r="D1680" s="7" t="e">
        <f t="shared" si="194"/>
        <v>#N/A</v>
      </c>
      <c r="E1680" s="7" t="e">
        <f t="shared" si="194"/>
        <v>#N/A</v>
      </c>
      <c r="F1680" s="7" t="e">
        <f t="shared" si="194"/>
        <v>#N/A</v>
      </c>
      <c r="G1680" s="7" t="e">
        <f t="shared" si="194"/>
        <v>#N/A</v>
      </c>
    </row>
    <row r="1681" spans="2:7">
      <c r="B1681" s="67">
        <f t="shared" si="193"/>
        <v>44775</v>
      </c>
      <c r="C1681" s="7" t="e">
        <f t="shared" si="194"/>
        <v>#N/A</v>
      </c>
      <c r="D1681" s="7" t="e">
        <f t="shared" si="194"/>
        <v>#N/A</v>
      </c>
      <c r="E1681" s="7" t="e">
        <f t="shared" si="194"/>
        <v>#N/A</v>
      </c>
      <c r="F1681" s="7" t="e">
        <f t="shared" si="194"/>
        <v>#N/A</v>
      </c>
      <c r="G1681" s="7" t="e">
        <f t="shared" si="194"/>
        <v>#N/A</v>
      </c>
    </row>
    <row r="1682" spans="2:7">
      <c r="B1682" s="67">
        <f t="shared" si="193"/>
        <v>44776</v>
      </c>
      <c r="C1682" s="7" t="e">
        <f t="shared" si="194"/>
        <v>#N/A</v>
      </c>
      <c r="D1682" s="7" t="e">
        <f t="shared" si="194"/>
        <v>#N/A</v>
      </c>
      <c r="E1682" s="7" t="e">
        <f t="shared" si="194"/>
        <v>#N/A</v>
      </c>
      <c r="F1682" s="7" t="e">
        <f t="shared" si="194"/>
        <v>#N/A</v>
      </c>
      <c r="G1682" s="7" t="e">
        <f t="shared" si="194"/>
        <v>#N/A</v>
      </c>
    </row>
    <row r="1683" spans="2:7">
      <c r="B1683" s="67">
        <f t="shared" si="193"/>
        <v>44777</v>
      </c>
      <c r="C1683" s="7" t="e">
        <f t="shared" si="194"/>
        <v>#N/A</v>
      </c>
      <c r="D1683" s="7" t="e">
        <f t="shared" si="194"/>
        <v>#N/A</v>
      </c>
      <c r="E1683" s="7" t="e">
        <f t="shared" si="194"/>
        <v>#N/A</v>
      </c>
      <c r="F1683" s="7" t="e">
        <f t="shared" si="194"/>
        <v>#N/A</v>
      </c>
      <c r="G1683" s="7" t="e">
        <f t="shared" si="194"/>
        <v>#N/A</v>
      </c>
    </row>
    <row r="1684" spans="2:7">
      <c r="B1684" s="67">
        <f t="shared" si="193"/>
        <v>44778</v>
      </c>
      <c r="C1684" s="7" t="e">
        <f t="shared" si="194"/>
        <v>#N/A</v>
      </c>
      <c r="D1684" s="7" t="e">
        <f t="shared" si="194"/>
        <v>#N/A</v>
      </c>
      <c r="E1684" s="7" t="e">
        <f t="shared" si="194"/>
        <v>#N/A</v>
      </c>
      <c r="F1684" s="7" t="e">
        <f t="shared" si="194"/>
        <v>#N/A</v>
      </c>
      <c r="G1684" s="7" t="e">
        <f t="shared" si="194"/>
        <v>#N/A</v>
      </c>
    </row>
    <row r="1685" spans="2:7">
      <c r="B1685" s="67">
        <f t="shared" si="193"/>
        <v>44779</v>
      </c>
      <c r="C1685" s="7" t="e">
        <f t="shared" si="194"/>
        <v>#N/A</v>
      </c>
      <c r="D1685" s="7" t="e">
        <f t="shared" si="194"/>
        <v>#N/A</v>
      </c>
      <c r="E1685" s="7" t="e">
        <f t="shared" si="194"/>
        <v>#N/A</v>
      </c>
      <c r="F1685" s="7" t="e">
        <f t="shared" si="194"/>
        <v>#N/A</v>
      </c>
      <c r="G1685" s="7" t="e">
        <f t="shared" si="194"/>
        <v>#N/A</v>
      </c>
    </row>
    <row r="1686" spans="2:7">
      <c r="B1686" s="67">
        <f t="shared" si="193"/>
        <v>44780</v>
      </c>
      <c r="C1686" s="7" t="e">
        <f t="shared" si="194"/>
        <v>#N/A</v>
      </c>
      <c r="D1686" s="7" t="e">
        <f t="shared" si="194"/>
        <v>#N/A</v>
      </c>
      <c r="E1686" s="7" t="e">
        <f t="shared" si="194"/>
        <v>#N/A</v>
      </c>
      <c r="F1686" s="7" t="e">
        <f t="shared" si="194"/>
        <v>#N/A</v>
      </c>
      <c r="G1686" s="7" t="e">
        <f t="shared" si="194"/>
        <v>#N/A</v>
      </c>
    </row>
    <row r="1687" spans="2:7">
      <c r="B1687" s="67">
        <f t="shared" si="193"/>
        <v>44781</v>
      </c>
      <c r="C1687" s="7" t="e">
        <f t="shared" ref="C1687:G1696" si="195">IF(AND($B1687&gt;=C$3,$B1687&lt;=C$4),C$5,NA())</f>
        <v>#N/A</v>
      </c>
      <c r="D1687" s="7" t="e">
        <f t="shared" si="195"/>
        <v>#N/A</v>
      </c>
      <c r="E1687" s="7" t="e">
        <f t="shared" si="195"/>
        <v>#N/A</v>
      </c>
      <c r="F1687" s="7" t="e">
        <f t="shared" si="195"/>
        <v>#N/A</v>
      </c>
      <c r="G1687" s="7" t="e">
        <f t="shared" si="195"/>
        <v>#N/A</v>
      </c>
    </row>
    <row r="1688" spans="2:7">
      <c r="B1688" s="67">
        <f t="shared" si="193"/>
        <v>44782</v>
      </c>
      <c r="C1688" s="7" t="e">
        <f t="shared" si="195"/>
        <v>#N/A</v>
      </c>
      <c r="D1688" s="7" t="e">
        <f t="shared" si="195"/>
        <v>#N/A</v>
      </c>
      <c r="E1688" s="7" t="e">
        <f t="shared" si="195"/>
        <v>#N/A</v>
      </c>
      <c r="F1688" s="7" t="e">
        <f t="shared" si="195"/>
        <v>#N/A</v>
      </c>
      <c r="G1688" s="7" t="e">
        <f t="shared" si="195"/>
        <v>#N/A</v>
      </c>
    </row>
    <row r="1689" spans="2:7">
      <c r="B1689" s="67">
        <f t="shared" si="193"/>
        <v>44783</v>
      </c>
      <c r="C1689" s="7" t="e">
        <f t="shared" si="195"/>
        <v>#N/A</v>
      </c>
      <c r="D1689" s="7" t="e">
        <f t="shared" si="195"/>
        <v>#N/A</v>
      </c>
      <c r="E1689" s="7" t="e">
        <f t="shared" si="195"/>
        <v>#N/A</v>
      </c>
      <c r="F1689" s="7" t="e">
        <f t="shared" si="195"/>
        <v>#N/A</v>
      </c>
      <c r="G1689" s="7" t="e">
        <f t="shared" si="195"/>
        <v>#N/A</v>
      </c>
    </row>
    <row r="1690" spans="2:7">
      <c r="B1690" s="67">
        <f t="shared" si="193"/>
        <v>44784</v>
      </c>
      <c r="C1690" s="7" t="e">
        <f t="shared" si="195"/>
        <v>#N/A</v>
      </c>
      <c r="D1690" s="7" t="e">
        <f t="shared" si="195"/>
        <v>#N/A</v>
      </c>
      <c r="E1690" s="7" t="e">
        <f t="shared" si="195"/>
        <v>#N/A</v>
      </c>
      <c r="F1690" s="7" t="e">
        <f t="shared" si="195"/>
        <v>#N/A</v>
      </c>
      <c r="G1690" s="7" t="e">
        <f t="shared" si="195"/>
        <v>#N/A</v>
      </c>
    </row>
    <row r="1691" spans="2:7">
      <c r="B1691" s="67">
        <f t="shared" si="193"/>
        <v>44785</v>
      </c>
      <c r="C1691" s="7" t="e">
        <f t="shared" si="195"/>
        <v>#N/A</v>
      </c>
      <c r="D1691" s="7" t="e">
        <f t="shared" si="195"/>
        <v>#N/A</v>
      </c>
      <c r="E1691" s="7" t="e">
        <f t="shared" si="195"/>
        <v>#N/A</v>
      </c>
      <c r="F1691" s="7" t="e">
        <f t="shared" si="195"/>
        <v>#N/A</v>
      </c>
      <c r="G1691" s="7" t="e">
        <f t="shared" si="195"/>
        <v>#N/A</v>
      </c>
    </row>
    <row r="1692" spans="2:7">
      <c r="B1692" s="67">
        <f t="shared" si="193"/>
        <v>44786</v>
      </c>
      <c r="C1692" s="7" t="e">
        <f t="shared" si="195"/>
        <v>#N/A</v>
      </c>
      <c r="D1692" s="7" t="e">
        <f t="shared" si="195"/>
        <v>#N/A</v>
      </c>
      <c r="E1692" s="7" t="e">
        <f t="shared" si="195"/>
        <v>#N/A</v>
      </c>
      <c r="F1692" s="7" t="e">
        <f t="shared" si="195"/>
        <v>#N/A</v>
      </c>
      <c r="G1692" s="7" t="e">
        <f t="shared" si="195"/>
        <v>#N/A</v>
      </c>
    </row>
    <row r="1693" spans="2:7">
      <c r="B1693" s="67">
        <f t="shared" si="193"/>
        <v>44787</v>
      </c>
      <c r="C1693" s="7" t="e">
        <f t="shared" si="195"/>
        <v>#N/A</v>
      </c>
      <c r="D1693" s="7" t="e">
        <f t="shared" si="195"/>
        <v>#N/A</v>
      </c>
      <c r="E1693" s="7" t="e">
        <f t="shared" si="195"/>
        <v>#N/A</v>
      </c>
      <c r="F1693" s="7" t="e">
        <f t="shared" si="195"/>
        <v>#N/A</v>
      </c>
      <c r="G1693" s="7" t="e">
        <f t="shared" si="195"/>
        <v>#N/A</v>
      </c>
    </row>
    <row r="1694" spans="2:7">
      <c r="B1694" s="67">
        <f t="shared" si="193"/>
        <v>44788</v>
      </c>
      <c r="C1694" s="7" t="e">
        <f t="shared" si="195"/>
        <v>#N/A</v>
      </c>
      <c r="D1694" s="7" t="e">
        <f t="shared" si="195"/>
        <v>#N/A</v>
      </c>
      <c r="E1694" s="7" t="e">
        <f t="shared" si="195"/>
        <v>#N/A</v>
      </c>
      <c r="F1694" s="7" t="e">
        <f t="shared" si="195"/>
        <v>#N/A</v>
      </c>
      <c r="G1694" s="7" t="e">
        <f t="shared" si="195"/>
        <v>#N/A</v>
      </c>
    </row>
    <row r="1695" spans="2:7">
      <c r="B1695" s="67">
        <f t="shared" si="193"/>
        <v>44789</v>
      </c>
      <c r="C1695" s="7" t="e">
        <f t="shared" si="195"/>
        <v>#N/A</v>
      </c>
      <c r="D1695" s="7" t="e">
        <f t="shared" si="195"/>
        <v>#N/A</v>
      </c>
      <c r="E1695" s="7" t="e">
        <f t="shared" si="195"/>
        <v>#N/A</v>
      </c>
      <c r="F1695" s="7" t="e">
        <f t="shared" si="195"/>
        <v>#N/A</v>
      </c>
      <c r="G1695" s="7" t="e">
        <f t="shared" si="195"/>
        <v>#N/A</v>
      </c>
    </row>
    <row r="1696" spans="2:7">
      <c r="B1696" s="67">
        <f t="shared" si="193"/>
        <v>44790</v>
      </c>
      <c r="C1696" s="7" t="e">
        <f t="shared" si="195"/>
        <v>#N/A</v>
      </c>
      <c r="D1696" s="7" t="e">
        <f t="shared" si="195"/>
        <v>#N/A</v>
      </c>
      <c r="E1696" s="7" t="e">
        <f t="shared" si="195"/>
        <v>#N/A</v>
      </c>
      <c r="F1696" s="7" t="e">
        <f t="shared" si="195"/>
        <v>#N/A</v>
      </c>
      <c r="G1696" s="7" t="e">
        <f t="shared" si="195"/>
        <v>#N/A</v>
      </c>
    </row>
    <row r="1697" spans="2:7">
      <c r="B1697" s="67">
        <f t="shared" si="193"/>
        <v>44791</v>
      </c>
      <c r="C1697" s="7" t="e">
        <f t="shared" ref="C1697:G1706" si="196">IF(AND($B1697&gt;=C$3,$B1697&lt;=C$4),C$5,NA())</f>
        <v>#N/A</v>
      </c>
      <c r="D1697" s="7" t="e">
        <f t="shared" si="196"/>
        <v>#N/A</v>
      </c>
      <c r="E1697" s="7" t="e">
        <f t="shared" si="196"/>
        <v>#N/A</v>
      </c>
      <c r="F1697" s="7" t="e">
        <f t="shared" si="196"/>
        <v>#N/A</v>
      </c>
      <c r="G1697" s="7" t="e">
        <f t="shared" si="196"/>
        <v>#N/A</v>
      </c>
    </row>
    <row r="1698" spans="2:7">
      <c r="B1698" s="67">
        <f t="shared" si="193"/>
        <v>44792</v>
      </c>
      <c r="C1698" s="7" t="e">
        <f t="shared" si="196"/>
        <v>#N/A</v>
      </c>
      <c r="D1698" s="7" t="e">
        <f t="shared" si="196"/>
        <v>#N/A</v>
      </c>
      <c r="E1698" s="7" t="e">
        <f t="shared" si="196"/>
        <v>#N/A</v>
      </c>
      <c r="F1698" s="7" t="e">
        <f t="shared" si="196"/>
        <v>#N/A</v>
      </c>
      <c r="G1698" s="7" t="e">
        <f t="shared" si="196"/>
        <v>#N/A</v>
      </c>
    </row>
    <row r="1699" spans="2:7">
      <c r="B1699" s="67">
        <f t="shared" si="193"/>
        <v>44793</v>
      </c>
      <c r="C1699" s="7" t="e">
        <f t="shared" si="196"/>
        <v>#N/A</v>
      </c>
      <c r="D1699" s="7" t="e">
        <f t="shared" si="196"/>
        <v>#N/A</v>
      </c>
      <c r="E1699" s="7" t="e">
        <f t="shared" si="196"/>
        <v>#N/A</v>
      </c>
      <c r="F1699" s="7" t="e">
        <f t="shared" si="196"/>
        <v>#N/A</v>
      </c>
      <c r="G1699" s="7" t="e">
        <f t="shared" si="196"/>
        <v>#N/A</v>
      </c>
    </row>
    <row r="1700" spans="2:7">
      <c r="B1700" s="67">
        <f t="shared" si="193"/>
        <v>44794</v>
      </c>
      <c r="C1700" s="7" t="e">
        <f t="shared" si="196"/>
        <v>#N/A</v>
      </c>
      <c r="D1700" s="7" t="e">
        <f t="shared" si="196"/>
        <v>#N/A</v>
      </c>
      <c r="E1700" s="7" t="e">
        <f t="shared" si="196"/>
        <v>#N/A</v>
      </c>
      <c r="F1700" s="7" t="e">
        <f t="shared" si="196"/>
        <v>#N/A</v>
      </c>
      <c r="G1700" s="7" t="e">
        <f t="shared" si="196"/>
        <v>#N/A</v>
      </c>
    </row>
    <row r="1701" spans="2:7">
      <c r="B1701" s="67">
        <f t="shared" si="193"/>
        <v>44795</v>
      </c>
      <c r="C1701" s="7" t="e">
        <f t="shared" si="196"/>
        <v>#N/A</v>
      </c>
      <c r="D1701" s="7" t="e">
        <f t="shared" si="196"/>
        <v>#N/A</v>
      </c>
      <c r="E1701" s="7" t="e">
        <f t="shared" si="196"/>
        <v>#N/A</v>
      </c>
      <c r="F1701" s="7" t="e">
        <f t="shared" si="196"/>
        <v>#N/A</v>
      </c>
      <c r="G1701" s="7" t="e">
        <f t="shared" si="196"/>
        <v>#N/A</v>
      </c>
    </row>
    <row r="1702" spans="2:7">
      <c r="B1702" s="67">
        <f t="shared" si="193"/>
        <v>44796</v>
      </c>
      <c r="C1702" s="7" t="e">
        <f t="shared" si="196"/>
        <v>#N/A</v>
      </c>
      <c r="D1702" s="7" t="e">
        <f t="shared" si="196"/>
        <v>#N/A</v>
      </c>
      <c r="E1702" s="7" t="e">
        <f t="shared" si="196"/>
        <v>#N/A</v>
      </c>
      <c r="F1702" s="7" t="e">
        <f t="shared" si="196"/>
        <v>#N/A</v>
      </c>
      <c r="G1702" s="7" t="e">
        <f t="shared" si="196"/>
        <v>#N/A</v>
      </c>
    </row>
    <row r="1703" spans="2:7">
      <c r="B1703" s="67">
        <f t="shared" si="193"/>
        <v>44797</v>
      </c>
      <c r="C1703" s="7" t="e">
        <f t="shared" si="196"/>
        <v>#N/A</v>
      </c>
      <c r="D1703" s="7" t="e">
        <f t="shared" si="196"/>
        <v>#N/A</v>
      </c>
      <c r="E1703" s="7" t="e">
        <f t="shared" si="196"/>
        <v>#N/A</v>
      </c>
      <c r="F1703" s="7" t="e">
        <f t="shared" si="196"/>
        <v>#N/A</v>
      </c>
      <c r="G1703" s="7" t="e">
        <f t="shared" si="196"/>
        <v>#N/A</v>
      </c>
    </row>
    <row r="1704" spans="2:7">
      <c r="B1704" s="67">
        <f t="shared" si="193"/>
        <v>44798</v>
      </c>
      <c r="C1704" s="7" t="e">
        <f t="shared" si="196"/>
        <v>#N/A</v>
      </c>
      <c r="D1704" s="7" t="e">
        <f t="shared" si="196"/>
        <v>#N/A</v>
      </c>
      <c r="E1704" s="7" t="e">
        <f t="shared" si="196"/>
        <v>#N/A</v>
      </c>
      <c r="F1704" s="7" t="e">
        <f t="shared" si="196"/>
        <v>#N/A</v>
      </c>
      <c r="G1704" s="7" t="e">
        <f t="shared" si="196"/>
        <v>#N/A</v>
      </c>
    </row>
    <row r="1705" spans="2:7">
      <c r="B1705" s="67">
        <f t="shared" si="193"/>
        <v>44799</v>
      </c>
      <c r="C1705" s="7" t="e">
        <f t="shared" si="196"/>
        <v>#N/A</v>
      </c>
      <c r="D1705" s="7" t="e">
        <f t="shared" si="196"/>
        <v>#N/A</v>
      </c>
      <c r="E1705" s="7" t="e">
        <f t="shared" si="196"/>
        <v>#N/A</v>
      </c>
      <c r="F1705" s="7" t="e">
        <f t="shared" si="196"/>
        <v>#N/A</v>
      </c>
      <c r="G1705" s="7" t="e">
        <f t="shared" si="196"/>
        <v>#N/A</v>
      </c>
    </row>
    <row r="1706" spans="2:7">
      <c r="B1706" s="67">
        <f t="shared" si="193"/>
        <v>44800</v>
      </c>
      <c r="C1706" s="7" t="e">
        <f t="shared" si="196"/>
        <v>#N/A</v>
      </c>
      <c r="D1706" s="7" t="e">
        <f t="shared" si="196"/>
        <v>#N/A</v>
      </c>
      <c r="E1706" s="7" t="e">
        <f t="shared" si="196"/>
        <v>#N/A</v>
      </c>
      <c r="F1706" s="7" t="e">
        <f t="shared" si="196"/>
        <v>#N/A</v>
      </c>
      <c r="G1706" s="7" t="e">
        <f t="shared" si="196"/>
        <v>#N/A</v>
      </c>
    </row>
    <row r="1707" spans="2:7">
      <c r="B1707" s="67">
        <f t="shared" si="193"/>
        <v>44801</v>
      </c>
      <c r="C1707" s="7" t="e">
        <f t="shared" ref="C1707:G1716" si="197">IF(AND($B1707&gt;=C$3,$B1707&lt;=C$4),C$5,NA())</f>
        <v>#N/A</v>
      </c>
      <c r="D1707" s="7" t="e">
        <f t="shared" si="197"/>
        <v>#N/A</v>
      </c>
      <c r="E1707" s="7" t="e">
        <f t="shared" si="197"/>
        <v>#N/A</v>
      </c>
      <c r="F1707" s="7" t="e">
        <f t="shared" si="197"/>
        <v>#N/A</v>
      </c>
      <c r="G1707" s="7" t="e">
        <f t="shared" si="197"/>
        <v>#N/A</v>
      </c>
    </row>
    <row r="1708" spans="2:7">
      <c r="B1708" s="67">
        <f t="shared" si="193"/>
        <v>44802</v>
      </c>
      <c r="C1708" s="7" t="e">
        <f t="shared" si="197"/>
        <v>#N/A</v>
      </c>
      <c r="D1708" s="7" t="e">
        <f t="shared" si="197"/>
        <v>#N/A</v>
      </c>
      <c r="E1708" s="7" t="e">
        <f t="shared" si="197"/>
        <v>#N/A</v>
      </c>
      <c r="F1708" s="7" t="e">
        <f t="shared" si="197"/>
        <v>#N/A</v>
      </c>
      <c r="G1708" s="7" t="e">
        <f t="shared" si="197"/>
        <v>#N/A</v>
      </c>
    </row>
    <row r="1709" spans="2:7">
      <c r="B1709" s="67">
        <f t="shared" si="193"/>
        <v>44803</v>
      </c>
      <c r="C1709" s="7" t="e">
        <f t="shared" si="197"/>
        <v>#N/A</v>
      </c>
      <c r="D1709" s="7" t="e">
        <f t="shared" si="197"/>
        <v>#N/A</v>
      </c>
      <c r="E1709" s="7" t="e">
        <f t="shared" si="197"/>
        <v>#N/A</v>
      </c>
      <c r="F1709" s="7" t="e">
        <f t="shared" si="197"/>
        <v>#N/A</v>
      </c>
      <c r="G1709" s="7" t="e">
        <f t="shared" si="197"/>
        <v>#N/A</v>
      </c>
    </row>
    <row r="1710" spans="2:7">
      <c r="B1710" s="67">
        <f t="shared" si="193"/>
        <v>44804</v>
      </c>
      <c r="C1710" s="7" t="e">
        <f t="shared" si="197"/>
        <v>#N/A</v>
      </c>
      <c r="D1710" s="7" t="e">
        <f t="shared" si="197"/>
        <v>#N/A</v>
      </c>
      <c r="E1710" s="7" t="e">
        <f t="shared" si="197"/>
        <v>#N/A</v>
      </c>
      <c r="F1710" s="7" t="e">
        <f t="shared" si="197"/>
        <v>#N/A</v>
      </c>
      <c r="G1710" s="7" t="e">
        <f t="shared" si="197"/>
        <v>#N/A</v>
      </c>
    </row>
    <row r="1711" spans="2:7">
      <c r="B1711" s="67">
        <f t="shared" si="193"/>
        <v>44805</v>
      </c>
      <c r="C1711" s="7" t="e">
        <f t="shared" si="197"/>
        <v>#N/A</v>
      </c>
      <c r="D1711" s="7" t="e">
        <f t="shared" si="197"/>
        <v>#N/A</v>
      </c>
      <c r="E1711" s="7" t="e">
        <f t="shared" si="197"/>
        <v>#N/A</v>
      </c>
      <c r="F1711" s="7" t="e">
        <f t="shared" si="197"/>
        <v>#N/A</v>
      </c>
      <c r="G1711" s="7" t="e">
        <f t="shared" si="197"/>
        <v>#N/A</v>
      </c>
    </row>
    <row r="1712" spans="2:7">
      <c r="B1712" s="67">
        <f t="shared" si="193"/>
        <v>44806</v>
      </c>
      <c r="C1712" s="7" t="e">
        <f t="shared" si="197"/>
        <v>#N/A</v>
      </c>
      <c r="D1712" s="7" t="e">
        <f t="shared" si="197"/>
        <v>#N/A</v>
      </c>
      <c r="E1712" s="7" t="e">
        <f t="shared" si="197"/>
        <v>#N/A</v>
      </c>
      <c r="F1712" s="7" t="e">
        <f t="shared" si="197"/>
        <v>#N/A</v>
      </c>
      <c r="G1712" s="7" t="e">
        <f t="shared" si="197"/>
        <v>#N/A</v>
      </c>
    </row>
    <row r="1713" spans="2:7">
      <c r="B1713" s="67">
        <f t="shared" si="193"/>
        <v>44807</v>
      </c>
      <c r="C1713" s="7" t="e">
        <f t="shared" si="197"/>
        <v>#N/A</v>
      </c>
      <c r="D1713" s="7" t="e">
        <f t="shared" si="197"/>
        <v>#N/A</v>
      </c>
      <c r="E1713" s="7" t="e">
        <f t="shared" si="197"/>
        <v>#N/A</v>
      </c>
      <c r="F1713" s="7" t="e">
        <f t="shared" si="197"/>
        <v>#N/A</v>
      </c>
      <c r="G1713" s="7" t="e">
        <f t="shared" si="197"/>
        <v>#N/A</v>
      </c>
    </row>
    <row r="1714" spans="2:7">
      <c r="B1714" s="67">
        <f t="shared" si="193"/>
        <v>44808</v>
      </c>
      <c r="C1714" s="7" t="e">
        <f t="shared" si="197"/>
        <v>#N/A</v>
      </c>
      <c r="D1714" s="7" t="e">
        <f t="shared" si="197"/>
        <v>#N/A</v>
      </c>
      <c r="E1714" s="7" t="e">
        <f t="shared" si="197"/>
        <v>#N/A</v>
      </c>
      <c r="F1714" s="7" t="e">
        <f t="shared" si="197"/>
        <v>#N/A</v>
      </c>
      <c r="G1714" s="7" t="e">
        <f t="shared" si="197"/>
        <v>#N/A</v>
      </c>
    </row>
    <row r="1715" spans="2:7">
      <c r="B1715" s="67">
        <f t="shared" si="193"/>
        <v>44809</v>
      </c>
      <c r="C1715" s="7" t="e">
        <f t="shared" si="197"/>
        <v>#N/A</v>
      </c>
      <c r="D1715" s="7" t="e">
        <f t="shared" si="197"/>
        <v>#N/A</v>
      </c>
      <c r="E1715" s="7" t="e">
        <f t="shared" si="197"/>
        <v>#N/A</v>
      </c>
      <c r="F1715" s="7" t="e">
        <f t="shared" si="197"/>
        <v>#N/A</v>
      </c>
      <c r="G1715" s="7" t="e">
        <f t="shared" si="197"/>
        <v>#N/A</v>
      </c>
    </row>
    <row r="1716" spans="2:7">
      <c r="B1716" s="67">
        <f t="shared" si="193"/>
        <v>44810</v>
      </c>
      <c r="C1716" s="7" t="e">
        <f t="shared" si="197"/>
        <v>#N/A</v>
      </c>
      <c r="D1716" s="7" t="e">
        <f t="shared" si="197"/>
        <v>#N/A</v>
      </c>
      <c r="E1716" s="7" t="e">
        <f t="shared" si="197"/>
        <v>#N/A</v>
      </c>
      <c r="F1716" s="7" t="e">
        <f t="shared" si="197"/>
        <v>#N/A</v>
      </c>
      <c r="G1716" s="7" t="e">
        <f t="shared" si="197"/>
        <v>#N/A</v>
      </c>
    </row>
    <row r="1717" spans="2:7">
      <c r="B1717" s="67">
        <f t="shared" si="193"/>
        <v>44811</v>
      </c>
      <c r="C1717" s="7" t="e">
        <f t="shared" ref="C1717:G1726" si="198">IF(AND($B1717&gt;=C$3,$B1717&lt;=C$4),C$5,NA())</f>
        <v>#N/A</v>
      </c>
      <c r="D1717" s="7" t="e">
        <f t="shared" si="198"/>
        <v>#N/A</v>
      </c>
      <c r="E1717" s="7" t="e">
        <f t="shared" si="198"/>
        <v>#N/A</v>
      </c>
      <c r="F1717" s="7" t="e">
        <f t="shared" si="198"/>
        <v>#N/A</v>
      </c>
      <c r="G1717" s="7" t="e">
        <f t="shared" si="198"/>
        <v>#N/A</v>
      </c>
    </row>
    <row r="1718" spans="2:7">
      <c r="B1718" s="67">
        <f t="shared" si="193"/>
        <v>44812</v>
      </c>
      <c r="C1718" s="7" t="e">
        <f t="shared" si="198"/>
        <v>#N/A</v>
      </c>
      <c r="D1718" s="7" t="e">
        <f t="shared" si="198"/>
        <v>#N/A</v>
      </c>
      <c r="E1718" s="7" t="e">
        <f t="shared" si="198"/>
        <v>#N/A</v>
      </c>
      <c r="F1718" s="7" t="e">
        <f t="shared" si="198"/>
        <v>#N/A</v>
      </c>
      <c r="G1718" s="7" t="e">
        <f t="shared" si="198"/>
        <v>#N/A</v>
      </c>
    </row>
    <row r="1719" spans="2:7">
      <c r="B1719" s="67">
        <f t="shared" si="193"/>
        <v>44813</v>
      </c>
      <c r="C1719" s="7" t="e">
        <f t="shared" si="198"/>
        <v>#N/A</v>
      </c>
      <c r="D1719" s="7" t="e">
        <f t="shared" si="198"/>
        <v>#N/A</v>
      </c>
      <c r="E1719" s="7" t="e">
        <f t="shared" si="198"/>
        <v>#N/A</v>
      </c>
      <c r="F1719" s="7" t="e">
        <f t="shared" si="198"/>
        <v>#N/A</v>
      </c>
      <c r="G1719" s="7" t="e">
        <f t="shared" si="198"/>
        <v>#N/A</v>
      </c>
    </row>
    <row r="1720" spans="2:7">
      <c r="B1720" s="67">
        <f t="shared" si="193"/>
        <v>44814</v>
      </c>
      <c r="C1720" s="7" t="e">
        <f t="shared" si="198"/>
        <v>#N/A</v>
      </c>
      <c r="D1720" s="7" t="e">
        <f t="shared" si="198"/>
        <v>#N/A</v>
      </c>
      <c r="E1720" s="7" t="e">
        <f t="shared" si="198"/>
        <v>#N/A</v>
      </c>
      <c r="F1720" s="7" t="e">
        <f t="shared" si="198"/>
        <v>#N/A</v>
      </c>
      <c r="G1720" s="7" t="e">
        <f t="shared" si="198"/>
        <v>#N/A</v>
      </c>
    </row>
    <row r="1721" spans="2:7">
      <c r="B1721" s="67">
        <f t="shared" si="193"/>
        <v>44815</v>
      </c>
      <c r="C1721" s="7" t="e">
        <f t="shared" si="198"/>
        <v>#N/A</v>
      </c>
      <c r="D1721" s="7" t="e">
        <f t="shared" si="198"/>
        <v>#N/A</v>
      </c>
      <c r="E1721" s="7" t="e">
        <f t="shared" si="198"/>
        <v>#N/A</v>
      </c>
      <c r="F1721" s="7" t="e">
        <f t="shared" si="198"/>
        <v>#N/A</v>
      </c>
      <c r="G1721" s="7" t="e">
        <f t="shared" si="198"/>
        <v>#N/A</v>
      </c>
    </row>
    <row r="1722" spans="2:7">
      <c r="B1722" s="67">
        <f t="shared" si="193"/>
        <v>44816</v>
      </c>
      <c r="C1722" s="7" t="e">
        <f t="shared" si="198"/>
        <v>#N/A</v>
      </c>
      <c r="D1722" s="7" t="e">
        <f t="shared" si="198"/>
        <v>#N/A</v>
      </c>
      <c r="E1722" s="7" t="e">
        <f t="shared" si="198"/>
        <v>#N/A</v>
      </c>
      <c r="F1722" s="7" t="e">
        <f t="shared" si="198"/>
        <v>#N/A</v>
      </c>
      <c r="G1722" s="7" t="e">
        <f t="shared" si="198"/>
        <v>#N/A</v>
      </c>
    </row>
    <row r="1723" spans="2:7">
      <c r="B1723" s="67">
        <f t="shared" si="193"/>
        <v>44817</v>
      </c>
      <c r="C1723" s="7" t="e">
        <f t="shared" si="198"/>
        <v>#N/A</v>
      </c>
      <c r="D1723" s="7" t="e">
        <f t="shared" si="198"/>
        <v>#N/A</v>
      </c>
      <c r="E1723" s="7" t="e">
        <f t="shared" si="198"/>
        <v>#N/A</v>
      </c>
      <c r="F1723" s="7" t="e">
        <f t="shared" si="198"/>
        <v>#N/A</v>
      </c>
      <c r="G1723" s="7" t="e">
        <f t="shared" si="198"/>
        <v>#N/A</v>
      </c>
    </row>
    <row r="1724" spans="2:7">
      <c r="B1724" s="67">
        <f t="shared" si="193"/>
        <v>44818</v>
      </c>
      <c r="C1724" s="7" t="e">
        <f t="shared" si="198"/>
        <v>#N/A</v>
      </c>
      <c r="D1724" s="7" t="e">
        <f t="shared" si="198"/>
        <v>#N/A</v>
      </c>
      <c r="E1724" s="7" t="e">
        <f t="shared" si="198"/>
        <v>#N/A</v>
      </c>
      <c r="F1724" s="7" t="e">
        <f t="shared" si="198"/>
        <v>#N/A</v>
      </c>
      <c r="G1724" s="7" t="e">
        <f t="shared" si="198"/>
        <v>#N/A</v>
      </c>
    </row>
    <row r="1725" spans="2:7">
      <c r="B1725" s="67">
        <f t="shared" si="193"/>
        <v>44819</v>
      </c>
      <c r="C1725" s="7" t="e">
        <f t="shared" si="198"/>
        <v>#N/A</v>
      </c>
      <c r="D1725" s="7" t="e">
        <f t="shared" si="198"/>
        <v>#N/A</v>
      </c>
      <c r="E1725" s="7" t="e">
        <f t="shared" si="198"/>
        <v>#N/A</v>
      </c>
      <c r="F1725" s="7" t="e">
        <f t="shared" si="198"/>
        <v>#N/A</v>
      </c>
      <c r="G1725" s="7" t="e">
        <f t="shared" si="198"/>
        <v>#N/A</v>
      </c>
    </row>
    <row r="1726" spans="2:7">
      <c r="B1726" s="67">
        <f t="shared" si="193"/>
        <v>44820</v>
      </c>
      <c r="C1726" s="7" t="e">
        <f t="shared" si="198"/>
        <v>#N/A</v>
      </c>
      <c r="D1726" s="7" t="e">
        <f t="shared" si="198"/>
        <v>#N/A</v>
      </c>
      <c r="E1726" s="7" t="e">
        <f t="shared" si="198"/>
        <v>#N/A</v>
      </c>
      <c r="F1726" s="7" t="e">
        <f t="shared" si="198"/>
        <v>#N/A</v>
      </c>
      <c r="G1726" s="7" t="e">
        <f t="shared" si="198"/>
        <v>#N/A</v>
      </c>
    </row>
    <row r="1727" spans="2:7">
      <c r="B1727" s="67">
        <f t="shared" si="193"/>
        <v>44821</v>
      </c>
      <c r="C1727" s="7" t="e">
        <f t="shared" ref="C1727:G1736" si="199">IF(AND($B1727&gt;=C$3,$B1727&lt;=C$4),C$5,NA())</f>
        <v>#N/A</v>
      </c>
      <c r="D1727" s="7" t="e">
        <f t="shared" si="199"/>
        <v>#N/A</v>
      </c>
      <c r="E1727" s="7" t="e">
        <f t="shared" si="199"/>
        <v>#N/A</v>
      </c>
      <c r="F1727" s="7" t="e">
        <f t="shared" si="199"/>
        <v>#N/A</v>
      </c>
      <c r="G1727" s="7" t="e">
        <f t="shared" si="199"/>
        <v>#N/A</v>
      </c>
    </row>
    <row r="1728" spans="2:7">
      <c r="B1728" s="67">
        <f t="shared" si="193"/>
        <v>44822</v>
      </c>
      <c r="C1728" s="7" t="e">
        <f t="shared" si="199"/>
        <v>#N/A</v>
      </c>
      <c r="D1728" s="7" t="e">
        <f t="shared" si="199"/>
        <v>#N/A</v>
      </c>
      <c r="E1728" s="7" t="e">
        <f t="shared" si="199"/>
        <v>#N/A</v>
      </c>
      <c r="F1728" s="7" t="e">
        <f t="shared" si="199"/>
        <v>#N/A</v>
      </c>
      <c r="G1728" s="7" t="e">
        <f t="shared" si="199"/>
        <v>#N/A</v>
      </c>
    </row>
    <row r="1729" spans="2:7">
      <c r="B1729" s="67">
        <f t="shared" si="193"/>
        <v>44823</v>
      </c>
      <c r="C1729" s="7" t="e">
        <f t="shared" si="199"/>
        <v>#N/A</v>
      </c>
      <c r="D1729" s="7" t="e">
        <f t="shared" si="199"/>
        <v>#N/A</v>
      </c>
      <c r="E1729" s="7" t="e">
        <f t="shared" si="199"/>
        <v>#N/A</v>
      </c>
      <c r="F1729" s="7" t="e">
        <f t="shared" si="199"/>
        <v>#N/A</v>
      </c>
      <c r="G1729" s="7" t="e">
        <f t="shared" si="199"/>
        <v>#N/A</v>
      </c>
    </row>
    <row r="1730" spans="2:7">
      <c r="B1730" s="67">
        <f t="shared" si="193"/>
        <v>44824</v>
      </c>
      <c r="C1730" s="7" t="e">
        <f t="shared" si="199"/>
        <v>#N/A</v>
      </c>
      <c r="D1730" s="7" t="e">
        <f t="shared" si="199"/>
        <v>#N/A</v>
      </c>
      <c r="E1730" s="7" t="e">
        <f t="shared" si="199"/>
        <v>#N/A</v>
      </c>
      <c r="F1730" s="7" t="e">
        <f t="shared" si="199"/>
        <v>#N/A</v>
      </c>
      <c r="G1730" s="7" t="e">
        <f t="shared" si="199"/>
        <v>#N/A</v>
      </c>
    </row>
    <row r="1731" spans="2:7">
      <c r="B1731" s="67">
        <f t="shared" si="193"/>
        <v>44825</v>
      </c>
      <c r="C1731" s="7" t="e">
        <f t="shared" si="199"/>
        <v>#N/A</v>
      </c>
      <c r="D1731" s="7" t="e">
        <f t="shared" si="199"/>
        <v>#N/A</v>
      </c>
      <c r="E1731" s="7" t="e">
        <f t="shared" si="199"/>
        <v>#N/A</v>
      </c>
      <c r="F1731" s="7" t="e">
        <f t="shared" si="199"/>
        <v>#N/A</v>
      </c>
      <c r="G1731" s="7" t="e">
        <f t="shared" si="199"/>
        <v>#N/A</v>
      </c>
    </row>
    <row r="1732" spans="2:7">
      <c r="B1732" s="67">
        <f t="shared" si="193"/>
        <v>44826</v>
      </c>
      <c r="C1732" s="7" t="e">
        <f t="shared" si="199"/>
        <v>#N/A</v>
      </c>
      <c r="D1732" s="7" t="e">
        <f t="shared" si="199"/>
        <v>#N/A</v>
      </c>
      <c r="E1732" s="7" t="e">
        <f t="shared" si="199"/>
        <v>#N/A</v>
      </c>
      <c r="F1732" s="7" t="e">
        <f t="shared" si="199"/>
        <v>#N/A</v>
      </c>
      <c r="G1732" s="7" t="e">
        <f t="shared" si="199"/>
        <v>#N/A</v>
      </c>
    </row>
    <row r="1733" spans="2:7">
      <c r="B1733" s="67">
        <f t="shared" si="193"/>
        <v>44827</v>
      </c>
      <c r="C1733" s="7" t="e">
        <f t="shared" si="199"/>
        <v>#N/A</v>
      </c>
      <c r="D1733" s="7" t="e">
        <f t="shared" si="199"/>
        <v>#N/A</v>
      </c>
      <c r="E1733" s="7" t="e">
        <f t="shared" si="199"/>
        <v>#N/A</v>
      </c>
      <c r="F1733" s="7" t="e">
        <f t="shared" si="199"/>
        <v>#N/A</v>
      </c>
      <c r="G1733" s="7" t="e">
        <f t="shared" si="199"/>
        <v>#N/A</v>
      </c>
    </row>
    <row r="1734" spans="2:7">
      <c r="B1734" s="67">
        <f t="shared" si="193"/>
        <v>44828</v>
      </c>
      <c r="C1734" s="7" t="e">
        <f t="shared" si="199"/>
        <v>#N/A</v>
      </c>
      <c r="D1734" s="7" t="e">
        <f t="shared" si="199"/>
        <v>#N/A</v>
      </c>
      <c r="E1734" s="7" t="e">
        <f t="shared" si="199"/>
        <v>#N/A</v>
      </c>
      <c r="F1734" s="7" t="e">
        <f t="shared" si="199"/>
        <v>#N/A</v>
      </c>
      <c r="G1734" s="7" t="e">
        <f t="shared" si="199"/>
        <v>#N/A</v>
      </c>
    </row>
    <row r="1735" spans="2:7">
      <c r="B1735" s="67">
        <f t="shared" si="193"/>
        <v>44829</v>
      </c>
      <c r="C1735" s="7" t="e">
        <f t="shared" si="199"/>
        <v>#N/A</v>
      </c>
      <c r="D1735" s="7" t="e">
        <f t="shared" si="199"/>
        <v>#N/A</v>
      </c>
      <c r="E1735" s="7" t="e">
        <f t="shared" si="199"/>
        <v>#N/A</v>
      </c>
      <c r="F1735" s="7" t="e">
        <f t="shared" si="199"/>
        <v>#N/A</v>
      </c>
      <c r="G1735" s="7" t="e">
        <f t="shared" si="199"/>
        <v>#N/A</v>
      </c>
    </row>
    <row r="1736" spans="2:7">
      <c r="B1736" s="67">
        <f t="shared" ref="B1736:B1799" si="200">B1735+1</f>
        <v>44830</v>
      </c>
      <c r="C1736" s="7" t="e">
        <f t="shared" si="199"/>
        <v>#N/A</v>
      </c>
      <c r="D1736" s="7" t="e">
        <f t="shared" si="199"/>
        <v>#N/A</v>
      </c>
      <c r="E1736" s="7" t="e">
        <f t="shared" si="199"/>
        <v>#N/A</v>
      </c>
      <c r="F1736" s="7" t="e">
        <f t="shared" si="199"/>
        <v>#N/A</v>
      </c>
      <c r="G1736" s="7" t="e">
        <f t="shared" si="199"/>
        <v>#N/A</v>
      </c>
    </row>
    <row r="1737" spans="2:7">
      <c r="B1737" s="67">
        <f t="shared" si="200"/>
        <v>44831</v>
      </c>
      <c r="C1737" s="7" t="e">
        <f t="shared" ref="C1737:G1746" si="201">IF(AND($B1737&gt;=C$3,$B1737&lt;=C$4),C$5,NA())</f>
        <v>#N/A</v>
      </c>
      <c r="D1737" s="7" t="e">
        <f t="shared" si="201"/>
        <v>#N/A</v>
      </c>
      <c r="E1737" s="7" t="e">
        <f t="shared" si="201"/>
        <v>#N/A</v>
      </c>
      <c r="F1737" s="7" t="e">
        <f t="shared" si="201"/>
        <v>#N/A</v>
      </c>
      <c r="G1737" s="7" t="e">
        <f t="shared" si="201"/>
        <v>#N/A</v>
      </c>
    </row>
    <row r="1738" spans="2:7">
      <c r="B1738" s="67">
        <f t="shared" si="200"/>
        <v>44832</v>
      </c>
      <c r="C1738" s="7" t="e">
        <f t="shared" si="201"/>
        <v>#N/A</v>
      </c>
      <c r="D1738" s="7" t="e">
        <f t="shared" si="201"/>
        <v>#N/A</v>
      </c>
      <c r="E1738" s="7" t="e">
        <f t="shared" si="201"/>
        <v>#N/A</v>
      </c>
      <c r="F1738" s="7" t="e">
        <f t="shared" si="201"/>
        <v>#N/A</v>
      </c>
      <c r="G1738" s="7" t="e">
        <f t="shared" si="201"/>
        <v>#N/A</v>
      </c>
    </row>
    <row r="1739" spans="2:7">
      <c r="B1739" s="67">
        <f t="shared" si="200"/>
        <v>44833</v>
      </c>
      <c r="C1739" s="7" t="e">
        <f t="shared" si="201"/>
        <v>#N/A</v>
      </c>
      <c r="D1739" s="7" t="e">
        <f t="shared" si="201"/>
        <v>#N/A</v>
      </c>
      <c r="E1739" s="7" t="e">
        <f t="shared" si="201"/>
        <v>#N/A</v>
      </c>
      <c r="F1739" s="7" t="e">
        <f t="shared" si="201"/>
        <v>#N/A</v>
      </c>
      <c r="G1739" s="7" t="e">
        <f t="shared" si="201"/>
        <v>#N/A</v>
      </c>
    </row>
    <row r="1740" spans="2:7">
      <c r="B1740" s="67">
        <f t="shared" si="200"/>
        <v>44834</v>
      </c>
      <c r="C1740" s="7" t="e">
        <f t="shared" si="201"/>
        <v>#N/A</v>
      </c>
      <c r="D1740" s="7" t="e">
        <f t="shared" si="201"/>
        <v>#N/A</v>
      </c>
      <c r="E1740" s="7" t="e">
        <f t="shared" si="201"/>
        <v>#N/A</v>
      </c>
      <c r="F1740" s="7" t="e">
        <f t="shared" si="201"/>
        <v>#N/A</v>
      </c>
      <c r="G1740" s="7" t="e">
        <f t="shared" si="201"/>
        <v>#N/A</v>
      </c>
    </row>
    <row r="1741" spans="2:7">
      <c r="B1741" s="67">
        <f t="shared" si="200"/>
        <v>44835</v>
      </c>
      <c r="C1741" s="7" t="e">
        <f t="shared" si="201"/>
        <v>#N/A</v>
      </c>
      <c r="D1741" s="7" t="e">
        <f t="shared" si="201"/>
        <v>#N/A</v>
      </c>
      <c r="E1741" s="7" t="e">
        <f t="shared" si="201"/>
        <v>#N/A</v>
      </c>
      <c r="F1741" s="7" t="e">
        <f t="shared" si="201"/>
        <v>#N/A</v>
      </c>
      <c r="G1741" s="7" t="e">
        <f t="shared" si="201"/>
        <v>#N/A</v>
      </c>
    </row>
    <row r="1742" spans="2:7">
      <c r="B1742" s="67">
        <f t="shared" si="200"/>
        <v>44836</v>
      </c>
      <c r="C1742" s="7" t="e">
        <f t="shared" si="201"/>
        <v>#N/A</v>
      </c>
      <c r="D1742" s="7" t="e">
        <f t="shared" si="201"/>
        <v>#N/A</v>
      </c>
      <c r="E1742" s="7" t="e">
        <f t="shared" si="201"/>
        <v>#N/A</v>
      </c>
      <c r="F1742" s="7" t="e">
        <f t="shared" si="201"/>
        <v>#N/A</v>
      </c>
      <c r="G1742" s="7" t="e">
        <f t="shared" si="201"/>
        <v>#N/A</v>
      </c>
    </row>
    <row r="1743" spans="2:7">
      <c r="B1743" s="67">
        <f t="shared" si="200"/>
        <v>44837</v>
      </c>
      <c r="C1743" s="7" t="e">
        <f t="shared" si="201"/>
        <v>#N/A</v>
      </c>
      <c r="D1743" s="7" t="e">
        <f t="shared" si="201"/>
        <v>#N/A</v>
      </c>
      <c r="E1743" s="7" t="e">
        <f t="shared" si="201"/>
        <v>#N/A</v>
      </c>
      <c r="F1743" s="7" t="e">
        <f t="shared" si="201"/>
        <v>#N/A</v>
      </c>
      <c r="G1743" s="7" t="e">
        <f t="shared" si="201"/>
        <v>#N/A</v>
      </c>
    </row>
    <row r="1744" spans="2:7">
      <c r="B1744" s="67">
        <f t="shared" si="200"/>
        <v>44838</v>
      </c>
      <c r="C1744" s="7" t="e">
        <f t="shared" si="201"/>
        <v>#N/A</v>
      </c>
      <c r="D1744" s="7" t="e">
        <f t="shared" si="201"/>
        <v>#N/A</v>
      </c>
      <c r="E1744" s="7" t="e">
        <f t="shared" si="201"/>
        <v>#N/A</v>
      </c>
      <c r="F1744" s="7" t="e">
        <f t="shared" si="201"/>
        <v>#N/A</v>
      </c>
      <c r="G1744" s="7" t="e">
        <f t="shared" si="201"/>
        <v>#N/A</v>
      </c>
    </row>
    <row r="1745" spans="2:7">
      <c r="B1745" s="67">
        <f t="shared" si="200"/>
        <v>44839</v>
      </c>
      <c r="C1745" s="7" t="e">
        <f t="shared" si="201"/>
        <v>#N/A</v>
      </c>
      <c r="D1745" s="7" t="e">
        <f t="shared" si="201"/>
        <v>#N/A</v>
      </c>
      <c r="E1745" s="7" t="e">
        <f t="shared" si="201"/>
        <v>#N/A</v>
      </c>
      <c r="F1745" s="7" t="e">
        <f t="shared" si="201"/>
        <v>#N/A</v>
      </c>
      <c r="G1745" s="7" t="e">
        <f t="shared" si="201"/>
        <v>#N/A</v>
      </c>
    </row>
    <row r="1746" spans="2:7">
      <c r="B1746" s="67">
        <f t="shared" si="200"/>
        <v>44840</v>
      </c>
      <c r="C1746" s="7" t="e">
        <f t="shared" si="201"/>
        <v>#N/A</v>
      </c>
      <c r="D1746" s="7" t="e">
        <f t="shared" si="201"/>
        <v>#N/A</v>
      </c>
      <c r="E1746" s="7" t="e">
        <f t="shared" si="201"/>
        <v>#N/A</v>
      </c>
      <c r="F1746" s="7" t="e">
        <f t="shared" si="201"/>
        <v>#N/A</v>
      </c>
      <c r="G1746" s="7" t="e">
        <f t="shared" si="201"/>
        <v>#N/A</v>
      </c>
    </row>
    <row r="1747" spans="2:7">
      <c r="B1747" s="67">
        <f t="shared" si="200"/>
        <v>44841</v>
      </c>
      <c r="C1747" s="7" t="e">
        <f t="shared" ref="C1747:G1756" si="202">IF(AND($B1747&gt;=C$3,$B1747&lt;=C$4),C$5,NA())</f>
        <v>#N/A</v>
      </c>
      <c r="D1747" s="7" t="e">
        <f t="shared" si="202"/>
        <v>#N/A</v>
      </c>
      <c r="E1747" s="7" t="e">
        <f t="shared" si="202"/>
        <v>#N/A</v>
      </c>
      <c r="F1747" s="7" t="e">
        <f t="shared" si="202"/>
        <v>#N/A</v>
      </c>
      <c r="G1747" s="7" t="e">
        <f t="shared" si="202"/>
        <v>#N/A</v>
      </c>
    </row>
    <row r="1748" spans="2:7">
      <c r="B1748" s="67">
        <f t="shared" si="200"/>
        <v>44842</v>
      </c>
      <c r="C1748" s="7" t="e">
        <f t="shared" si="202"/>
        <v>#N/A</v>
      </c>
      <c r="D1748" s="7" t="e">
        <f t="shared" si="202"/>
        <v>#N/A</v>
      </c>
      <c r="E1748" s="7" t="e">
        <f t="shared" si="202"/>
        <v>#N/A</v>
      </c>
      <c r="F1748" s="7" t="e">
        <f t="shared" si="202"/>
        <v>#N/A</v>
      </c>
      <c r="G1748" s="7" t="e">
        <f t="shared" si="202"/>
        <v>#N/A</v>
      </c>
    </row>
    <row r="1749" spans="2:7">
      <c r="B1749" s="67">
        <f t="shared" si="200"/>
        <v>44843</v>
      </c>
      <c r="C1749" s="7" t="e">
        <f t="shared" si="202"/>
        <v>#N/A</v>
      </c>
      <c r="D1749" s="7" t="e">
        <f t="shared" si="202"/>
        <v>#N/A</v>
      </c>
      <c r="E1749" s="7" t="e">
        <f t="shared" si="202"/>
        <v>#N/A</v>
      </c>
      <c r="F1749" s="7" t="e">
        <f t="shared" si="202"/>
        <v>#N/A</v>
      </c>
      <c r="G1749" s="7" t="e">
        <f t="shared" si="202"/>
        <v>#N/A</v>
      </c>
    </row>
    <row r="1750" spans="2:7">
      <c r="B1750" s="67">
        <f t="shared" si="200"/>
        <v>44844</v>
      </c>
      <c r="C1750" s="7" t="e">
        <f t="shared" si="202"/>
        <v>#N/A</v>
      </c>
      <c r="D1750" s="7" t="e">
        <f t="shared" si="202"/>
        <v>#N/A</v>
      </c>
      <c r="E1750" s="7" t="e">
        <f t="shared" si="202"/>
        <v>#N/A</v>
      </c>
      <c r="F1750" s="7" t="e">
        <f t="shared" si="202"/>
        <v>#N/A</v>
      </c>
      <c r="G1750" s="7" t="e">
        <f t="shared" si="202"/>
        <v>#N/A</v>
      </c>
    </row>
    <row r="1751" spans="2:7">
      <c r="B1751" s="67">
        <f t="shared" si="200"/>
        <v>44845</v>
      </c>
      <c r="C1751" s="7" t="e">
        <f t="shared" si="202"/>
        <v>#N/A</v>
      </c>
      <c r="D1751" s="7" t="e">
        <f t="shared" si="202"/>
        <v>#N/A</v>
      </c>
      <c r="E1751" s="7" t="e">
        <f t="shared" si="202"/>
        <v>#N/A</v>
      </c>
      <c r="F1751" s="7" t="e">
        <f t="shared" si="202"/>
        <v>#N/A</v>
      </c>
      <c r="G1751" s="7" t="e">
        <f t="shared" si="202"/>
        <v>#N/A</v>
      </c>
    </row>
    <row r="1752" spans="2:7">
      <c r="B1752" s="67">
        <f t="shared" si="200"/>
        <v>44846</v>
      </c>
      <c r="C1752" s="7" t="e">
        <f t="shared" si="202"/>
        <v>#N/A</v>
      </c>
      <c r="D1752" s="7" t="e">
        <f t="shared" si="202"/>
        <v>#N/A</v>
      </c>
      <c r="E1752" s="7" t="e">
        <f t="shared" si="202"/>
        <v>#N/A</v>
      </c>
      <c r="F1752" s="7" t="e">
        <f t="shared" si="202"/>
        <v>#N/A</v>
      </c>
      <c r="G1752" s="7" t="e">
        <f t="shared" si="202"/>
        <v>#N/A</v>
      </c>
    </row>
    <row r="1753" spans="2:7">
      <c r="B1753" s="67">
        <f t="shared" si="200"/>
        <v>44847</v>
      </c>
      <c r="C1753" s="7" t="e">
        <f t="shared" si="202"/>
        <v>#N/A</v>
      </c>
      <c r="D1753" s="7" t="e">
        <f t="shared" si="202"/>
        <v>#N/A</v>
      </c>
      <c r="E1753" s="7" t="e">
        <f t="shared" si="202"/>
        <v>#N/A</v>
      </c>
      <c r="F1753" s="7" t="e">
        <f t="shared" si="202"/>
        <v>#N/A</v>
      </c>
      <c r="G1753" s="7" t="e">
        <f t="shared" si="202"/>
        <v>#N/A</v>
      </c>
    </row>
    <row r="1754" spans="2:7">
      <c r="B1754" s="67">
        <f t="shared" si="200"/>
        <v>44848</v>
      </c>
      <c r="C1754" s="7" t="e">
        <f t="shared" si="202"/>
        <v>#N/A</v>
      </c>
      <c r="D1754" s="7" t="e">
        <f t="shared" si="202"/>
        <v>#N/A</v>
      </c>
      <c r="E1754" s="7" t="e">
        <f t="shared" si="202"/>
        <v>#N/A</v>
      </c>
      <c r="F1754" s="7" t="e">
        <f t="shared" si="202"/>
        <v>#N/A</v>
      </c>
      <c r="G1754" s="7" t="e">
        <f t="shared" si="202"/>
        <v>#N/A</v>
      </c>
    </row>
    <row r="1755" spans="2:7">
      <c r="B1755" s="67">
        <f t="shared" si="200"/>
        <v>44849</v>
      </c>
      <c r="C1755" s="7" t="e">
        <f t="shared" si="202"/>
        <v>#N/A</v>
      </c>
      <c r="D1755" s="7" t="e">
        <f t="shared" si="202"/>
        <v>#N/A</v>
      </c>
      <c r="E1755" s="7" t="e">
        <f t="shared" si="202"/>
        <v>#N/A</v>
      </c>
      <c r="F1755" s="7" t="e">
        <f t="shared" si="202"/>
        <v>#N/A</v>
      </c>
      <c r="G1755" s="7" t="e">
        <f t="shared" si="202"/>
        <v>#N/A</v>
      </c>
    </row>
    <row r="1756" spans="2:7">
      <c r="B1756" s="67">
        <f t="shared" si="200"/>
        <v>44850</v>
      </c>
      <c r="C1756" s="7" t="e">
        <f t="shared" si="202"/>
        <v>#N/A</v>
      </c>
      <c r="D1756" s="7" t="e">
        <f t="shared" si="202"/>
        <v>#N/A</v>
      </c>
      <c r="E1756" s="7" t="e">
        <f t="shared" si="202"/>
        <v>#N/A</v>
      </c>
      <c r="F1756" s="7" t="e">
        <f t="shared" si="202"/>
        <v>#N/A</v>
      </c>
      <c r="G1756" s="7" t="e">
        <f t="shared" si="202"/>
        <v>#N/A</v>
      </c>
    </row>
    <row r="1757" spans="2:7">
      <c r="B1757" s="67">
        <f t="shared" si="200"/>
        <v>44851</v>
      </c>
      <c r="C1757" s="7" t="e">
        <f t="shared" ref="C1757:G1766" si="203">IF(AND($B1757&gt;=C$3,$B1757&lt;=C$4),C$5,NA())</f>
        <v>#N/A</v>
      </c>
      <c r="D1757" s="7" t="e">
        <f t="shared" si="203"/>
        <v>#N/A</v>
      </c>
      <c r="E1757" s="7" t="e">
        <f t="shared" si="203"/>
        <v>#N/A</v>
      </c>
      <c r="F1757" s="7" t="e">
        <f t="shared" si="203"/>
        <v>#N/A</v>
      </c>
      <c r="G1757" s="7" t="e">
        <f t="shared" si="203"/>
        <v>#N/A</v>
      </c>
    </row>
    <row r="1758" spans="2:7">
      <c r="B1758" s="67">
        <f t="shared" si="200"/>
        <v>44852</v>
      </c>
      <c r="C1758" s="7" t="e">
        <f t="shared" si="203"/>
        <v>#N/A</v>
      </c>
      <c r="D1758" s="7" t="e">
        <f t="shared" si="203"/>
        <v>#N/A</v>
      </c>
      <c r="E1758" s="7" t="e">
        <f t="shared" si="203"/>
        <v>#N/A</v>
      </c>
      <c r="F1758" s="7" t="e">
        <f t="shared" si="203"/>
        <v>#N/A</v>
      </c>
      <c r="G1758" s="7" t="e">
        <f t="shared" si="203"/>
        <v>#N/A</v>
      </c>
    </row>
    <row r="1759" spans="2:7">
      <c r="B1759" s="67">
        <f t="shared" si="200"/>
        <v>44853</v>
      </c>
      <c r="C1759" s="7" t="e">
        <f t="shared" si="203"/>
        <v>#N/A</v>
      </c>
      <c r="D1759" s="7" t="e">
        <f t="shared" si="203"/>
        <v>#N/A</v>
      </c>
      <c r="E1759" s="7" t="e">
        <f t="shared" si="203"/>
        <v>#N/A</v>
      </c>
      <c r="F1759" s="7" t="e">
        <f t="shared" si="203"/>
        <v>#N/A</v>
      </c>
      <c r="G1759" s="7" t="e">
        <f t="shared" si="203"/>
        <v>#N/A</v>
      </c>
    </row>
    <row r="1760" spans="2:7">
      <c r="B1760" s="67">
        <f t="shared" si="200"/>
        <v>44854</v>
      </c>
      <c r="C1760" s="7" t="e">
        <f t="shared" si="203"/>
        <v>#N/A</v>
      </c>
      <c r="D1760" s="7" t="e">
        <f t="shared" si="203"/>
        <v>#N/A</v>
      </c>
      <c r="E1760" s="7" t="e">
        <f t="shared" si="203"/>
        <v>#N/A</v>
      </c>
      <c r="F1760" s="7" t="e">
        <f t="shared" si="203"/>
        <v>#N/A</v>
      </c>
      <c r="G1760" s="7" t="e">
        <f t="shared" si="203"/>
        <v>#N/A</v>
      </c>
    </row>
    <row r="1761" spans="2:7">
      <c r="B1761" s="67">
        <f t="shared" si="200"/>
        <v>44855</v>
      </c>
      <c r="C1761" s="7" t="e">
        <f t="shared" si="203"/>
        <v>#N/A</v>
      </c>
      <c r="D1761" s="7" t="e">
        <f t="shared" si="203"/>
        <v>#N/A</v>
      </c>
      <c r="E1761" s="7" t="e">
        <f t="shared" si="203"/>
        <v>#N/A</v>
      </c>
      <c r="F1761" s="7" t="e">
        <f t="shared" si="203"/>
        <v>#N/A</v>
      </c>
      <c r="G1761" s="7" t="e">
        <f t="shared" si="203"/>
        <v>#N/A</v>
      </c>
    </row>
    <row r="1762" spans="2:7">
      <c r="B1762" s="67">
        <f t="shared" si="200"/>
        <v>44856</v>
      </c>
      <c r="C1762" s="7" t="e">
        <f t="shared" si="203"/>
        <v>#N/A</v>
      </c>
      <c r="D1762" s="7" t="e">
        <f t="shared" si="203"/>
        <v>#N/A</v>
      </c>
      <c r="E1762" s="7" t="e">
        <f t="shared" si="203"/>
        <v>#N/A</v>
      </c>
      <c r="F1762" s="7" t="e">
        <f t="shared" si="203"/>
        <v>#N/A</v>
      </c>
      <c r="G1762" s="7" t="e">
        <f t="shared" si="203"/>
        <v>#N/A</v>
      </c>
    </row>
    <row r="1763" spans="2:7">
      <c r="B1763" s="67">
        <f t="shared" si="200"/>
        <v>44857</v>
      </c>
      <c r="C1763" s="7" t="e">
        <f t="shared" si="203"/>
        <v>#N/A</v>
      </c>
      <c r="D1763" s="7" t="e">
        <f t="shared" si="203"/>
        <v>#N/A</v>
      </c>
      <c r="E1763" s="7" t="e">
        <f t="shared" si="203"/>
        <v>#N/A</v>
      </c>
      <c r="F1763" s="7" t="e">
        <f t="shared" si="203"/>
        <v>#N/A</v>
      </c>
      <c r="G1763" s="7" t="e">
        <f t="shared" si="203"/>
        <v>#N/A</v>
      </c>
    </row>
    <row r="1764" spans="2:7">
      <c r="B1764" s="67">
        <f t="shared" si="200"/>
        <v>44858</v>
      </c>
      <c r="C1764" s="7" t="e">
        <f t="shared" si="203"/>
        <v>#N/A</v>
      </c>
      <c r="D1764" s="7" t="e">
        <f t="shared" si="203"/>
        <v>#N/A</v>
      </c>
      <c r="E1764" s="7" t="e">
        <f t="shared" si="203"/>
        <v>#N/A</v>
      </c>
      <c r="F1764" s="7" t="e">
        <f t="shared" si="203"/>
        <v>#N/A</v>
      </c>
      <c r="G1764" s="7" t="e">
        <f t="shared" si="203"/>
        <v>#N/A</v>
      </c>
    </row>
    <row r="1765" spans="2:7">
      <c r="B1765" s="67">
        <f t="shared" si="200"/>
        <v>44859</v>
      </c>
      <c r="C1765" s="7" t="e">
        <f t="shared" si="203"/>
        <v>#N/A</v>
      </c>
      <c r="D1765" s="7" t="e">
        <f t="shared" si="203"/>
        <v>#N/A</v>
      </c>
      <c r="E1765" s="7" t="e">
        <f t="shared" si="203"/>
        <v>#N/A</v>
      </c>
      <c r="F1765" s="7" t="e">
        <f t="shared" si="203"/>
        <v>#N/A</v>
      </c>
      <c r="G1765" s="7" t="e">
        <f t="shared" si="203"/>
        <v>#N/A</v>
      </c>
    </row>
    <row r="1766" spans="2:7">
      <c r="B1766" s="67">
        <f t="shared" si="200"/>
        <v>44860</v>
      </c>
      <c r="C1766" s="7" t="e">
        <f t="shared" si="203"/>
        <v>#N/A</v>
      </c>
      <c r="D1766" s="7" t="e">
        <f t="shared" si="203"/>
        <v>#N/A</v>
      </c>
      <c r="E1766" s="7" t="e">
        <f t="shared" si="203"/>
        <v>#N/A</v>
      </c>
      <c r="F1766" s="7" t="e">
        <f t="shared" si="203"/>
        <v>#N/A</v>
      </c>
      <c r="G1766" s="7" t="e">
        <f t="shared" si="203"/>
        <v>#N/A</v>
      </c>
    </row>
    <row r="1767" spans="2:7">
      <c r="B1767" s="67">
        <f t="shared" si="200"/>
        <v>44861</v>
      </c>
      <c r="C1767" s="7" t="e">
        <f t="shared" ref="C1767:G1776" si="204">IF(AND($B1767&gt;=C$3,$B1767&lt;=C$4),C$5,NA())</f>
        <v>#N/A</v>
      </c>
      <c r="D1767" s="7" t="e">
        <f t="shared" si="204"/>
        <v>#N/A</v>
      </c>
      <c r="E1767" s="7" t="e">
        <f t="shared" si="204"/>
        <v>#N/A</v>
      </c>
      <c r="F1767" s="7" t="e">
        <f t="shared" si="204"/>
        <v>#N/A</v>
      </c>
      <c r="G1767" s="7" t="e">
        <f t="shared" si="204"/>
        <v>#N/A</v>
      </c>
    </row>
    <row r="1768" spans="2:7">
      <c r="B1768" s="67">
        <f t="shared" si="200"/>
        <v>44862</v>
      </c>
      <c r="C1768" s="7" t="e">
        <f t="shared" si="204"/>
        <v>#N/A</v>
      </c>
      <c r="D1768" s="7" t="e">
        <f t="shared" si="204"/>
        <v>#N/A</v>
      </c>
      <c r="E1768" s="7" t="e">
        <f t="shared" si="204"/>
        <v>#N/A</v>
      </c>
      <c r="F1768" s="7" t="e">
        <f t="shared" si="204"/>
        <v>#N/A</v>
      </c>
      <c r="G1768" s="7" t="e">
        <f t="shared" si="204"/>
        <v>#N/A</v>
      </c>
    </row>
    <row r="1769" spans="2:7">
      <c r="B1769" s="67">
        <f t="shared" si="200"/>
        <v>44863</v>
      </c>
      <c r="C1769" s="7" t="e">
        <f t="shared" si="204"/>
        <v>#N/A</v>
      </c>
      <c r="D1769" s="7" t="e">
        <f t="shared" si="204"/>
        <v>#N/A</v>
      </c>
      <c r="E1769" s="7" t="e">
        <f t="shared" si="204"/>
        <v>#N/A</v>
      </c>
      <c r="F1769" s="7" t="e">
        <f t="shared" si="204"/>
        <v>#N/A</v>
      </c>
      <c r="G1769" s="7" t="e">
        <f t="shared" si="204"/>
        <v>#N/A</v>
      </c>
    </row>
    <row r="1770" spans="2:7">
      <c r="B1770" s="67">
        <f t="shared" si="200"/>
        <v>44864</v>
      </c>
      <c r="C1770" s="7" t="e">
        <f t="shared" si="204"/>
        <v>#N/A</v>
      </c>
      <c r="D1770" s="7" t="e">
        <f t="shared" si="204"/>
        <v>#N/A</v>
      </c>
      <c r="E1770" s="7" t="e">
        <f t="shared" si="204"/>
        <v>#N/A</v>
      </c>
      <c r="F1770" s="7" t="e">
        <f t="shared" si="204"/>
        <v>#N/A</v>
      </c>
      <c r="G1770" s="7" t="e">
        <f t="shared" si="204"/>
        <v>#N/A</v>
      </c>
    </row>
    <row r="1771" spans="2:7">
      <c r="B1771" s="67">
        <f t="shared" si="200"/>
        <v>44865</v>
      </c>
      <c r="C1771" s="7" t="e">
        <f t="shared" si="204"/>
        <v>#N/A</v>
      </c>
      <c r="D1771" s="7" t="e">
        <f t="shared" si="204"/>
        <v>#N/A</v>
      </c>
      <c r="E1771" s="7" t="e">
        <f t="shared" si="204"/>
        <v>#N/A</v>
      </c>
      <c r="F1771" s="7" t="e">
        <f t="shared" si="204"/>
        <v>#N/A</v>
      </c>
      <c r="G1771" s="7" t="e">
        <f t="shared" si="204"/>
        <v>#N/A</v>
      </c>
    </row>
    <row r="1772" spans="2:7">
      <c r="B1772" s="67">
        <f t="shared" si="200"/>
        <v>44866</v>
      </c>
      <c r="C1772" s="7" t="e">
        <f t="shared" si="204"/>
        <v>#N/A</v>
      </c>
      <c r="D1772" s="7" t="e">
        <f t="shared" si="204"/>
        <v>#N/A</v>
      </c>
      <c r="E1772" s="7" t="e">
        <f t="shared" si="204"/>
        <v>#N/A</v>
      </c>
      <c r="F1772" s="7" t="e">
        <f t="shared" si="204"/>
        <v>#N/A</v>
      </c>
      <c r="G1772" s="7" t="e">
        <f t="shared" si="204"/>
        <v>#N/A</v>
      </c>
    </row>
    <row r="1773" spans="2:7">
      <c r="B1773" s="67">
        <f t="shared" si="200"/>
        <v>44867</v>
      </c>
      <c r="C1773" s="7" t="e">
        <f t="shared" si="204"/>
        <v>#N/A</v>
      </c>
      <c r="D1773" s="7" t="e">
        <f t="shared" si="204"/>
        <v>#N/A</v>
      </c>
      <c r="E1773" s="7" t="e">
        <f t="shared" si="204"/>
        <v>#N/A</v>
      </c>
      <c r="F1773" s="7" t="e">
        <f t="shared" si="204"/>
        <v>#N/A</v>
      </c>
      <c r="G1773" s="7" t="e">
        <f t="shared" si="204"/>
        <v>#N/A</v>
      </c>
    </row>
    <row r="1774" spans="2:7">
      <c r="B1774" s="67">
        <f t="shared" si="200"/>
        <v>44868</v>
      </c>
      <c r="C1774" s="7" t="e">
        <f t="shared" si="204"/>
        <v>#N/A</v>
      </c>
      <c r="D1774" s="7" t="e">
        <f t="shared" si="204"/>
        <v>#N/A</v>
      </c>
      <c r="E1774" s="7" t="e">
        <f t="shared" si="204"/>
        <v>#N/A</v>
      </c>
      <c r="F1774" s="7" t="e">
        <f t="shared" si="204"/>
        <v>#N/A</v>
      </c>
      <c r="G1774" s="7" t="e">
        <f t="shared" si="204"/>
        <v>#N/A</v>
      </c>
    </row>
    <row r="1775" spans="2:7">
      <c r="B1775" s="67">
        <f t="shared" si="200"/>
        <v>44869</v>
      </c>
      <c r="C1775" s="7" t="e">
        <f t="shared" si="204"/>
        <v>#N/A</v>
      </c>
      <c r="D1775" s="7" t="e">
        <f t="shared" si="204"/>
        <v>#N/A</v>
      </c>
      <c r="E1775" s="7" t="e">
        <f t="shared" si="204"/>
        <v>#N/A</v>
      </c>
      <c r="F1775" s="7" t="e">
        <f t="shared" si="204"/>
        <v>#N/A</v>
      </c>
      <c r="G1775" s="7" t="e">
        <f t="shared" si="204"/>
        <v>#N/A</v>
      </c>
    </row>
    <row r="1776" spans="2:7">
      <c r="B1776" s="67">
        <f t="shared" si="200"/>
        <v>44870</v>
      </c>
      <c r="C1776" s="7" t="e">
        <f t="shared" si="204"/>
        <v>#N/A</v>
      </c>
      <c r="D1776" s="7" t="e">
        <f t="shared" si="204"/>
        <v>#N/A</v>
      </c>
      <c r="E1776" s="7" t="e">
        <f t="shared" si="204"/>
        <v>#N/A</v>
      </c>
      <c r="F1776" s="7" t="e">
        <f t="shared" si="204"/>
        <v>#N/A</v>
      </c>
      <c r="G1776" s="7" t="e">
        <f t="shared" si="204"/>
        <v>#N/A</v>
      </c>
    </row>
    <row r="1777" spans="2:7">
      <c r="B1777" s="67">
        <f t="shared" si="200"/>
        <v>44871</v>
      </c>
      <c r="C1777" s="7" t="e">
        <f t="shared" ref="C1777:G1786" si="205">IF(AND($B1777&gt;=C$3,$B1777&lt;=C$4),C$5,NA())</f>
        <v>#N/A</v>
      </c>
      <c r="D1777" s="7" t="e">
        <f t="shared" si="205"/>
        <v>#N/A</v>
      </c>
      <c r="E1777" s="7" t="e">
        <f t="shared" si="205"/>
        <v>#N/A</v>
      </c>
      <c r="F1777" s="7" t="e">
        <f t="shared" si="205"/>
        <v>#N/A</v>
      </c>
      <c r="G1777" s="7" t="e">
        <f t="shared" si="205"/>
        <v>#N/A</v>
      </c>
    </row>
    <row r="1778" spans="2:7">
      <c r="B1778" s="67">
        <f t="shared" si="200"/>
        <v>44872</v>
      </c>
      <c r="C1778" s="7" t="e">
        <f t="shared" si="205"/>
        <v>#N/A</v>
      </c>
      <c r="D1778" s="7" t="e">
        <f t="shared" si="205"/>
        <v>#N/A</v>
      </c>
      <c r="E1778" s="7" t="e">
        <f t="shared" si="205"/>
        <v>#N/A</v>
      </c>
      <c r="F1778" s="7" t="e">
        <f t="shared" si="205"/>
        <v>#N/A</v>
      </c>
      <c r="G1778" s="7" t="e">
        <f t="shared" si="205"/>
        <v>#N/A</v>
      </c>
    </row>
    <row r="1779" spans="2:7">
      <c r="B1779" s="67">
        <f t="shared" si="200"/>
        <v>44873</v>
      </c>
      <c r="C1779" s="7" t="e">
        <f t="shared" si="205"/>
        <v>#N/A</v>
      </c>
      <c r="D1779" s="7" t="e">
        <f t="shared" si="205"/>
        <v>#N/A</v>
      </c>
      <c r="E1779" s="7" t="e">
        <f t="shared" si="205"/>
        <v>#N/A</v>
      </c>
      <c r="F1779" s="7" t="e">
        <f t="shared" si="205"/>
        <v>#N/A</v>
      </c>
      <c r="G1779" s="7" t="e">
        <f t="shared" si="205"/>
        <v>#N/A</v>
      </c>
    </row>
    <row r="1780" spans="2:7">
      <c r="B1780" s="67">
        <f t="shared" si="200"/>
        <v>44874</v>
      </c>
      <c r="C1780" s="7" t="e">
        <f t="shared" si="205"/>
        <v>#N/A</v>
      </c>
      <c r="D1780" s="7" t="e">
        <f t="shared" si="205"/>
        <v>#N/A</v>
      </c>
      <c r="E1780" s="7" t="e">
        <f t="shared" si="205"/>
        <v>#N/A</v>
      </c>
      <c r="F1780" s="7" t="e">
        <f t="shared" si="205"/>
        <v>#N/A</v>
      </c>
      <c r="G1780" s="7" t="e">
        <f t="shared" si="205"/>
        <v>#N/A</v>
      </c>
    </row>
    <row r="1781" spans="2:7">
      <c r="B1781" s="67">
        <f t="shared" si="200"/>
        <v>44875</v>
      </c>
      <c r="C1781" s="7" t="e">
        <f t="shared" si="205"/>
        <v>#N/A</v>
      </c>
      <c r="D1781" s="7" t="e">
        <f t="shared" si="205"/>
        <v>#N/A</v>
      </c>
      <c r="E1781" s="7" t="e">
        <f t="shared" si="205"/>
        <v>#N/A</v>
      </c>
      <c r="F1781" s="7" t="e">
        <f t="shared" si="205"/>
        <v>#N/A</v>
      </c>
      <c r="G1781" s="7" t="e">
        <f t="shared" si="205"/>
        <v>#N/A</v>
      </c>
    </row>
    <row r="1782" spans="2:7">
      <c r="B1782" s="67">
        <f t="shared" si="200"/>
        <v>44876</v>
      </c>
      <c r="C1782" s="7" t="e">
        <f t="shared" si="205"/>
        <v>#N/A</v>
      </c>
      <c r="D1782" s="7" t="e">
        <f t="shared" si="205"/>
        <v>#N/A</v>
      </c>
      <c r="E1782" s="7" t="e">
        <f t="shared" si="205"/>
        <v>#N/A</v>
      </c>
      <c r="F1782" s="7" t="e">
        <f t="shared" si="205"/>
        <v>#N/A</v>
      </c>
      <c r="G1782" s="7" t="e">
        <f t="shared" si="205"/>
        <v>#N/A</v>
      </c>
    </row>
    <row r="1783" spans="2:7">
      <c r="B1783" s="67">
        <f t="shared" si="200"/>
        <v>44877</v>
      </c>
      <c r="C1783" s="7" t="e">
        <f t="shared" si="205"/>
        <v>#N/A</v>
      </c>
      <c r="D1783" s="7" t="e">
        <f t="shared" si="205"/>
        <v>#N/A</v>
      </c>
      <c r="E1783" s="7" t="e">
        <f t="shared" si="205"/>
        <v>#N/A</v>
      </c>
      <c r="F1783" s="7" t="e">
        <f t="shared" si="205"/>
        <v>#N/A</v>
      </c>
      <c r="G1783" s="7" t="e">
        <f t="shared" si="205"/>
        <v>#N/A</v>
      </c>
    </row>
    <row r="1784" spans="2:7">
      <c r="B1784" s="67">
        <f t="shared" si="200"/>
        <v>44878</v>
      </c>
      <c r="C1784" s="7" t="e">
        <f t="shared" si="205"/>
        <v>#N/A</v>
      </c>
      <c r="D1784" s="7" t="e">
        <f t="shared" si="205"/>
        <v>#N/A</v>
      </c>
      <c r="E1784" s="7" t="e">
        <f t="shared" si="205"/>
        <v>#N/A</v>
      </c>
      <c r="F1784" s="7" t="e">
        <f t="shared" si="205"/>
        <v>#N/A</v>
      </c>
      <c r="G1784" s="7" t="e">
        <f t="shared" si="205"/>
        <v>#N/A</v>
      </c>
    </row>
    <row r="1785" spans="2:7">
      <c r="B1785" s="67">
        <f t="shared" si="200"/>
        <v>44879</v>
      </c>
      <c r="C1785" s="7" t="e">
        <f t="shared" si="205"/>
        <v>#N/A</v>
      </c>
      <c r="D1785" s="7" t="e">
        <f t="shared" si="205"/>
        <v>#N/A</v>
      </c>
      <c r="E1785" s="7" t="e">
        <f t="shared" si="205"/>
        <v>#N/A</v>
      </c>
      <c r="F1785" s="7" t="e">
        <f t="shared" si="205"/>
        <v>#N/A</v>
      </c>
      <c r="G1785" s="7" t="e">
        <f t="shared" si="205"/>
        <v>#N/A</v>
      </c>
    </row>
    <row r="1786" spans="2:7">
      <c r="B1786" s="67">
        <f t="shared" si="200"/>
        <v>44880</v>
      </c>
      <c r="C1786" s="7" t="e">
        <f t="shared" si="205"/>
        <v>#N/A</v>
      </c>
      <c r="D1786" s="7" t="e">
        <f t="shared" si="205"/>
        <v>#N/A</v>
      </c>
      <c r="E1786" s="7" t="e">
        <f t="shared" si="205"/>
        <v>#N/A</v>
      </c>
      <c r="F1786" s="7" t="e">
        <f t="shared" si="205"/>
        <v>#N/A</v>
      </c>
      <c r="G1786" s="7" t="e">
        <f t="shared" si="205"/>
        <v>#N/A</v>
      </c>
    </row>
    <row r="1787" spans="2:7">
      <c r="B1787" s="67">
        <f t="shared" si="200"/>
        <v>44881</v>
      </c>
      <c r="C1787" s="7" t="e">
        <f t="shared" ref="C1787:G1796" si="206">IF(AND($B1787&gt;=C$3,$B1787&lt;=C$4),C$5,NA())</f>
        <v>#N/A</v>
      </c>
      <c r="D1787" s="7" t="e">
        <f t="shared" si="206"/>
        <v>#N/A</v>
      </c>
      <c r="E1787" s="7" t="e">
        <f t="shared" si="206"/>
        <v>#N/A</v>
      </c>
      <c r="F1787" s="7" t="e">
        <f t="shared" si="206"/>
        <v>#N/A</v>
      </c>
      <c r="G1787" s="7" t="e">
        <f t="shared" si="206"/>
        <v>#N/A</v>
      </c>
    </row>
    <row r="1788" spans="2:7">
      <c r="B1788" s="67">
        <f t="shared" si="200"/>
        <v>44882</v>
      </c>
      <c r="C1788" s="7" t="e">
        <f t="shared" si="206"/>
        <v>#N/A</v>
      </c>
      <c r="D1788" s="7" t="e">
        <f t="shared" si="206"/>
        <v>#N/A</v>
      </c>
      <c r="E1788" s="7" t="e">
        <f t="shared" si="206"/>
        <v>#N/A</v>
      </c>
      <c r="F1788" s="7" t="e">
        <f t="shared" si="206"/>
        <v>#N/A</v>
      </c>
      <c r="G1788" s="7" t="e">
        <f t="shared" si="206"/>
        <v>#N/A</v>
      </c>
    </row>
    <row r="1789" spans="2:7">
      <c r="B1789" s="67">
        <f t="shared" si="200"/>
        <v>44883</v>
      </c>
      <c r="C1789" s="7" t="e">
        <f t="shared" si="206"/>
        <v>#N/A</v>
      </c>
      <c r="D1789" s="7" t="e">
        <f t="shared" si="206"/>
        <v>#N/A</v>
      </c>
      <c r="E1789" s="7" t="e">
        <f t="shared" si="206"/>
        <v>#N/A</v>
      </c>
      <c r="F1789" s="7" t="e">
        <f t="shared" si="206"/>
        <v>#N/A</v>
      </c>
      <c r="G1789" s="7" t="e">
        <f t="shared" si="206"/>
        <v>#N/A</v>
      </c>
    </row>
    <row r="1790" spans="2:7">
      <c r="B1790" s="67">
        <f t="shared" si="200"/>
        <v>44884</v>
      </c>
      <c r="C1790" s="7" t="e">
        <f t="shared" si="206"/>
        <v>#N/A</v>
      </c>
      <c r="D1790" s="7" t="e">
        <f t="shared" si="206"/>
        <v>#N/A</v>
      </c>
      <c r="E1790" s="7" t="e">
        <f t="shared" si="206"/>
        <v>#N/A</v>
      </c>
      <c r="F1790" s="7" t="e">
        <f t="shared" si="206"/>
        <v>#N/A</v>
      </c>
      <c r="G1790" s="7" t="e">
        <f t="shared" si="206"/>
        <v>#N/A</v>
      </c>
    </row>
    <row r="1791" spans="2:7">
      <c r="B1791" s="67">
        <f t="shared" si="200"/>
        <v>44885</v>
      </c>
      <c r="C1791" s="7" t="e">
        <f t="shared" si="206"/>
        <v>#N/A</v>
      </c>
      <c r="D1791" s="7" t="e">
        <f t="shared" si="206"/>
        <v>#N/A</v>
      </c>
      <c r="E1791" s="7" t="e">
        <f t="shared" si="206"/>
        <v>#N/A</v>
      </c>
      <c r="F1791" s="7" t="e">
        <f t="shared" si="206"/>
        <v>#N/A</v>
      </c>
      <c r="G1791" s="7" t="e">
        <f t="shared" si="206"/>
        <v>#N/A</v>
      </c>
    </row>
    <row r="1792" spans="2:7">
      <c r="B1792" s="67">
        <f t="shared" si="200"/>
        <v>44886</v>
      </c>
      <c r="C1792" s="7" t="e">
        <f t="shared" si="206"/>
        <v>#N/A</v>
      </c>
      <c r="D1792" s="7" t="e">
        <f t="shared" si="206"/>
        <v>#N/A</v>
      </c>
      <c r="E1792" s="7" t="e">
        <f t="shared" si="206"/>
        <v>#N/A</v>
      </c>
      <c r="F1792" s="7" t="e">
        <f t="shared" si="206"/>
        <v>#N/A</v>
      </c>
      <c r="G1792" s="7" t="e">
        <f t="shared" si="206"/>
        <v>#N/A</v>
      </c>
    </row>
    <row r="1793" spans="2:7">
      <c r="B1793" s="67">
        <f t="shared" si="200"/>
        <v>44887</v>
      </c>
      <c r="C1793" s="7" t="e">
        <f t="shared" si="206"/>
        <v>#N/A</v>
      </c>
      <c r="D1793" s="7" t="e">
        <f t="shared" si="206"/>
        <v>#N/A</v>
      </c>
      <c r="E1793" s="7" t="e">
        <f t="shared" si="206"/>
        <v>#N/A</v>
      </c>
      <c r="F1793" s="7" t="e">
        <f t="shared" si="206"/>
        <v>#N/A</v>
      </c>
      <c r="G1793" s="7" t="e">
        <f t="shared" si="206"/>
        <v>#N/A</v>
      </c>
    </row>
    <row r="1794" spans="2:7">
      <c r="B1794" s="67">
        <f t="shared" si="200"/>
        <v>44888</v>
      </c>
      <c r="C1794" s="7" t="e">
        <f t="shared" si="206"/>
        <v>#N/A</v>
      </c>
      <c r="D1794" s="7" t="e">
        <f t="shared" si="206"/>
        <v>#N/A</v>
      </c>
      <c r="E1794" s="7" t="e">
        <f t="shared" si="206"/>
        <v>#N/A</v>
      </c>
      <c r="F1794" s="7" t="e">
        <f t="shared" si="206"/>
        <v>#N/A</v>
      </c>
      <c r="G1794" s="7" t="e">
        <f t="shared" si="206"/>
        <v>#N/A</v>
      </c>
    </row>
    <row r="1795" spans="2:7">
      <c r="B1795" s="67">
        <f t="shared" si="200"/>
        <v>44889</v>
      </c>
      <c r="C1795" s="7" t="e">
        <f t="shared" si="206"/>
        <v>#N/A</v>
      </c>
      <c r="D1795" s="7" t="e">
        <f t="shared" si="206"/>
        <v>#N/A</v>
      </c>
      <c r="E1795" s="7" t="e">
        <f t="shared" si="206"/>
        <v>#N/A</v>
      </c>
      <c r="F1795" s="7" t="e">
        <f t="shared" si="206"/>
        <v>#N/A</v>
      </c>
      <c r="G1795" s="7" t="e">
        <f t="shared" si="206"/>
        <v>#N/A</v>
      </c>
    </row>
    <row r="1796" spans="2:7">
      <c r="B1796" s="67">
        <f t="shared" si="200"/>
        <v>44890</v>
      </c>
      <c r="C1796" s="7" t="e">
        <f t="shared" si="206"/>
        <v>#N/A</v>
      </c>
      <c r="D1796" s="7" t="e">
        <f t="shared" si="206"/>
        <v>#N/A</v>
      </c>
      <c r="E1796" s="7" t="e">
        <f t="shared" si="206"/>
        <v>#N/A</v>
      </c>
      <c r="F1796" s="7" t="e">
        <f t="shared" si="206"/>
        <v>#N/A</v>
      </c>
      <c r="G1796" s="7" t="e">
        <f t="shared" si="206"/>
        <v>#N/A</v>
      </c>
    </row>
    <row r="1797" spans="2:7">
      <c r="B1797" s="67">
        <f t="shared" si="200"/>
        <v>44891</v>
      </c>
      <c r="C1797" s="7" t="e">
        <f t="shared" ref="C1797:G1806" si="207">IF(AND($B1797&gt;=C$3,$B1797&lt;=C$4),C$5,NA())</f>
        <v>#N/A</v>
      </c>
      <c r="D1797" s="7" t="e">
        <f t="shared" si="207"/>
        <v>#N/A</v>
      </c>
      <c r="E1797" s="7" t="e">
        <f t="shared" si="207"/>
        <v>#N/A</v>
      </c>
      <c r="F1797" s="7" t="e">
        <f t="shared" si="207"/>
        <v>#N/A</v>
      </c>
      <c r="G1797" s="7" t="e">
        <f t="shared" si="207"/>
        <v>#N/A</v>
      </c>
    </row>
    <row r="1798" spans="2:7">
      <c r="B1798" s="67">
        <f t="shared" si="200"/>
        <v>44892</v>
      </c>
      <c r="C1798" s="7" t="e">
        <f t="shared" si="207"/>
        <v>#N/A</v>
      </c>
      <c r="D1798" s="7" t="e">
        <f t="shared" si="207"/>
        <v>#N/A</v>
      </c>
      <c r="E1798" s="7" t="e">
        <f t="shared" si="207"/>
        <v>#N/A</v>
      </c>
      <c r="F1798" s="7" t="e">
        <f t="shared" si="207"/>
        <v>#N/A</v>
      </c>
      <c r="G1798" s="7" t="e">
        <f t="shared" si="207"/>
        <v>#N/A</v>
      </c>
    </row>
    <row r="1799" spans="2:7">
      <c r="B1799" s="67">
        <f t="shared" si="200"/>
        <v>44893</v>
      </c>
      <c r="C1799" s="7" t="e">
        <f t="shared" si="207"/>
        <v>#N/A</v>
      </c>
      <c r="D1799" s="7" t="e">
        <f t="shared" si="207"/>
        <v>#N/A</v>
      </c>
      <c r="E1799" s="7" t="e">
        <f t="shared" si="207"/>
        <v>#N/A</v>
      </c>
      <c r="F1799" s="7" t="e">
        <f t="shared" si="207"/>
        <v>#N/A</v>
      </c>
      <c r="G1799" s="7" t="e">
        <f t="shared" si="207"/>
        <v>#N/A</v>
      </c>
    </row>
    <row r="1800" spans="2:7">
      <c r="B1800" s="67">
        <f t="shared" ref="B1800:B1863" si="208">B1799+1</f>
        <v>44894</v>
      </c>
      <c r="C1800" s="7" t="e">
        <f t="shared" si="207"/>
        <v>#N/A</v>
      </c>
      <c r="D1800" s="7" t="e">
        <f t="shared" si="207"/>
        <v>#N/A</v>
      </c>
      <c r="E1800" s="7" t="e">
        <f t="shared" si="207"/>
        <v>#N/A</v>
      </c>
      <c r="F1800" s="7" t="e">
        <f t="shared" si="207"/>
        <v>#N/A</v>
      </c>
      <c r="G1800" s="7" t="e">
        <f t="shared" si="207"/>
        <v>#N/A</v>
      </c>
    </row>
    <row r="1801" spans="2:7">
      <c r="B1801" s="67">
        <f t="shared" si="208"/>
        <v>44895</v>
      </c>
      <c r="C1801" s="7" t="e">
        <f t="shared" si="207"/>
        <v>#N/A</v>
      </c>
      <c r="D1801" s="7" t="e">
        <f t="shared" si="207"/>
        <v>#N/A</v>
      </c>
      <c r="E1801" s="7" t="e">
        <f t="shared" si="207"/>
        <v>#N/A</v>
      </c>
      <c r="F1801" s="7" t="e">
        <f t="shared" si="207"/>
        <v>#N/A</v>
      </c>
      <c r="G1801" s="7" t="e">
        <f t="shared" si="207"/>
        <v>#N/A</v>
      </c>
    </row>
    <row r="1802" spans="2:7">
      <c r="B1802" s="67">
        <f t="shared" si="208"/>
        <v>44896</v>
      </c>
      <c r="C1802" s="7" t="e">
        <f t="shared" si="207"/>
        <v>#N/A</v>
      </c>
      <c r="D1802" s="7" t="e">
        <f t="shared" si="207"/>
        <v>#N/A</v>
      </c>
      <c r="E1802" s="7" t="e">
        <f t="shared" si="207"/>
        <v>#N/A</v>
      </c>
      <c r="F1802" s="7" t="e">
        <f t="shared" si="207"/>
        <v>#N/A</v>
      </c>
      <c r="G1802" s="7" t="e">
        <f t="shared" si="207"/>
        <v>#N/A</v>
      </c>
    </row>
    <row r="1803" spans="2:7">
      <c r="B1803" s="67">
        <f t="shared" si="208"/>
        <v>44897</v>
      </c>
      <c r="C1803" s="7" t="e">
        <f t="shared" si="207"/>
        <v>#N/A</v>
      </c>
      <c r="D1803" s="7" t="e">
        <f t="shared" si="207"/>
        <v>#N/A</v>
      </c>
      <c r="E1803" s="7" t="e">
        <f t="shared" si="207"/>
        <v>#N/A</v>
      </c>
      <c r="F1803" s="7" t="e">
        <f t="shared" si="207"/>
        <v>#N/A</v>
      </c>
      <c r="G1803" s="7" t="e">
        <f t="shared" si="207"/>
        <v>#N/A</v>
      </c>
    </row>
    <row r="1804" spans="2:7">
      <c r="B1804" s="67">
        <f t="shared" si="208"/>
        <v>44898</v>
      </c>
      <c r="C1804" s="7" t="e">
        <f t="shared" si="207"/>
        <v>#N/A</v>
      </c>
      <c r="D1804" s="7" t="e">
        <f t="shared" si="207"/>
        <v>#N/A</v>
      </c>
      <c r="E1804" s="7" t="e">
        <f t="shared" si="207"/>
        <v>#N/A</v>
      </c>
      <c r="F1804" s="7" t="e">
        <f t="shared" si="207"/>
        <v>#N/A</v>
      </c>
      <c r="G1804" s="7" t="e">
        <f t="shared" si="207"/>
        <v>#N/A</v>
      </c>
    </row>
    <row r="1805" spans="2:7">
      <c r="B1805" s="67">
        <f t="shared" si="208"/>
        <v>44899</v>
      </c>
      <c r="C1805" s="7" t="e">
        <f t="shared" si="207"/>
        <v>#N/A</v>
      </c>
      <c r="D1805" s="7" t="e">
        <f t="shared" si="207"/>
        <v>#N/A</v>
      </c>
      <c r="E1805" s="7" t="e">
        <f t="shared" si="207"/>
        <v>#N/A</v>
      </c>
      <c r="F1805" s="7" t="e">
        <f t="shared" si="207"/>
        <v>#N/A</v>
      </c>
      <c r="G1805" s="7" t="e">
        <f t="shared" si="207"/>
        <v>#N/A</v>
      </c>
    </row>
    <row r="1806" spans="2:7">
      <c r="B1806" s="67">
        <f t="shared" si="208"/>
        <v>44900</v>
      </c>
      <c r="C1806" s="7" t="e">
        <f t="shared" si="207"/>
        <v>#N/A</v>
      </c>
      <c r="D1806" s="7" t="e">
        <f t="shared" si="207"/>
        <v>#N/A</v>
      </c>
      <c r="E1806" s="7" t="e">
        <f t="shared" si="207"/>
        <v>#N/A</v>
      </c>
      <c r="F1806" s="7" t="e">
        <f t="shared" si="207"/>
        <v>#N/A</v>
      </c>
      <c r="G1806" s="7" t="e">
        <f t="shared" si="207"/>
        <v>#N/A</v>
      </c>
    </row>
    <row r="1807" spans="2:7">
      <c r="B1807" s="67">
        <f t="shared" si="208"/>
        <v>44901</v>
      </c>
      <c r="C1807" s="7" t="e">
        <f t="shared" ref="C1807:G1816" si="209">IF(AND($B1807&gt;=C$3,$B1807&lt;=C$4),C$5,NA())</f>
        <v>#N/A</v>
      </c>
      <c r="D1807" s="7" t="e">
        <f t="shared" si="209"/>
        <v>#N/A</v>
      </c>
      <c r="E1807" s="7" t="e">
        <f t="shared" si="209"/>
        <v>#N/A</v>
      </c>
      <c r="F1807" s="7" t="e">
        <f t="shared" si="209"/>
        <v>#N/A</v>
      </c>
      <c r="G1807" s="7" t="e">
        <f t="shared" si="209"/>
        <v>#N/A</v>
      </c>
    </row>
    <row r="1808" spans="2:7">
      <c r="B1808" s="67">
        <f t="shared" si="208"/>
        <v>44902</v>
      </c>
      <c r="C1808" s="7" t="e">
        <f t="shared" si="209"/>
        <v>#N/A</v>
      </c>
      <c r="D1808" s="7" t="e">
        <f t="shared" si="209"/>
        <v>#N/A</v>
      </c>
      <c r="E1808" s="7" t="e">
        <f t="shared" si="209"/>
        <v>#N/A</v>
      </c>
      <c r="F1808" s="7" t="e">
        <f t="shared" si="209"/>
        <v>#N/A</v>
      </c>
      <c r="G1808" s="7" t="e">
        <f t="shared" si="209"/>
        <v>#N/A</v>
      </c>
    </row>
    <row r="1809" spans="2:7">
      <c r="B1809" s="67">
        <f t="shared" si="208"/>
        <v>44903</v>
      </c>
      <c r="C1809" s="7" t="e">
        <f t="shared" si="209"/>
        <v>#N/A</v>
      </c>
      <c r="D1809" s="7" t="e">
        <f t="shared" si="209"/>
        <v>#N/A</v>
      </c>
      <c r="E1809" s="7" t="e">
        <f t="shared" si="209"/>
        <v>#N/A</v>
      </c>
      <c r="F1809" s="7" t="e">
        <f t="shared" si="209"/>
        <v>#N/A</v>
      </c>
      <c r="G1809" s="7" t="e">
        <f t="shared" si="209"/>
        <v>#N/A</v>
      </c>
    </row>
    <row r="1810" spans="2:7">
      <c r="B1810" s="67">
        <f t="shared" si="208"/>
        <v>44904</v>
      </c>
      <c r="C1810" s="7" t="e">
        <f t="shared" si="209"/>
        <v>#N/A</v>
      </c>
      <c r="D1810" s="7" t="e">
        <f t="shared" si="209"/>
        <v>#N/A</v>
      </c>
      <c r="E1810" s="7" t="e">
        <f t="shared" si="209"/>
        <v>#N/A</v>
      </c>
      <c r="F1810" s="7" t="e">
        <f t="shared" si="209"/>
        <v>#N/A</v>
      </c>
      <c r="G1810" s="7" t="e">
        <f t="shared" si="209"/>
        <v>#N/A</v>
      </c>
    </row>
    <row r="1811" spans="2:7">
      <c r="B1811" s="67">
        <f t="shared" si="208"/>
        <v>44905</v>
      </c>
      <c r="C1811" s="7" t="e">
        <f t="shared" si="209"/>
        <v>#N/A</v>
      </c>
      <c r="D1811" s="7" t="e">
        <f t="shared" si="209"/>
        <v>#N/A</v>
      </c>
      <c r="E1811" s="7" t="e">
        <f t="shared" si="209"/>
        <v>#N/A</v>
      </c>
      <c r="F1811" s="7" t="e">
        <f t="shared" si="209"/>
        <v>#N/A</v>
      </c>
      <c r="G1811" s="7" t="e">
        <f t="shared" si="209"/>
        <v>#N/A</v>
      </c>
    </row>
    <row r="1812" spans="2:7">
      <c r="B1812" s="67">
        <f t="shared" si="208"/>
        <v>44906</v>
      </c>
      <c r="C1812" s="7" t="e">
        <f t="shared" si="209"/>
        <v>#N/A</v>
      </c>
      <c r="D1812" s="7" t="e">
        <f t="shared" si="209"/>
        <v>#N/A</v>
      </c>
      <c r="E1812" s="7" t="e">
        <f t="shared" si="209"/>
        <v>#N/A</v>
      </c>
      <c r="F1812" s="7" t="e">
        <f t="shared" si="209"/>
        <v>#N/A</v>
      </c>
      <c r="G1812" s="7" t="e">
        <f t="shared" si="209"/>
        <v>#N/A</v>
      </c>
    </row>
    <row r="1813" spans="2:7">
      <c r="B1813" s="67">
        <f t="shared" si="208"/>
        <v>44907</v>
      </c>
      <c r="C1813" s="7" t="e">
        <f t="shared" si="209"/>
        <v>#N/A</v>
      </c>
      <c r="D1813" s="7" t="e">
        <f t="shared" si="209"/>
        <v>#N/A</v>
      </c>
      <c r="E1813" s="7" t="e">
        <f t="shared" si="209"/>
        <v>#N/A</v>
      </c>
      <c r="F1813" s="7" t="e">
        <f t="shared" si="209"/>
        <v>#N/A</v>
      </c>
      <c r="G1813" s="7" t="e">
        <f t="shared" si="209"/>
        <v>#N/A</v>
      </c>
    </row>
    <row r="1814" spans="2:7">
      <c r="B1814" s="67">
        <f t="shared" si="208"/>
        <v>44908</v>
      </c>
      <c r="C1814" s="7" t="e">
        <f t="shared" si="209"/>
        <v>#N/A</v>
      </c>
      <c r="D1814" s="7" t="e">
        <f t="shared" si="209"/>
        <v>#N/A</v>
      </c>
      <c r="E1814" s="7" t="e">
        <f t="shared" si="209"/>
        <v>#N/A</v>
      </c>
      <c r="F1814" s="7" t="e">
        <f t="shared" si="209"/>
        <v>#N/A</v>
      </c>
      <c r="G1814" s="7" t="e">
        <f t="shared" si="209"/>
        <v>#N/A</v>
      </c>
    </row>
    <row r="1815" spans="2:7">
      <c r="B1815" s="67">
        <f t="shared" si="208"/>
        <v>44909</v>
      </c>
      <c r="C1815" s="7" t="e">
        <f t="shared" si="209"/>
        <v>#N/A</v>
      </c>
      <c r="D1815" s="7" t="e">
        <f t="shared" si="209"/>
        <v>#N/A</v>
      </c>
      <c r="E1815" s="7" t="e">
        <f t="shared" si="209"/>
        <v>#N/A</v>
      </c>
      <c r="F1815" s="7" t="e">
        <f t="shared" si="209"/>
        <v>#N/A</v>
      </c>
      <c r="G1815" s="7" t="e">
        <f t="shared" si="209"/>
        <v>#N/A</v>
      </c>
    </row>
    <row r="1816" spans="2:7">
      <c r="B1816" s="67">
        <f t="shared" si="208"/>
        <v>44910</v>
      </c>
      <c r="C1816" s="7" t="e">
        <f t="shared" si="209"/>
        <v>#N/A</v>
      </c>
      <c r="D1816" s="7" t="e">
        <f t="shared" si="209"/>
        <v>#N/A</v>
      </c>
      <c r="E1816" s="7" t="e">
        <f t="shared" si="209"/>
        <v>#N/A</v>
      </c>
      <c r="F1816" s="7" t="e">
        <f t="shared" si="209"/>
        <v>#N/A</v>
      </c>
      <c r="G1816" s="7" t="e">
        <f t="shared" si="209"/>
        <v>#N/A</v>
      </c>
    </row>
    <row r="1817" spans="2:7">
      <c r="B1817" s="67">
        <f t="shared" si="208"/>
        <v>44911</v>
      </c>
      <c r="C1817" s="7" t="e">
        <f t="shared" ref="C1817:G1826" si="210">IF(AND($B1817&gt;=C$3,$B1817&lt;=C$4),C$5,NA())</f>
        <v>#N/A</v>
      </c>
      <c r="D1817" s="7" t="e">
        <f t="shared" si="210"/>
        <v>#N/A</v>
      </c>
      <c r="E1817" s="7" t="e">
        <f t="shared" si="210"/>
        <v>#N/A</v>
      </c>
      <c r="F1817" s="7" t="e">
        <f t="shared" si="210"/>
        <v>#N/A</v>
      </c>
      <c r="G1817" s="7" t="e">
        <f t="shared" si="210"/>
        <v>#N/A</v>
      </c>
    </row>
    <row r="1818" spans="2:7">
      <c r="B1818" s="67">
        <f t="shared" si="208"/>
        <v>44912</v>
      </c>
      <c r="C1818" s="7" t="e">
        <f t="shared" si="210"/>
        <v>#N/A</v>
      </c>
      <c r="D1818" s="7" t="e">
        <f t="shared" si="210"/>
        <v>#N/A</v>
      </c>
      <c r="E1818" s="7" t="e">
        <f t="shared" si="210"/>
        <v>#N/A</v>
      </c>
      <c r="F1818" s="7" t="e">
        <f t="shared" si="210"/>
        <v>#N/A</v>
      </c>
      <c r="G1818" s="7" t="e">
        <f t="shared" si="210"/>
        <v>#N/A</v>
      </c>
    </row>
    <row r="1819" spans="2:7">
      <c r="B1819" s="67">
        <f t="shared" si="208"/>
        <v>44913</v>
      </c>
      <c r="C1819" s="7" t="e">
        <f t="shared" si="210"/>
        <v>#N/A</v>
      </c>
      <c r="D1819" s="7" t="e">
        <f t="shared" si="210"/>
        <v>#N/A</v>
      </c>
      <c r="E1819" s="7" t="e">
        <f t="shared" si="210"/>
        <v>#N/A</v>
      </c>
      <c r="F1819" s="7" t="e">
        <f t="shared" si="210"/>
        <v>#N/A</v>
      </c>
      <c r="G1819" s="7" t="e">
        <f t="shared" si="210"/>
        <v>#N/A</v>
      </c>
    </row>
    <row r="1820" spans="2:7">
      <c r="B1820" s="67">
        <f t="shared" si="208"/>
        <v>44914</v>
      </c>
      <c r="C1820" s="7" t="e">
        <f t="shared" si="210"/>
        <v>#N/A</v>
      </c>
      <c r="D1820" s="7" t="e">
        <f t="shared" si="210"/>
        <v>#N/A</v>
      </c>
      <c r="E1820" s="7" t="e">
        <f t="shared" si="210"/>
        <v>#N/A</v>
      </c>
      <c r="F1820" s="7" t="e">
        <f t="shared" si="210"/>
        <v>#N/A</v>
      </c>
      <c r="G1820" s="7" t="e">
        <f t="shared" si="210"/>
        <v>#N/A</v>
      </c>
    </row>
    <row r="1821" spans="2:7">
      <c r="B1821" s="67">
        <f t="shared" si="208"/>
        <v>44915</v>
      </c>
      <c r="C1821" s="7" t="e">
        <f t="shared" si="210"/>
        <v>#N/A</v>
      </c>
      <c r="D1821" s="7" t="e">
        <f t="shared" si="210"/>
        <v>#N/A</v>
      </c>
      <c r="E1821" s="7" t="e">
        <f t="shared" si="210"/>
        <v>#N/A</v>
      </c>
      <c r="F1821" s="7" t="e">
        <f t="shared" si="210"/>
        <v>#N/A</v>
      </c>
      <c r="G1821" s="7" t="e">
        <f t="shared" si="210"/>
        <v>#N/A</v>
      </c>
    </row>
    <row r="1822" spans="2:7">
      <c r="B1822" s="67">
        <f t="shared" si="208"/>
        <v>44916</v>
      </c>
      <c r="C1822" s="7" t="e">
        <f t="shared" si="210"/>
        <v>#N/A</v>
      </c>
      <c r="D1822" s="7" t="e">
        <f t="shared" si="210"/>
        <v>#N/A</v>
      </c>
      <c r="E1822" s="7" t="e">
        <f t="shared" si="210"/>
        <v>#N/A</v>
      </c>
      <c r="F1822" s="7" t="e">
        <f t="shared" si="210"/>
        <v>#N/A</v>
      </c>
      <c r="G1822" s="7" t="e">
        <f t="shared" si="210"/>
        <v>#N/A</v>
      </c>
    </row>
    <row r="1823" spans="2:7">
      <c r="B1823" s="67">
        <f t="shared" si="208"/>
        <v>44917</v>
      </c>
      <c r="C1823" s="7" t="e">
        <f t="shared" si="210"/>
        <v>#N/A</v>
      </c>
      <c r="D1823" s="7" t="e">
        <f t="shared" si="210"/>
        <v>#N/A</v>
      </c>
      <c r="E1823" s="7" t="e">
        <f t="shared" si="210"/>
        <v>#N/A</v>
      </c>
      <c r="F1823" s="7" t="e">
        <f t="shared" si="210"/>
        <v>#N/A</v>
      </c>
      <c r="G1823" s="7" t="e">
        <f t="shared" si="210"/>
        <v>#N/A</v>
      </c>
    </row>
    <row r="1824" spans="2:7">
      <c r="B1824" s="67">
        <f t="shared" si="208"/>
        <v>44918</v>
      </c>
      <c r="C1824" s="7" t="e">
        <f t="shared" si="210"/>
        <v>#N/A</v>
      </c>
      <c r="D1824" s="7" t="e">
        <f t="shared" si="210"/>
        <v>#N/A</v>
      </c>
      <c r="E1824" s="7" t="e">
        <f t="shared" si="210"/>
        <v>#N/A</v>
      </c>
      <c r="F1824" s="7" t="e">
        <f t="shared" si="210"/>
        <v>#N/A</v>
      </c>
      <c r="G1824" s="7" t="e">
        <f t="shared" si="210"/>
        <v>#N/A</v>
      </c>
    </row>
    <row r="1825" spans="2:7">
      <c r="B1825" s="67">
        <f t="shared" si="208"/>
        <v>44919</v>
      </c>
      <c r="C1825" s="7" t="e">
        <f t="shared" si="210"/>
        <v>#N/A</v>
      </c>
      <c r="D1825" s="7" t="e">
        <f t="shared" si="210"/>
        <v>#N/A</v>
      </c>
      <c r="E1825" s="7" t="e">
        <f t="shared" si="210"/>
        <v>#N/A</v>
      </c>
      <c r="F1825" s="7" t="e">
        <f t="shared" si="210"/>
        <v>#N/A</v>
      </c>
      <c r="G1825" s="7" t="e">
        <f t="shared" si="210"/>
        <v>#N/A</v>
      </c>
    </row>
    <row r="1826" spans="2:7">
      <c r="B1826" s="67">
        <f t="shared" si="208"/>
        <v>44920</v>
      </c>
      <c r="C1826" s="7" t="e">
        <f t="shared" si="210"/>
        <v>#N/A</v>
      </c>
      <c r="D1826" s="7" t="e">
        <f t="shared" si="210"/>
        <v>#N/A</v>
      </c>
      <c r="E1826" s="7" t="e">
        <f t="shared" si="210"/>
        <v>#N/A</v>
      </c>
      <c r="F1826" s="7" t="e">
        <f t="shared" si="210"/>
        <v>#N/A</v>
      </c>
      <c r="G1826" s="7" t="e">
        <f t="shared" si="210"/>
        <v>#N/A</v>
      </c>
    </row>
    <row r="1827" spans="2:7">
      <c r="B1827" s="67">
        <f t="shared" si="208"/>
        <v>44921</v>
      </c>
      <c r="C1827" s="7" t="e">
        <f t="shared" ref="C1827:G1836" si="211">IF(AND($B1827&gt;=C$3,$B1827&lt;=C$4),C$5,NA())</f>
        <v>#N/A</v>
      </c>
      <c r="D1827" s="7" t="e">
        <f t="shared" si="211"/>
        <v>#N/A</v>
      </c>
      <c r="E1827" s="7" t="e">
        <f t="shared" si="211"/>
        <v>#N/A</v>
      </c>
      <c r="F1827" s="7" t="e">
        <f t="shared" si="211"/>
        <v>#N/A</v>
      </c>
      <c r="G1827" s="7" t="e">
        <f t="shared" si="211"/>
        <v>#N/A</v>
      </c>
    </row>
    <row r="1828" spans="2:7">
      <c r="B1828" s="67">
        <f t="shared" si="208"/>
        <v>44922</v>
      </c>
      <c r="C1828" s="7" t="e">
        <f t="shared" si="211"/>
        <v>#N/A</v>
      </c>
      <c r="D1828" s="7" t="e">
        <f t="shared" si="211"/>
        <v>#N/A</v>
      </c>
      <c r="E1828" s="7" t="e">
        <f t="shared" si="211"/>
        <v>#N/A</v>
      </c>
      <c r="F1828" s="7" t="e">
        <f t="shared" si="211"/>
        <v>#N/A</v>
      </c>
      <c r="G1828" s="7" t="e">
        <f t="shared" si="211"/>
        <v>#N/A</v>
      </c>
    </row>
    <row r="1829" spans="2:7">
      <c r="B1829" s="67">
        <f t="shared" si="208"/>
        <v>44923</v>
      </c>
      <c r="C1829" s="7" t="e">
        <f t="shared" si="211"/>
        <v>#N/A</v>
      </c>
      <c r="D1829" s="7" t="e">
        <f t="shared" si="211"/>
        <v>#N/A</v>
      </c>
      <c r="E1829" s="7" t="e">
        <f t="shared" si="211"/>
        <v>#N/A</v>
      </c>
      <c r="F1829" s="7" t="e">
        <f t="shared" si="211"/>
        <v>#N/A</v>
      </c>
      <c r="G1829" s="7" t="e">
        <f t="shared" si="211"/>
        <v>#N/A</v>
      </c>
    </row>
    <row r="1830" spans="2:7">
      <c r="B1830" s="67">
        <f t="shared" si="208"/>
        <v>44924</v>
      </c>
      <c r="C1830" s="7" t="e">
        <f t="shared" si="211"/>
        <v>#N/A</v>
      </c>
      <c r="D1830" s="7" t="e">
        <f t="shared" si="211"/>
        <v>#N/A</v>
      </c>
      <c r="E1830" s="7" t="e">
        <f t="shared" si="211"/>
        <v>#N/A</v>
      </c>
      <c r="F1830" s="7" t="e">
        <f t="shared" si="211"/>
        <v>#N/A</v>
      </c>
      <c r="G1830" s="7" t="e">
        <f t="shared" si="211"/>
        <v>#N/A</v>
      </c>
    </row>
    <row r="1831" spans="2:7">
      <c r="B1831" s="67">
        <f t="shared" si="208"/>
        <v>44925</v>
      </c>
      <c r="C1831" s="7" t="e">
        <f t="shared" si="211"/>
        <v>#N/A</v>
      </c>
      <c r="D1831" s="7" t="e">
        <f t="shared" si="211"/>
        <v>#N/A</v>
      </c>
      <c r="E1831" s="7" t="e">
        <f t="shared" si="211"/>
        <v>#N/A</v>
      </c>
      <c r="F1831" s="7" t="e">
        <f t="shared" si="211"/>
        <v>#N/A</v>
      </c>
      <c r="G1831" s="7" t="e">
        <f t="shared" si="211"/>
        <v>#N/A</v>
      </c>
    </row>
    <row r="1832" spans="2:7">
      <c r="B1832" s="67">
        <f t="shared" si="208"/>
        <v>44926</v>
      </c>
      <c r="C1832" s="7" t="e">
        <f t="shared" si="211"/>
        <v>#N/A</v>
      </c>
      <c r="D1832" s="7" t="e">
        <f t="shared" si="211"/>
        <v>#N/A</v>
      </c>
      <c r="E1832" s="7" t="e">
        <f t="shared" si="211"/>
        <v>#N/A</v>
      </c>
      <c r="F1832" s="7" t="e">
        <f t="shared" si="211"/>
        <v>#N/A</v>
      </c>
      <c r="G1832" s="7" t="e">
        <f t="shared" si="211"/>
        <v>#N/A</v>
      </c>
    </row>
    <row r="1833" spans="2:7">
      <c r="B1833" s="67">
        <f t="shared" si="208"/>
        <v>44927</v>
      </c>
      <c r="C1833" s="7" t="e">
        <f t="shared" si="211"/>
        <v>#N/A</v>
      </c>
      <c r="D1833" s="7" t="e">
        <f t="shared" si="211"/>
        <v>#N/A</v>
      </c>
      <c r="E1833" s="7" t="e">
        <f t="shared" si="211"/>
        <v>#N/A</v>
      </c>
      <c r="F1833" s="7" t="e">
        <f t="shared" si="211"/>
        <v>#N/A</v>
      </c>
      <c r="G1833" s="7" t="e">
        <f t="shared" si="211"/>
        <v>#N/A</v>
      </c>
    </row>
    <row r="1834" spans="2:7">
      <c r="B1834" s="67">
        <f t="shared" si="208"/>
        <v>44928</v>
      </c>
      <c r="C1834" s="7" t="e">
        <f t="shared" si="211"/>
        <v>#N/A</v>
      </c>
      <c r="D1834" s="7" t="e">
        <f t="shared" si="211"/>
        <v>#N/A</v>
      </c>
      <c r="E1834" s="7" t="e">
        <f t="shared" si="211"/>
        <v>#N/A</v>
      </c>
      <c r="F1834" s="7" t="e">
        <f t="shared" si="211"/>
        <v>#N/A</v>
      </c>
      <c r="G1834" s="7" t="e">
        <f t="shared" si="211"/>
        <v>#N/A</v>
      </c>
    </row>
    <row r="1835" spans="2:7">
      <c r="B1835" s="67">
        <f t="shared" si="208"/>
        <v>44929</v>
      </c>
      <c r="C1835" s="7" t="e">
        <f t="shared" si="211"/>
        <v>#N/A</v>
      </c>
      <c r="D1835" s="7" t="e">
        <f t="shared" si="211"/>
        <v>#N/A</v>
      </c>
      <c r="E1835" s="7" t="e">
        <f t="shared" si="211"/>
        <v>#N/A</v>
      </c>
      <c r="F1835" s="7" t="e">
        <f t="shared" si="211"/>
        <v>#N/A</v>
      </c>
      <c r="G1835" s="7" t="e">
        <f t="shared" si="211"/>
        <v>#N/A</v>
      </c>
    </row>
    <row r="1836" spans="2:7">
      <c r="B1836" s="67">
        <f t="shared" si="208"/>
        <v>44930</v>
      </c>
      <c r="C1836" s="7" t="e">
        <f t="shared" si="211"/>
        <v>#N/A</v>
      </c>
      <c r="D1836" s="7" t="e">
        <f t="shared" si="211"/>
        <v>#N/A</v>
      </c>
      <c r="E1836" s="7" t="e">
        <f t="shared" si="211"/>
        <v>#N/A</v>
      </c>
      <c r="F1836" s="7" t="e">
        <f t="shared" si="211"/>
        <v>#N/A</v>
      </c>
      <c r="G1836" s="7" t="e">
        <f t="shared" si="211"/>
        <v>#N/A</v>
      </c>
    </row>
    <row r="1837" spans="2:7">
      <c r="B1837" s="67">
        <f t="shared" si="208"/>
        <v>44931</v>
      </c>
      <c r="C1837" s="7" t="e">
        <f t="shared" ref="C1837:G1846" si="212">IF(AND($B1837&gt;=C$3,$B1837&lt;=C$4),C$5,NA())</f>
        <v>#N/A</v>
      </c>
      <c r="D1837" s="7" t="e">
        <f t="shared" si="212"/>
        <v>#N/A</v>
      </c>
      <c r="E1837" s="7" t="e">
        <f t="shared" si="212"/>
        <v>#N/A</v>
      </c>
      <c r="F1837" s="7" t="e">
        <f t="shared" si="212"/>
        <v>#N/A</v>
      </c>
      <c r="G1837" s="7" t="e">
        <f t="shared" si="212"/>
        <v>#N/A</v>
      </c>
    </row>
    <row r="1838" spans="2:7">
      <c r="B1838" s="67">
        <f t="shared" si="208"/>
        <v>44932</v>
      </c>
      <c r="C1838" s="7" t="e">
        <f t="shared" si="212"/>
        <v>#N/A</v>
      </c>
      <c r="D1838" s="7" t="e">
        <f t="shared" si="212"/>
        <v>#N/A</v>
      </c>
      <c r="E1838" s="7" t="e">
        <f t="shared" si="212"/>
        <v>#N/A</v>
      </c>
      <c r="F1838" s="7" t="e">
        <f t="shared" si="212"/>
        <v>#N/A</v>
      </c>
      <c r="G1838" s="7" t="e">
        <f t="shared" si="212"/>
        <v>#N/A</v>
      </c>
    </row>
    <row r="1839" spans="2:7">
      <c r="B1839" s="67">
        <f t="shared" si="208"/>
        <v>44933</v>
      </c>
      <c r="C1839" s="7" t="e">
        <f t="shared" si="212"/>
        <v>#N/A</v>
      </c>
      <c r="D1839" s="7" t="e">
        <f t="shared" si="212"/>
        <v>#N/A</v>
      </c>
      <c r="E1839" s="7" t="e">
        <f t="shared" si="212"/>
        <v>#N/A</v>
      </c>
      <c r="F1839" s="7" t="e">
        <f t="shared" si="212"/>
        <v>#N/A</v>
      </c>
      <c r="G1839" s="7" t="e">
        <f t="shared" si="212"/>
        <v>#N/A</v>
      </c>
    </row>
    <row r="1840" spans="2:7">
      <c r="B1840" s="67">
        <f t="shared" si="208"/>
        <v>44934</v>
      </c>
      <c r="C1840" s="7" t="e">
        <f t="shared" si="212"/>
        <v>#N/A</v>
      </c>
      <c r="D1840" s="7" t="e">
        <f t="shared" si="212"/>
        <v>#N/A</v>
      </c>
      <c r="E1840" s="7" t="e">
        <f t="shared" si="212"/>
        <v>#N/A</v>
      </c>
      <c r="F1840" s="7" t="e">
        <f t="shared" si="212"/>
        <v>#N/A</v>
      </c>
      <c r="G1840" s="7" t="e">
        <f t="shared" si="212"/>
        <v>#N/A</v>
      </c>
    </row>
    <row r="1841" spans="2:7">
      <c r="B1841" s="67">
        <f t="shared" si="208"/>
        <v>44935</v>
      </c>
      <c r="C1841" s="7" t="e">
        <f t="shared" si="212"/>
        <v>#N/A</v>
      </c>
      <c r="D1841" s="7" t="e">
        <f t="shared" si="212"/>
        <v>#N/A</v>
      </c>
      <c r="E1841" s="7" t="e">
        <f t="shared" si="212"/>
        <v>#N/A</v>
      </c>
      <c r="F1841" s="7" t="e">
        <f t="shared" si="212"/>
        <v>#N/A</v>
      </c>
      <c r="G1841" s="7" t="e">
        <f t="shared" si="212"/>
        <v>#N/A</v>
      </c>
    </row>
    <row r="1842" spans="2:7">
      <c r="B1842" s="67">
        <f t="shared" si="208"/>
        <v>44936</v>
      </c>
      <c r="C1842" s="7" t="e">
        <f t="shared" si="212"/>
        <v>#N/A</v>
      </c>
      <c r="D1842" s="7" t="e">
        <f t="shared" si="212"/>
        <v>#N/A</v>
      </c>
      <c r="E1842" s="7" t="e">
        <f t="shared" si="212"/>
        <v>#N/A</v>
      </c>
      <c r="F1842" s="7" t="e">
        <f t="shared" si="212"/>
        <v>#N/A</v>
      </c>
      <c r="G1842" s="7" t="e">
        <f t="shared" si="212"/>
        <v>#N/A</v>
      </c>
    </row>
    <row r="1843" spans="2:7">
      <c r="B1843" s="67">
        <f t="shared" si="208"/>
        <v>44937</v>
      </c>
      <c r="C1843" s="7" t="e">
        <f t="shared" si="212"/>
        <v>#N/A</v>
      </c>
      <c r="D1843" s="7" t="e">
        <f t="shared" si="212"/>
        <v>#N/A</v>
      </c>
      <c r="E1843" s="7" t="e">
        <f t="shared" si="212"/>
        <v>#N/A</v>
      </c>
      <c r="F1843" s="7" t="e">
        <f t="shared" si="212"/>
        <v>#N/A</v>
      </c>
      <c r="G1843" s="7" t="e">
        <f t="shared" si="212"/>
        <v>#N/A</v>
      </c>
    </row>
    <row r="1844" spans="2:7">
      <c r="B1844" s="67">
        <f t="shared" si="208"/>
        <v>44938</v>
      </c>
      <c r="C1844" s="7" t="e">
        <f t="shared" si="212"/>
        <v>#N/A</v>
      </c>
      <c r="D1844" s="7" t="e">
        <f t="shared" si="212"/>
        <v>#N/A</v>
      </c>
      <c r="E1844" s="7" t="e">
        <f t="shared" si="212"/>
        <v>#N/A</v>
      </c>
      <c r="F1844" s="7" t="e">
        <f t="shared" si="212"/>
        <v>#N/A</v>
      </c>
      <c r="G1844" s="7" t="e">
        <f t="shared" si="212"/>
        <v>#N/A</v>
      </c>
    </row>
    <row r="1845" spans="2:7">
      <c r="B1845" s="67">
        <f t="shared" si="208"/>
        <v>44939</v>
      </c>
      <c r="C1845" s="7" t="e">
        <f t="shared" si="212"/>
        <v>#N/A</v>
      </c>
      <c r="D1845" s="7" t="e">
        <f t="shared" si="212"/>
        <v>#N/A</v>
      </c>
      <c r="E1845" s="7" t="e">
        <f t="shared" si="212"/>
        <v>#N/A</v>
      </c>
      <c r="F1845" s="7" t="e">
        <f t="shared" si="212"/>
        <v>#N/A</v>
      </c>
      <c r="G1845" s="7" t="e">
        <f t="shared" si="212"/>
        <v>#N/A</v>
      </c>
    </row>
    <row r="1846" spans="2:7">
      <c r="B1846" s="67">
        <f t="shared" si="208"/>
        <v>44940</v>
      </c>
      <c r="C1846" s="7" t="e">
        <f t="shared" si="212"/>
        <v>#N/A</v>
      </c>
      <c r="D1846" s="7" t="e">
        <f t="shared" si="212"/>
        <v>#N/A</v>
      </c>
      <c r="E1846" s="7" t="e">
        <f t="shared" si="212"/>
        <v>#N/A</v>
      </c>
      <c r="F1846" s="7" t="e">
        <f t="shared" si="212"/>
        <v>#N/A</v>
      </c>
      <c r="G1846" s="7" t="e">
        <f t="shared" si="212"/>
        <v>#N/A</v>
      </c>
    </row>
    <row r="1847" spans="2:7">
      <c r="B1847" s="67">
        <f t="shared" si="208"/>
        <v>44941</v>
      </c>
      <c r="C1847" s="7" t="e">
        <f t="shared" ref="C1847:G1856" si="213">IF(AND($B1847&gt;=C$3,$B1847&lt;=C$4),C$5,NA())</f>
        <v>#N/A</v>
      </c>
      <c r="D1847" s="7" t="e">
        <f t="shared" si="213"/>
        <v>#N/A</v>
      </c>
      <c r="E1847" s="7" t="e">
        <f t="shared" si="213"/>
        <v>#N/A</v>
      </c>
      <c r="F1847" s="7" t="e">
        <f t="shared" si="213"/>
        <v>#N/A</v>
      </c>
      <c r="G1847" s="7" t="e">
        <f t="shared" si="213"/>
        <v>#N/A</v>
      </c>
    </row>
    <row r="1848" spans="2:7">
      <c r="B1848" s="67">
        <f t="shared" si="208"/>
        <v>44942</v>
      </c>
      <c r="C1848" s="7" t="e">
        <f t="shared" si="213"/>
        <v>#N/A</v>
      </c>
      <c r="D1848" s="7" t="e">
        <f t="shared" si="213"/>
        <v>#N/A</v>
      </c>
      <c r="E1848" s="7" t="e">
        <f t="shared" si="213"/>
        <v>#N/A</v>
      </c>
      <c r="F1848" s="7" t="e">
        <f t="shared" si="213"/>
        <v>#N/A</v>
      </c>
      <c r="G1848" s="7" t="e">
        <f t="shared" si="213"/>
        <v>#N/A</v>
      </c>
    </row>
    <row r="1849" spans="2:7">
      <c r="B1849" s="67">
        <f t="shared" si="208"/>
        <v>44943</v>
      </c>
      <c r="C1849" s="7" t="e">
        <f t="shared" si="213"/>
        <v>#N/A</v>
      </c>
      <c r="D1849" s="7" t="e">
        <f t="shared" si="213"/>
        <v>#N/A</v>
      </c>
      <c r="E1849" s="7" t="e">
        <f t="shared" si="213"/>
        <v>#N/A</v>
      </c>
      <c r="F1849" s="7" t="e">
        <f t="shared" si="213"/>
        <v>#N/A</v>
      </c>
      <c r="G1849" s="7" t="e">
        <f t="shared" si="213"/>
        <v>#N/A</v>
      </c>
    </row>
    <row r="1850" spans="2:7">
      <c r="B1850" s="67">
        <f t="shared" si="208"/>
        <v>44944</v>
      </c>
      <c r="C1850" s="7" t="e">
        <f t="shared" si="213"/>
        <v>#N/A</v>
      </c>
      <c r="D1850" s="7" t="e">
        <f t="shared" si="213"/>
        <v>#N/A</v>
      </c>
      <c r="E1850" s="7" t="e">
        <f t="shared" si="213"/>
        <v>#N/A</v>
      </c>
      <c r="F1850" s="7" t="e">
        <f t="shared" si="213"/>
        <v>#N/A</v>
      </c>
      <c r="G1850" s="7" t="e">
        <f t="shared" si="213"/>
        <v>#N/A</v>
      </c>
    </row>
    <row r="1851" spans="2:7">
      <c r="B1851" s="67">
        <f t="shared" si="208"/>
        <v>44945</v>
      </c>
      <c r="C1851" s="7" t="e">
        <f t="shared" si="213"/>
        <v>#N/A</v>
      </c>
      <c r="D1851" s="7" t="e">
        <f t="shared" si="213"/>
        <v>#N/A</v>
      </c>
      <c r="E1851" s="7" t="e">
        <f t="shared" si="213"/>
        <v>#N/A</v>
      </c>
      <c r="F1851" s="7" t="e">
        <f t="shared" si="213"/>
        <v>#N/A</v>
      </c>
      <c r="G1851" s="7" t="e">
        <f t="shared" si="213"/>
        <v>#N/A</v>
      </c>
    </row>
    <row r="1852" spans="2:7">
      <c r="B1852" s="67">
        <f t="shared" si="208"/>
        <v>44946</v>
      </c>
      <c r="C1852" s="7" t="e">
        <f t="shared" si="213"/>
        <v>#N/A</v>
      </c>
      <c r="D1852" s="7" t="e">
        <f t="shared" si="213"/>
        <v>#N/A</v>
      </c>
      <c r="E1852" s="7" t="e">
        <f t="shared" si="213"/>
        <v>#N/A</v>
      </c>
      <c r="F1852" s="7" t="e">
        <f t="shared" si="213"/>
        <v>#N/A</v>
      </c>
      <c r="G1852" s="7" t="e">
        <f t="shared" si="213"/>
        <v>#N/A</v>
      </c>
    </row>
    <row r="1853" spans="2:7">
      <c r="B1853" s="67">
        <f t="shared" si="208"/>
        <v>44947</v>
      </c>
      <c r="C1853" s="7" t="e">
        <f t="shared" si="213"/>
        <v>#N/A</v>
      </c>
      <c r="D1853" s="7" t="e">
        <f t="shared" si="213"/>
        <v>#N/A</v>
      </c>
      <c r="E1853" s="7" t="e">
        <f t="shared" si="213"/>
        <v>#N/A</v>
      </c>
      <c r="F1853" s="7" t="e">
        <f t="shared" si="213"/>
        <v>#N/A</v>
      </c>
      <c r="G1853" s="7" t="e">
        <f t="shared" si="213"/>
        <v>#N/A</v>
      </c>
    </row>
    <row r="1854" spans="2:7">
      <c r="B1854" s="67">
        <f t="shared" si="208"/>
        <v>44948</v>
      </c>
      <c r="C1854" s="7" t="e">
        <f t="shared" si="213"/>
        <v>#N/A</v>
      </c>
      <c r="D1854" s="7" t="e">
        <f t="shared" si="213"/>
        <v>#N/A</v>
      </c>
      <c r="E1854" s="7" t="e">
        <f t="shared" si="213"/>
        <v>#N/A</v>
      </c>
      <c r="F1854" s="7" t="e">
        <f t="shared" si="213"/>
        <v>#N/A</v>
      </c>
      <c r="G1854" s="7" t="e">
        <f t="shared" si="213"/>
        <v>#N/A</v>
      </c>
    </row>
    <row r="1855" spans="2:7">
      <c r="B1855" s="67">
        <f t="shared" si="208"/>
        <v>44949</v>
      </c>
      <c r="C1855" s="7" t="e">
        <f t="shared" si="213"/>
        <v>#N/A</v>
      </c>
      <c r="D1855" s="7" t="e">
        <f t="shared" si="213"/>
        <v>#N/A</v>
      </c>
      <c r="E1855" s="7" t="e">
        <f t="shared" si="213"/>
        <v>#N/A</v>
      </c>
      <c r="F1855" s="7" t="e">
        <f t="shared" si="213"/>
        <v>#N/A</v>
      </c>
      <c r="G1855" s="7" t="e">
        <f t="shared" si="213"/>
        <v>#N/A</v>
      </c>
    </row>
    <row r="1856" spans="2:7">
      <c r="B1856" s="67">
        <f t="shared" si="208"/>
        <v>44950</v>
      </c>
      <c r="C1856" s="7" t="e">
        <f t="shared" si="213"/>
        <v>#N/A</v>
      </c>
      <c r="D1856" s="7" t="e">
        <f t="shared" si="213"/>
        <v>#N/A</v>
      </c>
      <c r="E1856" s="7" t="e">
        <f t="shared" si="213"/>
        <v>#N/A</v>
      </c>
      <c r="F1856" s="7" t="e">
        <f t="shared" si="213"/>
        <v>#N/A</v>
      </c>
      <c r="G1856" s="7" t="e">
        <f t="shared" si="213"/>
        <v>#N/A</v>
      </c>
    </row>
    <row r="1857" spans="2:7">
      <c r="B1857" s="67">
        <f t="shared" si="208"/>
        <v>44951</v>
      </c>
      <c r="C1857" s="7" t="e">
        <f t="shared" ref="C1857:G1866" si="214">IF(AND($B1857&gt;=C$3,$B1857&lt;=C$4),C$5,NA())</f>
        <v>#N/A</v>
      </c>
      <c r="D1857" s="7" t="e">
        <f t="shared" si="214"/>
        <v>#N/A</v>
      </c>
      <c r="E1857" s="7" t="e">
        <f t="shared" si="214"/>
        <v>#N/A</v>
      </c>
      <c r="F1857" s="7" t="e">
        <f t="shared" si="214"/>
        <v>#N/A</v>
      </c>
      <c r="G1857" s="7" t="e">
        <f t="shared" si="214"/>
        <v>#N/A</v>
      </c>
    </row>
    <row r="1858" spans="2:7">
      <c r="B1858" s="67">
        <f t="shared" si="208"/>
        <v>44952</v>
      </c>
      <c r="C1858" s="7" t="e">
        <f t="shared" si="214"/>
        <v>#N/A</v>
      </c>
      <c r="D1858" s="7" t="e">
        <f t="shared" si="214"/>
        <v>#N/A</v>
      </c>
      <c r="E1858" s="7" t="e">
        <f t="shared" si="214"/>
        <v>#N/A</v>
      </c>
      <c r="F1858" s="7" t="e">
        <f t="shared" si="214"/>
        <v>#N/A</v>
      </c>
      <c r="G1858" s="7" t="e">
        <f t="shared" si="214"/>
        <v>#N/A</v>
      </c>
    </row>
    <row r="1859" spans="2:7">
      <c r="B1859" s="67">
        <f t="shared" si="208"/>
        <v>44953</v>
      </c>
      <c r="C1859" s="7" t="e">
        <f t="shared" si="214"/>
        <v>#N/A</v>
      </c>
      <c r="D1859" s="7" t="e">
        <f t="shared" si="214"/>
        <v>#N/A</v>
      </c>
      <c r="E1859" s="7" t="e">
        <f t="shared" si="214"/>
        <v>#N/A</v>
      </c>
      <c r="F1859" s="7" t="e">
        <f t="shared" si="214"/>
        <v>#N/A</v>
      </c>
      <c r="G1859" s="7" t="e">
        <f t="shared" si="214"/>
        <v>#N/A</v>
      </c>
    </row>
    <row r="1860" spans="2:7">
      <c r="B1860" s="67">
        <f t="shared" si="208"/>
        <v>44954</v>
      </c>
      <c r="C1860" s="7" t="e">
        <f t="shared" si="214"/>
        <v>#N/A</v>
      </c>
      <c r="D1860" s="7" t="e">
        <f t="shared" si="214"/>
        <v>#N/A</v>
      </c>
      <c r="E1860" s="7" t="e">
        <f t="shared" si="214"/>
        <v>#N/A</v>
      </c>
      <c r="F1860" s="7" t="e">
        <f t="shared" si="214"/>
        <v>#N/A</v>
      </c>
      <c r="G1860" s="7" t="e">
        <f t="shared" si="214"/>
        <v>#N/A</v>
      </c>
    </row>
    <row r="1861" spans="2:7">
      <c r="B1861" s="67">
        <f t="shared" si="208"/>
        <v>44955</v>
      </c>
      <c r="C1861" s="7" t="e">
        <f t="shared" si="214"/>
        <v>#N/A</v>
      </c>
      <c r="D1861" s="7" t="e">
        <f t="shared" si="214"/>
        <v>#N/A</v>
      </c>
      <c r="E1861" s="7" t="e">
        <f t="shared" si="214"/>
        <v>#N/A</v>
      </c>
      <c r="F1861" s="7" t="e">
        <f t="shared" si="214"/>
        <v>#N/A</v>
      </c>
      <c r="G1861" s="7" t="e">
        <f t="shared" si="214"/>
        <v>#N/A</v>
      </c>
    </row>
    <row r="1862" spans="2:7">
      <c r="B1862" s="67">
        <f t="shared" si="208"/>
        <v>44956</v>
      </c>
      <c r="C1862" s="7" t="e">
        <f t="shared" si="214"/>
        <v>#N/A</v>
      </c>
      <c r="D1862" s="7" t="e">
        <f t="shared" si="214"/>
        <v>#N/A</v>
      </c>
      <c r="E1862" s="7" t="e">
        <f t="shared" si="214"/>
        <v>#N/A</v>
      </c>
      <c r="F1862" s="7" t="e">
        <f t="shared" si="214"/>
        <v>#N/A</v>
      </c>
      <c r="G1862" s="7" t="e">
        <f t="shared" si="214"/>
        <v>#N/A</v>
      </c>
    </row>
    <row r="1863" spans="2:7">
      <c r="B1863" s="67">
        <f t="shared" si="208"/>
        <v>44957</v>
      </c>
      <c r="C1863" s="7" t="e">
        <f t="shared" si="214"/>
        <v>#N/A</v>
      </c>
      <c r="D1863" s="7" t="e">
        <f t="shared" si="214"/>
        <v>#N/A</v>
      </c>
      <c r="E1863" s="7" t="e">
        <f t="shared" si="214"/>
        <v>#N/A</v>
      </c>
      <c r="F1863" s="7" t="e">
        <f t="shared" si="214"/>
        <v>#N/A</v>
      </c>
      <c r="G1863" s="7" t="e">
        <f t="shared" si="214"/>
        <v>#N/A</v>
      </c>
    </row>
    <row r="1864" spans="2:7">
      <c r="B1864" s="67">
        <f t="shared" ref="B1864:B1927" si="215">B1863+1</f>
        <v>44958</v>
      </c>
      <c r="C1864" s="7" t="e">
        <f t="shared" si="214"/>
        <v>#N/A</v>
      </c>
      <c r="D1864" s="7" t="e">
        <f t="shared" si="214"/>
        <v>#N/A</v>
      </c>
      <c r="E1864" s="7" t="e">
        <f t="shared" si="214"/>
        <v>#N/A</v>
      </c>
      <c r="F1864" s="7" t="e">
        <f t="shared" si="214"/>
        <v>#N/A</v>
      </c>
      <c r="G1864" s="7" t="e">
        <f t="shared" si="214"/>
        <v>#N/A</v>
      </c>
    </row>
    <row r="1865" spans="2:7">
      <c r="B1865" s="67">
        <f t="shared" si="215"/>
        <v>44959</v>
      </c>
      <c r="C1865" s="7" t="e">
        <f t="shared" si="214"/>
        <v>#N/A</v>
      </c>
      <c r="D1865" s="7" t="e">
        <f t="shared" si="214"/>
        <v>#N/A</v>
      </c>
      <c r="E1865" s="7" t="e">
        <f t="shared" si="214"/>
        <v>#N/A</v>
      </c>
      <c r="F1865" s="7" t="e">
        <f t="shared" si="214"/>
        <v>#N/A</v>
      </c>
      <c r="G1865" s="7" t="e">
        <f t="shared" si="214"/>
        <v>#N/A</v>
      </c>
    </row>
    <row r="1866" spans="2:7">
      <c r="B1866" s="67">
        <f t="shared" si="215"/>
        <v>44960</v>
      </c>
      <c r="C1866" s="7" t="e">
        <f t="shared" si="214"/>
        <v>#N/A</v>
      </c>
      <c r="D1866" s="7" t="e">
        <f t="shared" si="214"/>
        <v>#N/A</v>
      </c>
      <c r="E1866" s="7" t="e">
        <f t="shared" si="214"/>
        <v>#N/A</v>
      </c>
      <c r="F1866" s="7" t="e">
        <f t="shared" si="214"/>
        <v>#N/A</v>
      </c>
      <c r="G1866" s="7" t="e">
        <f t="shared" si="214"/>
        <v>#N/A</v>
      </c>
    </row>
    <row r="1867" spans="2:7">
      <c r="B1867" s="67">
        <f t="shared" si="215"/>
        <v>44961</v>
      </c>
      <c r="C1867" s="7" t="e">
        <f t="shared" ref="C1867:G1876" si="216">IF(AND($B1867&gt;=C$3,$B1867&lt;=C$4),C$5,NA())</f>
        <v>#N/A</v>
      </c>
      <c r="D1867" s="7" t="e">
        <f t="shared" si="216"/>
        <v>#N/A</v>
      </c>
      <c r="E1867" s="7" t="e">
        <f t="shared" si="216"/>
        <v>#N/A</v>
      </c>
      <c r="F1867" s="7" t="e">
        <f t="shared" si="216"/>
        <v>#N/A</v>
      </c>
      <c r="G1867" s="7" t="e">
        <f t="shared" si="216"/>
        <v>#N/A</v>
      </c>
    </row>
    <row r="1868" spans="2:7">
      <c r="B1868" s="67">
        <f t="shared" si="215"/>
        <v>44962</v>
      </c>
      <c r="C1868" s="7" t="e">
        <f t="shared" si="216"/>
        <v>#N/A</v>
      </c>
      <c r="D1868" s="7" t="e">
        <f t="shared" si="216"/>
        <v>#N/A</v>
      </c>
      <c r="E1868" s="7" t="e">
        <f t="shared" si="216"/>
        <v>#N/A</v>
      </c>
      <c r="F1868" s="7" t="e">
        <f t="shared" si="216"/>
        <v>#N/A</v>
      </c>
      <c r="G1868" s="7" t="e">
        <f t="shared" si="216"/>
        <v>#N/A</v>
      </c>
    </row>
    <row r="1869" spans="2:7">
      <c r="B1869" s="67">
        <f t="shared" si="215"/>
        <v>44963</v>
      </c>
      <c r="C1869" s="7" t="e">
        <f t="shared" si="216"/>
        <v>#N/A</v>
      </c>
      <c r="D1869" s="7" t="e">
        <f t="shared" si="216"/>
        <v>#N/A</v>
      </c>
      <c r="E1869" s="7" t="e">
        <f t="shared" si="216"/>
        <v>#N/A</v>
      </c>
      <c r="F1869" s="7" t="e">
        <f t="shared" si="216"/>
        <v>#N/A</v>
      </c>
      <c r="G1869" s="7" t="e">
        <f t="shared" si="216"/>
        <v>#N/A</v>
      </c>
    </row>
    <row r="1870" spans="2:7">
      <c r="B1870" s="67">
        <f t="shared" si="215"/>
        <v>44964</v>
      </c>
      <c r="C1870" s="7" t="e">
        <f t="shared" si="216"/>
        <v>#N/A</v>
      </c>
      <c r="D1870" s="7" t="e">
        <f t="shared" si="216"/>
        <v>#N/A</v>
      </c>
      <c r="E1870" s="7" t="e">
        <f t="shared" si="216"/>
        <v>#N/A</v>
      </c>
      <c r="F1870" s="7" t="e">
        <f t="shared" si="216"/>
        <v>#N/A</v>
      </c>
      <c r="G1870" s="7" t="e">
        <f t="shared" si="216"/>
        <v>#N/A</v>
      </c>
    </row>
    <row r="1871" spans="2:7">
      <c r="B1871" s="67">
        <f t="shared" si="215"/>
        <v>44965</v>
      </c>
      <c r="C1871" s="7" t="e">
        <f t="shared" si="216"/>
        <v>#N/A</v>
      </c>
      <c r="D1871" s="7" t="e">
        <f t="shared" si="216"/>
        <v>#N/A</v>
      </c>
      <c r="E1871" s="7" t="e">
        <f t="shared" si="216"/>
        <v>#N/A</v>
      </c>
      <c r="F1871" s="7" t="e">
        <f t="shared" si="216"/>
        <v>#N/A</v>
      </c>
      <c r="G1871" s="7" t="e">
        <f t="shared" si="216"/>
        <v>#N/A</v>
      </c>
    </row>
    <row r="1872" spans="2:7">
      <c r="B1872" s="67">
        <f t="shared" si="215"/>
        <v>44966</v>
      </c>
      <c r="C1872" s="7" t="e">
        <f t="shared" si="216"/>
        <v>#N/A</v>
      </c>
      <c r="D1872" s="7" t="e">
        <f t="shared" si="216"/>
        <v>#N/A</v>
      </c>
      <c r="E1872" s="7" t="e">
        <f t="shared" si="216"/>
        <v>#N/A</v>
      </c>
      <c r="F1872" s="7" t="e">
        <f t="shared" si="216"/>
        <v>#N/A</v>
      </c>
      <c r="G1872" s="7" t="e">
        <f t="shared" si="216"/>
        <v>#N/A</v>
      </c>
    </row>
    <row r="1873" spans="2:7">
      <c r="B1873" s="67">
        <f t="shared" si="215"/>
        <v>44967</v>
      </c>
      <c r="C1873" s="7" t="e">
        <f t="shared" si="216"/>
        <v>#N/A</v>
      </c>
      <c r="D1873" s="7" t="e">
        <f t="shared" si="216"/>
        <v>#N/A</v>
      </c>
      <c r="E1873" s="7" t="e">
        <f t="shared" si="216"/>
        <v>#N/A</v>
      </c>
      <c r="F1873" s="7" t="e">
        <f t="shared" si="216"/>
        <v>#N/A</v>
      </c>
      <c r="G1873" s="7" t="e">
        <f t="shared" si="216"/>
        <v>#N/A</v>
      </c>
    </row>
    <row r="1874" spans="2:7">
      <c r="B1874" s="67">
        <f t="shared" si="215"/>
        <v>44968</v>
      </c>
      <c r="C1874" s="7" t="e">
        <f t="shared" si="216"/>
        <v>#N/A</v>
      </c>
      <c r="D1874" s="7" t="e">
        <f t="shared" si="216"/>
        <v>#N/A</v>
      </c>
      <c r="E1874" s="7" t="e">
        <f t="shared" si="216"/>
        <v>#N/A</v>
      </c>
      <c r="F1874" s="7" t="e">
        <f t="shared" si="216"/>
        <v>#N/A</v>
      </c>
      <c r="G1874" s="7" t="e">
        <f t="shared" si="216"/>
        <v>#N/A</v>
      </c>
    </row>
    <row r="1875" spans="2:7">
      <c r="B1875" s="67">
        <f t="shared" si="215"/>
        <v>44969</v>
      </c>
      <c r="C1875" s="7" t="e">
        <f t="shared" si="216"/>
        <v>#N/A</v>
      </c>
      <c r="D1875" s="7" t="e">
        <f t="shared" si="216"/>
        <v>#N/A</v>
      </c>
      <c r="E1875" s="7" t="e">
        <f t="shared" si="216"/>
        <v>#N/A</v>
      </c>
      <c r="F1875" s="7" t="e">
        <f t="shared" si="216"/>
        <v>#N/A</v>
      </c>
      <c r="G1875" s="7" t="e">
        <f t="shared" si="216"/>
        <v>#N/A</v>
      </c>
    </row>
    <row r="1876" spans="2:7">
      <c r="B1876" s="67">
        <f t="shared" si="215"/>
        <v>44970</v>
      </c>
      <c r="C1876" s="7" t="e">
        <f t="shared" si="216"/>
        <v>#N/A</v>
      </c>
      <c r="D1876" s="7" t="e">
        <f t="shared" si="216"/>
        <v>#N/A</v>
      </c>
      <c r="E1876" s="7" t="e">
        <f t="shared" si="216"/>
        <v>#N/A</v>
      </c>
      <c r="F1876" s="7" t="e">
        <f t="shared" si="216"/>
        <v>#N/A</v>
      </c>
      <c r="G1876" s="7" t="e">
        <f t="shared" si="216"/>
        <v>#N/A</v>
      </c>
    </row>
    <row r="1877" spans="2:7">
      <c r="B1877" s="67">
        <f t="shared" si="215"/>
        <v>44971</v>
      </c>
      <c r="C1877" s="7" t="e">
        <f t="shared" ref="C1877:G1886" si="217">IF(AND($B1877&gt;=C$3,$B1877&lt;=C$4),C$5,NA())</f>
        <v>#N/A</v>
      </c>
      <c r="D1877" s="7" t="e">
        <f t="shared" si="217"/>
        <v>#N/A</v>
      </c>
      <c r="E1877" s="7" t="e">
        <f t="shared" si="217"/>
        <v>#N/A</v>
      </c>
      <c r="F1877" s="7" t="e">
        <f t="shared" si="217"/>
        <v>#N/A</v>
      </c>
      <c r="G1877" s="7" t="e">
        <f t="shared" si="217"/>
        <v>#N/A</v>
      </c>
    </row>
    <row r="1878" spans="2:7">
      <c r="B1878" s="67">
        <f t="shared" si="215"/>
        <v>44972</v>
      </c>
      <c r="C1878" s="7" t="e">
        <f t="shared" si="217"/>
        <v>#N/A</v>
      </c>
      <c r="D1878" s="7" t="e">
        <f t="shared" si="217"/>
        <v>#N/A</v>
      </c>
      <c r="E1878" s="7" t="e">
        <f t="shared" si="217"/>
        <v>#N/A</v>
      </c>
      <c r="F1878" s="7" t="e">
        <f t="shared" si="217"/>
        <v>#N/A</v>
      </c>
      <c r="G1878" s="7" t="e">
        <f t="shared" si="217"/>
        <v>#N/A</v>
      </c>
    </row>
    <row r="1879" spans="2:7">
      <c r="B1879" s="67">
        <f t="shared" si="215"/>
        <v>44973</v>
      </c>
      <c r="C1879" s="7" t="e">
        <f t="shared" si="217"/>
        <v>#N/A</v>
      </c>
      <c r="D1879" s="7" t="e">
        <f t="shared" si="217"/>
        <v>#N/A</v>
      </c>
      <c r="E1879" s="7" t="e">
        <f t="shared" si="217"/>
        <v>#N/A</v>
      </c>
      <c r="F1879" s="7" t="e">
        <f t="shared" si="217"/>
        <v>#N/A</v>
      </c>
      <c r="G1879" s="7" t="e">
        <f t="shared" si="217"/>
        <v>#N/A</v>
      </c>
    </row>
    <row r="1880" spans="2:7">
      <c r="B1880" s="67">
        <f t="shared" si="215"/>
        <v>44974</v>
      </c>
      <c r="C1880" s="7" t="e">
        <f t="shared" si="217"/>
        <v>#N/A</v>
      </c>
      <c r="D1880" s="7" t="e">
        <f t="shared" si="217"/>
        <v>#N/A</v>
      </c>
      <c r="E1880" s="7" t="e">
        <f t="shared" si="217"/>
        <v>#N/A</v>
      </c>
      <c r="F1880" s="7" t="e">
        <f t="shared" si="217"/>
        <v>#N/A</v>
      </c>
      <c r="G1880" s="7" t="e">
        <f t="shared" si="217"/>
        <v>#N/A</v>
      </c>
    </row>
    <row r="1881" spans="2:7">
      <c r="B1881" s="67">
        <f t="shared" si="215"/>
        <v>44975</v>
      </c>
      <c r="C1881" s="7" t="e">
        <f t="shared" si="217"/>
        <v>#N/A</v>
      </c>
      <c r="D1881" s="7" t="e">
        <f t="shared" si="217"/>
        <v>#N/A</v>
      </c>
      <c r="E1881" s="7" t="e">
        <f t="shared" si="217"/>
        <v>#N/A</v>
      </c>
      <c r="F1881" s="7" t="e">
        <f t="shared" si="217"/>
        <v>#N/A</v>
      </c>
      <c r="G1881" s="7" t="e">
        <f t="shared" si="217"/>
        <v>#N/A</v>
      </c>
    </row>
    <row r="1882" spans="2:7">
      <c r="B1882" s="67">
        <f t="shared" si="215"/>
        <v>44976</v>
      </c>
      <c r="C1882" s="7" t="e">
        <f t="shared" si="217"/>
        <v>#N/A</v>
      </c>
      <c r="D1882" s="7" t="e">
        <f t="shared" si="217"/>
        <v>#N/A</v>
      </c>
      <c r="E1882" s="7" t="e">
        <f t="shared" si="217"/>
        <v>#N/A</v>
      </c>
      <c r="F1882" s="7" t="e">
        <f t="shared" si="217"/>
        <v>#N/A</v>
      </c>
      <c r="G1882" s="7" t="e">
        <f t="shared" si="217"/>
        <v>#N/A</v>
      </c>
    </row>
    <row r="1883" spans="2:7">
      <c r="B1883" s="67">
        <f t="shared" si="215"/>
        <v>44977</v>
      </c>
      <c r="C1883" s="7" t="e">
        <f t="shared" si="217"/>
        <v>#N/A</v>
      </c>
      <c r="D1883" s="7" t="e">
        <f t="shared" si="217"/>
        <v>#N/A</v>
      </c>
      <c r="E1883" s="7" t="e">
        <f t="shared" si="217"/>
        <v>#N/A</v>
      </c>
      <c r="F1883" s="7" t="e">
        <f t="shared" si="217"/>
        <v>#N/A</v>
      </c>
      <c r="G1883" s="7" t="e">
        <f t="shared" si="217"/>
        <v>#N/A</v>
      </c>
    </row>
    <row r="1884" spans="2:7">
      <c r="B1884" s="67">
        <f t="shared" si="215"/>
        <v>44978</v>
      </c>
      <c r="C1884" s="7" t="e">
        <f t="shared" si="217"/>
        <v>#N/A</v>
      </c>
      <c r="D1884" s="7" t="e">
        <f t="shared" si="217"/>
        <v>#N/A</v>
      </c>
      <c r="E1884" s="7" t="e">
        <f t="shared" si="217"/>
        <v>#N/A</v>
      </c>
      <c r="F1884" s="7" t="e">
        <f t="shared" si="217"/>
        <v>#N/A</v>
      </c>
      <c r="G1884" s="7" t="e">
        <f t="shared" si="217"/>
        <v>#N/A</v>
      </c>
    </row>
    <row r="1885" spans="2:7">
      <c r="B1885" s="67">
        <f t="shared" si="215"/>
        <v>44979</v>
      </c>
      <c r="C1885" s="7" t="e">
        <f t="shared" si="217"/>
        <v>#N/A</v>
      </c>
      <c r="D1885" s="7" t="e">
        <f t="shared" si="217"/>
        <v>#N/A</v>
      </c>
      <c r="E1885" s="7" t="e">
        <f t="shared" si="217"/>
        <v>#N/A</v>
      </c>
      <c r="F1885" s="7" t="e">
        <f t="shared" si="217"/>
        <v>#N/A</v>
      </c>
      <c r="G1885" s="7" t="e">
        <f t="shared" si="217"/>
        <v>#N/A</v>
      </c>
    </row>
    <row r="1886" spans="2:7">
      <c r="B1886" s="67">
        <f t="shared" si="215"/>
        <v>44980</v>
      </c>
      <c r="C1886" s="7" t="e">
        <f t="shared" si="217"/>
        <v>#N/A</v>
      </c>
      <c r="D1886" s="7" t="e">
        <f t="shared" si="217"/>
        <v>#N/A</v>
      </c>
      <c r="E1886" s="7" t="e">
        <f t="shared" si="217"/>
        <v>#N/A</v>
      </c>
      <c r="F1886" s="7" t="e">
        <f t="shared" si="217"/>
        <v>#N/A</v>
      </c>
      <c r="G1886" s="7" t="e">
        <f t="shared" si="217"/>
        <v>#N/A</v>
      </c>
    </row>
    <row r="1887" spans="2:7">
      <c r="B1887" s="67">
        <f t="shared" si="215"/>
        <v>44981</v>
      </c>
      <c r="C1887" s="7" t="e">
        <f t="shared" ref="C1887:G1896" si="218">IF(AND($B1887&gt;=C$3,$B1887&lt;=C$4),C$5,NA())</f>
        <v>#N/A</v>
      </c>
      <c r="D1887" s="7" t="e">
        <f t="shared" si="218"/>
        <v>#N/A</v>
      </c>
      <c r="E1887" s="7" t="e">
        <f t="shared" si="218"/>
        <v>#N/A</v>
      </c>
      <c r="F1887" s="7" t="e">
        <f t="shared" si="218"/>
        <v>#N/A</v>
      </c>
      <c r="G1887" s="7" t="e">
        <f t="shared" si="218"/>
        <v>#N/A</v>
      </c>
    </row>
    <row r="1888" spans="2:7">
      <c r="B1888" s="67">
        <f t="shared" si="215"/>
        <v>44982</v>
      </c>
      <c r="C1888" s="7" t="e">
        <f t="shared" si="218"/>
        <v>#N/A</v>
      </c>
      <c r="D1888" s="7" t="e">
        <f t="shared" si="218"/>
        <v>#N/A</v>
      </c>
      <c r="E1888" s="7" t="e">
        <f t="shared" si="218"/>
        <v>#N/A</v>
      </c>
      <c r="F1888" s="7" t="e">
        <f t="shared" si="218"/>
        <v>#N/A</v>
      </c>
      <c r="G1888" s="7" t="e">
        <f t="shared" si="218"/>
        <v>#N/A</v>
      </c>
    </row>
    <row r="1889" spans="2:7">
      <c r="B1889" s="67">
        <f t="shared" si="215"/>
        <v>44983</v>
      </c>
      <c r="C1889" s="7" t="e">
        <f t="shared" si="218"/>
        <v>#N/A</v>
      </c>
      <c r="D1889" s="7" t="e">
        <f t="shared" si="218"/>
        <v>#N/A</v>
      </c>
      <c r="E1889" s="7" t="e">
        <f t="shared" si="218"/>
        <v>#N/A</v>
      </c>
      <c r="F1889" s="7" t="e">
        <f t="shared" si="218"/>
        <v>#N/A</v>
      </c>
      <c r="G1889" s="7" t="e">
        <f t="shared" si="218"/>
        <v>#N/A</v>
      </c>
    </row>
    <row r="1890" spans="2:7">
      <c r="B1890" s="67">
        <f t="shared" si="215"/>
        <v>44984</v>
      </c>
      <c r="C1890" s="7" t="e">
        <f t="shared" si="218"/>
        <v>#N/A</v>
      </c>
      <c r="D1890" s="7" t="e">
        <f t="shared" si="218"/>
        <v>#N/A</v>
      </c>
      <c r="E1890" s="7" t="e">
        <f t="shared" si="218"/>
        <v>#N/A</v>
      </c>
      <c r="F1890" s="7" t="e">
        <f t="shared" si="218"/>
        <v>#N/A</v>
      </c>
      <c r="G1890" s="7" t="e">
        <f t="shared" si="218"/>
        <v>#N/A</v>
      </c>
    </row>
    <row r="1891" spans="2:7">
      <c r="B1891" s="67">
        <f t="shared" si="215"/>
        <v>44985</v>
      </c>
      <c r="C1891" s="7" t="e">
        <f t="shared" si="218"/>
        <v>#N/A</v>
      </c>
      <c r="D1891" s="7" t="e">
        <f t="shared" si="218"/>
        <v>#N/A</v>
      </c>
      <c r="E1891" s="7" t="e">
        <f t="shared" si="218"/>
        <v>#N/A</v>
      </c>
      <c r="F1891" s="7" t="e">
        <f t="shared" si="218"/>
        <v>#N/A</v>
      </c>
      <c r="G1891" s="7" t="e">
        <f t="shared" si="218"/>
        <v>#N/A</v>
      </c>
    </row>
    <row r="1892" spans="2:7">
      <c r="B1892" s="67">
        <f t="shared" si="215"/>
        <v>44986</v>
      </c>
      <c r="C1892" s="7" t="e">
        <f t="shared" si="218"/>
        <v>#N/A</v>
      </c>
      <c r="D1892" s="7" t="e">
        <f t="shared" si="218"/>
        <v>#N/A</v>
      </c>
      <c r="E1892" s="7" t="e">
        <f t="shared" si="218"/>
        <v>#N/A</v>
      </c>
      <c r="F1892" s="7" t="e">
        <f t="shared" si="218"/>
        <v>#N/A</v>
      </c>
      <c r="G1892" s="7" t="e">
        <f t="shared" si="218"/>
        <v>#N/A</v>
      </c>
    </row>
    <row r="1893" spans="2:7">
      <c r="B1893" s="67">
        <f t="shared" si="215"/>
        <v>44987</v>
      </c>
      <c r="C1893" s="7" t="e">
        <f t="shared" si="218"/>
        <v>#N/A</v>
      </c>
      <c r="D1893" s="7" t="e">
        <f t="shared" si="218"/>
        <v>#N/A</v>
      </c>
      <c r="E1893" s="7" t="e">
        <f t="shared" si="218"/>
        <v>#N/A</v>
      </c>
      <c r="F1893" s="7" t="e">
        <f t="shared" si="218"/>
        <v>#N/A</v>
      </c>
      <c r="G1893" s="7" t="e">
        <f t="shared" si="218"/>
        <v>#N/A</v>
      </c>
    </row>
    <row r="1894" spans="2:7">
      <c r="B1894" s="67">
        <f t="shared" si="215"/>
        <v>44988</v>
      </c>
      <c r="C1894" s="7" t="e">
        <f t="shared" si="218"/>
        <v>#N/A</v>
      </c>
      <c r="D1894" s="7" t="e">
        <f t="shared" si="218"/>
        <v>#N/A</v>
      </c>
      <c r="E1894" s="7" t="e">
        <f t="shared" si="218"/>
        <v>#N/A</v>
      </c>
      <c r="F1894" s="7" t="e">
        <f t="shared" si="218"/>
        <v>#N/A</v>
      </c>
      <c r="G1894" s="7" t="e">
        <f t="shared" si="218"/>
        <v>#N/A</v>
      </c>
    </row>
    <row r="1895" spans="2:7">
      <c r="B1895" s="67">
        <f t="shared" si="215"/>
        <v>44989</v>
      </c>
      <c r="C1895" s="7" t="e">
        <f t="shared" si="218"/>
        <v>#N/A</v>
      </c>
      <c r="D1895" s="7" t="e">
        <f t="shared" si="218"/>
        <v>#N/A</v>
      </c>
      <c r="E1895" s="7" t="e">
        <f t="shared" si="218"/>
        <v>#N/A</v>
      </c>
      <c r="F1895" s="7" t="e">
        <f t="shared" si="218"/>
        <v>#N/A</v>
      </c>
      <c r="G1895" s="7" t="e">
        <f t="shared" si="218"/>
        <v>#N/A</v>
      </c>
    </row>
    <row r="1896" spans="2:7">
      <c r="B1896" s="67">
        <f t="shared" si="215"/>
        <v>44990</v>
      </c>
      <c r="C1896" s="7" t="e">
        <f t="shared" si="218"/>
        <v>#N/A</v>
      </c>
      <c r="D1896" s="7" t="e">
        <f t="shared" si="218"/>
        <v>#N/A</v>
      </c>
      <c r="E1896" s="7" t="e">
        <f t="shared" si="218"/>
        <v>#N/A</v>
      </c>
      <c r="F1896" s="7" t="e">
        <f t="shared" si="218"/>
        <v>#N/A</v>
      </c>
      <c r="G1896" s="7" t="e">
        <f t="shared" si="218"/>
        <v>#N/A</v>
      </c>
    </row>
    <row r="1897" spans="2:7">
      <c r="B1897" s="67">
        <f t="shared" si="215"/>
        <v>44991</v>
      </c>
      <c r="C1897" s="7" t="e">
        <f t="shared" ref="C1897:G1906" si="219">IF(AND($B1897&gt;=C$3,$B1897&lt;=C$4),C$5,NA())</f>
        <v>#N/A</v>
      </c>
      <c r="D1897" s="7" t="e">
        <f t="shared" si="219"/>
        <v>#N/A</v>
      </c>
      <c r="E1897" s="7" t="e">
        <f t="shared" si="219"/>
        <v>#N/A</v>
      </c>
      <c r="F1897" s="7" t="e">
        <f t="shared" si="219"/>
        <v>#N/A</v>
      </c>
      <c r="G1897" s="7" t="e">
        <f t="shared" si="219"/>
        <v>#N/A</v>
      </c>
    </row>
    <row r="1898" spans="2:7">
      <c r="B1898" s="67">
        <f t="shared" si="215"/>
        <v>44992</v>
      </c>
      <c r="C1898" s="7" t="e">
        <f t="shared" si="219"/>
        <v>#N/A</v>
      </c>
      <c r="D1898" s="7" t="e">
        <f t="shared" si="219"/>
        <v>#N/A</v>
      </c>
      <c r="E1898" s="7" t="e">
        <f t="shared" si="219"/>
        <v>#N/A</v>
      </c>
      <c r="F1898" s="7" t="e">
        <f t="shared" si="219"/>
        <v>#N/A</v>
      </c>
      <c r="G1898" s="7" t="e">
        <f t="shared" si="219"/>
        <v>#N/A</v>
      </c>
    </row>
    <row r="1899" spans="2:7">
      <c r="B1899" s="67">
        <f t="shared" si="215"/>
        <v>44993</v>
      </c>
      <c r="C1899" s="7" t="e">
        <f t="shared" si="219"/>
        <v>#N/A</v>
      </c>
      <c r="D1899" s="7" t="e">
        <f t="shared" si="219"/>
        <v>#N/A</v>
      </c>
      <c r="E1899" s="7" t="e">
        <f t="shared" si="219"/>
        <v>#N/A</v>
      </c>
      <c r="F1899" s="7" t="e">
        <f t="shared" si="219"/>
        <v>#N/A</v>
      </c>
      <c r="G1899" s="7" t="e">
        <f t="shared" si="219"/>
        <v>#N/A</v>
      </c>
    </row>
    <row r="1900" spans="2:7">
      <c r="B1900" s="67">
        <f t="shared" si="215"/>
        <v>44994</v>
      </c>
      <c r="C1900" s="7" t="e">
        <f t="shared" si="219"/>
        <v>#N/A</v>
      </c>
      <c r="D1900" s="7" t="e">
        <f t="shared" si="219"/>
        <v>#N/A</v>
      </c>
      <c r="E1900" s="7" t="e">
        <f t="shared" si="219"/>
        <v>#N/A</v>
      </c>
      <c r="F1900" s="7" t="e">
        <f t="shared" si="219"/>
        <v>#N/A</v>
      </c>
      <c r="G1900" s="7" t="e">
        <f t="shared" si="219"/>
        <v>#N/A</v>
      </c>
    </row>
    <row r="1901" spans="2:7">
      <c r="B1901" s="67">
        <f t="shared" si="215"/>
        <v>44995</v>
      </c>
      <c r="C1901" s="7" t="e">
        <f t="shared" si="219"/>
        <v>#N/A</v>
      </c>
      <c r="D1901" s="7" t="e">
        <f t="shared" si="219"/>
        <v>#N/A</v>
      </c>
      <c r="E1901" s="7" t="e">
        <f t="shared" si="219"/>
        <v>#N/A</v>
      </c>
      <c r="F1901" s="7" t="e">
        <f t="shared" si="219"/>
        <v>#N/A</v>
      </c>
      <c r="G1901" s="7" t="e">
        <f t="shared" si="219"/>
        <v>#N/A</v>
      </c>
    </row>
    <row r="1902" spans="2:7">
      <c r="B1902" s="67">
        <f t="shared" si="215"/>
        <v>44996</v>
      </c>
      <c r="C1902" s="7" t="e">
        <f t="shared" si="219"/>
        <v>#N/A</v>
      </c>
      <c r="D1902" s="7" t="e">
        <f t="shared" si="219"/>
        <v>#N/A</v>
      </c>
      <c r="E1902" s="7" t="e">
        <f t="shared" si="219"/>
        <v>#N/A</v>
      </c>
      <c r="F1902" s="7" t="e">
        <f t="shared" si="219"/>
        <v>#N/A</v>
      </c>
      <c r="G1902" s="7" t="e">
        <f t="shared" si="219"/>
        <v>#N/A</v>
      </c>
    </row>
    <row r="1903" spans="2:7">
      <c r="B1903" s="67">
        <f t="shared" si="215"/>
        <v>44997</v>
      </c>
      <c r="C1903" s="7" t="e">
        <f t="shared" si="219"/>
        <v>#N/A</v>
      </c>
      <c r="D1903" s="7" t="e">
        <f t="shared" si="219"/>
        <v>#N/A</v>
      </c>
      <c r="E1903" s="7" t="e">
        <f t="shared" si="219"/>
        <v>#N/A</v>
      </c>
      <c r="F1903" s="7" t="e">
        <f t="shared" si="219"/>
        <v>#N/A</v>
      </c>
      <c r="G1903" s="7" t="e">
        <f t="shared" si="219"/>
        <v>#N/A</v>
      </c>
    </row>
    <row r="1904" spans="2:7">
      <c r="B1904" s="67">
        <f t="shared" si="215"/>
        <v>44998</v>
      </c>
      <c r="C1904" s="7" t="e">
        <f t="shared" si="219"/>
        <v>#N/A</v>
      </c>
      <c r="D1904" s="7" t="e">
        <f t="shared" si="219"/>
        <v>#N/A</v>
      </c>
      <c r="E1904" s="7" t="e">
        <f t="shared" si="219"/>
        <v>#N/A</v>
      </c>
      <c r="F1904" s="7" t="e">
        <f t="shared" si="219"/>
        <v>#N/A</v>
      </c>
      <c r="G1904" s="7" t="e">
        <f t="shared" si="219"/>
        <v>#N/A</v>
      </c>
    </row>
    <row r="1905" spans="2:7">
      <c r="B1905" s="67">
        <f t="shared" si="215"/>
        <v>44999</v>
      </c>
      <c r="C1905" s="7" t="e">
        <f t="shared" si="219"/>
        <v>#N/A</v>
      </c>
      <c r="D1905" s="7" t="e">
        <f t="shared" si="219"/>
        <v>#N/A</v>
      </c>
      <c r="E1905" s="7" t="e">
        <f t="shared" si="219"/>
        <v>#N/A</v>
      </c>
      <c r="F1905" s="7" t="e">
        <f t="shared" si="219"/>
        <v>#N/A</v>
      </c>
      <c r="G1905" s="7" t="e">
        <f t="shared" si="219"/>
        <v>#N/A</v>
      </c>
    </row>
    <row r="1906" spans="2:7">
      <c r="B1906" s="67">
        <f t="shared" si="215"/>
        <v>45000</v>
      </c>
      <c r="C1906" s="7" t="e">
        <f t="shared" si="219"/>
        <v>#N/A</v>
      </c>
      <c r="D1906" s="7" t="e">
        <f t="shared" si="219"/>
        <v>#N/A</v>
      </c>
      <c r="E1906" s="7" t="e">
        <f t="shared" si="219"/>
        <v>#N/A</v>
      </c>
      <c r="F1906" s="7" t="e">
        <f t="shared" si="219"/>
        <v>#N/A</v>
      </c>
      <c r="G1906" s="7" t="e">
        <f t="shared" si="219"/>
        <v>#N/A</v>
      </c>
    </row>
    <row r="1907" spans="2:7">
      <c r="B1907" s="67">
        <f t="shared" si="215"/>
        <v>45001</v>
      </c>
      <c r="C1907" s="7" t="e">
        <f t="shared" ref="C1907:G1916" si="220">IF(AND($B1907&gt;=C$3,$B1907&lt;=C$4),C$5,NA())</f>
        <v>#N/A</v>
      </c>
      <c r="D1907" s="7" t="e">
        <f t="shared" si="220"/>
        <v>#N/A</v>
      </c>
      <c r="E1907" s="7" t="e">
        <f t="shared" si="220"/>
        <v>#N/A</v>
      </c>
      <c r="F1907" s="7" t="e">
        <f t="shared" si="220"/>
        <v>#N/A</v>
      </c>
      <c r="G1907" s="7" t="e">
        <f t="shared" si="220"/>
        <v>#N/A</v>
      </c>
    </row>
    <row r="1908" spans="2:7">
      <c r="B1908" s="67">
        <f t="shared" si="215"/>
        <v>45002</v>
      </c>
      <c r="C1908" s="7" t="e">
        <f t="shared" si="220"/>
        <v>#N/A</v>
      </c>
      <c r="D1908" s="7" t="e">
        <f t="shared" si="220"/>
        <v>#N/A</v>
      </c>
      <c r="E1908" s="7" t="e">
        <f t="shared" si="220"/>
        <v>#N/A</v>
      </c>
      <c r="F1908" s="7" t="e">
        <f t="shared" si="220"/>
        <v>#N/A</v>
      </c>
      <c r="G1908" s="7" t="e">
        <f t="shared" si="220"/>
        <v>#N/A</v>
      </c>
    </row>
    <row r="1909" spans="2:7">
      <c r="B1909" s="67">
        <f t="shared" si="215"/>
        <v>45003</v>
      </c>
      <c r="C1909" s="7" t="e">
        <f t="shared" si="220"/>
        <v>#N/A</v>
      </c>
      <c r="D1909" s="7" t="e">
        <f t="shared" si="220"/>
        <v>#N/A</v>
      </c>
      <c r="E1909" s="7" t="e">
        <f t="shared" si="220"/>
        <v>#N/A</v>
      </c>
      <c r="F1909" s="7" t="e">
        <f t="shared" si="220"/>
        <v>#N/A</v>
      </c>
      <c r="G1909" s="7" t="e">
        <f t="shared" si="220"/>
        <v>#N/A</v>
      </c>
    </row>
    <row r="1910" spans="2:7">
      <c r="B1910" s="67">
        <f t="shared" si="215"/>
        <v>45004</v>
      </c>
      <c r="C1910" s="7" t="e">
        <f t="shared" si="220"/>
        <v>#N/A</v>
      </c>
      <c r="D1910" s="7" t="e">
        <f t="shared" si="220"/>
        <v>#N/A</v>
      </c>
      <c r="E1910" s="7" t="e">
        <f t="shared" si="220"/>
        <v>#N/A</v>
      </c>
      <c r="F1910" s="7" t="e">
        <f t="shared" si="220"/>
        <v>#N/A</v>
      </c>
      <c r="G1910" s="7" t="e">
        <f t="shared" si="220"/>
        <v>#N/A</v>
      </c>
    </row>
    <row r="1911" spans="2:7">
      <c r="B1911" s="67">
        <f t="shared" si="215"/>
        <v>45005</v>
      </c>
      <c r="C1911" s="7" t="e">
        <f t="shared" si="220"/>
        <v>#N/A</v>
      </c>
      <c r="D1911" s="7" t="e">
        <f t="shared" si="220"/>
        <v>#N/A</v>
      </c>
      <c r="E1911" s="7" t="e">
        <f t="shared" si="220"/>
        <v>#N/A</v>
      </c>
      <c r="F1911" s="7" t="e">
        <f t="shared" si="220"/>
        <v>#N/A</v>
      </c>
      <c r="G1911" s="7" t="e">
        <f t="shared" si="220"/>
        <v>#N/A</v>
      </c>
    </row>
    <row r="1912" spans="2:7">
      <c r="B1912" s="67">
        <f t="shared" si="215"/>
        <v>45006</v>
      </c>
      <c r="C1912" s="7" t="e">
        <f t="shared" si="220"/>
        <v>#N/A</v>
      </c>
      <c r="D1912" s="7" t="e">
        <f t="shared" si="220"/>
        <v>#N/A</v>
      </c>
      <c r="E1912" s="7" t="e">
        <f t="shared" si="220"/>
        <v>#N/A</v>
      </c>
      <c r="F1912" s="7" t="e">
        <f t="shared" si="220"/>
        <v>#N/A</v>
      </c>
      <c r="G1912" s="7" t="e">
        <f t="shared" si="220"/>
        <v>#N/A</v>
      </c>
    </row>
    <row r="1913" spans="2:7">
      <c r="B1913" s="67">
        <f t="shared" si="215"/>
        <v>45007</v>
      </c>
      <c r="C1913" s="7" t="e">
        <f t="shared" si="220"/>
        <v>#N/A</v>
      </c>
      <c r="D1913" s="7" t="e">
        <f t="shared" si="220"/>
        <v>#N/A</v>
      </c>
      <c r="E1913" s="7" t="e">
        <f t="shared" si="220"/>
        <v>#N/A</v>
      </c>
      <c r="F1913" s="7" t="e">
        <f t="shared" si="220"/>
        <v>#N/A</v>
      </c>
      <c r="G1913" s="7" t="e">
        <f t="shared" si="220"/>
        <v>#N/A</v>
      </c>
    </row>
    <row r="1914" spans="2:7">
      <c r="B1914" s="67">
        <f t="shared" si="215"/>
        <v>45008</v>
      </c>
      <c r="C1914" s="7" t="e">
        <f t="shared" si="220"/>
        <v>#N/A</v>
      </c>
      <c r="D1914" s="7" t="e">
        <f t="shared" si="220"/>
        <v>#N/A</v>
      </c>
      <c r="E1914" s="7" t="e">
        <f t="shared" si="220"/>
        <v>#N/A</v>
      </c>
      <c r="F1914" s="7" t="e">
        <f t="shared" si="220"/>
        <v>#N/A</v>
      </c>
      <c r="G1914" s="7" t="e">
        <f t="shared" si="220"/>
        <v>#N/A</v>
      </c>
    </row>
    <row r="1915" spans="2:7">
      <c r="B1915" s="67">
        <f t="shared" si="215"/>
        <v>45009</v>
      </c>
      <c r="C1915" s="7" t="e">
        <f t="shared" si="220"/>
        <v>#N/A</v>
      </c>
      <c r="D1915" s="7" t="e">
        <f t="shared" si="220"/>
        <v>#N/A</v>
      </c>
      <c r="E1915" s="7" t="e">
        <f t="shared" si="220"/>
        <v>#N/A</v>
      </c>
      <c r="F1915" s="7" t="e">
        <f t="shared" si="220"/>
        <v>#N/A</v>
      </c>
      <c r="G1915" s="7" t="e">
        <f t="shared" si="220"/>
        <v>#N/A</v>
      </c>
    </row>
    <row r="1916" spans="2:7">
      <c r="B1916" s="67">
        <f t="shared" si="215"/>
        <v>45010</v>
      </c>
      <c r="C1916" s="7" t="e">
        <f t="shared" si="220"/>
        <v>#N/A</v>
      </c>
      <c r="D1916" s="7" t="e">
        <f t="shared" si="220"/>
        <v>#N/A</v>
      </c>
      <c r="E1916" s="7" t="e">
        <f t="shared" si="220"/>
        <v>#N/A</v>
      </c>
      <c r="F1916" s="7" t="e">
        <f t="shared" si="220"/>
        <v>#N/A</v>
      </c>
      <c r="G1916" s="7" t="e">
        <f t="shared" si="220"/>
        <v>#N/A</v>
      </c>
    </row>
    <row r="1917" spans="2:7">
      <c r="B1917" s="67">
        <f t="shared" si="215"/>
        <v>45011</v>
      </c>
      <c r="C1917" s="7" t="e">
        <f t="shared" ref="C1917:G1926" si="221">IF(AND($B1917&gt;=C$3,$B1917&lt;=C$4),C$5,NA())</f>
        <v>#N/A</v>
      </c>
      <c r="D1917" s="7" t="e">
        <f t="shared" si="221"/>
        <v>#N/A</v>
      </c>
      <c r="E1917" s="7" t="e">
        <f t="shared" si="221"/>
        <v>#N/A</v>
      </c>
      <c r="F1917" s="7" t="e">
        <f t="shared" si="221"/>
        <v>#N/A</v>
      </c>
      <c r="G1917" s="7" t="e">
        <f t="shared" si="221"/>
        <v>#N/A</v>
      </c>
    </row>
    <row r="1918" spans="2:7">
      <c r="B1918" s="67">
        <f t="shared" si="215"/>
        <v>45012</v>
      </c>
      <c r="C1918" s="7" t="e">
        <f t="shared" si="221"/>
        <v>#N/A</v>
      </c>
      <c r="D1918" s="7" t="e">
        <f t="shared" si="221"/>
        <v>#N/A</v>
      </c>
      <c r="E1918" s="7" t="e">
        <f t="shared" si="221"/>
        <v>#N/A</v>
      </c>
      <c r="F1918" s="7" t="e">
        <f t="shared" si="221"/>
        <v>#N/A</v>
      </c>
      <c r="G1918" s="7" t="e">
        <f t="shared" si="221"/>
        <v>#N/A</v>
      </c>
    </row>
    <row r="1919" spans="2:7">
      <c r="B1919" s="67">
        <f t="shared" si="215"/>
        <v>45013</v>
      </c>
      <c r="C1919" s="7" t="e">
        <f t="shared" si="221"/>
        <v>#N/A</v>
      </c>
      <c r="D1919" s="7" t="e">
        <f t="shared" si="221"/>
        <v>#N/A</v>
      </c>
      <c r="E1919" s="7" t="e">
        <f t="shared" si="221"/>
        <v>#N/A</v>
      </c>
      <c r="F1919" s="7" t="e">
        <f t="shared" si="221"/>
        <v>#N/A</v>
      </c>
      <c r="G1919" s="7" t="e">
        <f t="shared" si="221"/>
        <v>#N/A</v>
      </c>
    </row>
    <row r="1920" spans="2:7">
      <c r="B1920" s="67">
        <f t="shared" si="215"/>
        <v>45014</v>
      </c>
      <c r="C1920" s="7" t="e">
        <f t="shared" si="221"/>
        <v>#N/A</v>
      </c>
      <c r="D1920" s="7" t="e">
        <f t="shared" si="221"/>
        <v>#N/A</v>
      </c>
      <c r="E1920" s="7" t="e">
        <f t="shared" si="221"/>
        <v>#N/A</v>
      </c>
      <c r="F1920" s="7" t="e">
        <f t="shared" si="221"/>
        <v>#N/A</v>
      </c>
      <c r="G1920" s="7" t="e">
        <f t="shared" si="221"/>
        <v>#N/A</v>
      </c>
    </row>
    <row r="1921" spans="2:7">
      <c r="B1921" s="67">
        <f t="shared" si="215"/>
        <v>45015</v>
      </c>
      <c r="C1921" s="7" t="e">
        <f t="shared" si="221"/>
        <v>#N/A</v>
      </c>
      <c r="D1921" s="7" t="e">
        <f t="shared" si="221"/>
        <v>#N/A</v>
      </c>
      <c r="E1921" s="7" t="e">
        <f t="shared" si="221"/>
        <v>#N/A</v>
      </c>
      <c r="F1921" s="7" t="e">
        <f t="shared" si="221"/>
        <v>#N/A</v>
      </c>
      <c r="G1921" s="7" t="e">
        <f t="shared" si="221"/>
        <v>#N/A</v>
      </c>
    </row>
    <row r="1922" spans="2:7">
      <c r="B1922" s="67">
        <f t="shared" si="215"/>
        <v>45016</v>
      </c>
      <c r="C1922" s="7" t="e">
        <f t="shared" si="221"/>
        <v>#N/A</v>
      </c>
      <c r="D1922" s="7" t="e">
        <f t="shared" si="221"/>
        <v>#N/A</v>
      </c>
      <c r="E1922" s="7" t="e">
        <f t="shared" si="221"/>
        <v>#N/A</v>
      </c>
      <c r="F1922" s="7" t="e">
        <f t="shared" si="221"/>
        <v>#N/A</v>
      </c>
      <c r="G1922" s="7" t="e">
        <f t="shared" si="221"/>
        <v>#N/A</v>
      </c>
    </row>
    <row r="1923" spans="2:7">
      <c r="B1923" s="67">
        <f t="shared" si="215"/>
        <v>45017</v>
      </c>
      <c r="C1923" s="7" t="e">
        <f t="shared" si="221"/>
        <v>#N/A</v>
      </c>
      <c r="D1923" s="7" t="e">
        <f t="shared" si="221"/>
        <v>#N/A</v>
      </c>
      <c r="E1923" s="7" t="e">
        <f t="shared" si="221"/>
        <v>#N/A</v>
      </c>
      <c r="F1923" s="7" t="e">
        <f t="shared" si="221"/>
        <v>#N/A</v>
      </c>
      <c r="G1923" s="7" t="e">
        <f t="shared" si="221"/>
        <v>#N/A</v>
      </c>
    </row>
    <row r="1924" spans="2:7">
      <c r="B1924" s="67">
        <f t="shared" si="215"/>
        <v>45018</v>
      </c>
      <c r="C1924" s="7" t="e">
        <f t="shared" si="221"/>
        <v>#N/A</v>
      </c>
      <c r="D1924" s="7" t="e">
        <f t="shared" si="221"/>
        <v>#N/A</v>
      </c>
      <c r="E1924" s="7" t="e">
        <f t="shared" si="221"/>
        <v>#N/A</v>
      </c>
      <c r="F1924" s="7" t="e">
        <f t="shared" si="221"/>
        <v>#N/A</v>
      </c>
      <c r="G1924" s="7" t="e">
        <f t="shared" si="221"/>
        <v>#N/A</v>
      </c>
    </row>
    <row r="1925" spans="2:7">
      <c r="B1925" s="67">
        <f t="shared" si="215"/>
        <v>45019</v>
      </c>
      <c r="C1925" s="7" t="e">
        <f t="shared" si="221"/>
        <v>#N/A</v>
      </c>
      <c r="D1925" s="7" t="e">
        <f t="shared" si="221"/>
        <v>#N/A</v>
      </c>
      <c r="E1925" s="7" t="e">
        <f t="shared" si="221"/>
        <v>#N/A</v>
      </c>
      <c r="F1925" s="7" t="e">
        <f t="shared" si="221"/>
        <v>#N/A</v>
      </c>
      <c r="G1925" s="7" t="e">
        <f t="shared" si="221"/>
        <v>#N/A</v>
      </c>
    </row>
    <row r="1926" spans="2:7">
      <c r="B1926" s="67">
        <f t="shared" si="215"/>
        <v>45020</v>
      </c>
      <c r="C1926" s="7" t="e">
        <f t="shared" si="221"/>
        <v>#N/A</v>
      </c>
      <c r="D1926" s="7" t="e">
        <f t="shared" si="221"/>
        <v>#N/A</v>
      </c>
      <c r="E1926" s="7" t="e">
        <f t="shared" si="221"/>
        <v>#N/A</v>
      </c>
      <c r="F1926" s="7" t="e">
        <f t="shared" si="221"/>
        <v>#N/A</v>
      </c>
      <c r="G1926" s="7" t="e">
        <f t="shared" si="221"/>
        <v>#N/A</v>
      </c>
    </row>
    <row r="1927" spans="2:7">
      <c r="B1927" s="67">
        <f t="shared" si="215"/>
        <v>45021</v>
      </c>
      <c r="C1927" s="7" t="e">
        <f t="shared" ref="C1927:G1936" si="222">IF(AND($B1927&gt;=C$3,$B1927&lt;=C$4),C$5,NA())</f>
        <v>#N/A</v>
      </c>
      <c r="D1927" s="7" t="e">
        <f t="shared" si="222"/>
        <v>#N/A</v>
      </c>
      <c r="E1927" s="7" t="e">
        <f t="shared" si="222"/>
        <v>#N/A</v>
      </c>
      <c r="F1927" s="7" t="e">
        <f t="shared" si="222"/>
        <v>#N/A</v>
      </c>
      <c r="G1927" s="7" t="e">
        <f t="shared" si="222"/>
        <v>#N/A</v>
      </c>
    </row>
    <row r="1928" spans="2:7">
      <c r="B1928" s="67">
        <f t="shared" ref="B1928:B1991" si="223">B1927+1</f>
        <v>45022</v>
      </c>
      <c r="C1928" s="7" t="e">
        <f t="shared" si="222"/>
        <v>#N/A</v>
      </c>
      <c r="D1928" s="7" t="e">
        <f t="shared" si="222"/>
        <v>#N/A</v>
      </c>
      <c r="E1928" s="7" t="e">
        <f t="shared" si="222"/>
        <v>#N/A</v>
      </c>
      <c r="F1928" s="7" t="e">
        <f t="shared" si="222"/>
        <v>#N/A</v>
      </c>
      <c r="G1928" s="7" t="e">
        <f t="shared" si="222"/>
        <v>#N/A</v>
      </c>
    </row>
    <row r="1929" spans="2:7">
      <c r="B1929" s="67">
        <f t="shared" si="223"/>
        <v>45023</v>
      </c>
      <c r="C1929" s="7" t="e">
        <f t="shared" si="222"/>
        <v>#N/A</v>
      </c>
      <c r="D1929" s="7" t="e">
        <f t="shared" si="222"/>
        <v>#N/A</v>
      </c>
      <c r="E1929" s="7" t="e">
        <f t="shared" si="222"/>
        <v>#N/A</v>
      </c>
      <c r="F1929" s="7" t="e">
        <f t="shared" si="222"/>
        <v>#N/A</v>
      </c>
      <c r="G1929" s="7" t="e">
        <f t="shared" si="222"/>
        <v>#N/A</v>
      </c>
    </row>
    <row r="1930" spans="2:7">
      <c r="B1930" s="67">
        <f t="shared" si="223"/>
        <v>45024</v>
      </c>
      <c r="C1930" s="7" t="e">
        <f t="shared" si="222"/>
        <v>#N/A</v>
      </c>
      <c r="D1930" s="7" t="e">
        <f t="shared" si="222"/>
        <v>#N/A</v>
      </c>
      <c r="E1930" s="7" t="e">
        <f t="shared" si="222"/>
        <v>#N/A</v>
      </c>
      <c r="F1930" s="7" t="e">
        <f t="shared" si="222"/>
        <v>#N/A</v>
      </c>
      <c r="G1930" s="7" t="e">
        <f t="shared" si="222"/>
        <v>#N/A</v>
      </c>
    </row>
    <row r="1931" spans="2:7">
      <c r="B1931" s="67">
        <f t="shared" si="223"/>
        <v>45025</v>
      </c>
      <c r="C1931" s="7" t="e">
        <f t="shared" si="222"/>
        <v>#N/A</v>
      </c>
      <c r="D1931" s="7" t="e">
        <f t="shared" si="222"/>
        <v>#N/A</v>
      </c>
      <c r="E1931" s="7" t="e">
        <f t="shared" si="222"/>
        <v>#N/A</v>
      </c>
      <c r="F1931" s="7" t="e">
        <f t="shared" si="222"/>
        <v>#N/A</v>
      </c>
      <c r="G1931" s="7" t="e">
        <f t="shared" si="222"/>
        <v>#N/A</v>
      </c>
    </row>
    <row r="1932" spans="2:7">
      <c r="B1932" s="67">
        <f t="shared" si="223"/>
        <v>45026</v>
      </c>
      <c r="C1932" s="7" t="e">
        <f t="shared" si="222"/>
        <v>#N/A</v>
      </c>
      <c r="D1932" s="7" t="e">
        <f t="shared" si="222"/>
        <v>#N/A</v>
      </c>
      <c r="E1932" s="7" t="e">
        <f t="shared" si="222"/>
        <v>#N/A</v>
      </c>
      <c r="F1932" s="7" t="e">
        <f t="shared" si="222"/>
        <v>#N/A</v>
      </c>
      <c r="G1932" s="7" t="e">
        <f t="shared" si="222"/>
        <v>#N/A</v>
      </c>
    </row>
    <row r="1933" spans="2:7">
      <c r="B1933" s="67">
        <f t="shared" si="223"/>
        <v>45027</v>
      </c>
      <c r="C1933" s="7" t="e">
        <f t="shared" si="222"/>
        <v>#N/A</v>
      </c>
      <c r="D1933" s="7" t="e">
        <f t="shared" si="222"/>
        <v>#N/A</v>
      </c>
      <c r="E1933" s="7" t="e">
        <f t="shared" si="222"/>
        <v>#N/A</v>
      </c>
      <c r="F1933" s="7" t="e">
        <f t="shared" si="222"/>
        <v>#N/A</v>
      </c>
      <c r="G1933" s="7" t="e">
        <f t="shared" si="222"/>
        <v>#N/A</v>
      </c>
    </row>
    <row r="1934" spans="2:7">
      <c r="B1934" s="67">
        <f t="shared" si="223"/>
        <v>45028</v>
      </c>
      <c r="C1934" s="7" t="e">
        <f t="shared" si="222"/>
        <v>#N/A</v>
      </c>
      <c r="D1934" s="7" t="e">
        <f t="shared" si="222"/>
        <v>#N/A</v>
      </c>
      <c r="E1934" s="7" t="e">
        <f t="shared" si="222"/>
        <v>#N/A</v>
      </c>
      <c r="F1934" s="7" t="e">
        <f t="shared" si="222"/>
        <v>#N/A</v>
      </c>
      <c r="G1934" s="7" t="e">
        <f t="shared" si="222"/>
        <v>#N/A</v>
      </c>
    </row>
    <row r="1935" spans="2:7">
      <c r="B1935" s="67">
        <f t="shared" si="223"/>
        <v>45029</v>
      </c>
      <c r="C1935" s="7" t="e">
        <f t="shared" si="222"/>
        <v>#N/A</v>
      </c>
      <c r="D1935" s="7" t="e">
        <f t="shared" si="222"/>
        <v>#N/A</v>
      </c>
      <c r="E1935" s="7" t="e">
        <f t="shared" si="222"/>
        <v>#N/A</v>
      </c>
      <c r="F1935" s="7" t="e">
        <f t="shared" si="222"/>
        <v>#N/A</v>
      </c>
      <c r="G1935" s="7" t="e">
        <f t="shared" si="222"/>
        <v>#N/A</v>
      </c>
    </row>
    <row r="1936" spans="2:7">
      <c r="B1936" s="67">
        <f t="shared" si="223"/>
        <v>45030</v>
      </c>
      <c r="C1936" s="7" t="e">
        <f t="shared" si="222"/>
        <v>#N/A</v>
      </c>
      <c r="D1936" s="7" t="e">
        <f t="shared" si="222"/>
        <v>#N/A</v>
      </c>
      <c r="E1936" s="7" t="e">
        <f t="shared" si="222"/>
        <v>#N/A</v>
      </c>
      <c r="F1936" s="7" t="e">
        <f t="shared" si="222"/>
        <v>#N/A</v>
      </c>
      <c r="G1936" s="7" t="e">
        <f t="shared" si="222"/>
        <v>#N/A</v>
      </c>
    </row>
    <row r="1937" spans="2:7">
      <c r="B1937" s="67">
        <f t="shared" si="223"/>
        <v>45031</v>
      </c>
      <c r="C1937" s="7" t="e">
        <f t="shared" ref="C1937:G1946" si="224">IF(AND($B1937&gt;=C$3,$B1937&lt;=C$4),C$5,NA())</f>
        <v>#N/A</v>
      </c>
      <c r="D1937" s="7" t="e">
        <f t="shared" si="224"/>
        <v>#N/A</v>
      </c>
      <c r="E1937" s="7" t="e">
        <f t="shared" si="224"/>
        <v>#N/A</v>
      </c>
      <c r="F1937" s="7" t="e">
        <f t="shared" si="224"/>
        <v>#N/A</v>
      </c>
      <c r="G1937" s="7" t="e">
        <f t="shared" si="224"/>
        <v>#N/A</v>
      </c>
    </row>
    <row r="1938" spans="2:7">
      <c r="B1938" s="67">
        <f t="shared" si="223"/>
        <v>45032</v>
      </c>
      <c r="C1938" s="7" t="e">
        <f t="shared" si="224"/>
        <v>#N/A</v>
      </c>
      <c r="D1938" s="7" t="e">
        <f t="shared" si="224"/>
        <v>#N/A</v>
      </c>
      <c r="E1938" s="7" t="e">
        <f t="shared" si="224"/>
        <v>#N/A</v>
      </c>
      <c r="F1938" s="7" t="e">
        <f t="shared" si="224"/>
        <v>#N/A</v>
      </c>
      <c r="G1938" s="7" t="e">
        <f t="shared" si="224"/>
        <v>#N/A</v>
      </c>
    </row>
    <row r="1939" spans="2:7">
      <c r="B1939" s="67">
        <f t="shared" si="223"/>
        <v>45033</v>
      </c>
      <c r="C1939" s="7" t="e">
        <f t="shared" si="224"/>
        <v>#N/A</v>
      </c>
      <c r="D1939" s="7" t="e">
        <f t="shared" si="224"/>
        <v>#N/A</v>
      </c>
      <c r="E1939" s="7" t="e">
        <f t="shared" si="224"/>
        <v>#N/A</v>
      </c>
      <c r="F1939" s="7" t="e">
        <f t="shared" si="224"/>
        <v>#N/A</v>
      </c>
      <c r="G1939" s="7" t="e">
        <f t="shared" si="224"/>
        <v>#N/A</v>
      </c>
    </row>
    <row r="1940" spans="2:7">
      <c r="B1940" s="67">
        <f t="shared" si="223"/>
        <v>45034</v>
      </c>
      <c r="C1940" s="7" t="e">
        <f t="shared" si="224"/>
        <v>#N/A</v>
      </c>
      <c r="D1940" s="7" t="e">
        <f t="shared" si="224"/>
        <v>#N/A</v>
      </c>
      <c r="E1940" s="7" t="e">
        <f t="shared" si="224"/>
        <v>#N/A</v>
      </c>
      <c r="F1940" s="7" t="e">
        <f t="shared" si="224"/>
        <v>#N/A</v>
      </c>
      <c r="G1940" s="7" t="e">
        <f t="shared" si="224"/>
        <v>#N/A</v>
      </c>
    </row>
    <row r="1941" spans="2:7">
      <c r="B1941" s="67">
        <f t="shared" si="223"/>
        <v>45035</v>
      </c>
      <c r="C1941" s="7" t="e">
        <f t="shared" si="224"/>
        <v>#N/A</v>
      </c>
      <c r="D1941" s="7" t="e">
        <f t="shared" si="224"/>
        <v>#N/A</v>
      </c>
      <c r="E1941" s="7" t="e">
        <f t="shared" si="224"/>
        <v>#N/A</v>
      </c>
      <c r="F1941" s="7" t="e">
        <f t="shared" si="224"/>
        <v>#N/A</v>
      </c>
      <c r="G1941" s="7" t="e">
        <f t="shared" si="224"/>
        <v>#N/A</v>
      </c>
    </row>
    <row r="1942" spans="2:7">
      <c r="B1942" s="67">
        <f t="shared" si="223"/>
        <v>45036</v>
      </c>
      <c r="C1942" s="7" t="e">
        <f t="shared" si="224"/>
        <v>#N/A</v>
      </c>
      <c r="D1942" s="7" t="e">
        <f t="shared" si="224"/>
        <v>#N/A</v>
      </c>
      <c r="E1942" s="7" t="e">
        <f t="shared" si="224"/>
        <v>#N/A</v>
      </c>
      <c r="F1942" s="7" t="e">
        <f t="shared" si="224"/>
        <v>#N/A</v>
      </c>
      <c r="G1942" s="7" t="e">
        <f t="shared" si="224"/>
        <v>#N/A</v>
      </c>
    </row>
    <row r="1943" spans="2:7">
      <c r="B1943" s="67">
        <f t="shared" si="223"/>
        <v>45037</v>
      </c>
      <c r="C1943" s="7" t="e">
        <f t="shared" si="224"/>
        <v>#N/A</v>
      </c>
      <c r="D1943" s="7" t="e">
        <f t="shared" si="224"/>
        <v>#N/A</v>
      </c>
      <c r="E1943" s="7" t="e">
        <f t="shared" si="224"/>
        <v>#N/A</v>
      </c>
      <c r="F1943" s="7" t="e">
        <f t="shared" si="224"/>
        <v>#N/A</v>
      </c>
      <c r="G1943" s="7" t="e">
        <f t="shared" si="224"/>
        <v>#N/A</v>
      </c>
    </row>
    <row r="1944" spans="2:7">
      <c r="B1944" s="67">
        <f t="shared" si="223"/>
        <v>45038</v>
      </c>
      <c r="C1944" s="7" t="e">
        <f t="shared" si="224"/>
        <v>#N/A</v>
      </c>
      <c r="D1944" s="7" t="e">
        <f t="shared" si="224"/>
        <v>#N/A</v>
      </c>
      <c r="E1944" s="7" t="e">
        <f t="shared" si="224"/>
        <v>#N/A</v>
      </c>
      <c r="F1944" s="7" t="e">
        <f t="shared" si="224"/>
        <v>#N/A</v>
      </c>
      <c r="G1944" s="7" t="e">
        <f t="shared" si="224"/>
        <v>#N/A</v>
      </c>
    </row>
    <row r="1945" spans="2:7">
      <c r="B1945" s="67">
        <f t="shared" si="223"/>
        <v>45039</v>
      </c>
      <c r="C1945" s="7" t="e">
        <f t="shared" si="224"/>
        <v>#N/A</v>
      </c>
      <c r="D1945" s="7" t="e">
        <f t="shared" si="224"/>
        <v>#N/A</v>
      </c>
      <c r="E1945" s="7" t="e">
        <f t="shared" si="224"/>
        <v>#N/A</v>
      </c>
      <c r="F1945" s="7" t="e">
        <f t="shared" si="224"/>
        <v>#N/A</v>
      </c>
      <c r="G1945" s="7" t="e">
        <f t="shared" si="224"/>
        <v>#N/A</v>
      </c>
    </row>
    <row r="1946" spans="2:7">
      <c r="B1946" s="67">
        <f t="shared" si="223"/>
        <v>45040</v>
      </c>
      <c r="C1946" s="7" t="e">
        <f t="shared" si="224"/>
        <v>#N/A</v>
      </c>
      <c r="D1946" s="7" t="e">
        <f t="shared" si="224"/>
        <v>#N/A</v>
      </c>
      <c r="E1946" s="7" t="e">
        <f t="shared" si="224"/>
        <v>#N/A</v>
      </c>
      <c r="F1946" s="7" t="e">
        <f t="shared" si="224"/>
        <v>#N/A</v>
      </c>
      <c r="G1946" s="7" t="e">
        <f t="shared" si="224"/>
        <v>#N/A</v>
      </c>
    </row>
    <row r="1947" spans="2:7">
      <c r="B1947" s="67">
        <f t="shared" si="223"/>
        <v>45041</v>
      </c>
      <c r="C1947" s="7" t="e">
        <f t="shared" ref="C1947:G1956" si="225">IF(AND($B1947&gt;=C$3,$B1947&lt;=C$4),C$5,NA())</f>
        <v>#N/A</v>
      </c>
      <c r="D1947" s="7" t="e">
        <f t="shared" si="225"/>
        <v>#N/A</v>
      </c>
      <c r="E1947" s="7" t="e">
        <f t="shared" si="225"/>
        <v>#N/A</v>
      </c>
      <c r="F1947" s="7" t="e">
        <f t="shared" si="225"/>
        <v>#N/A</v>
      </c>
      <c r="G1947" s="7" t="e">
        <f t="shared" si="225"/>
        <v>#N/A</v>
      </c>
    </row>
    <row r="1948" spans="2:7">
      <c r="B1948" s="67">
        <f t="shared" si="223"/>
        <v>45042</v>
      </c>
      <c r="C1948" s="7" t="e">
        <f t="shared" si="225"/>
        <v>#N/A</v>
      </c>
      <c r="D1948" s="7" t="e">
        <f t="shared" si="225"/>
        <v>#N/A</v>
      </c>
      <c r="E1948" s="7" t="e">
        <f t="shared" si="225"/>
        <v>#N/A</v>
      </c>
      <c r="F1948" s="7" t="e">
        <f t="shared" si="225"/>
        <v>#N/A</v>
      </c>
      <c r="G1948" s="7" t="e">
        <f t="shared" si="225"/>
        <v>#N/A</v>
      </c>
    </row>
    <row r="1949" spans="2:7">
      <c r="B1949" s="67">
        <f t="shared" si="223"/>
        <v>45043</v>
      </c>
      <c r="C1949" s="7" t="e">
        <f t="shared" si="225"/>
        <v>#N/A</v>
      </c>
      <c r="D1949" s="7" t="e">
        <f t="shared" si="225"/>
        <v>#N/A</v>
      </c>
      <c r="E1949" s="7" t="e">
        <f t="shared" si="225"/>
        <v>#N/A</v>
      </c>
      <c r="F1949" s="7" t="e">
        <f t="shared" si="225"/>
        <v>#N/A</v>
      </c>
      <c r="G1949" s="7" t="e">
        <f t="shared" si="225"/>
        <v>#N/A</v>
      </c>
    </row>
    <row r="1950" spans="2:7">
      <c r="B1950" s="67">
        <f t="shared" si="223"/>
        <v>45044</v>
      </c>
      <c r="C1950" s="7" t="e">
        <f t="shared" si="225"/>
        <v>#N/A</v>
      </c>
      <c r="D1950" s="7" t="e">
        <f t="shared" si="225"/>
        <v>#N/A</v>
      </c>
      <c r="E1950" s="7" t="e">
        <f t="shared" si="225"/>
        <v>#N/A</v>
      </c>
      <c r="F1950" s="7" t="e">
        <f t="shared" si="225"/>
        <v>#N/A</v>
      </c>
      <c r="G1950" s="7" t="e">
        <f t="shared" si="225"/>
        <v>#N/A</v>
      </c>
    </row>
    <row r="1951" spans="2:7">
      <c r="B1951" s="67">
        <f t="shared" si="223"/>
        <v>45045</v>
      </c>
      <c r="C1951" s="7" t="e">
        <f t="shared" si="225"/>
        <v>#N/A</v>
      </c>
      <c r="D1951" s="7" t="e">
        <f t="shared" si="225"/>
        <v>#N/A</v>
      </c>
      <c r="E1951" s="7" t="e">
        <f t="shared" si="225"/>
        <v>#N/A</v>
      </c>
      <c r="F1951" s="7" t="e">
        <f t="shared" si="225"/>
        <v>#N/A</v>
      </c>
      <c r="G1951" s="7" t="e">
        <f t="shared" si="225"/>
        <v>#N/A</v>
      </c>
    </row>
    <row r="1952" spans="2:7">
      <c r="B1952" s="67">
        <f t="shared" si="223"/>
        <v>45046</v>
      </c>
      <c r="C1952" s="7" t="e">
        <f t="shared" si="225"/>
        <v>#N/A</v>
      </c>
      <c r="D1952" s="7" t="e">
        <f t="shared" si="225"/>
        <v>#N/A</v>
      </c>
      <c r="E1952" s="7" t="e">
        <f t="shared" si="225"/>
        <v>#N/A</v>
      </c>
      <c r="F1952" s="7" t="e">
        <f t="shared" si="225"/>
        <v>#N/A</v>
      </c>
      <c r="G1952" s="7" t="e">
        <f t="shared" si="225"/>
        <v>#N/A</v>
      </c>
    </row>
    <row r="1953" spans="2:7">
      <c r="B1953" s="67">
        <f t="shared" si="223"/>
        <v>45047</v>
      </c>
      <c r="C1953" s="7" t="e">
        <f t="shared" si="225"/>
        <v>#N/A</v>
      </c>
      <c r="D1953" s="7" t="e">
        <f t="shared" si="225"/>
        <v>#N/A</v>
      </c>
      <c r="E1953" s="7" t="e">
        <f t="shared" si="225"/>
        <v>#N/A</v>
      </c>
      <c r="F1953" s="7" t="e">
        <f t="shared" si="225"/>
        <v>#N/A</v>
      </c>
      <c r="G1953" s="7" t="e">
        <f t="shared" si="225"/>
        <v>#N/A</v>
      </c>
    </row>
    <row r="1954" spans="2:7">
      <c r="B1954" s="67">
        <f t="shared" si="223"/>
        <v>45048</v>
      </c>
      <c r="C1954" s="7" t="e">
        <f t="shared" si="225"/>
        <v>#N/A</v>
      </c>
      <c r="D1954" s="7" t="e">
        <f t="shared" si="225"/>
        <v>#N/A</v>
      </c>
      <c r="E1954" s="7" t="e">
        <f t="shared" si="225"/>
        <v>#N/A</v>
      </c>
      <c r="F1954" s="7" t="e">
        <f t="shared" si="225"/>
        <v>#N/A</v>
      </c>
      <c r="G1954" s="7" t="e">
        <f t="shared" si="225"/>
        <v>#N/A</v>
      </c>
    </row>
    <row r="1955" spans="2:7">
      <c r="B1955" s="67">
        <f t="shared" si="223"/>
        <v>45049</v>
      </c>
      <c r="C1955" s="7" t="e">
        <f t="shared" si="225"/>
        <v>#N/A</v>
      </c>
      <c r="D1955" s="7" t="e">
        <f t="shared" si="225"/>
        <v>#N/A</v>
      </c>
      <c r="E1955" s="7" t="e">
        <f t="shared" si="225"/>
        <v>#N/A</v>
      </c>
      <c r="F1955" s="7" t="e">
        <f t="shared" si="225"/>
        <v>#N/A</v>
      </c>
      <c r="G1955" s="7" t="e">
        <f t="shared" si="225"/>
        <v>#N/A</v>
      </c>
    </row>
    <row r="1956" spans="2:7">
      <c r="B1956" s="67">
        <f t="shared" si="223"/>
        <v>45050</v>
      </c>
      <c r="C1956" s="7" t="e">
        <f t="shared" si="225"/>
        <v>#N/A</v>
      </c>
      <c r="D1956" s="7" t="e">
        <f t="shared" si="225"/>
        <v>#N/A</v>
      </c>
      <c r="E1956" s="7" t="e">
        <f t="shared" si="225"/>
        <v>#N/A</v>
      </c>
      <c r="F1956" s="7" t="e">
        <f t="shared" si="225"/>
        <v>#N/A</v>
      </c>
      <c r="G1956" s="7" t="e">
        <f t="shared" si="225"/>
        <v>#N/A</v>
      </c>
    </row>
    <row r="1957" spans="2:7">
      <c r="B1957" s="67">
        <f t="shared" si="223"/>
        <v>45051</v>
      </c>
      <c r="C1957" s="7" t="e">
        <f t="shared" ref="C1957:G1966" si="226">IF(AND($B1957&gt;=C$3,$B1957&lt;=C$4),C$5,NA())</f>
        <v>#N/A</v>
      </c>
      <c r="D1957" s="7" t="e">
        <f t="shared" si="226"/>
        <v>#N/A</v>
      </c>
      <c r="E1957" s="7" t="e">
        <f t="shared" si="226"/>
        <v>#N/A</v>
      </c>
      <c r="F1957" s="7" t="e">
        <f t="shared" si="226"/>
        <v>#N/A</v>
      </c>
      <c r="G1957" s="7" t="e">
        <f t="shared" si="226"/>
        <v>#N/A</v>
      </c>
    </row>
    <row r="1958" spans="2:7">
      <c r="B1958" s="67">
        <f t="shared" si="223"/>
        <v>45052</v>
      </c>
      <c r="C1958" s="7" t="e">
        <f t="shared" si="226"/>
        <v>#N/A</v>
      </c>
      <c r="D1958" s="7" t="e">
        <f t="shared" si="226"/>
        <v>#N/A</v>
      </c>
      <c r="E1958" s="7" t="e">
        <f t="shared" si="226"/>
        <v>#N/A</v>
      </c>
      <c r="F1958" s="7" t="e">
        <f t="shared" si="226"/>
        <v>#N/A</v>
      </c>
      <c r="G1958" s="7" t="e">
        <f t="shared" si="226"/>
        <v>#N/A</v>
      </c>
    </row>
    <row r="1959" spans="2:7">
      <c r="B1959" s="67">
        <f t="shared" si="223"/>
        <v>45053</v>
      </c>
      <c r="C1959" s="7" t="e">
        <f t="shared" si="226"/>
        <v>#N/A</v>
      </c>
      <c r="D1959" s="7" t="e">
        <f t="shared" si="226"/>
        <v>#N/A</v>
      </c>
      <c r="E1959" s="7" t="e">
        <f t="shared" si="226"/>
        <v>#N/A</v>
      </c>
      <c r="F1959" s="7" t="e">
        <f t="shared" si="226"/>
        <v>#N/A</v>
      </c>
      <c r="G1959" s="7" t="e">
        <f t="shared" si="226"/>
        <v>#N/A</v>
      </c>
    </row>
    <row r="1960" spans="2:7">
      <c r="B1960" s="67">
        <f t="shared" si="223"/>
        <v>45054</v>
      </c>
      <c r="C1960" s="7" t="e">
        <f t="shared" si="226"/>
        <v>#N/A</v>
      </c>
      <c r="D1960" s="7" t="e">
        <f t="shared" si="226"/>
        <v>#N/A</v>
      </c>
      <c r="E1960" s="7" t="e">
        <f t="shared" si="226"/>
        <v>#N/A</v>
      </c>
      <c r="F1960" s="7" t="e">
        <f t="shared" si="226"/>
        <v>#N/A</v>
      </c>
      <c r="G1960" s="7" t="e">
        <f t="shared" si="226"/>
        <v>#N/A</v>
      </c>
    </row>
    <row r="1961" spans="2:7">
      <c r="B1961" s="67">
        <f t="shared" si="223"/>
        <v>45055</v>
      </c>
      <c r="C1961" s="7" t="e">
        <f t="shared" si="226"/>
        <v>#N/A</v>
      </c>
      <c r="D1961" s="7" t="e">
        <f t="shared" si="226"/>
        <v>#N/A</v>
      </c>
      <c r="E1961" s="7" t="e">
        <f t="shared" si="226"/>
        <v>#N/A</v>
      </c>
      <c r="F1961" s="7" t="e">
        <f t="shared" si="226"/>
        <v>#N/A</v>
      </c>
      <c r="G1961" s="7" t="e">
        <f t="shared" si="226"/>
        <v>#N/A</v>
      </c>
    </row>
    <row r="1962" spans="2:7">
      <c r="B1962" s="67">
        <f t="shared" si="223"/>
        <v>45056</v>
      </c>
      <c r="C1962" s="7" t="e">
        <f t="shared" si="226"/>
        <v>#N/A</v>
      </c>
      <c r="D1962" s="7" t="e">
        <f t="shared" si="226"/>
        <v>#N/A</v>
      </c>
      <c r="E1962" s="7" t="e">
        <f t="shared" si="226"/>
        <v>#N/A</v>
      </c>
      <c r="F1962" s="7" t="e">
        <f t="shared" si="226"/>
        <v>#N/A</v>
      </c>
      <c r="G1962" s="7" t="e">
        <f t="shared" si="226"/>
        <v>#N/A</v>
      </c>
    </row>
    <row r="1963" spans="2:7">
      <c r="B1963" s="67">
        <f t="shared" si="223"/>
        <v>45057</v>
      </c>
      <c r="C1963" s="7" t="e">
        <f t="shared" si="226"/>
        <v>#N/A</v>
      </c>
      <c r="D1963" s="7" t="e">
        <f t="shared" si="226"/>
        <v>#N/A</v>
      </c>
      <c r="E1963" s="7" t="e">
        <f t="shared" si="226"/>
        <v>#N/A</v>
      </c>
      <c r="F1963" s="7" t="e">
        <f t="shared" si="226"/>
        <v>#N/A</v>
      </c>
      <c r="G1963" s="7" t="e">
        <f t="shared" si="226"/>
        <v>#N/A</v>
      </c>
    </row>
    <row r="1964" spans="2:7">
      <c r="B1964" s="67">
        <f t="shared" si="223"/>
        <v>45058</v>
      </c>
      <c r="C1964" s="7" t="e">
        <f t="shared" si="226"/>
        <v>#N/A</v>
      </c>
      <c r="D1964" s="7" t="e">
        <f t="shared" si="226"/>
        <v>#N/A</v>
      </c>
      <c r="E1964" s="7" t="e">
        <f t="shared" si="226"/>
        <v>#N/A</v>
      </c>
      <c r="F1964" s="7" t="e">
        <f t="shared" si="226"/>
        <v>#N/A</v>
      </c>
      <c r="G1964" s="7" t="e">
        <f t="shared" si="226"/>
        <v>#N/A</v>
      </c>
    </row>
    <row r="1965" spans="2:7">
      <c r="B1965" s="67">
        <f t="shared" si="223"/>
        <v>45059</v>
      </c>
      <c r="C1965" s="7" t="e">
        <f t="shared" si="226"/>
        <v>#N/A</v>
      </c>
      <c r="D1965" s="7" t="e">
        <f t="shared" si="226"/>
        <v>#N/A</v>
      </c>
      <c r="E1965" s="7" t="e">
        <f t="shared" si="226"/>
        <v>#N/A</v>
      </c>
      <c r="F1965" s="7" t="e">
        <f t="shared" si="226"/>
        <v>#N/A</v>
      </c>
      <c r="G1965" s="7" t="e">
        <f t="shared" si="226"/>
        <v>#N/A</v>
      </c>
    </row>
    <row r="1966" spans="2:7">
      <c r="B1966" s="67">
        <f t="shared" si="223"/>
        <v>45060</v>
      </c>
      <c r="C1966" s="7" t="e">
        <f t="shared" si="226"/>
        <v>#N/A</v>
      </c>
      <c r="D1966" s="7" t="e">
        <f t="shared" si="226"/>
        <v>#N/A</v>
      </c>
      <c r="E1966" s="7" t="e">
        <f t="shared" si="226"/>
        <v>#N/A</v>
      </c>
      <c r="F1966" s="7" t="e">
        <f t="shared" si="226"/>
        <v>#N/A</v>
      </c>
      <c r="G1966" s="7" t="e">
        <f t="shared" si="226"/>
        <v>#N/A</v>
      </c>
    </row>
    <row r="1967" spans="2:7">
      <c r="B1967" s="67">
        <f t="shared" si="223"/>
        <v>45061</v>
      </c>
      <c r="C1967" s="7" t="e">
        <f t="shared" ref="C1967:G1976" si="227">IF(AND($B1967&gt;=C$3,$B1967&lt;=C$4),C$5,NA())</f>
        <v>#N/A</v>
      </c>
      <c r="D1967" s="7" t="e">
        <f t="shared" si="227"/>
        <v>#N/A</v>
      </c>
      <c r="E1967" s="7" t="e">
        <f t="shared" si="227"/>
        <v>#N/A</v>
      </c>
      <c r="F1967" s="7" t="e">
        <f t="shared" si="227"/>
        <v>#N/A</v>
      </c>
      <c r="G1967" s="7" t="e">
        <f t="shared" si="227"/>
        <v>#N/A</v>
      </c>
    </row>
    <row r="1968" spans="2:7">
      <c r="B1968" s="67">
        <f t="shared" si="223"/>
        <v>45062</v>
      </c>
      <c r="C1968" s="7" t="e">
        <f t="shared" si="227"/>
        <v>#N/A</v>
      </c>
      <c r="D1968" s="7" t="e">
        <f t="shared" si="227"/>
        <v>#N/A</v>
      </c>
      <c r="E1968" s="7" t="e">
        <f t="shared" si="227"/>
        <v>#N/A</v>
      </c>
      <c r="F1968" s="7" t="e">
        <f t="shared" si="227"/>
        <v>#N/A</v>
      </c>
      <c r="G1968" s="7" t="e">
        <f t="shared" si="227"/>
        <v>#N/A</v>
      </c>
    </row>
    <row r="1969" spans="2:7">
      <c r="B1969" s="67">
        <f t="shared" si="223"/>
        <v>45063</v>
      </c>
      <c r="C1969" s="7" t="e">
        <f t="shared" si="227"/>
        <v>#N/A</v>
      </c>
      <c r="D1969" s="7" t="e">
        <f t="shared" si="227"/>
        <v>#N/A</v>
      </c>
      <c r="E1969" s="7" t="e">
        <f t="shared" si="227"/>
        <v>#N/A</v>
      </c>
      <c r="F1969" s="7" t="e">
        <f t="shared" si="227"/>
        <v>#N/A</v>
      </c>
      <c r="G1969" s="7" t="e">
        <f t="shared" si="227"/>
        <v>#N/A</v>
      </c>
    </row>
    <row r="1970" spans="2:7">
      <c r="B1970" s="67">
        <f t="shared" si="223"/>
        <v>45064</v>
      </c>
      <c r="C1970" s="7" t="e">
        <f t="shared" si="227"/>
        <v>#N/A</v>
      </c>
      <c r="D1970" s="7" t="e">
        <f t="shared" si="227"/>
        <v>#N/A</v>
      </c>
      <c r="E1970" s="7" t="e">
        <f t="shared" si="227"/>
        <v>#N/A</v>
      </c>
      <c r="F1970" s="7" t="e">
        <f t="shared" si="227"/>
        <v>#N/A</v>
      </c>
      <c r="G1970" s="7" t="e">
        <f t="shared" si="227"/>
        <v>#N/A</v>
      </c>
    </row>
    <row r="1971" spans="2:7">
      <c r="B1971" s="67">
        <f t="shared" si="223"/>
        <v>45065</v>
      </c>
      <c r="C1971" s="7" t="e">
        <f t="shared" si="227"/>
        <v>#N/A</v>
      </c>
      <c r="D1971" s="7" t="e">
        <f t="shared" si="227"/>
        <v>#N/A</v>
      </c>
      <c r="E1971" s="7" t="e">
        <f t="shared" si="227"/>
        <v>#N/A</v>
      </c>
      <c r="F1971" s="7" t="e">
        <f t="shared" si="227"/>
        <v>#N/A</v>
      </c>
      <c r="G1971" s="7" t="e">
        <f t="shared" si="227"/>
        <v>#N/A</v>
      </c>
    </row>
    <row r="1972" spans="2:7">
      <c r="B1972" s="67">
        <f t="shared" si="223"/>
        <v>45066</v>
      </c>
      <c r="C1972" s="7" t="e">
        <f t="shared" si="227"/>
        <v>#N/A</v>
      </c>
      <c r="D1972" s="7" t="e">
        <f t="shared" si="227"/>
        <v>#N/A</v>
      </c>
      <c r="E1972" s="7" t="e">
        <f t="shared" si="227"/>
        <v>#N/A</v>
      </c>
      <c r="F1972" s="7" t="e">
        <f t="shared" si="227"/>
        <v>#N/A</v>
      </c>
      <c r="G1972" s="7" t="e">
        <f t="shared" si="227"/>
        <v>#N/A</v>
      </c>
    </row>
    <row r="1973" spans="2:7">
      <c r="B1973" s="67">
        <f t="shared" si="223"/>
        <v>45067</v>
      </c>
      <c r="C1973" s="7" t="e">
        <f t="shared" si="227"/>
        <v>#N/A</v>
      </c>
      <c r="D1973" s="7" t="e">
        <f t="shared" si="227"/>
        <v>#N/A</v>
      </c>
      <c r="E1973" s="7" t="e">
        <f t="shared" si="227"/>
        <v>#N/A</v>
      </c>
      <c r="F1973" s="7" t="e">
        <f t="shared" si="227"/>
        <v>#N/A</v>
      </c>
      <c r="G1973" s="7" t="e">
        <f t="shared" si="227"/>
        <v>#N/A</v>
      </c>
    </row>
    <row r="1974" spans="2:7">
      <c r="B1974" s="67">
        <f t="shared" si="223"/>
        <v>45068</v>
      </c>
      <c r="C1974" s="7" t="e">
        <f t="shared" si="227"/>
        <v>#N/A</v>
      </c>
      <c r="D1974" s="7" t="e">
        <f t="shared" si="227"/>
        <v>#N/A</v>
      </c>
      <c r="E1974" s="7" t="e">
        <f t="shared" si="227"/>
        <v>#N/A</v>
      </c>
      <c r="F1974" s="7" t="e">
        <f t="shared" si="227"/>
        <v>#N/A</v>
      </c>
      <c r="G1974" s="7" t="e">
        <f t="shared" si="227"/>
        <v>#N/A</v>
      </c>
    </row>
    <row r="1975" spans="2:7">
      <c r="B1975" s="67">
        <f t="shared" si="223"/>
        <v>45069</v>
      </c>
      <c r="C1975" s="7" t="e">
        <f t="shared" si="227"/>
        <v>#N/A</v>
      </c>
      <c r="D1975" s="7" t="e">
        <f t="shared" si="227"/>
        <v>#N/A</v>
      </c>
      <c r="E1975" s="7" t="e">
        <f t="shared" si="227"/>
        <v>#N/A</v>
      </c>
      <c r="F1975" s="7" t="e">
        <f t="shared" si="227"/>
        <v>#N/A</v>
      </c>
      <c r="G1975" s="7" t="e">
        <f t="shared" si="227"/>
        <v>#N/A</v>
      </c>
    </row>
    <row r="1976" spans="2:7">
      <c r="B1976" s="67">
        <f t="shared" si="223"/>
        <v>45070</v>
      </c>
      <c r="C1976" s="7" t="e">
        <f t="shared" si="227"/>
        <v>#N/A</v>
      </c>
      <c r="D1976" s="7" t="e">
        <f t="shared" si="227"/>
        <v>#N/A</v>
      </c>
      <c r="E1976" s="7" t="e">
        <f t="shared" si="227"/>
        <v>#N/A</v>
      </c>
      <c r="F1976" s="7" t="e">
        <f t="shared" si="227"/>
        <v>#N/A</v>
      </c>
      <c r="G1976" s="7" t="e">
        <f t="shared" si="227"/>
        <v>#N/A</v>
      </c>
    </row>
    <row r="1977" spans="2:7">
      <c r="B1977" s="67">
        <f t="shared" si="223"/>
        <v>45071</v>
      </c>
      <c r="C1977" s="7" t="e">
        <f t="shared" ref="C1977:G1986" si="228">IF(AND($B1977&gt;=C$3,$B1977&lt;=C$4),C$5,NA())</f>
        <v>#N/A</v>
      </c>
      <c r="D1977" s="7" t="e">
        <f t="shared" si="228"/>
        <v>#N/A</v>
      </c>
      <c r="E1977" s="7" t="e">
        <f t="shared" si="228"/>
        <v>#N/A</v>
      </c>
      <c r="F1977" s="7" t="e">
        <f t="shared" si="228"/>
        <v>#N/A</v>
      </c>
      <c r="G1977" s="7" t="e">
        <f t="shared" si="228"/>
        <v>#N/A</v>
      </c>
    </row>
    <row r="1978" spans="2:7">
      <c r="B1978" s="67">
        <f t="shared" si="223"/>
        <v>45072</v>
      </c>
      <c r="C1978" s="7" t="e">
        <f t="shared" si="228"/>
        <v>#N/A</v>
      </c>
      <c r="D1978" s="7" t="e">
        <f t="shared" si="228"/>
        <v>#N/A</v>
      </c>
      <c r="E1978" s="7" t="e">
        <f t="shared" si="228"/>
        <v>#N/A</v>
      </c>
      <c r="F1978" s="7" t="e">
        <f t="shared" si="228"/>
        <v>#N/A</v>
      </c>
      <c r="G1978" s="7" t="e">
        <f t="shared" si="228"/>
        <v>#N/A</v>
      </c>
    </row>
    <row r="1979" spans="2:7">
      <c r="B1979" s="67">
        <f t="shared" si="223"/>
        <v>45073</v>
      </c>
      <c r="C1979" s="7" t="e">
        <f t="shared" si="228"/>
        <v>#N/A</v>
      </c>
      <c r="D1979" s="7" t="e">
        <f t="shared" si="228"/>
        <v>#N/A</v>
      </c>
      <c r="E1979" s="7" t="e">
        <f t="shared" si="228"/>
        <v>#N/A</v>
      </c>
      <c r="F1979" s="7" t="e">
        <f t="shared" si="228"/>
        <v>#N/A</v>
      </c>
      <c r="G1979" s="7" t="e">
        <f t="shared" si="228"/>
        <v>#N/A</v>
      </c>
    </row>
    <row r="1980" spans="2:7">
      <c r="B1980" s="67">
        <f t="shared" si="223"/>
        <v>45074</v>
      </c>
      <c r="C1980" s="7" t="e">
        <f t="shared" si="228"/>
        <v>#N/A</v>
      </c>
      <c r="D1980" s="7" t="e">
        <f t="shared" si="228"/>
        <v>#N/A</v>
      </c>
      <c r="E1980" s="7" t="e">
        <f t="shared" si="228"/>
        <v>#N/A</v>
      </c>
      <c r="F1980" s="7" t="e">
        <f t="shared" si="228"/>
        <v>#N/A</v>
      </c>
      <c r="G1980" s="7" t="e">
        <f t="shared" si="228"/>
        <v>#N/A</v>
      </c>
    </row>
    <row r="1981" spans="2:7">
      <c r="B1981" s="67">
        <f t="shared" si="223"/>
        <v>45075</v>
      </c>
      <c r="C1981" s="7" t="e">
        <f t="shared" si="228"/>
        <v>#N/A</v>
      </c>
      <c r="D1981" s="7" t="e">
        <f t="shared" si="228"/>
        <v>#N/A</v>
      </c>
      <c r="E1981" s="7" t="e">
        <f t="shared" si="228"/>
        <v>#N/A</v>
      </c>
      <c r="F1981" s="7" t="e">
        <f t="shared" si="228"/>
        <v>#N/A</v>
      </c>
      <c r="G1981" s="7" t="e">
        <f t="shared" si="228"/>
        <v>#N/A</v>
      </c>
    </row>
    <row r="1982" spans="2:7">
      <c r="B1982" s="67">
        <f t="shared" si="223"/>
        <v>45076</v>
      </c>
      <c r="C1982" s="7" t="e">
        <f t="shared" si="228"/>
        <v>#N/A</v>
      </c>
      <c r="D1982" s="7" t="e">
        <f t="shared" si="228"/>
        <v>#N/A</v>
      </c>
      <c r="E1982" s="7" t="e">
        <f t="shared" si="228"/>
        <v>#N/A</v>
      </c>
      <c r="F1982" s="7" t="e">
        <f t="shared" si="228"/>
        <v>#N/A</v>
      </c>
      <c r="G1982" s="7" t="e">
        <f t="shared" si="228"/>
        <v>#N/A</v>
      </c>
    </row>
    <row r="1983" spans="2:7">
      <c r="B1983" s="67">
        <f t="shared" si="223"/>
        <v>45077</v>
      </c>
      <c r="C1983" s="7" t="e">
        <f t="shared" si="228"/>
        <v>#N/A</v>
      </c>
      <c r="D1983" s="7" t="e">
        <f t="shared" si="228"/>
        <v>#N/A</v>
      </c>
      <c r="E1983" s="7" t="e">
        <f t="shared" si="228"/>
        <v>#N/A</v>
      </c>
      <c r="F1983" s="7" t="e">
        <f t="shared" si="228"/>
        <v>#N/A</v>
      </c>
      <c r="G1983" s="7" t="e">
        <f t="shared" si="228"/>
        <v>#N/A</v>
      </c>
    </row>
    <row r="1984" spans="2:7">
      <c r="B1984" s="67">
        <f t="shared" si="223"/>
        <v>45078</v>
      </c>
      <c r="C1984" s="7" t="e">
        <f t="shared" si="228"/>
        <v>#N/A</v>
      </c>
      <c r="D1984" s="7" t="e">
        <f t="shared" si="228"/>
        <v>#N/A</v>
      </c>
      <c r="E1984" s="7" t="e">
        <f t="shared" si="228"/>
        <v>#N/A</v>
      </c>
      <c r="F1984" s="7" t="e">
        <f t="shared" si="228"/>
        <v>#N/A</v>
      </c>
      <c r="G1984" s="7" t="e">
        <f t="shared" si="228"/>
        <v>#N/A</v>
      </c>
    </row>
    <row r="1985" spans="2:7">
      <c r="B1985" s="67">
        <f t="shared" si="223"/>
        <v>45079</v>
      </c>
      <c r="C1985" s="7" t="e">
        <f t="shared" si="228"/>
        <v>#N/A</v>
      </c>
      <c r="D1985" s="7" t="e">
        <f t="shared" si="228"/>
        <v>#N/A</v>
      </c>
      <c r="E1985" s="7" t="e">
        <f t="shared" si="228"/>
        <v>#N/A</v>
      </c>
      <c r="F1985" s="7" t="e">
        <f t="shared" si="228"/>
        <v>#N/A</v>
      </c>
      <c r="G1985" s="7" t="e">
        <f t="shared" si="228"/>
        <v>#N/A</v>
      </c>
    </row>
    <row r="1986" spans="2:7">
      <c r="B1986" s="67">
        <f t="shared" si="223"/>
        <v>45080</v>
      </c>
      <c r="C1986" s="7" t="e">
        <f t="shared" si="228"/>
        <v>#N/A</v>
      </c>
      <c r="D1986" s="7" t="e">
        <f t="shared" si="228"/>
        <v>#N/A</v>
      </c>
      <c r="E1986" s="7" t="e">
        <f t="shared" si="228"/>
        <v>#N/A</v>
      </c>
      <c r="F1986" s="7" t="e">
        <f t="shared" si="228"/>
        <v>#N/A</v>
      </c>
      <c r="G1986" s="7" t="e">
        <f t="shared" si="228"/>
        <v>#N/A</v>
      </c>
    </row>
    <row r="1987" spans="2:7">
      <c r="B1987" s="67">
        <f t="shared" si="223"/>
        <v>45081</v>
      </c>
      <c r="C1987" s="7" t="e">
        <f t="shared" ref="C1987:G1996" si="229">IF(AND($B1987&gt;=C$3,$B1987&lt;=C$4),C$5,NA())</f>
        <v>#N/A</v>
      </c>
      <c r="D1987" s="7" t="e">
        <f t="shared" si="229"/>
        <v>#N/A</v>
      </c>
      <c r="E1987" s="7" t="e">
        <f t="shared" si="229"/>
        <v>#N/A</v>
      </c>
      <c r="F1987" s="7" t="e">
        <f t="shared" si="229"/>
        <v>#N/A</v>
      </c>
      <c r="G1987" s="7" t="e">
        <f t="shared" si="229"/>
        <v>#N/A</v>
      </c>
    </row>
    <row r="1988" spans="2:7">
      <c r="B1988" s="67">
        <f t="shared" si="223"/>
        <v>45082</v>
      </c>
      <c r="C1988" s="7" t="e">
        <f t="shared" si="229"/>
        <v>#N/A</v>
      </c>
      <c r="D1988" s="7" t="e">
        <f t="shared" si="229"/>
        <v>#N/A</v>
      </c>
      <c r="E1988" s="7" t="e">
        <f t="shared" si="229"/>
        <v>#N/A</v>
      </c>
      <c r="F1988" s="7" t="e">
        <f t="shared" si="229"/>
        <v>#N/A</v>
      </c>
      <c r="G1988" s="7" t="e">
        <f t="shared" si="229"/>
        <v>#N/A</v>
      </c>
    </row>
    <row r="1989" spans="2:7">
      <c r="B1989" s="67">
        <f t="shared" si="223"/>
        <v>45083</v>
      </c>
      <c r="C1989" s="7" t="e">
        <f t="shared" si="229"/>
        <v>#N/A</v>
      </c>
      <c r="D1989" s="7" t="e">
        <f t="shared" si="229"/>
        <v>#N/A</v>
      </c>
      <c r="E1989" s="7" t="e">
        <f t="shared" si="229"/>
        <v>#N/A</v>
      </c>
      <c r="F1989" s="7" t="e">
        <f t="shared" si="229"/>
        <v>#N/A</v>
      </c>
      <c r="G1989" s="7" t="e">
        <f t="shared" si="229"/>
        <v>#N/A</v>
      </c>
    </row>
    <row r="1990" spans="2:7">
      <c r="B1990" s="67">
        <f t="shared" si="223"/>
        <v>45084</v>
      </c>
      <c r="C1990" s="7" t="e">
        <f t="shared" si="229"/>
        <v>#N/A</v>
      </c>
      <c r="D1990" s="7" t="e">
        <f t="shared" si="229"/>
        <v>#N/A</v>
      </c>
      <c r="E1990" s="7" t="e">
        <f t="shared" si="229"/>
        <v>#N/A</v>
      </c>
      <c r="F1990" s="7" t="e">
        <f t="shared" si="229"/>
        <v>#N/A</v>
      </c>
      <c r="G1990" s="7" t="e">
        <f t="shared" si="229"/>
        <v>#N/A</v>
      </c>
    </row>
    <row r="1991" spans="2:7">
      <c r="B1991" s="67">
        <f t="shared" si="223"/>
        <v>45085</v>
      </c>
      <c r="C1991" s="7" t="e">
        <f t="shared" si="229"/>
        <v>#N/A</v>
      </c>
      <c r="D1991" s="7" t="e">
        <f t="shared" si="229"/>
        <v>#N/A</v>
      </c>
      <c r="E1991" s="7" t="e">
        <f t="shared" si="229"/>
        <v>#N/A</v>
      </c>
      <c r="F1991" s="7" t="e">
        <f t="shared" si="229"/>
        <v>#N/A</v>
      </c>
      <c r="G1991" s="7" t="e">
        <f t="shared" si="229"/>
        <v>#N/A</v>
      </c>
    </row>
    <row r="1992" spans="2:7">
      <c r="B1992" s="67">
        <f t="shared" ref="B1992:B2055" si="230">B1991+1</f>
        <v>45086</v>
      </c>
      <c r="C1992" s="7" t="e">
        <f t="shared" si="229"/>
        <v>#N/A</v>
      </c>
      <c r="D1992" s="7" t="e">
        <f t="shared" si="229"/>
        <v>#N/A</v>
      </c>
      <c r="E1992" s="7" t="e">
        <f t="shared" si="229"/>
        <v>#N/A</v>
      </c>
      <c r="F1992" s="7" t="e">
        <f t="shared" si="229"/>
        <v>#N/A</v>
      </c>
      <c r="G1992" s="7" t="e">
        <f t="shared" si="229"/>
        <v>#N/A</v>
      </c>
    </row>
    <row r="1993" spans="2:7">
      <c r="B1993" s="67">
        <f t="shared" si="230"/>
        <v>45087</v>
      </c>
      <c r="C1993" s="7" t="e">
        <f t="shared" si="229"/>
        <v>#N/A</v>
      </c>
      <c r="D1993" s="7" t="e">
        <f t="shared" si="229"/>
        <v>#N/A</v>
      </c>
      <c r="E1993" s="7" t="e">
        <f t="shared" si="229"/>
        <v>#N/A</v>
      </c>
      <c r="F1993" s="7" t="e">
        <f t="shared" si="229"/>
        <v>#N/A</v>
      </c>
      <c r="G1993" s="7" t="e">
        <f t="shared" si="229"/>
        <v>#N/A</v>
      </c>
    </row>
    <row r="1994" spans="2:7">
      <c r="B1994" s="67">
        <f t="shared" si="230"/>
        <v>45088</v>
      </c>
      <c r="C1994" s="7" t="e">
        <f t="shared" si="229"/>
        <v>#N/A</v>
      </c>
      <c r="D1994" s="7" t="e">
        <f t="shared" si="229"/>
        <v>#N/A</v>
      </c>
      <c r="E1994" s="7" t="e">
        <f t="shared" si="229"/>
        <v>#N/A</v>
      </c>
      <c r="F1994" s="7" t="e">
        <f t="shared" si="229"/>
        <v>#N/A</v>
      </c>
      <c r="G1994" s="7" t="e">
        <f t="shared" si="229"/>
        <v>#N/A</v>
      </c>
    </row>
    <row r="1995" spans="2:7">
      <c r="B1995" s="67">
        <f t="shared" si="230"/>
        <v>45089</v>
      </c>
      <c r="C1995" s="7" t="e">
        <f t="shared" si="229"/>
        <v>#N/A</v>
      </c>
      <c r="D1995" s="7" t="e">
        <f t="shared" si="229"/>
        <v>#N/A</v>
      </c>
      <c r="E1995" s="7" t="e">
        <f t="shared" si="229"/>
        <v>#N/A</v>
      </c>
      <c r="F1995" s="7" t="e">
        <f t="shared" si="229"/>
        <v>#N/A</v>
      </c>
      <c r="G1995" s="7" t="e">
        <f t="shared" si="229"/>
        <v>#N/A</v>
      </c>
    </row>
    <row r="1996" spans="2:7">
      <c r="B1996" s="67">
        <f t="shared" si="230"/>
        <v>45090</v>
      </c>
      <c r="C1996" s="7" t="e">
        <f t="shared" si="229"/>
        <v>#N/A</v>
      </c>
      <c r="D1996" s="7" t="e">
        <f t="shared" si="229"/>
        <v>#N/A</v>
      </c>
      <c r="E1996" s="7" t="e">
        <f t="shared" si="229"/>
        <v>#N/A</v>
      </c>
      <c r="F1996" s="7" t="e">
        <f t="shared" si="229"/>
        <v>#N/A</v>
      </c>
      <c r="G1996" s="7" t="e">
        <f t="shared" si="229"/>
        <v>#N/A</v>
      </c>
    </row>
    <row r="1997" spans="2:7">
      <c r="B1997" s="67">
        <f t="shared" si="230"/>
        <v>45091</v>
      </c>
      <c r="C1997" s="7" t="e">
        <f t="shared" ref="C1997:G2006" si="231">IF(AND($B1997&gt;=C$3,$B1997&lt;=C$4),C$5,NA())</f>
        <v>#N/A</v>
      </c>
      <c r="D1997" s="7" t="e">
        <f t="shared" si="231"/>
        <v>#N/A</v>
      </c>
      <c r="E1997" s="7" t="e">
        <f t="shared" si="231"/>
        <v>#N/A</v>
      </c>
      <c r="F1997" s="7" t="e">
        <f t="shared" si="231"/>
        <v>#N/A</v>
      </c>
      <c r="G1997" s="7" t="e">
        <f t="shared" si="231"/>
        <v>#N/A</v>
      </c>
    </row>
    <row r="1998" spans="2:7">
      <c r="B1998" s="67">
        <f t="shared" si="230"/>
        <v>45092</v>
      </c>
      <c r="C1998" s="7" t="e">
        <f t="shared" si="231"/>
        <v>#N/A</v>
      </c>
      <c r="D1998" s="7" t="e">
        <f t="shared" si="231"/>
        <v>#N/A</v>
      </c>
      <c r="E1998" s="7" t="e">
        <f t="shared" si="231"/>
        <v>#N/A</v>
      </c>
      <c r="F1998" s="7" t="e">
        <f t="shared" si="231"/>
        <v>#N/A</v>
      </c>
      <c r="G1998" s="7" t="e">
        <f t="shared" si="231"/>
        <v>#N/A</v>
      </c>
    </row>
    <row r="1999" spans="2:7">
      <c r="B1999" s="67">
        <f t="shared" si="230"/>
        <v>45093</v>
      </c>
      <c r="C1999" s="7" t="e">
        <f t="shared" si="231"/>
        <v>#N/A</v>
      </c>
      <c r="D1999" s="7" t="e">
        <f t="shared" si="231"/>
        <v>#N/A</v>
      </c>
      <c r="E1999" s="7" t="e">
        <f t="shared" si="231"/>
        <v>#N/A</v>
      </c>
      <c r="F1999" s="7" t="e">
        <f t="shared" si="231"/>
        <v>#N/A</v>
      </c>
      <c r="G1999" s="7" t="e">
        <f t="shared" si="231"/>
        <v>#N/A</v>
      </c>
    </row>
    <row r="2000" spans="2:7">
      <c r="B2000" s="67">
        <f t="shared" si="230"/>
        <v>45094</v>
      </c>
      <c r="C2000" s="7" t="e">
        <f t="shared" si="231"/>
        <v>#N/A</v>
      </c>
      <c r="D2000" s="7" t="e">
        <f t="shared" si="231"/>
        <v>#N/A</v>
      </c>
      <c r="E2000" s="7" t="e">
        <f t="shared" si="231"/>
        <v>#N/A</v>
      </c>
      <c r="F2000" s="7" t="e">
        <f t="shared" si="231"/>
        <v>#N/A</v>
      </c>
      <c r="G2000" s="7" t="e">
        <f t="shared" si="231"/>
        <v>#N/A</v>
      </c>
    </row>
    <row r="2001" spans="2:7">
      <c r="B2001" s="67">
        <f t="shared" si="230"/>
        <v>45095</v>
      </c>
      <c r="C2001" s="7" t="e">
        <f t="shared" si="231"/>
        <v>#N/A</v>
      </c>
      <c r="D2001" s="7" t="e">
        <f t="shared" si="231"/>
        <v>#N/A</v>
      </c>
      <c r="E2001" s="7" t="e">
        <f t="shared" si="231"/>
        <v>#N/A</v>
      </c>
      <c r="F2001" s="7" t="e">
        <f t="shared" si="231"/>
        <v>#N/A</v>
      </c>
      <c r="G2001" s="7" t="e">
        <f t="shared" si="231"/>
        <v>#N/A</v>
      </c>
    </row>
    <row r="2002" spans="2:7">
      <c r="B2002" s="67">
        <f t="shared" si="230"/>
        <v>45096</v>
      </c>
      <c r="C2002" s="7" t="e">
        <f t="shared" si="231"/>
        <v>#N/A</v>
      </c>
      <c r="D2002" s="7" t="e">
        <f t="shared" si="231"/>
        <v>#N/A</v>
      </c>
      <c r="E2002" s="7" t="e">
        <f t="shared" si="231"/>
        <v>#N/A</v>
      </c>
      <c r="F2002" s="7" t="e">
        <f t="shared" si="231"/>
        <v>#N/A</v>
      </c>
      <c r="G2002" s="7" t="e">
        <f t="shared" si="231"/>
        <v>#N/A</v>
      </c>
    </row>
    <row r="2003" spans="2:7">
      <c r="B2003" s="67">
        <f t="shared" si="230"/>
        <v>45097</v>
      </c>
      <c r="C2003" s="7" t="e">
        <f t="shared" si="231"/>
        <v>#N/A</v>
      </c>
      <c r="D2003" s="7" t="e">
        <f t="shared" si="231"/>
        <v>#N/A</v>
      </c>
      <c r="E2003" s="7" t="e">
        <f t="shared" si="231"/>
        <v>#N/A</v>
      </c>
      <c r="F2003" s="7" t="e">
        <f t="shared" si="231"/>
        <v>#N/A</v>
      </c>
      <c r="G2003" s="7" t="e">
        <f t="shared" si="231"/>
        <v>#N/A</v>
      </c>
    </row>
    <row r="2004" spans="2:7">
      <c r="B2004" s="67">
        <f t="shared" si="230"/>
        <v>45098</v>
      </c>
      <c r="C2004" s="7" t="e">
        <f t="shared" si="231"/>
        <v>#N/A</v>
      </c>
      <c r="D2004" s="7" t="e">
        <f t="shared" si="231"/>
        <v>#N/A</v>
      </c>
      <c r="E2004" s="7" t="e">
        <f t="shared" si="231"/>
        <v>#N/A</v>
      </c>
      <c r="F2004" s="7" t="e">
        <f t="shared" si="231"/>
        <v>#N/A</v>
      </c>
      <c r="G2004" s="7" t="e">
        <f t="shared" si="231"/>
        <v>#N/A</v>
      </c>
    </row>
    <row r="2005" spans="2:7">
      <c r="B2005" s="67">
        <f t="shared" si="230"/>
        <v>45099</v>
      </c>
      <c r="C2005" s="7" t="e">
        <f t="shared" si="231"/>
        <v>#N/A</v>
      </c>
      <c r="D2005" s="7" t="e">
        <f t="shared" si="231"/>
        <v>#N/A</v>
      </c>
      <c r="E2005" s="7" t="e">
        <f t="shared" si="231"/>
        <v>#N/A</v>
      </c>
      <c r="F2005" s="7" t="e">
        <f t="shared" si="231"/>
        <v>#N/A</v>
      </c>
      <c r="G2005" s="7" t="e">
        <f t="shared" si="231"/>
        <v>#N/A</v>
      </c>
    </row>
    <row r="2006" spans="2:7">
      <c r="B2006" s="67">
        <f t="shared" si="230"/>
        <v>45100</v>
      </c>
      <c r="C2006" s="7" t="e">
        <f t="shared" si="231"/>
        <v>#N/A</v>
      </c>
      <c r="D2006" s="7" t="e">
        <f t="shared" si="231"/>
        <v>#N/A</v>
      </c>
      <c r="E2006" s="7" t="e">
        <f t="shared" si="231"/>
        <v>#N/A</v>
      </c>
      <c r="F2006" s="7" t="e">
        <f t="shared" si="231"/>
        <v>#N/A</v>
      </c>
      <c r="G2006" s="7" t="e">
        <f t="shared" si="231"/>
        <v>#N/A</v>
      </c>
    </row>
    <row r="2007" spans="2:7">
      <c r="B2007" s="67">
        <f t="shared" si="230"/>
        <v>45101</v>
      </c>
      <c r="C2007" s="7" t="e">
        <f t="shared" ref="C2007:G2016" si="232">IF(AND($B2007&gt;=C$3,$B2007&lt;=C$4),C$5,NA())</f>
        <v>#N/A</v>
      </c>
      <c r="D2007" s="7" t="e">
        <f t="shared" si="232"/>
        <v>#N/A</v>
      </c>
      <c r="E2007" s="7" t="e">
        <f t="shared" si="232"/>
        <v>#N/A</v>
      </c>
      <c r="F2007" s="7" t="e">
        <f t="shared" si="232"/>
        <v>#N/A</v>
      </c>
      <c r="G2007" s="7" t="e">
        <f t="shared" si="232"/>
        <v>#N/A</v>
      </c>
    </row>
    <row r="2008" spans="2:7">
      <c r="B2008" s="67">
        <f t="shared" si="230"/>
        <v>45102</v>
      </c>
      <c r="C2008" s="7" t="e">
        <f t="shared" si="232"/>
        <v>#N/A</v>
      </c>
      <c r="D2008" s="7" t="e">
        <f t="shared" si="232"/>
        <v>#N/A</v>
      </c>
      <c r="E2008" s="7" t="e">
        <f t="shared" si="232"/>
        <v>#N/A</v>
      </c>
      <c r="F2008" s="7" t="e">
        <f t="shared" si="232"/>
        <v>#N/A</v>
      </c>
      <c r="G2008" s="7" t="e">
        <f t="shared" si="232"/>
        <v>#N/A</v>
      </c>
    </row>
    <row r="2009" spans="2:7">
      <c r="B2009" s="67">
        <f t="shared" si="230"/>
        <v>45103</v>
      </c>
      <c r="C2009" s="7" t="e">
        <f t="shared" si="232"/>
        <v>#N/A</v>
      </c>
      <c r="D2009" s="7" t="e">
        <f t="shared" si="232"/>
        <v>#N/A</v>
      </c>
      <c r="E2009" s="7" t="e">
        <f t="shared" si="232"/>
        <v>#N/A</v>
      </c>
      <c r="F2009" s="7" t="e">
        <f t="shared" si="232"/>
        <v>#N/A</v>
      </c>
      <c r="G2009" s="7" t="e">
        <f t="shared" si="232"/>
        <v>#N/A</v>
      </c>
    </row>
    <row r="2010" spans="2:7">
      <c r="B2010" s="67">
        <f t="shared" si="230"/>
        <v>45104</v>
      </c>
      <c r="C2010" s="7" t="e">
        <f t="shared" si="232"/>
        <v>#N/A</v>
      </c>
      <c r="D2010" s="7" t="e">
        <f t="shared" si="232"/>
        <v>#N/A</v>
      </c>
      <c r="E2010" s="7" t="e">
        <f t="shared" si="232"/>
        <v>#N/A</v>
      </c>
      <c r="F2010" s="7" t="e">
        <f t="shared" si="232"/>
        <v>#N/A</v>
      </c>
      <c r="G2010" s="7" t="e">
        <f t="shared" si="232"/>
        <v>#N/A</v>
      </c>
    </row>
    <row r="2011" spans="2:7">
      <c r="B2011" s="67">
        <f t="shared" si="230"/>
        <v>45105</v>
      </c>
      <c r="C2011" s="7" t="e">
        <f t="shared" si="232"/>
        <v>#N/A</v>
      </c>
      <c r="D2011" s="7" t="e">
        <f t="shared" si="232"/>
        <v>#N/A</v>
      </c>
      <c r="E2011" s="7" t="e">
        <f t="shared" si="232"/>
        <v>#N/A</v>
      </c>
      <c r="F2011" s="7" t="e">
        <f t="shared" si="232"/>
        <v>#N/A</v>
      </c>
      <c r="G2011" s="7" t="e">
        <f t="shared" si="232"/>
        <v>#N/A</v>
      </c>
    </row>
    <row r="2012" spans="2:7">
      <c r="B2012" s="67">
        <f t="shared" si="230"/>
        <v>45106</v>
      </c>
      <c r="C2012" s="7" t="e">
        <f t="shared" si="232"/>
        <v>#N/A</v>
      </c>
      <c r="D2012" s="7" t="e">
        <f t="shared" si="232"/>
        <v>#N/A</v>
      </c>
      <c r="E2012" s="7" t="e">
        <f t="shared" si="232"/>
        <v>#N/A</v>
      </c>
      <c r="F2012" s="7" t="e">
        <f t="shared" si="232"/>
        <v>#N/A</v>
      </c>
      <c r="G2012" s="7" t="e">
        <f t="shared" si="232"/>
        <v>#N/A</v>
      </c>
    </row>
    <row r="2013" spans="2:7">
      <c r="B2013" s="67">
        <f t="shared" si="230"/>
        <v>45107</v>
      </c>
      <c r="C2013" s="7" t="e">
        <f t="shared" si="232"/>
        <v>#N/A</v>
      </c>
      <c r="D2013" s="7" t="e">
        <f t="shared" si="232"/>
        <v>#N/A</v>
      </c>
      <c r="E2013" s="7" t="e">
        <f t="shared" si="232"/>
        <v>#N/A</v>
      </c>
      <c r="F2013" s="7" t="e">
        <f t="shared" si="232"/>
        <v>#N/A</v>
      </c>
      <c r="G2013" s="7" t="e">
        <f t="shared" si="232"/>
        <v>#N/A</v>
      </c>
    </row>
    <row r="2014" spans="2:7">
      <c r="B2014" s="67">
        <f t="shared" si="230"/>
        <v>45108</v>
      </c>
      <c r="C2014" s="7" t="e">
        <f t="shared" si="232"/>
        <v>#N/A</v>
      </c>
      <c r="D2014" s="7" t="e">
        <f t="shared" si="232"/>
        <v>#N/A</v>
      </c>
      <c r="E2014" s="7" t="e">
        <f t="shared" si="232"/>
        <v>#N/A</v>
      </c>
      <c r="F2014" s="7" t="e">
        <f t="shared" si="232"/>
        <v>#N/A</v>
      </c>
      <c r="G2014" s="7" t="e">
        <f t="shared" si="232"/>
        <v>#N/A</v>
      </c>
    </row>
    <row r="2015" spans="2:7">
      <c r="B2015" s="67">
        <f t="shared" si="230"/>
        <v>45109</v>
      </c>
      <c r="C2015" s="7" t="e">
        <f t="shared" si="232"/>
        <v>#N/A</v>
      </c>
      <c r="D2015" s="7" t="e">
        <f t="shared" si="232"/>
        <v>#N/A</v>
      </c>
      <c r="E2015" s="7" t="e">
        <f t="shared" si="232"/>
        <v>#N/A</v>
      </c>
      <c r="F2015" s="7" t="e">
        <f t="shared" si="232"/>
        <v>#N/A</v>
      </c>
      <c r="G2015" s="7" t="e">
        <f t="shared" si="232"/>
        <v>#N/A</v>
      </c>
    </row>
    <row r="2016" spans="2:7">
      <c r="B2016" s="67">
        <f t="shared" si="230"/>
        <v>45110</v>
      </c>
      <c r="C2016" s="7" t="e">
        <f t="shared" si="232"/>
        <v>#N/A</v>
      </c>
      <c r="D2016" s="7" t="e">
        <f t="shared" si="232"/>
        <v>#N/A</v>
      </c>
      <c r="E2016" s="7" t="e">
        <f t="shared" si="232"/>
        <v>#N/A</v>
      </c>
      <c r="F2016" s="7" t="e">
        <f t="shared" si="232"/>
        <v>#N/A</v>
      </c>
      <c r="G2016" s="7" t="e">
        <f t="shared" si="232"/>
        <v>#N/A</v>
      </c>
    </row>
    <row r="2017" spans="2:7">
      <c r="B2017" s="67">
        <f t="shared" si="230"/>
        <v>45111</v>
      </c>
      <c r="C2017" s="7" t="e">
        <f t="shared" ref="C2017:G2026" si="233">IF(AND($B2017&gt;=C$3,$B2017&lt;=C$4),C$5,NA())</f>
        <v>#N/A</v>
      </c>
      <c r="D2017" s="7" t="e">
        <f t="shared" si="233"/>
        <v>#N/A</v>
      </c>
      <c r="E2017" s="7" t="e">
        <f t="shared" si="233"/>
        <v>#N/A</v>
      </c>
      <c r="F2017" s="7" t="e">
        <f t="shared" si="233"/>
        <v>#N/A</v>
      </c>
      <c r="G2017" s="7" t="e">
        <f t="shared" si="233"/>
        <v>#N/A</v>
      </c>
    </row>
    <row r="2018" spans="2:7">
      <c r="B2018" s="67">
        <f t="shared" si="230"/>
        <v>45112</v>
      </c>
      <c r="C2018" s="7" t="e">
        <f t="shared" si="233"/>
        <v>#N/A</v>
      </c>
      <c r="D2018" s="7" t="e">
        <f t="shared" si="233"/>
        <v>#N/A</v>
      </c>
      <c r="E2018" s="7" t="e">
        <f t="shared" si="233"/>
        <v>#N/A</v>
      </c>
      <c r="F2018" s="7" t="e">
        <f t="shared" si="233"/>
        <v>#N/A</v>
      </c>
      <c r="G2018" s="7" t="e">
        <f t="shared" si="233"/>
        <v>#N/A</v>
      </c>
    </row>
    <row r="2019" spans="2:7">
      <c r="B2019" s="67">
        <f t="shared" si="230"/>
        <v>45113</v>
      </c>
      <c r="C2019" s="7" t="e">
        <f t="shared" si="233"/>
        <v>#N/A</v>
      </c>
      <c r="D2019" s="7" t="e">
        <f t="shared" si="233"/>
        <v>#N/A</v>
      </c>
      <c r="E2019" s="7" t="e">
        <f t="shared" si="233"/>
        <v>#N/A</v>
      </c>
      <c r="F2019" s="7" t="e">
        <f t="shared" si="233"/>
        <v>#N/A</v>
      </c>
      <c r="G2019" s="7" t="e">
        <f t="shared" si="233"/>
        <v>#N/A</v>
      </c>
    </row>
    <row r="2020" spans="2:7">
      <c r="B2020" s="67">
        <f t="shared" si="230"/>
        <v>45114</v>
      </c>
      <c r="C2020" s="7" t="e">
        <f t="shared" si="233"/>
        <v>#N/A</v>
      </c>
      <c r="D2020" s="7" t="e">
        <f t="shared" si="233"/>
        <v>#N/A</v>
      </c>
      <c r="E2020" s="7" t="e">
        <f t="shared" si="233"/>
        <v>#N/A</v>
      </c>
      <c r="F2020" s="7" t="e">
        <f t="shared" si="233"/>
        <v>#N/A</v>
      </c>
      <c r="G2020" s="7" t="e">
        <f t="shared" si="233"/>
        <v>#N/A</v>
      </c>
    </row>
    <row r="2021" spans="2:7">
      <c r="B2021" s="67">
        <f t="shared" si="230"/>
        <v>45115</v>
      </c>
      <c r="C2021" s="7" t="e">
        <f t="shared" si="233"/>
        <v>#N/A</v>
      </c>
      <c r="D2021" s="7" t="e">
        <f t="shared" si="233"/>
        <v>#N/A</v>
      </c>
      <c r="E2021" s="7" t="e">
        <f t="shared" si="233"/>
        <v>#N/A</v>
      </c>
      <c r="F2021" s="7" t="e">
        <f t="shared" si="233"/>
        <v>#N/A</v>
      </c>
      <c r="G2021" s="7" t="e">
        <f t="shared" si="233"/>
        <v>#N/A</v>
      </c>
    </row>
    <row r="2022" spans="2:7">
      <c r="B2022" s="67">
        <f t="shared" si="230"/>
        <v>45116</v>
      </c>
      <c r="C2022" s="7" t="e">
        <f t="shared" si="233"/>
        <v>#N/A</v>
      </c>
      <c r="D2022" s="7" t="e">
        <f t="shared" si="233"/>
        <v>#N/A</v>
      </c>
      <c r="E2022" s="7" t="e">
        <f t="shared" si="233"/>
        <v>#N/A</v>
      </c>
      <c r="F2022" s="7" t="e">
        <f t="shared" si="233"/>
        <v>#N/A</v>
      </c>
      <c r="G2022" s="7" t="e">
        <f t="shared" si="233"/>
        <v>#N/A</v>
      </c>
    </row>
    <row r="2023" spans="2:7">
      <c r="B2023" s="67">
        <f t="shared" si="230"/>
        <v>45117</v>
      </c>
      <c r="C2023" s="7" t="e">
        <f t="shared" si="233"/>
        <v>#N/A</v>
      </c>
      <c r="D2023" s="7" t="e">
        <f t="shared" si="233"/>
        <v>#N/A</v>
      </c>
      <c r="E2023" s="7" t="e">
        <f t="shared" si="233"/>
        <v>#N/A</v>
      </c>
      <c r="F2023" s="7" t="e">
        <f t="shared" si="233"/>
        <v>#N/A</v>
      </c>
      <c r="G2023" s="7" t="e">
        <f t="shared" si="233"/>
        <v>#N/A</v>
      </c>
    </row>
    <row r="2024" spans="2:7">
      <c r="B2024" s="67">
        <f t="shared" si="230"/>
        <v>45118</v>
      </c>
      <c r="C2024" s="7" t="e">
        <f t="shared" si="233"/>
        <v>#N/A</v>
      </c>
      <c r="D2024" s="7" t="e">
        <f t="shared" si="233"/>
        <v>#N/A</v>
      </c>
      <c r="E2024" s="7" t="e">
        <f t="shared" si="233"/>
        <v>#N/A</v>
      </c>
      <c r="F2024" s="7" t="e">
        <f t="shared" si="233"/>
        <v>#N/A</v>
      </c>
      <c r="G2024" s="7" t="e">
        <f t="shared" si="233"/>
        <v>#N/A</v>
      </c>
    </row>
    <row r="2025" spans="2:7">
      <c r="B2025" s="67">
        <f t="shared" si="230"/>
        <v>45119</v>
      </c>
      <c r="C2025" s="7" t="e">
        <f t="shared" si="233"/>
        <v>#N/A</v>
      </c>
      <c r="D2025" s="7" t="e">
        <f t="shared" si="233"/>
        <v>#N/A</v>
      </c>
      <c r="E2025" s="7" t="e">
        <f t="shared" si="233"/>
        <v>#N/A</v>
      </c>
      <c r="F2025" s="7" t="e">
        <f t="shared" si="233"/>
        <v>#N/A</v>
      </c>
      <c r="G2025" s="7" t="e">
        <f t="shared" si="233"/>
        <v>#N/A</v>
      </c>
    </row>
    <row r="2026" spans="2:7">
      <c r="B2026" s="67">
        <f t="shared" si="230"/>
        <v>45120</v>
      </c>
      <c r="C2026" s="7" t="e">
        <f t="shared" si="233"/>
        <v>#N/A</v>
      </c>
      <c r="D2026" s="7" t="e">
        <f t="shared" si="233"/>
        <v>#N/A</v>
      </c>
      <c r="E2026" s="7" t="e">
        <f t="shared" si="233"/>
        <v>#N/A</v>
      </c>
      <c r="F2026" s="7" t="e">
        <f t="shared" si="233"/>
        <v>#N/A</v>
      </c>
      <c r="G2026" s="7" t="e">
        <f t="shared" si="233"/>
        <v>#N/A</v>
      </c>
    </row>
    <row r="2027" spans="2:7">
      <c r="B2027" s="67">
        <f t="shared" si="230"/>
        <v>45121</v>
      </c>
      <c r="C2027" s="7" t="e">
        <f t="shared" ref="C2027:G2036" si="234">IF(AND($B2027&gt;=C$3,$B2027&lt;=C$4),C$5,NA())</f>
        <v>#N/A</v>
      </c>
      <c r="D2027" s="7" t="e">
        <f t="shared" si="234"/>
        <v>#N/A</v>
      </c>
      <c r="E2027" s="7" t="e">
        <f t="shared" si="234"/>
        <v>#N/A</v>
      </c>
      <c r="F2027" s="7" t="e">
        <f t="shared" si="234"/>
        <v>#N/A</v>
      </c>
      <c r="G2027" s="7" t="e">
        <f t="shared" si="234"/>
        <v>#N/A</v>
      </c>
    </row>
    <row r="2028" spans="2:7">
      <c r="B2028" s="67">
        <f t="shared" si="230"/>
        <v>45122</v>
      </c>
      <c r="C2028" s="7" t="e">
        <f t="shared" si="234"/>
        <v>#N/A</v>
      </c>
      <c r="D2028" s="7" t="e">
        <f t="shared" si="234"/>
        <v>#N/A</v>
      </c>
      <c r="E2028" s="7" t="e">
        <f t="shared" si="234"/>
        <v>#N/A</v>
      </c>
      <c r="F2028" s="7" t="e">
        <f t="shared" si="234"/>
        <v>#N/A</v>
      </c>
      <c r="G2028" s="7" t="e">
        <f t="shared" si="234"/>
        <v>#N/A</v>
      </c>
    </row>
    <row r="2029" spans="2:7">
      <c r="B2029" s="67">
        <f t="shared" si="230"/>
        <v>45123</v>
      </c>
      <c r="C2029" s="7" t="e">
        <f t="shared" si="234"/>
        <v>#N/A</v>
      </c>
      <c r="D2029" s="7" t="e">
        <f t="shared" si="234"/>
        <v>#N/A</v>
      </c>
      <c r="E2029" s="7" t="e">
        <f t="shared" si="234"/>
        <v>#N/A</v>
      </c>
      <c r="F2029" s="7" t="e">
        <f t="shared" si="234"/>
        <v>#N/A</v>
      </c>
      <c r="G2029" s="7" t="e">
        <f t="shared" si="234"/>
        <v>#N/A</v>
      </c>
    </row>
    <row r="2030" spans="2:7">
      <c r="B2030" s="67">
        <f t="shared" si="230"/>
        <v>45124</v>
      </c>
      <c r="C2030" s="7" t="e">
        <f t="shared" si="234"/>
        <v>#N/A</v>
      </c>
      <c r="D2030" s="7" t="e">
        <f t="shared" si="234"/>
        <v>#N/A</v>
      </c>
      <c r="E2030" s="7" t="e">
        <f t="shared" si="234"/>
        <v>#N/A</v>
      </c>
      <c r="F2030" s="7" t="e">
        <f t="shared" si="234"/>
        <v>#N/A</v>
      </c>
      <c r="G2030" s="7" t="e">
        <f t="shared" si="234"/>
        <v>#N/A</v>
      </c>
    </row>
    <row r="2031" spans="2:7">
      <c r="B2031" s="67">
        <f t="shared" si="230"/>
        <v>45125</v>
      </c>
      <c r="C2031" s="7" t="e">
        <f t="shared" si="234"/>
        <v>#N/A</v>
      </c>
      <c r="D2031" s="7" t="e">
        <f t="shared" si="234"/>
        <v>#N/A</v>
      </c>
      <c r="E2031" s="7" t="e">
        <f t="shared" si="234"/>
        <v>#N/A</v>
      </c>
      <c r="F2031" s="7" t="e">
        <f t="shared" si="234"/>
        <v>#N/A</v>
      </c>
      <c r="G2031" s="7" t="e">
        <f t="shared" si="234"/>
        <v>#N/A</v>
      </c>
    </row>
    <row r="2032" spans="2:7">
      <c r="B2032" s="67">
        <f t="shared" si="230"/>
        <v>45126</v>
      </c>
      <c r="C2032" s="7" t="e">
        <f t="shared" si="234"/>
        <v>#N/A</v>
      </c>
      <c r="D2032" s="7" t="e">
        <f t="shared" si="234"/>
        <v>#N/A</v>
      </c>
      <c r="E2032" s="7" t="e">
        <f t="shared" si="234"/>
        <v>#N/A</v>
      </c>
      <c r="F2032" s="7" t="e">
        <f t="shared" si="234"/>
        <v>#N/A</v>
      </c>
      <c r="G2032" s="7" t="e">
        <f t="shared" si="234"/>
        <v>#N/A</v>
      </c>
    </row>
    <row r="2033" spans="2:7">
      <c r="B2033" s="67">
        <f t="shared" si="230"/>
        <v>45127</v>
      </c>
      <c r="C2033" s="7" t="e">
        <f t="shared" si="234"/>
        <v>#N/A</v>
      </c>
      <c r="D2033" s="7" t="e">
        <f t="shared" si="234"/>
        <v>#N/A</v>
      </c>
      <c r="E2033" s="7" t="e">
        <f t="shared" si="234"/>
        <v>#N/A</v>
      </c>
      <c r="F2033" s="7" t="e">
        <f t="shared" si="234"/>
        <v>#N/A</v>
      </c>
      <c r="G2033" s="7" t="e">
        <f t="shared" si="234"/>
        <v>#N/A</v>
      </c>
    </row>
    <row r="2034" spans="2:7">
      <c r="B2034" s="67">
        <f t="shared" si="230"/>
        <v>45128</v>
      </c>
      <c r="C2034" s="7" t="e">
        <f t="shared" si="234"/>
        <v>#N/A</v>
      </c>
      <c r="D2034" s="7" t="e">
        <f t="shared" si="234"/>
        <v>#N/A</v>
      </c>
      <c r="E2034" s="7" t="e">
        <f t="shared" si="234"/>
        <v>#N/A</v>
      </c>
      <c r="F2034" s="7" t="e">
        <f t="shared" si="234"/>
        <v>#N/A</v>
      </c>
      <c r="G2034" s="7" t="e">
        <f t="shared" si="234"/>
        <v>#N/A</v>
      </c>
    </row>
    <row r="2035" spans="2:7">
      <c r="B2035" s="67">
        <f t="shared" si="230"/>
        <v>45129</v>
      </c>
      <c r="C2035" s="7" t="e">
        <f t="shared" si="234"/>
        <v>#N/A</v>
      </c>
      <c r="D2035" s="7" t="e">
        <f t="shared" si="234"/>
        <v>#N/A</v>
      </c>
      <c r="E2035" s="7" t="e">
        <f t="shared" si="234"/>
        <v>#N/A</v>
      </c>
      <c r="F2035" s="7" t="e">
        <f t="shared" si="234"/>
        <v>#N/A</v>
      </c>
      <c r="G2035" s="7" t="e">
        <f t="shared" si="234"/>
        <v>#N/A</v>
      </c>
    </row>
    <row r="2036" spans="2:7">
      <c r="B2036" s="67">
        <f t="shared" si="230"/>
        <v>45130</v>
      </c>
      <c r="C2036" s="7" t="e">
        <f t="shared" si="234"/>
        <v>#N/A</v>
      </c>
      <c r="D2036" s="7" t="e">
        <f t="shared" si="234"/>
        <v>#N/A</v>
      </c>
      <c r="E2036" s="7" t="e">
        <f t="shared" si="234"/>
        <v>#N/A</v>
      </c>
      <c r="F2036" s="7" t="e">
        <f t="shared" si="234"/>
        <v>#N/A</v>
      </c>
      <c r="G2036" s="7" t="e">
        <f t="shared" si="234"/>
        <v>#N/A</v>
      </c>
    </row>
    <row r="2037" spans="2:7">
      <c r="B2037" s="67">
        <f t="shared" si="230"/>
        <v>45131</v>
      </c>
      <c r="C2037" s="7" t="e">
        <f t="shared" ref="C2037:G2046" si="235">IF(AND($B2037&gt;=C$3,$B2037&lt;=C$4),C$5,NA())</f>
        <v>#N/A</v>
      </c>
      <c r="D2037" s="7" t="e">
        <f t="shared" si="235"/>
        <v>#N/A</v>
      </c>
      <c r="E2037" s="7" t="e">
        <f t="shared" si="235"/>
        <v>#N/A</v>
      </c>
      <c r="F2037" s="7" t="e">
        <f t="shared" si="235"/>
        <v>#N/A</v>
      </c>
      <c r="G2037" s="7" t="e">
        <f t="shared" si="235"/>
        <v>#N/A</v>
      </c>
    </row>
    <row r="2038" spans="2:7">
      <c r="B2038" s="67">
        <f t="shared" si="230"/>
        <v>45132</v>
      </c>
      <c r="C2038" s="7" t="e">
        <f t="shared" si="235"/>
        <v>#N/A</v>
      </c>
      <c r="D2038" s="7" t="e">
        <f t="shared" si="235"/>
        <v>#N/A</v>
      </c>
      <c r="E2038" s="7" t="e">
        <f t="shared" si="235"/>
        <v>#N/A</v>
      </c>
      <c r="F2038" s="7" t="e">
        <f t="shared" si="235"/>
        <v>#N/A</v>
      </c>
      <c r="G2038" s="7" t="e">
        <f t="shared" si="235"/>
        <v>#N/A</v>
      </c>
    </row>
    <row r="2039" spans="2:7">
      <c r="B2039" s="67">
        <f t="shared" si="230"/>
        <v>45133</v>
      </c>
      <c r="C2039" s="7" t="e">
        <f t="shared" si="235"/>
        <v>#N/A</v>
      </c>
      <c r="D2039" s="7" t="e">
        <f t="shared" si="235"/>
        <v>#N/A</v>
      </c>
      <c r="E2039" s="7" t="e">
        <f t="shared" si="235"/>
        <v>#N/A</v>
      </c>
      <c r="F2039" s="7" t="e">
        <f t="shared" si="235"/>
        <v>#N/A</v>
      </c>
      <c r="G2039" s="7" t="e">
        <f t="shared" si="235"/>
        <v>#N/A</v>
      </c>
    </row>
    <row r="2040" spans="2:7">
      <c r="B2040" s="67">
        <f t="shared" si="230"/>
        <v>45134</v>
      </c>
      <c r="C2040" s="7" t="e">
        <f t="shared" si="235"/>
        <v>#N/A</v>
      </c>
      <c r="D2040" s="7" t="e">
        <f t="shared" si="235"/>
        <v>#N/A</v>
      </c>
      <c r="E2040" s="7" t="e">
        <f t="shared" si="235"/>
        <v>#N/A</v>
      </c>
      <c r="F2040" s="7" t="e">
        <f t="shared" si="235"/>
        <v>#N/A</v>
      </c>
      <c r="G2040" s="7" t="e">
        <f t="shared" si="235"/>
        <v>#N/A</v>
      </c>
    </row>
    <row r="2041" spans="2:7">
      <c r="B2041" s="67">
        <f t="shared" si="230"/>
        <v>45135</v>
      </c>
      <c r="C2041" s="7" t="e">
        <f t="shared" si="235"/>
        <v>#N/A</v>
      </c>
      <c r="D2041" s="7" t="e">
        <f t="shared" si="235"/>
        <v>#N/A</v>
      </c>
      <c r="E2041" s="7" t="e">
        <f t="shared" si="235"/>
        <v>#N/A</v>
      </c>
      <c r="F2041" s="7" t="e">
        <f t="shared" si="235"/>
        <v>#N/A</v>
      </c>
      <c r="G2041" s="7" t="e">
        <f t="shared" si="235"/>
        <v>#N/A</v>
      </c>
    </row>
    <row r="2042" spans="2:7">
      <c r="B2042" s="67">
        <f t="shared" si="230"/>
        <v>45136</v>
      </c>
      <c r="C2042" s="7" t="e">
        <f t="shared" si="235"/>
        <v>#N/A</v>
      </c>
      <c r="D2042" s="7" t="e">
        <f t="shared" si="235"/>
        <v>#N/A</v>
      </c>
      <c r="E2042" s="7" t="e">
        <f t="shared" si="235"/>
        <v>#N/A</v>
      </c>
      <c r="F2042" s="7" t="e">
        <f t="shared" si="235"/>
        <v>#N/A</v>
      </c>
      <c r="G2042" s="7" t="e">
        <f t="shared" si="235"/>
        <v>#N/A</v>
      </c>
    </row>
    <row r="2043" spans="2:7">
      <c r="B2043" s="67">
        <f t="shared" si="230"/>
        <v>45137</v>
      </c>
      <c r="C2043" s="7" t="e">
        <f t="shared" si="235"/>
        <v>#N/A</v>
      </c>
      <c r="D2043" s="7" t="e">
        <f t="shared" si="235"/>
        <v>#N/A</v>
      </c>
      <c r="E2043" s="7" t="e">
        <f t="shared" si="235"/>
        <v>#N/A</v>
      </c>
      <c r="F2043" s="7" t="e">
        <f t="shared" si="235"/>
        <v>#N/A</v>
      </c>
      <c r="G2043" s="7" t="e">
        <f t="shared" si="235"/>
        <v>#N/A</v>
      </c>
    </row>
    <row r="2044" spans="2:7">
      <c r="B2044" s="67">
        <f t="shared" si="230"/>
        <v>45138</v>
      </c>
      <c r="C2044" s="7" t="e">
        <f t="shared" si="235"/>
        <v>#N/A</v>
      </c>
      <c r="D2044" s="7" t="e">
        <f t="shared" si="235"/>
        <v>#N/A</v>
      </c>
      <c r="E2044" s="7" t="e">
        <f t="shared" si="235"/>
        <v>#N/A</v>
      </c>
      <c r="F2044" s="7" t="e">
        <f t="shared" si="235"/>
        <v>#N/A</v>
      </c>
      <c r="G2044" s="7" t="e">
        <f t="shared" si="235"/>
        <v>#N/A</v>
      </c>
    </row>
    <row r="2045" spans="2:7">
      <c r="B2045" s="67">
        <f t="shared" si="230"/>
        <v>45139</v>
      </c>
      <c r="C2045" s="7" t="e">
        <f t="shared" si="235"/>
        <v>#N/A</v>
      </c>
      <c r="D2045" s="7" t="e">
        <f t="shared" si="235"/>
        <v>#N/A</v>
      </c>
      <c r="E2045" s="7" t="e">
        <f t="shared" si="235"/>
        <v>#N/A</v>
      </c>
      <c r="F2045" s="7" t="e">
        <f t="shared" si="235"/>
        <v>#N/A</v>
      </c>
      <c r="G2045" s="7" t="e">
        <f t="shared" si="235"/>
        <v>#N/A</v>
      </c>
    </row>
    <row r="2046" spans="2:7">
      <c r="B2046" s="67">
        <f t="shared" si="230"/>
        <v>45140</v>
      </c>
      <c r="C2046" s="7" t="e">
        <f t="shared" si="235"/>
        <v>#N/A</v>
      </c>
      <c r="D2046" s="7" t="e">
        <f t="shared" si="235"/>
        <v>#N/A</v>
      </c>
      <c r="E2046" s="7" t="e">
        <f t="shared" si="235"/>
        <v>#N/A</v>
      </c>
      <c r="F2046" s="7" t="e">
        <f t="shared" si="235"/>
        <v>#N/A</v>
      </c>
      <c r="G2046" s="7" t="e">
        <f t="shared" si="235"/>
        <v>#N/A</v>
      </c>
    </row>
    <row r="2047" spans="2:7">
      <c r="B2047" s="67">
        <f t="shared" si="230"/>
        <v>45141</v>
      </c>
      <c r="C2047" s="7" t="e">
        <f t="shared" ref="C2047:G2056" si="236">IF(AND($B2047&gt;=C$3,$B2047&lt;=C$4),C$5,NA())</f>
        <v>#N/A</v>
      </c>
      <c r="D2047" s="7" t="e">
        <f t="shared" si="236"/>
        <v>#N/A</v>
      </c>
      <c r="E2047" s="7" t="e">
        <f t="shared" si="236"/>
        <v>#N/A</v>
      </c>
      <c r="F2047" s="7" t="e">
        <f t="shared" si="236"/>
        <v>#N/A</v>
      </c>
      <c r="G2047" s="7" t="e">
        <f t="shared" si="236"/>
        <v>#N/A</v>
      </c>
    </row>
    <row r="2048" spans="2:7">
      <c r="B2048" s="67">
        <f t="shared" si="230"/>
        <v>45142</v>
      </c>
      <c r="C2048" s="7" t="e">
        <f t="shared" si="236"/>
        <v>#N/A</v>
      </c>
      <c r="D2048" s="7" t="e">
        <f t="shared" si="236"/>
        <v>#N/A</v>
      </c>
      <c r="E2048" s="7" t="e">
        <f t="shared" si="236"/>
        <v>#N/A</v>
      </c>
      <c r="F2048" s="7" t="e">
        <f t="shared" si="236"/>
        <v>#N/A</v>
      </c>
      <c r="G2048" s="7" t="e">
        <f t="shared" si="236"/>
        <v>#N/A</v>
      </c>
    </row>
    <row r="2049" spans="2:7">
      <c r="B2049" s="67">
        <f t="shared" si="230"/>
        <v>45143</v>
      </c>
      <c r="C2049" s="7" t="e">
        <f t="shared" si="236"/>
        <v>#N/A</v>
      </c>
      <c r="D2049" s="7" t="e">
        <f t="shared" si="236"/>
        <v>#N/A</v>
      </c>
      <c r="E2049" s="7" t="e">
        <f t="shared" si="236"/>
        <v>#N/A</v>
      </c>
      <c r="F2049" s="7" t="e">
        <f t="shared" si="236"/>
        <v>#N/A</v>
      </c>
      <c r="G2049" s="7" t="e">
        <f t="shared" si="236"/>
        <v>#N/A</v>
      </c>
    </row>
    <row r="2050" spans="2:7">
      <c r="B2050" s="67">
        <f t="shared" si="230"/>
        <v>45144</v>
      </c>
      <c r="C2050" s="7" t="e">
        <f t="shared" si="236"/>
        <v>#N/A</v>
      </c>
      <c r="D2050" s="7" t="e">
        <f t="shared" si="236"/>
        <v>#N/A</v>
      </c>
      <c r="E2050" s="7" t="e">
        <f t="shared" si="236"/>
        <v>#N/A</v>
      </c>
      <c r="F2050" s="7" t="e">
        <f t="shared" si="236"/>
        <v>#N/A</v>
      </c>
      <c r="G2050" s="7" t="e">
        <f t="shared" si="236"/>
        <v>#N/A</v>
      </c>
    </row>
    <row r="2051" spans="2:7">
      <c r="B2051" s="67">
        <f t="shared" si="230"/>
        <v>45145</v>
      </c>
      <c r="C2051" s="7" t="e">
        <f t="shared" si="236"/>
        <v>#N/A</v>
      </c>
      <c r="D2051" s="7" t="e">
        <f t="shared" si="236"/>
        <v>#N/A</v>
      </c>
      <c r="E2051" s="7" t="e">
        <f t="shared" si="236"/>
        <v>#N/A</v>
      </c>
      <c r="F2051" s="7" t="e">
        <f t="shared" si="236"/>
        <v>#N/A</v>
      </c>
      <c r="G2051" s="7" t="e">
        <f t="shared" si="236"/>
        <v>#N/A</v>
      </c>
    </row>
    <row r="2052" spans="2:7">
      <c r="B2052" s="67">
        <f t="shared" si="230"/>
        <v>45146</v>
      </c>
      <c r="C2052" s="7" t="e">
        <f t="shared" si="236"/>
        <v>#N/A</v>
      </c>
      <c r="D2052" s="7" t="e">
        <f t="shared" si="236"/>
        <v>#N/A</v>
      </c>
      <c r="E2052" s="7" t="e">
        <f t="shared" si="236"/>
        <v>#N/A</v>
      </c>
      <c r="F2052" s="7" t="e">
        <f t="shared" si="236"/>
        <v>#N/A</v>
      </c>
      <c r="G2052" s="7" t="e">
        <f t="shared" si="236"/>
        <v>#N/A</v>
      </c>
    </row>
    <row r="2053" spans="2:7">
      <c r="B2053" s="67">
        <f t="shared" si="230"/>
        <v>45147</v>
      </c>
      <c r="C2053" s="7" t="e">
        <f t="shared" si="236"/>
        <v>#N/A</v>
      </c>
      <c r="D2053" s="7" t="e">
        <f t="shared" si="236"/>
        <v>#N/A</v>
      </c>
      <c r="E2053" s="7" t="e">
        <f t="shared" si="236"/>
        <v>#N/A</v>
      </c>
      <c r="F2053" s="7" t="e">
        <f t="shared" si="236"/>
        <v>#N/A</v>
      </c>
      <c r="G2053" s="7" t="e">
        <f t="shared" si="236"/>
        <v>#N/A</v>
      </c>
    </row>
    <row r="2054" spans="2:7">
      <c r="B2054" s="67">
        <f t="shared" si="230"/>
        <v>45148</v>
      </c>
      <c r="C2054" s="7" t="e">
        <f t="shared" si="236"/>
        <v>#N/A</v>
      </c>
      <c r="D2054" s="7" t="e">
        <f t="shared" si="236"/>
        <v>#N/A</v>
      </c>
      <c r="E2054" s="7" t="e">
        <f t="shared" si="236"/>
        <v>#N/A</v>
      </c>
      <c r="F2054" s="7" t="e">
        <f t="shared" si="236"/>
        <v>#N/A</v>
      </c>
      <c r="G2054" s="7" t="e">
        <f t="shared" si="236"/>
        <v>#N/A</v>
      </c>
    </row>
    <row r="2055" spans="2:7">
      <c r="B2055" s="67">
        <f t="shared" si="230"/>
        <v>45149</v>
      </c>
      <c r="C2055" s="7" t="e">
        <f t="shared" si="236"/>
        <v>#N/A</v>
      </c>
      <c r="D2055" s="7" t="e">
        <f t="shared" si="236"/>
        <v>#N/A</v>
      </c>
      <c r="E2055" s="7" t="e">
        <f t="shared" si="236"/>
        <v>#N/A</v>
      </c>
      <c r="F2055" s="7" t="e">
        <f t="shared" si="236"/>
        <v>#N/A</v>
      </c>
      <c r="G2055" s="7" t="e">
        <f t="shared" si="236"/>
        <v>#N/A</v>
      </c>
    </row>
    <row r="2056" spans="2:7">
      <c r="B2056" s="67">
        <f t="shared" ref="B2056:B2119" si="237">B2055+1</f>
        <v>45150</v>
      </c>
      <c r="C2056" s="7" t="e">
        <f t="shared" si="236"/>
        <v>#N/A</v>
      </c>
      <c r="D2056" s="7" t="e">
        <f t="shared" si="236"/>
        <v>#N/A</v>
      </c>
      <c r="E2056" s="7" t="e">
        <f t="shared" si="236"/>
        <v>#N/A</v>
      </c>
      <c r="F2056" s="7" t="e">
        <f t="shared" si="236"/>
        <v>#N/A</v>
      </c>
      <c r="G2056" s="7" t="e">
        <f t="shared" si="236"/>
        <v>#N/A</v>
      </c>
    </row>
    <row r="2057" spans="2:7">
      <c r="B2057" s="67">
        <f t="shared" si="237"/>
        <v>45151</v>
      </c>
      <c r="C2057" s="7" t="e">
        <f t="shared" ref="C2057:G2066" si="238">IF(AND($B2057&gt;=C$3,$B2057&lt;=C$4),C$5,NA())</f>
        <v>#N/A</v>
      </c>
      <c r="D2057" s="7" t="e">
        <f t="shared" si="238"/>
        <v>#N/A</v>
      </c>
      <c r="E2057" s="7" t="e">
        <f t="shared" si="238"/>
        <v>#N/A</v>
      </c>
      <c r="F2057" s="7" t="e">
        <f t="shared" si="238"/>
        <v>#N/A</v>
      </c>
      <c r="G2057" s="7" t="e">
        <f t="shared" si="238"/>
        <v>#N/A</v>
      </c>
    </row>
    <row r="2058" spans="2:7">
      <c r="B2058" s="67">
        <f t="shared" si="237"/>
        <v>45152</v>
      </c>
      <c r="C2058" s="7" t="e">
        <f t="shared" si="238"/>
        <v>#N/A</v>
      </c>
      <c r="D2058" s="7" t="e">
        <f t="shared" si="238"/>
        <v>#N/A</v>
      </c>
      <c r="E2058" s="7" t="e">
        <f t="shared" si="238"/>
        <v>#N/A</v>
      </c>
      <c r="F2058" s="7" t="e">
        <f t="shared" si="238"/>
        <v>#N/A</v>
      </c>
      <c r="G2058" s="7" t="e">
        <f t="shared" si="238"/>
        <v>#N/A</v>
      </c>
    </row>
    <row r="2059" spans="2:7">
      <c r="B2059" s="67">
        <f t="shared" si="237"/>
        <v>45153</v>
      </c>
      <c r="C2059" s="7" t="e">
        <f t="shared" si="238"/>
        <v>#N/A</v>
      </c>
      <c r="D2059" s="7" t="e">
        <f t="shared" si="238"/>
        <v>#N/A</v>
      </c>
      <c r="E2059" s="7" t="e">
        <f t="shared" si="238"/>
        <v>#N/A</v>
      </c>
      <c r="F2059" s="7" t="e">
        <f t="shared" si="238"/>
        <v>#N/A</v>
      </c>
      <c r="G2059" s="7" t="e">
        <f t="shared" si="238"/>
        <v>#N/A</v>
      </c>
    </row>
    <row r="2060" spans="2:7">
      <c r="B2060" s="67">
        <f t="shared" si="237"/>
        <v>45154</v>
      </c>
      <c r="C2060" s="7" t="e">
        <f t="shared" si="238"/>
        <v>#N/A</v>
      </c>
      <c r="D2060" s="7" t="e">
        <f t="shared" si="238"/>
        <v>#N/A</v>
      </c>
      <c r="E2060" s="7" t="e">
        <f t="shared" si="238"/>
        <v>#N/A</v>
      </c>
      <c r="F2060" s="7" t="e">
        <f t="shared" si="238"/>
        <v>#N/A</v>
      </c>
      <c r="G2060" s="7" t="e">
        <f t="shared" si="238"/>
        <v>#N/A</v>
      </c>
    </row>
    <row r="2061" spans="2:7">
      <c r="B2061" s="67">
        <f t="shared" si="237"/>
        <v>45155</v>
      </c>
      <c r="C2061" s="7" t="e">
        <f t="shared" si="238"/>
        <v>#N/A</v>
      </c>
      <c r="D2061" s="7" t="e">
        <f t="shared" si="238"/>
        <v>#N/A</v>
      </c>
      <c r="E2061" s="7" t="e">
        <f t="shared" si="238"/>
        <v>#N/A</v>
      </c>
      <c r="F2061" s="7" t="e">
        <f t="shared" si="238"/>
        <v>#N/A</v>
      </c>
      <c r="G2061" s="7" t="e">
        <f t="shared" si="238"/>
        <v>#N/A</v>
      </c>
    </row>
    <row r="2062" spans="2:7">
      <c r="B2062" s="67">
        <f t="shared" si="237"/>
        <v>45156</v>
      </c>
      <c r="C2062" s="7" t="e">
        <f t="shared" si="238"/>
        <v>#N/A</v>
      </c>
      <c r="D2062" s="7" t="e">
        <f t="shared" si="238"/>
        <v>#N/A</v>
      </c>
      <c r="E2062" s="7" t="e">
        <f t="shared" si="238"/>
        <v>#N/A</v>
      </c>
      <c r="F2062" s="7" t="e">
        <f t="shared" si="238"/>
        <v>#N/A</v>
      </c>
      <c r="G2062" s="7" t="e">
        <f t="shared" si="238"/>
        <v>#N/A</v>
      </c>
    </row>
    <row r="2063" spans="2:7">
      <c r="B2063" s="67">
        <f t="shared" si="237"/>
        <v>45157</v>
      </c>
      <c r="C2063" s="7" t="e">
        <f t="shared" si="238"/>
        <v>#N/A</v>
      </c>
      <c r="D2063" s="7" t="e">
        <f t="shared" si="238"/>
        <v>#N/A</v>
      </c>
      <c r="E2063" s="7" t="e">
        <f t="shared" si="238"/>
        <v>#N/A</v>
      </c>
      <c r="F2063" s="7" t="e">
        <f t="shared" si="238"/>
        <v>#N/A</v>
      </c>
      <c r="G2063" s="7" t="e">
        <f t="shared" si="238"/>
        <v>#N/A</v>
      </c>
    </row>
    <row r="2064" spans="2:7">
      <c r="B2064" s="67">
        <f t="shared" si="237"/>
        <v>45158</v>
      </c>
      <c r="C2064" s="7" t="e">
        <f t="shared" si="238"/>
        <v>#N/A</v>
      </c>
      <c r="D2064" s="7" t="e">
        <f t="shared" si="238"/>
        <v>#N/A</v>
      </c>
      <c r="E2064" s="7" t="e">
        <f t="shared" si="238"/>
        <v>#N/A</v>
      </c>
      <c r="F2064" s="7" t="e">
        <f t="shared" si="238"/>
        <v>#N/A</v>
      </c>
      <c r="G2064" s="7" t="e">
        <f t="shared" si="238"/>
        <v>#N/A</v>
      </c>
    </row>
    <row r="2065" spans="2:7">
      <c r="B2065" s="67">
        <f t="shared" si="237"/>
        <v>45159</v>
      </c>
      <c r="C2065" s="7" t="e">
        <f t="shared" si="238"/>
        <v>#N/A</v>
      </c>
      <c r="D2065" s="7" t="e">
        <f t="shared" si="238"/>
        <v>#N/A</v>
      </c>
      <c r="E2065" s="7" t="e">
        <f t="shared" si="238"/>
        <v>#N/A</v>
      </c>
      <c r="F2065" s="7" t="e">
        <f t="shared" si="238"/>
        <v>#N/A</v>
      </c>
      <c r="G2065" s="7" t="e">
        <f t="shared" si="238"/>
        <v>#N/A</v>
      </c>
    </row>
    <row r="2066" spans="2:7">
      <c r="B2066" s="67">
        <f t="shared" si="237"/>
        <v>45160</v>
      </c>
      <c r="C2066" s="7" t="e">
        <f t="shared" si="238"/>
        <v>#N/A</v>
      </c>
      <c r="D2066" s="7" t="e">
        <f t="shared" si="238"/>
        <v>#N/A</v>
      </c>
      <c r="E2066" s="7" t="e">
        <f t="shared" si="238"/>
        <v>#N/A</v>
      </c>
      <c r="F2066" s="7" t="e">
        <f t="shared" si="238"/>
        <v>#N/A</v>
      </c>
      <c r="G2066" s="7" t="e">
        <f t="shared" si="238"/>
        <v>#N/A</v>
      </c>
    </row>
    <row r="2067" spans="2:7">
      <c r="B2067" s="67">
        <f t="shared" si="237"/>
        <v>45161</v>
      </c>
      <c r="C2067" s="7" t="e">
        <f t="shared" ref="C2067:G2076" si="239">IF(AND($B2067&gt;=C$3,$B2067&lt;=C$4),C$5,NA())</f>
        <v>#N/A</v>
      </c>
      <c r="D2067" s="7" t="e">
        <f t="shared" si="239"/>
        <v>#N/A</v>
      </c>
      <c r="E2067" s="7" t="e">
        <f t="shared" si="239"/>
        <v>#N/A</v>
      </c>
      <c r="F2067" s="7" t="e">
        <f t="shared" si="239"/>
        <v>#N/A</v>
      </c>
      <c r="G2067" s="7" t="e">
        <f t="shared" si="239"/>
        <v>#N/A</v>
      </c>
    </row>
    <row r="2068" spans="2:7">
      <c r="B2068" s="67">
        <f t="shared" si="237"/>
        <v>45162</v>
      </c>
      <c r="C2068" s="7" t="e">
        <f t="shared" si="239"/>
        <v>#N/A</v>
      </c>
      <c r="D2068" s="7" t="e">
        <f t="shared" si="239"/>
        <v>#N/A</v>
      </c>
      <c r="E2068" s="7" t="e">
        <f t="shared" si="239"/>
        <v>#N/A</v>
      </c>
      <c r="F2068" s="7" t="e">
        <f t="shared" si="239"/>
        <v>#N/A</v>
      </c>
      <c r="G2068" s="7" t="e">
        <f t="shared" si="239"/>
        <v>#N/A</v>
      </c>
    </row>
    <row r="2069" spans="2:7">
      <c r="B2069" s="67">
        <f t="shared" si="237"/>
        <v>45163</v>
      </c>
      <c r="C2069" s="7" t="e">
        <f t="shared" si="239"/>
        <v>#N/A</v>
      </c>
      <c r="D2069" s="7" t="e">
        <f t="shared" si="239"/>
        <v>#N/A</v>
      </c>
      <c r="E2069" s="7" t="e">
        <f t="shared" si="239"/>
        <v>#N/A</v>
      </c>
      <c r="F2069" s="7" t="e">
        <f t="shared" si="239"/>
        <v>#N/A</v>
      </c>
      <c r="G2069" s="7" t="e">
        <f t="shared" si="239"/>
        <v>#N/A</v>
      </c>
    </row>
    <row r="2070" spans="2:7">
      <c r="B2070" s="67">
        <f t="shared" si="237"/>
        <v>45164</v>
      </c>
      <c r="C2070" s="7" t="e">
        <f t="shared" si="239"/>
        <v>#N/A</v>
      </c>
      <c r="D2070" s="7" t="e">
        <f t="shared" si="239"/>
        <v>#N/A</v>
      </c>
      <c r="E2070" s="7" t="e">
        <f t="shared" si="239"/>
        <v>#N/A</v>
      </c>
      <c r="F2070" s="7" t="e">
        <f t="shared" si="239"/>
        <v>#N/A</v>
      </c>
      <c r="G2070" s="7" t="e">
        <f t="shared" si="239"/>
        <v>#N/A</v>
      </c>
    </row>
    <row r="2071" spans="2:7">
      <c r="B2071" s="67">
        <f t="shared" si="237"/>
        <v>45165</v>
      </c>
      <c r="C2071" s="7" t="e">
        <f t="shared" si="239"/>
        <v>#N/A</v>
      </c>
      <c r="D2071" s="7" t="e">
        <f t="shared" si="239"/>
        <v>#N/A</v>
      </c>
      <c r="E2071" s="7" t="e">
        <f t="shared" si="239"/>
        <v>#N/A</v>
      </c>
      <c r="F2071" s="7" t="e">
        <f t="shared" si="239"/>
        <v>#N/A</v>
      </c>
      <c r="G2071" s="7" t="e">
        <f t="shared" si="239"/>
        <v>#N/A</v>
      </c>
    </row>
    <row r="2072" spans="2:7">
      <c r="B2072" s="67">
        <f t="shared" si="237"/>
        <v>45166</v>
      </c>
      <c r="C2072" s="7" t="e">
        <f t="shared" si="239"/>
        <v>#N/A</v>
      </c>
      <c r="D2072" s="7" t="e">
        <f t="shared" si="239"/>
        <v>#N/A</v>
      </c>
      <c r="E2072" s="7" t="e">
        <f t="shared" si="239"/>
        <v>#N/A</v>
      </c>
      <c r="F2072" s="7" t="e">
        <f t="shared" si="239"/>
        <v>#N/A</v>
      </c>
      <c r="G2072" s="7" t="e">
        <f t="shared" si="239"/>
        <v>#N/A</v>
      </c>
    </row>
    <row r="2073" spans="2:7">
      <c r="B2073" s="67">
        <f t="shared" si="237"/>
        <v>45167</v>
      </c>
      <c r="C2073" s="7" t="e">
        <f t="shared" si="239"/>
        <v>#N/A</v>
      </c>
      <c r="D2073" s="7" t="e">
        <f t="shared" si="239"/>
        <v>#N/A</v>
      </c>
      <c r="E2073" s="7" t="e">
        <f t="shared" si="239"/>
        <v>#N/A</v>
      </c>
      <c r="F2073" s="7" t="e">
        <f t="shared" si="239"/>
        <v>#N/A</v>
      </c>
      <c r="G2073" s="7" t="e">
        <f t="shared" si="239"/>
        <v>#N/A</v>
      </c>
    </row>
    <row r="2074" spans="2:7">
      <c r="B2074" s="67">
        <f t="shared" si="237"/>
        <v>45168</v>
      </c>
      <c r="C2074" s="7" t="e">
        <f t="shared" si="239"/>
        <v>#N/A</v>
      </c>
      <c r="D2074" s="7" t="e">
        <f t="shared" si="239"/>
        <v>#N/A</v>
      </c>
      <c r="E2074" s="7" t="e">
        <f t="shared" si="239"/>
        <v>#N/A</v>
      </c>
      <c r="F2074" s="7" t="e">
        <f t="shared" si="239"/>
        <v>#N/A</v>
      </c>
      <c r="G2074" s="7" t="e">
        <f t="shared" si="239"/>
        <v>#N/A</v>
      </c>
    </row>
    <row r="2075" spans="2:7">
      <c r="B2075" s="67">
        <f t="shared" si="237"/>
        <v>45169</v>
      </c>
      <c r="C2075" s="7" t="e">
        <f t="shared" si="239"/>
        <v>#N/A</v>
      </c>
      <c r="D2075" s="7" t="e">
        <f t="shared" si="239"/>
        <v>#N/A</v>
      </c>
      <c r="E2075" s="7" t="e">
        <f t="shared" si="239"/>
        <v>#N/A</v>
      </c>
      <c r="F2075" s="7" t="e">
        <f t="shared" si="239"/>
        <v>#N/A</v>
      </c>
      <c r="G2075" s="7" t="e">
        <f t="shared" si="239"/>
        <v>#N/A</v>
      </c>
    </row>
    <row r="2076" spans="2:7">
      <c r="B2076" s="67">
        <f t="shared" si="237"/>
        <v>45170</v>
      </c>
      <c r="C2076" s="7" t="e">
        <f t="shared" si="239"/>
        <v>#N/A</v>
      </c>
      <c r="D2076" s="7" t="e">
        <f t="shared" si="239"/>
        <v>#N/A</v>
      </c>
      <c r="E2076" s="7" t="e">
        <f t="shared" si="239"/>
        <v>#N/A</v>
      </c>
      <c r="F2076" s="7" t="e">
        <f t="shared" si="239"/>
        <v>#N/A</v>
      </c>
      <c r="G2076" s="7" t="e">
        <f t="shared" si="239"/>
        <v>#N/A</v>
      </c>
    </row>
    <row r="2077" spans="2:7">
      <c r="B2077" s="67">
        <f t="shared" si="237"/>
        <v>45171</v>
      </c>
      <c r="C2077" s="7" t="e">
        <f t="shared" ref="C2077:G2086" si="240">IF(AND($B2077&gt;=C$3,$B2077&lt;=C$4),C$5,NA())</f>
        <v>#N/A</v>
      </c>
      <c r="D2077" s="7" t="e">
        <f t="shared" si="240"/>
        <v>#N/A</v>
      </c>
      <c r="E2077" s="7" t="e">
        <f t="shared" si="240"/>
        <v>#N/A</v>
      </c>
      <c r="F2077" s="7" t="e">
        <f t="shared" si="240"/>
        <v>#N/A</v>
      </c>
      <c r="G2077" s="7" t="e">
        <f t="shared" si="240"/>
        <v>#N/A</v>
      </c>
    </row>
    <row r="2078" spans="2:7">
      <c r="B2078" s="67">
        <f t="shared" si="237"/>
        <v>45172</v>
      </c>
      <c r="C2078" s="7" t="e">
        <f t="shared" si="240"/>
        <v>#N/A</v>
      </c>
      <c r="D2078" s="7" t="e">
        <f t="shared" si="240"/>
        <v>#N/A</v>
      </c>
      <c r="E2078" s="7" t="e">
        <f t="shared" si="240"/>
        <v>#N/A</v>
      </c>
      <c r="F2078" s="7" t="e">
        <f t="shared" si="240"/>
        <v>#N/A</v>
      </c>
      <c r="G2078" s="7" t="e">
        <f t="shared" si="240"/>
        <v>#N/A</v>
      </c>
    </row>
    <row r="2079" spans="2:7">
      <c r="B2079" s="67">
        <f t="shared" si="237"/>
        <v>45173</v>
      </c>
      <c r="C2079" s="7" t="e">
        <f t="shared" si="240"/>
        <v>#N/A</v>
      </c>
      <c r="D2079" s="7" t="e">
        <f t="shared" si="240"/>
        <v>#N/A</v>
      </c>
      <c r="E2079" s="7" t="e">
        <f t="shared" si="240"/>
        <v>#N/A</v>
      </c>
      <c r="F2079" s="7" t="e">
        <f t="shared" si="240"/>
        <v>#N/A</v>
      </c>
      <c r="G2079" s="7" t="e">
        <f t="shared" si="240"/>
        <v>#N/A</v>
      </c>
    </row>
    <row r="2080" spans="2:7">
      <c r="B2080" s="67">
        <f t="shared" si="237"/>
        <v>45174</v>
      </c>
      <c r="C2080" s="7" t="e">
        <f t="shared" si="240"/>
        <v>#N/A</v>
      </c>
      <c r="D2080" s="7" t="e">
        <f t="shared" si="240"/>
        <v>#N/A</v>
      </c>
      <c r="E2080" s="7" t="e">
        <f t="shared" si="240"/>
        <v>#N/A</v>
      </c>
      <c r="F2080" s="7" t="e">
        <f t="shared" si="240"/>
        <v>#N/A</v>
      </c>
      <c r="G2080" s="7" t="e">
        <f t="shared" si="240"/>
        <v>#N/A</v>
      </c>
    </row>
    <row r="2081" spans="2:7">
      <c r="B2081" s="67">
        <f t="shared" si="237"/>
        <v>45175</v>
      </c>
      <c r="C2081" s="7" t="e">
        <f t="shared" si="240"/>
        <v>#N/A</v>
      </c>
      <c r="D2081" s="7" t="e">
        <f t="shared" si="240"/>
        <v>#N/A</v>
      </c>
      <c r="E2081" s="7" t="e">
        <f t="shared" si="240"/>
        <v>#N/A</v>
      </c>
      <c r="F2081" s="7" t="e">
        <f t="shared" si="240"/>
        <v>#N/A</v>
      </c>
      <c r="G2081" s="7" t="e">
        <f t="shared" si="240"/>
        <v>#N/A</v>
      </c>
    </row>
    <row r="2082" spans="2:7">
      <c r="B2082" s="67">
        <f t="shared" si="237"/>
        <v>45176</v>
      </c>
      <c r="C2082" s="7" t="e">
        <f t="shared" si="240"/>
        <v>#N/A</v>
      </c>
      <c r="D2082" s="7" t="e">
        <f t="shared" si="240"/>
        <v>#N/A</v>
      </c>
      <c r="E2082" s="7" t="e">
        <f t="shared" si="240"/>
        <v>#N/A</v>
      </c>
      <c r="F2082" s="7" t="e">
        <f t="shared" si="240"/>
        <v>#N/A</v>
      </c>
      <c r="G2082" s="7" t="e">
        <f t="shared" si="240"/>
        <v>#N/A</v>
      </c>
    </row>
    <row r="2083" spans="2:7">
      <c r="B2083" s="67">
        <f t="shared" si="237"/>
        <v>45177</v>
      </c>
      <c r="C2083" s="7" t="e">
        <f t="shared" si="240"/>
        <v>#N/A</v>
      </c>
      <c r="D2083" s="7" t="e">
        <f t="shared" si="240"/>
        <v>#N/A</v>
      </c>
      <c r="E2083" s="7" t="e">
        <f t="shared" si="240"/>
        <v>#N/A</v>
      </c>
      <c r="F2083" s="7" t="e">
        <f t="shared" si="240"/>
        <v>#N/A</v>
      </c>
      <c r="G2083" s="7" t="e">
        <f t="shared" si="240"/>
        <v>#N/A</v>
      </c>
    </row>
    <row r="2084" spans="2:7">
      <c r="B2084" s="67">
        <f t="shared" si="237"/>
        <v>45178</v>
      </c>
      <c r="C2084" s="7" t="e">
        <f t="shared" si="240"/>
        <v>#N/A</v>
      </c>
      <c r="D2084" s="7" t="e">
        <f t="shared" si="240"/>
        <v>#N/A</v>
      </c>
      <c r="E2084" s="7" t="e">
        <f t="shared" si="240"/>
        <v>#N/A</v>
      </c>
      <c r="F2084" s="7" t="e">
        <f t="shared" si="240"/>
        <v>#N/A</v>
      </c>
      <c r="G2084" s="7" t="e">
        <f t="shared" si="240"/>
        <v>#N/A</v>
      </c>
    </row>
    <row r="2085" spans="2:7">
      <c r="B2085" s="67">
        <f t="shared" si="237"/>
        <v>45179</v>
      </c>
      <c r="C2085" s="7" t="e">
        <f t="shared" si="240"/>
        <v>#N/A</v>
      </c>
      <c r="D2085" s="7" t="e">
        <f t="shared" si="240"/>
        <v>#N/A</v>
      </c>
      <c r="E2085" s="7" t="e">
        <f t="shared" si="240"/>
        <v>#N/A</v>
      </c>
      <c r="F2085" s="7" t="e">
        <f t="shared" si="240"/>
        <v>#N/A</v>
      </c>
      <c r="G2085" s="7" t="e">
        <f t="shared" si="240"/>
        <v>#N/A</v>
      </c>
    </row>
    <row r="2086" spans="2:7">
      <c r="B2086" s="67">
        <f t="shared" si="237"/>
        <v>45180</v>
      </c>
      <c r="C2086" s="7" t="e">
        <f t="shared" si="240"/>
        <v>#N/A</v>
      </c>
      <c r="D2086" s="7" t="e">
        <f t="shared" si="240"/>
        <v>#N/A</v>
      </c>
      <c r="E2086" s="7" t="e">
        <f t="shared" si="240"/>
        <v>#N/A</v>
      </c>
      <c r="F2086" s="7" t="e">
        <f t="shared" si="240"/>
        <v>#N/A</v>
      </c>
      <c r="G2086" s="7" t="e">
        <f t="shared" si="240"/>
        <v>#N/A</v>
      </c>
    </row>
    <row r="2087" spans="2:7">
      <c r="B2087" s="67">
        <f t="shared" si="237"/>
        <v>45181</v>
      </c>
      <c r="C2087" s="7" t="e">
        <f t="shared" ref="C2087:G2096" si="241">IF(AND($B2087&gt;=C$3,$B2087&lt;=C$4),C$5,NA())</f>
        <v>#N/A</v>
      </c>
      <c r="D2087" s="7" t="e">
        <f t="shared" si="241"/>
        <v>#N/A</v>
      </c>
      <c r="E2087" s="7" t="e">
        <f t="shared" si="241"/>
        <v>#N/A</v>
      </c>
      <c r="F2087" s="7" t="e">
        <f t="shared" si="241"/>
        <v>#N/A</v>
      </c>
      <c r="G2087" s="7" t="e">
        <f t="shared" si="241"/>
        <v>#N/A</v>
      </c>
    </row>
    <row r="2088" spans="2:7">
      <c r="B2088" s="67">
        <f t="shared" si="237"/>
        <v>45182</v>
      </c>
      <c r="C2088" s="7" t="e">
        <f t="shared" si="241"/>
        <v>#N/A</v>
      </c>
      <c r="D2088" s="7" t="e">
        <f t="shared" si="241"/>
        <v>#N/A</v>
      </c>
      <c r="E2088" s="7" t="e">
        <f t="shared" si="241"/>
        <v>#N/A</v>
      </c>
      <c r="F2088" s="7" t="e">
        <f t="shared" si="241"/>
        <v>#N/A</v>
      </c>
      <c r="G2088" s="7" t="e">
        <f t="shared" si="241"/>
        <v>#N/A</v>
      </c>
    </row>
    <row r="2089" spans="2:7">
      <c r="B2089" s="67">
        <f t="shared" si="237"/>
        <v>45183</v>
      </c>
      <c r="C2089" s="7" t="e">
        <f t="shared" si="241"/>
        <v>#N/A</v>
      </c>
      <c r="D2089" s="7" t="e">
        <f t="shared" si="241"/>
        <v>#N/A</v>
      </c>
      <c r="E2089" s="7" t="e">
        <f t="shared" si="241"/>
        <v>#N/A</v>
      </c>
      <c r="F2089" s="7" t="e">
        <f t="shared" si="241"/>
        <v>#N/A</v>
      </c>
      <c r="G2089" s="7" t="e">
        <f t="shared" si="241"/>
        <v>#N/A</v>
      </c>
    </row>
    <row r="2090" spans="2:7">
      <c r="B2090" s="67">
        <f t="shared" si="237"/>
        <v>45184</v>
      </c>
      <c r="C2090" s="7" t="e">
        <f t="shared" si="241"/>
        <v>#N/A</v>
      </c>
      <c r="D2090" s="7" t="e">
        <f t="shared" si="241"/>
        <v>#N/A</v>
      </c>
      <c r="E2090" s="7" t="e">
        <f t="shared" si="241"/>
        <v>#N/A</v>
      </c>
      <c r="F2090" s="7" t="e">
        <f t="shared" si="241"/>
        <v>#N/A</v>
      </c>
      <c r="G2090" s="7" t="e">
        <f t="shared" si="241"/>
        <v>#N/A</v>
      </c>
    </row>
    <row r="2091" spans="2:7">
      <c r="B2091" s="67">
        <f t="shared" si="237"/>
        <v>45185</v>
      </c>
      <c r="C2091" s="7" t="e">
        <f t="shared" si="241"/>
        <v>#N/A</v>
      </c>
      <c r="D2091" s="7" t="e">
        <f t="shared" si="241"/>
        <v>#N/A</v>
      </c>
      <c r="E2091" s="7" t="e">
        <f t="shared" si="241"/>
        <v>#N/A</v>
      </c>
      <c r="F2091" s="7" t="e">
        <f t="shared" si="241"/>
        <v>#N/A</v>
      </c>
      <c r="G2091" s="7" t="e">
        <f t="shared" si="241"/>
        <v>#N/A</v>
      </c>
    </row>
    <row r="2092" spans="2:7">
      <c r="B2092" s="67">
        <f t="shared" si="237"/>
        <v>45186</v>
      </c>
      <c r="C2092" s="7" t="e">
        <f t="shared" si="241"/>
        <v>#N/A</v>
      </c>
      <c r="D2092" s="7" t="e">
        <f t="shared" si="241"/>
        <v>#N/A</v>
      </c>
      <c r="E2092" s="7" t="e">
        <f t="shared" si="241"/>
        <v>#N/A</v>
      </c>
      <c r="F2092" s="7" t="e">
        <f t="shared" si="241"/>
        <v>#N/A</v>
      </c>
      <c r="G2092" s="7" t="e">
        <f t="shared" si="241"/>
        <v>#N/A</v>
      </c>
    </row>
    <row r="2093" spans="2:7">
      <c r="B2093" s="67">
        <f t="shared" si="237"/>
        <v>45187</v>
      </c>
      <c r="C2093" s="7" t="e">
        <f t="shared" si="241"/>
        <v>#N/A</v>
      </c>
      <c r="D2093" s="7" t="e">
        <f t="shared" si="241"/>
        <v>#N/A</v>
      </c>
      <c r="E2093" s="7" t="e">
        <f t="shared" si="241"/>
        <v>#N/A</v>
      </c>
      <c r="F2093" s="7" t="e">
        <f t="shared" si="241"/>
        <v>#N/A</v>
      </c>
      <c r="G2093" s="7" t="e">
        <f t="shared" si="241"/>
        <v>#N/A</v>
      </c>
    </row>
    <row r="2094" spans="2:7">
      <c r="B2094" s="67">
        <f t="shared" si="237"/>
        <v>45188</v>
      </c>
      <c r="C2094" s="7" t="e">
        <f t="shared" si="241"/>
        <v>#N/A</v>
      </c>
      <c r="D2094" s="7" t="e">
        <f t="shared" si="241"/>
        <v>#N/A</v>
      </c>
      <c r="E2094" s="7" t="e">
        <f t="shared" si="241"/>
        <v>#N/A</v>
      </c>
      <c r="F2094" s="7" t="e">
        <f t="shared" si="241"/>
        <v>#N/A</v>
      </c>
      <c r="G2094" s="7" t="e">
        <f t="shared" si="241"/>
        <v>#N/A</v>
      </c>
    </row>
    <row r="2095" spans="2:7">
      <c r="B2095" s="67">
        <f t="shared" si="237"/>
        <v>45189</v>
      </c>
      <c r="C2095" s="7" t="e">
        <f t="shared" si="241"/>
        <v>#N/A</v>
      </c>
      <c r="D2095" s="7" t="e">
        <f t="shared" si="241"/>
        <v>#N/A</v>
      </c>
      <c r="E2095" s="7" t="e">
        <f t="shared" si="241"/>
        <v>#N/A</v>
      </c>
      <c r="F2095" s="7" t="e">
        <f t="shared" si="241"/>
        <v>#N/A</v>
      </c>
      <c r="G2095" s="7" t="e">
        <f t="shared" si="241"/>
        <v>#N/A</v>
      </c>
    </row>
    <row r="2096" spans="2:7">
      <c r="B2096" s="67">
        <f t="shared" si="237"/>
        <v>45190</v>
      </c>
      <c r="C2096" s="7" t="e">
        <f t="shared" si="241"/>
        <v>#N/A</v>
      </c>
      <c r="D2096" s="7" t="e">
        <f t="shared" si="241"/>
        <v>#N/A</v>
      </c>
      <c r="E2096" s="7" t="e">
        <f t="shared" si="241"/>
        <v>#N/A</v>
      </c>
      <c r="F2096" s="7" t="e">
        <f t="shared" si="241"/>
        <v>#N/A</v>
      </c>
      <c r="G2096" s="7" t="e">
        <f t="shared" si="241"/>
        <v>#N/A</v>
      </c>
    </row>
    <row r="2097" spans="2:7">
      <c r="B2097" s="67">
        <f t="shared" si="237"/>
        <v>45191</v>
      </c>
      <c r="C2097" s="7" t="e">
        <f t="shared" ref="C2097:G2106" si="242">IF(AND($B2097&gt;=C$3,$B2097&lt;=C$4),C$5,NA())</f>
        <v>#N/A</v>
      </c>
      <c r="D2097" s="7" t="e">
        <f t="shared" si="242"/>
        <v>#N/A</v>
      </c>
      <c r="E2097" s="7" t="e">
        <f t="shared" si="242"/>
        <v>#N/A</v>
      </c>
      <c r="F2097" s="7" t="e">
        <f t="shared" si="242"/>
        <v>#N/A</v>
      </c>
      <c r="G2097" s="7" t="e">
        <f t="shared" si="242"/>
        <v>#N/A</v>
      </c>
    </row>
    <row r="2098" spans="2:7">
      <c r="B2098" s="67">
        <f t="shared" si="237"/>
        <v>45192</v>
      </c>
      <c r="C2098" s="7" t="e">
        <f t="shared" si="242"/>
        <v>#N/A</v>
      </c>
      <c r="D2098" s="7" t="e">
        <f t="shared" si="242"/>
        <v>#N/A</v>
      </c>
      <c r="E2098" s="7" t="e">
        <f t="shared" si="242"/>
        <v>#N/A</v>
      </c>
      <c r="F2098" s="7" t="e">
        <f t="shared" si="242"/>
        <v>#N/A</v>
      </c>
      <c r="G2098" s="7" t="e">
        <f t="shared" si="242"/>
        <v>#N/A</v>
      </c>
    </row>
    <row r="2099" spans="2:7">
      <c r="B2099" s="67">
        <f t="shared" si="237"/>
        <v>45193</v>
      </c>
      <c r="C2099" s="7" t="e">
        <f t="shared" si="242"/>
        <v>#N/A</v>
      </c>
      <c r="D2099" s="7" t="e">
        <f t="shared" si="242"/>
        <v>#N/A</v>
      </c>
      <c r="E2099" s="7" t="e">
        <f t="shared" si="242"/>
        <v>#N/A</v>
      </c>
      <c r="F2099" s="7" t="e">
        <f t="shared" si="242"/>
        <v>#N/A</v>
      </c>
      <c r="G2099" s="7" t="e">
        <f t="shared" si="242"/>
        <v>#N/A</v>
      </c>
    </row>
    <row r="2100" spans="2:7">
      <c r="B2100" s="67">
        <f t="shared" si="237"/>
        <v>45194</v>
      </c>
      <c r="C2100" s="7" t="e">
        <f t="shared" si="242"/>
        <v>#N/A</v>
      </c>
      <c r="D2100" s="7" t="e">
        <f t="shared" si="242"/>
        <v>#N/A</v>
      </c>
      <c r="E2100" s="7" t="e">
        <f t="shared" si="242"/>
        <v>#N/A</v>
      </c>
      <c r="F2100" s="7" t="e">
        <f t="shared" si="242"/>
        <v>#N/A</v>
      </c>
      <c r="G2100" s="7" t="e">
        <f t="shared" si="242"/>
        <v>#N/A</v>
      </c>
    </row>
    <row r="2101" spans="2:7">
      <c r="B2101" s="67">
        <f t="shared" si="237"/>
        <v>45195</v>
      </c>
      <c r="C2101" s="7" t="e">
        <f t="shared" si="242"/>
        <v>#N/A</v>
      </c>
      <c r="D2101" s="7" t="e">
        <f t="shared" si="242"/>
        <v>#N/A</v>
      </c>
      <c r="E2101" s="7" t="e">
        <f t="shared" si="242"/>
        <v>#N/A</v>
      </c>
      <c r="F2101" s="7" t="e">
        <f t="shared" si="242"/>
        <v>#N/A</v>
      </c>
      <c r="G2101" s="7" t="e">
        <f t="shared" si="242"/>
        <v>#N/A</v>
      </c>
    </row>
    <row r="2102" spans="2:7">
      <c r="B2102" s="67">
        <f t="shared" si="237"/>
        <v>45196</v>
      </c>
      <c r="C2102" s="7" t="e">
        <f t="shared" si="242"/>
        <v>#N/A</v>
      </c>
      <c r="D2102" s="7" t="e">
        <f t="shared" si="242"/>
        <v>#N/A</v>
      </c>
      <c r="E2102" s="7" t="e">
        <f t="shared" si="242"/>
        <v>#N/A</v>
      </c>
      <c r="F2102" s="7" t="e">
        <f t="shared" si="242"/>
        <v>#N/A</v>
      </c>
      <c r="G2102" s="7" t="e">
        <f t="shared" si="242"/>
        <v>#N/A</v>
      </c>
    </row>
    <row r="2103" spans="2:7">
      <c r="B2103" s="67">
        <f t="shared" si="237"/>
        <v>45197</v>
      </c>
      <c r="C2103" s="7" t="e">
        <f t="shared" si="242"/>
        <v>#N/A</v>
      </c>
      <c r="D2103" s="7" t="e">
        <f t="shared" si="242"/>
        <v>#N/A</v>
      </c>
      <c r="E2103" s="7" t="e">
        <f t="shared" si="242"/>
        <v>#N/A</v>
      </c>
      <c r="F2103" s="7" t="e">
        <f t="shared" si="242"/>
        <v>#N/A</v>
      </c>
      <c r="G2103" s="7" t="e">
        <f t="shared" si="242"/>
        <v>#N/A</v>
      </c>
    </row>
    <row r="2104" spans="2:7">
      <c r="B2104" s="67">
        <f t="shared" si="237"/>
        <v>45198</v>
      </c>
      <c r="C2104" s="7" t="e">
        <f t="shared" si="242"/>
        <v>#N/A</v>
      </c>
      <c r="D2104" s="7" t="e">
        <f t="shared" si="242"/>
        <v>#N/A</v>
      </c>
      <c r="E2104" s="7" t="e">
        <f t="shared" si="242"/>
        <v>#N/A</v>
      </c>
      <c r="F2104" s="7" t="e">
        <f t="shared" si="242"/>
        <v>#N/A</v>
      </c>
      <c r="G2104" s="7" t="e">
        <f t="shared" si="242"/>
        <v>#N/A</v>
      </c>
    </row>
    <row r="2105" spans="2:7">
      <c r="B2105" s="67">
        <f t="shared" si="237"/>
        <v>45199</v>
      </c>
      <c r="C2105" s="7" t="e">
        <f t="shared" si="242"/>
        <v>#N/A</v>
      </c>
      <c r="D2105" s="7" t="e">
        <f t="shared" si="242"/>
        <v>#N/A</v>
      </c>
      <c r="E2105" s="7" t="e">
        <f t="shared" si="242"/>
        <v>#N/A</v>
      </c>
      <c r="F2105" s="7" t="e">
        <f t="shared" si="242"/>
        <v>#N/A</v>
      </c>
      <c r="G2105" s="7" t="e">
        <f t="shared" si="242"/>
        <v>#N/A</v>
      </c>
    </row>
    <row r="2106" spans="2:7">
      <c r="B2106" s="67">
        <f t="shared" si="237"/>
        <v>45200</v>
      </c>
      <c r="C2106" s="7" t="e">
        <f t="shared" si="242"/>
        <v>#N/A</v>
      </c>
      <c r="D2106" s="7" t="e">
        <f t="shared" si="242"/>
        <v>#N/A</v>
      </c>
      <c r="E2106" s="7" t="e">
        <f t="shared" si="242"/>
        <v>#N/A</v>
      </c>
      <c r="F2106" s="7" t="e">
        <f t="shared" si="242"/>
        <v>#N/A</v>
      </c>
      <c r="G2106" s="7" t="e">
        <f t="shared" si="242"/>
        <v>#N/A</v>
      </c>
    </row>
    <row r="2107" spans="2:7">
      <c r="B2107" s="67">
        <f t="shared" si="237"/>
        <v>45201</v>
      </c>
      <c r="C2107" s="7" t="e">
        <f t="shared" ref="C2107:G2116" si="243">IF(AND($B2107&gt;=C$3,$B2107&lt;=C$4),C$5,NA())</f>
        <v>#N/A</v>
      </c>
      <c r="D2107" s="7" t="e">
        <f t="shared" si="243"/>
        <v>#N/A</v>
      </c>
      <c r="E2107" s="7" t="e">
        <f t="shared" si="243"/>
        <v>#N/A</v>
      </c>
      <c r="F2107" s="7" t="e">
        <f t="shared" si="243"/>
        <v>#N/A</v>
      </c>
      <c r="G2107" s="7" t="e">
        <f t="shared" si="243"/>
        <v>#N/A</v>
      </c>
    </row>
    <row r="2108" spans="2:7">
      <c r="B2108" s="67">
        <f t="shared" si="237"/>
        <v>45202</v>
      </c>
      <c r="C2108" s="7" t="e">
        <f t="shared" si="243"/>
        <v>#N/A</v>
      </c>
      <c r="D2108" s="7" t="e">
        <f t="shared" si="243"/>
        <v>#N/A</v>
      </c>
      <c r="E2108" s="7" t="e">
        <f t="shared" si="243"/>
        <v>#N/A</v>
      </c>
      <c r="F2108" s="7" t="e">
        <f t="shared" si="243"/>
        <v>#N/A</v>
      </c>
      <c r="G2108" s="7" t="e">
        <f t="shared" si="243"/>
        <v>#N/A</v>
      </c>
    </row>
    <row r="2109" spans="2:7">
      <c r="B2109" s="67">
        <f t="shared" si="237"/>
        <v>45203</v>
      </c>
      <c r="C2109" s="7" t="e">
        <f t="shared" si="243"/>
        <v>#N/A</v>
      </c>
      <c r="D2109" s="7" t="e">
        <f t="shared" si="243"/>
        <v>#N/A</v>
      </c>
      <c r="E2109" s="7" t="e">
        <f t="shared" si="243"/>
        <v>#N/A</v>
      </c>
      <c r="F2109" s="7" t="e">
        <f t="shared" si="243"/>
        <v>#N/A</v>
      </c>
      <c r="G2109" s="7" t="e">
        <f t="shared" si="243"/>
        <v>#N/A</v>
      </c>
    </row>
    <row r="2110" spans="2:7">
      <c r="B2110" s="67">
        <f t="shared" si="237"/>
        <v>45204</v>
      </c>
      <c r="C2110" s="7" t="e">
        <f t="shared" si="243"/>
        <v>#N/A</v>
      </c>
      <c r="D2110" s="7" t="e">
        <f t="shared" si="243"/>
        <v>#N/A</v>
      </c>
      <c r="E2110" s="7" t="e">
        <f t="shared" si="243"/>
        <v>#N/A</v>
      </c>
      <c r="F2110" s="7" t="e">
        <f t="shared" si="243"/>
        <v>#N/A</v>
      </c>
      <c r="G2110" s="7" t="e">
        <f t="shared" si="243"/>
        <v>#N/A</v>
      </c>
    </row>
    <row r="2111" spans="2:7">
      <c r="B2111" s="67">
        <f t="shared" si="237"/>
        <v>45205</v>
      </c>
      <c r="C2111" s="7" t="e">
        <f t="shared" si="243"/>
        <v>#N/A</v>
      </c>
      <c r="D2111" s="7" t="e">
        <f t="shared" si="243"/>
        <v>#N/A</v>
      </c>
      <c r="E2111" s="7" t="e">
        <f t="shared" si="243"/>
        <v>#N/A</v>
      </c>
      <c r="F2111" s="7" t="e">
        <f t="shared" si="243"/>
        <v>#N/A</v>
      </c>
      <c r="G2111" s="7" t="e">
        <f t="shared" si="243"/>
        <v>#N/A</v>
      </c>
    </row>
    <row r="2112" spans="2:7">
      <c r="B2112" s="67">
        <f t="shared" si="237"/>
        <v>45206</v>
      </c>
      <c r="C2112" s="7" t="e">
        <f t="shared" si="243"/>
        <v>#N/A</v>
      </c>
      <c r="D2112" s="7" t="e">
        <f t="shared" si="243"/>
        <v>#N/A</v>
      </c>
      <c r="E2112" s="7" t="e">
        <f t="shared" si="243"/>
        <v>#N/A</v>
      </c>
      <c r="F2112" s="7" t="e">
        <f t="shared" si="243"/>
        <v>#N/A</v>
      </c>
      <c r="G2112" s="7" t="e">
        <f t="shared" si="243"/>
        <v>#N/A</v>
      </c>
    </row>
    <row r="2113" spans="2:7">
      <c r="B2113" s="67">
        <f t="shared" si="237"/>
        <v>45207</v>
      </c>
      <c r="C2113" s="7" t="e">
        <f t="shared" si="243"/>
        <v>#N/A</v>
      </c>
      <c r="D2113" s="7" t="e">
        <f t="shared" si="243"/>
        <v>#N/A</v>
      </c>
      <c r="E2113" s="7" t="e">
        <f t="shared" si="243"/>
        <v>#N/A</v>
      </c>
      <c r="F2113" s="7" t="e">
        <f t="shared" si="243"/>
        <v>#N/A</v>
      </c>
      <c r="G2113" s="7" t="e">
        <f t="shared" si="243"/>
        <v>#N/A</v>
      </c>
    </row>
    <row r="2114" spans="2:7">
      <c r="B2114" s="67">
        <f t="shared" si="237"/>
        <v>45208</v>
      </c>
      <c r="C2114" s="7" t="e">
        <f t="shared" si="243"/>
        <v>#N/A</v>
      </c>
      <c r="D2114" s="7" t="e">
        <f t="shared" si="243"/>
        <v>#N/A</v>
      </c>
      <c r="E2114" s="7" t="e">
        <f t="shared" si="243"/>
        <v>#N/A</v>
      </c>
      <c r="F2114" s="7" t="e">
        <f t="shared" si="243"/>
        <v>#N/A</v>
      </c>
      <c r="G2114" s="7" t="e">
        <f t="shared" si="243"/>
        <v>#N/A</v>
      </c>
    </row>
    <row r="2115" spans="2:7">
      <c r="B2115" s="67">
        <f t="shared" si="237"/>
        <v>45209</v>
      </c>
      <c r="C2115" s="7" t="e">
        <f t="shared" si="243"/>
        <v>#N/A</v>
      </c>
      <c r="D2115" s="7" t="e">
        <f t="shared" si="243"/>
        <v>#N/A</v>
      </c>
      <c r="E2115" s="7" t="e">
        <f t="shared" si="243"/>
        <v>#N/A</v>
      </c>
      <c r="F2115" s="7" t="e">
        <f t="shared" si="243"/>
        <v>#N/A</v>
      </c>
      <c r="G2115" s="7" t="e">
        <f t="shared" si="243"/>
        <v>#N/A</v>
      </c>
    </row>
    <row r="2116" spans="2:7">
      <c r="B2116" s="67">
        <f t="shared" si="237"/>
        <v>45210</v>
      </c>
      <c r="C2116" s="7" t="e">
        <f t="shared" si="243"/>
        <v>#N/A</v>
      </c>
      <c r="D2116" s="7" t="e">
        <f t="shared" si="243"/>
        <v>#N/A</v>
      </c>
      <c r="E2116" s="7" t="e">
        <f t="shared" si="243"/>
        <v>#N/A</v>
      </c>
      <c r="F2116" s="7" t="e">
        <f t="shared" si="243"/>
        <v>#N/A</v>
      </c>
      <c r="G2116" s="7" t="e">
        <f t="shared" si="243"/>
        <v>#N/A</v>
      </c>
    </row>
    <row r="2117" spans="2:7">
      <c r="B2117" s="67">
        <f t="shared" si="237"/>
        <v>45211</v>
      </c>
      <c r="C2117" s="7" t="e">
        <f t="shared" ref="C2117:G2126" si="244">IF(AND($B2117&gt;=C$3,$B2117&lt;=C$4),C$5,NA())</f>
        <v>#N/A</v>
      </c>
      <c r="D2117" s="7" t="e">
        <f t="shared" si="244"/>
        <v>#N/A</v>
      </c>
      <c r="E2117" s="7" t="e">
        <f t="shared" si="244"/>
        <v>#N/A</v>
      </c>
      <c r="F2117" s="7" t="e">
        <f t="shared" si="244"/>
        <v>#N/A</v>
      </c>
      <c r="G2117" s="7" t="e">
        <f t="shared" si="244"/>
        <v>#N/A</v>
      </c>
    </row>
    <row r="2118" spans="2:7">
      <c r="B2118" s="67">
        <f t="shared" si="237"/>
        <v>45212</v>
      </c>
      <c r="C2118" s="7" t="e">
        <f t="shared" si="244"/>
        <v>#N/A</v>
      </c>
      <c r="D2118" s="7" t="e">
        <f t="shared" si="244"/>
        <v>#N/A</v>
      </c>
      <c r="E2118" s="7" t="e">
        <f t="shared" si="244"/>
        <v>#N/A</v>
      </c>
      <c r="F2118" s="7" t="e">
        <f t="shared" si="244"/>
        <v>#N/A</v>
      </c>
      <c r="G2118" s="7" t="e">
        <f t="shared" si="244"/>
        <v>#N/A</v>
      </c>
    </row>
    <row r="2119" spans="2:7">
      <c r="B2119" s="67">
        <f t="shared" si="237"/>
        <v>45213</v>
      </c>
      <c r="C2119" s="7" t="e">
        <f t="shared" si="244"/>
        <v>#N/A</v>
      </c>
      <c r="D2119" s="7" t="e">
        <f t="shared" si="244"/>
        <v>#N/A</v>
      </c>
      <c r="E2119" s="7" t="e">
        <f t="shared" si="244"/>
        <v>#N/A</v>
      </c>
      <c r="F2119" s="7" t="e">
        <f t="shared" si="244"/>
        <v>#N/A</v>
      </c>
      <c r="G2119" s="7" t="e">
        <f t="shared" si="244"/>
        <v>#N/A</v>
      </c>
    </row>
    <row r="2120" spans="2:7">
      <c r="B2120" s="67">
        <f t="shared" ref="B2120:B2183" si="245">B2119+1</f>
        <v>45214</v>
      </c>
      <c r="C2120" s="7" t="e">
        <f t="shared" si="244"/>
        <v>#N/A</v>
      </c>
      <c r="D2120" s="7" t="e">
        <f t="shared" si="244"/>
        <v>#N/A</v>
      </c>
      <c r="E2120" s="7" t="e">
        <f t="shared" si="244"/>
        <v>#N/A</v>
      </c>
      <c r="F2120" s="7" t="e">
        <f t="shared" si="244"/>
        <v>#N/A</v>
      </c>
      <c r="G2120" s="7" t="e">
        <f t="shared" si="244"/>
        <v>#N/A</v>
      </c>
    </row>
    <row r="2121" spans="2:7">
      <c r="B2121" s="67">
        <f t="shared" si="245"/>
        <v>45215</v>
      </c>
      <c r="C2121" s="7" t="e">
        <f t="shared" si="244"/>
        <v>#N/A</v>
      </c>
      <c r="D2121" s="7" t="e">
        <f t="shared" si="244"/>
        <v>#N/A</v>
      </c>
      <c r="E2121" s="7" t="e">
        <f t="shared" si="244"/>
        <v>#N/A</v>
      </c>
      <c r="F2121" s="7" t="e">
        <f t="shared" si="244"/>
        <v>#N/A</v>
      </c>
      <c r="G2121" s="7" t="e">
        <f t="shared" si="244"/>
        <v>#N/A</v>
      </c>
    </row>
    <row r="2122" spans="2:7">
      <c r="B2122" s="67">
        <f t="shared" si="245"/>
        <v>45216</v>
      </c>
      <c r="C2122" s="7" t="e">
        <f t="shared" si="244"/>
        <v>#N/A</v>
      </c>
      <c r="D2122" s="7" t="e">
        <f t="shared" si="244"/>
        <v>#N/A</v>
      </c>
      <c r="E2122" s="7" t="e">
        <f t="shared" si="244"/>
        <v>#N/A</v>
      </c>
      <c r="F2122" s="7" t="e">
        <f t="shared" si="244"/>
        <v>#N/A</v>
      </c>
      <c r="G2122" s="7" t="e">
        <f t="shared" si="244"/>
        <v>#N/A</v>
      </c>
    </row>
    <row r="2123" spans="2:7">
      <c r="B2123" s="67">
        <f t="shared" si="245"/>
        <v>45217</v>
      </c>
      <c r="C2123" s="7" t="e">
        <f t="shared" si="244"/>
        <v>#N/A</v>
      </c>
      <c r="D2123" s="7" t="e">
        <f t="shared" si="244"/>
        <v>#N/A</v>
      </c>
      <c r="E2123" s="7" t="e">
        <f t="shared" si="244"/>
        <v>#N/A</v>
      </c>
      <c r="F2123" s="7" t="e">
        <f t="shared" si="244"/>
        <v>#N/A</v>
      </c>
      <c r="G2123" s="7" t="e">
        <f t="shared" si="244"/>
        <v>#N/A</v>
      </c>
    </row>
    <row r="2124" spans="2:7">
      <c r="B2124" s="67">
        <f t="shared" si="245"/>
        <v>45218</v>
      </c>
      <c r="C2124" s="7" t="e">
        <f t="shared" si="244"/>
        <v>#N/A</v>
      </c>
      <c r="D2124" s="7" t="e">
        <f t="shared" si="244"/>
        <v>#N/A</v>
      </c>
      <c r="E2124" s="7" t="e">
        <f t="shared" si="244"/>
        <v>#N/A</v>
      </c>
      <c r="F2124" s="7" t="e">
        <f t="shared" si="244"/>
        <v>#N/A</v>
      </c>
      <c r="G2124" s="7" t="e">
        <f t="shared" si="244"/>
        <v>#N/A</v>
      </c>
    </row>
    <row r="2125" spans="2:7">
      <c r="B2125" s="67">
        <f t="shared" si="245"/>
        <v>45219</v>
      </c>
      <c r="C2125" s="7" t="e">
        <f t="shared" si="244"/>
        <v>#N/A</v>
      </c>
      <c r="D2125" s="7" t="e">
        <f t="shared" si="244"/>
        <v>#N/A</v>
      </c>
      <c r="E2125" s="7" t="e">
        <f t="shared" si="244"/>
        <v>#N/A</v>
      </c>
      <c r="F2125" s="7" t="e">
        <f t="shared" si="244"/>
        <v>#N/A</v>
      </c>
      <c r="G2125" s="7" t="e">
        <f t="shared" si="244"/>
        <v>#N/A</v>
      </c>
    </row>
    <row r="2126" spans="2:7">
      <c r="B2126" s="67">
        <f t="shared" si="245"/>
        <v>45220</v>
      </c>
      <c r="C2126" s="7" t="e">
        <f t="shared" si="244"/>
        <v>#N/A</v>
      </c>
      <c r="D2126" s="7" t="e">
        <f t="shared" si="244"/>
        <v>#N/A</v>
      </c>
      <c r="E2126" s="7" t="e">
        <f t="shared" si="244"/>
        <v>#N/A</v>
      </c>
      <c r="F2126" s="7" t="e">
        <f t="shared" si="244"/>
        <v>#N/A</v>
      </c>
      <c r="G2126" s="7" t="e">
        <f t="shared" si="244"/>
        <v>#N/A</v>
      </c>
    </row>
    <row r="2127" spans="2:7">
      <c r="B2127" s="67">
        <f t="shared" si="245"/>
        <v>45221</v>
      </c>
      <c r="C2127" s="7" t="e">
        <f t="shared" ref="C2127:G2136" si="246">IF(AND($B2127&gt;=C$3,$B2127&lt;=C$4),C$5,NA())</f>
        <v>#N/A</v>
      </c>
      <c r="D2127" s="7" t="e">
        <f t="shared" si="246"/>
        <v>#N/A</v>
      </c>
      <c r="E2127" s="7" t="e">
        <f t="shared" si="246"/>
        <v>#N/A</v>
      </c>
      <c r="F2127" s="7" t="e">
        <f t="shared" si="246"/>
        <v>#N/A</v>
      </c>
      <c r="G2127" s="7" t="e">
        <f t="shared" si="246"/>
        <v>#N/A</v>
      </c>
    </row>
    <row r="2128" spans="2:7">
      <c r="B2128" s="67">
        <f t="shared" si="245"/>
        <v>45222</v>
      </c>
      <c r="C2128" s="7" t="e">
        <f t="shared" si="246"/>
        <v>#N/A</v>
      </c>
      <c r="D2128" s="7" t="e">
        <f t="shared" si="246"/>
        <v>#N/A</v>
      </c>
      <c r="E2128" s="7" t="e">
        <f t="shared" si="246"/>
        <v>#N/A</v>
      </c>
      <c r="F2128" s="7" t="e">
        <f t="shared" si="246"/>
        <v>#N/A</v>
      </c>
      <c r="G2128" s="7" t="e">
        <f t="shared" si="246"/>
        <v>#N/A</v>
      </c>
    </row>
    <row r="2129" spans="2:7">
      <c r="B2129" s="67">
        <f t="shared" si="245"/>
        <v>45223</v>
      </c>
      <c r="C2129" s="7" t="e">
        <f t="shared" si="246"/>
        <v>#N/A</v>
      </c>
      <c r="D2129" s="7" t="e">
        <f t="shared" si="246"/>
        <v>#N/A</v>
      </c>
      <c r="E2129" s="7" t="e">
        <f t="shared" si="246"/>
        <v>#N/A</v>
      </c>
      <c r="F2129" s="7" t="e">
        <f t="shared" si="246"/>
        <v>#N/A</v>
      </c>
      <c r="G2129" s="7" t="e">
        <f t="shared" si="246"/>
        <v>#N/A</v>
      </c>
    </row>
    <row r="2130" spans="2:7">
      <c r="B2130" s="67">
        <f t="shared" si="245"/>
        <v>45224</v>
      </c>
      <c r="C2130" s="7" t="e">
        <f t="shared" si="246"/>
        <v>#N/A</v>
      </c>
      <c r="D2130" s="7" t="e">
        <f t="shared" si="246"/>
        <v>#N/A</v>
      </c>
      <c r="E2130" s="7" t="e">
        <f t="shared" si="246"/>
        <v>#N/A</v>
      </c>
      <c r="F2130" s="7" t="e">
        <f t="shared" si="246"/>
        <v>#N/A</v>
      </c>
      <c r="G2130" s="7" t="e">
        <f t="shared" si="246"/>
        <v>#N/A</v>
      </c>
    </row>
    <row r="2131" spans="2:7">
      <c r="B2131" s="67">
        <f t="shared" si="245"/>
        <v>45225</v>
      </c>
      <c r="C2131" s="7" t="e">
        <f t="shared" si="246"/>
        <v>#N/A</v>
      </c>
      <c r="D2131" s="7" t="e">
        <f t="shared" si="246"/>
        <v>#N/A</v>
      </c>
      <c r="E2131" s="7" t="e">
        <f t="shared" si="246"/>
        <v>#N/A</v>
      </c>
      <c r="F2131" s="7" t="e">
        <f t="shared" si="246"/>
        <v>#N/A</v>
      </c>
      <c r="G2131" s="7" t="e">
        <f t="shared" si="246"/>
        <v>#N/A</v>
      </c>
    </row>
    <row r="2132" spans="2:7">
      <c r="B2132" s="67">
        <f t="shared" si="245"/>
        <v>45226</v>
      </c>
      <c r="C2132" s="7" t="e">
        <f t="shared" si="246"/>
        <v>#N/A</v>
      </c>
      <c r="D2132" s="7" t="e">
        <f t="shared" si="246"/>
        <v>#N/A</v>
      </c>
      <c r="E2132" s="7" t="e">
        <f t="shared" si="246"/>
        <v>#N/A</v>
      </c>
      <c r="F2132" s="7" t="e">
        <f t="shared" si="246"/>
        <v>#N/A</v>
      </c>
      <c r="G2132" s="7" t="e">
        <f t="shared" si="246"/>
        <v>#N/A</v>
      </c>
    </row>
    <row r="2133" spans="2:7">
      <c r="B2133" s="67">
        <f t="shared" si="245"/>
        <v>45227</v>
      </c>
      <c r="C2133" s="7" t="e">
        <f t="shared" si="246"/>
        <v>#N/A</v>
      </c>
      <c r="D2133" s="7" t="e">
        <f t="shared" si="246"/>
        <v>#N/A</v>
      </c>
      <c r="E2133" s="7" t="e">
        <f t="shared" si="246"/>
        <v>#N/A</v>
      </c>
      <c r="F2133" s="7" t="e">
        <f t="shared" si="246"/>
        <v>#N/A</v>
      </c>
      <c r="G2133" s="7" t="e">
        <f t="shared" si="246"/>
        <v>#N/A</v>
      </c>
    </row>
    <row r="2134" spans="2:7">
      <c r="B2134" s="67">
        <f t="shared" si="245"/>
        <v>45228</v>
      </c>
      <c r="C2134" s="7" t="e">
        <f t="shared" si="246"/>
        <v>#N/A</v>
      </c>
      <c r="D2134" s="7" t="e">
        <f t="shared" si="246"/>
        <v>#N/A</v>
      </c>
      <c r="E2134" s="7" t="e">
        <f t="shared" si="246"/>
        <v>#N/A</v>
      </c>
      <c r="F2134" s="7" t="e">
        <f t="shared" si="246"/>
        <v>#N/A</v>
      </c>
      <c r="G2134" s="7" t="e">
        <f t="shared" si="246"/>
        <v>#N/A</v>
      </c>
    </row>
    <row r="2135" spans="2:7">
      <c r="B2135" s="67">
        <f t="shared" si="245"/>
        <v>45229</v>
      </c>
      <c r="C2135" s="7" t="e">
        <f t="shared" si="246"/>
        <v>#N/A</v>
      </c>
      <c r="D2135" s="7" t="e">
        <f t="shared" si="246"/>
        <v>#N/A</v>
      </c>
      <c r="E2135" s="7" t="e">
        <f t="shared" si="246"/>
        <v>#N/A</v>
      </c>
      <c r="F2135" s="7" t="e">
        <f t="shared" si="246"/>
        <v>#N/A</v>
      </c>
      <c r="G2135" s="7" t="e">
        <f t="shared" si="246"/>
        <v>#N/A</v>
      </c>
    </row>
    <row r="2136" spans="2:7">
      <c r="B2136" s="67">
        <f t="shared" si="245"/>
        <v>45230</v>
      </c>
      <c r="C2136" s="7" t="e">
        <f t="shared" si="246"/>
        <v>#N/A</v>
      </c>
      <c r="D2136" s="7" t="e">
        <f t="shared" si="246"/>
        <v>#N/A</v>
      </c>
      <c r="E2136" s="7" t="e">
        <f t="shared" si="246"/>
        <v>#N/A</v>
      </c>
      <c r="F2136" s="7" t="e">
        <f t="shared" si="246"/>
        <v>#N/A</v>
      </c>
      <c r="G2136" s="7" t="e">
        <f t="shared" si="246"/>
        <v>#N/A</v>
      </c>
    </row>
    <row r="2137" spans="2:7">
      <c r="B2137" s="67">
        <f t="shared" si="245"/>
        <v>45231</v>
      </c>
      <c r="C2137" s="7" t="e">
        <f t="shared" ref="C2137:G2146" si="247">IF(AND($B2137&gt;=C$3,$B2137&lt;=C$4),C$5,NA())</f>
        <v>#N/A</v>
      </c>
      <c r="D2137" s="7" t="e">
        <f t="shared" si="247"/>
        <v>#N/A</v>
      </c>
      <c r="E2137" s="7" t="e">
        <f t="shared" si="247"/>
        <v>#N/A</v>
      </c>
      <c r="F2137" s="7" t="e">
        <f t="shared" si="247"/>
        <v>#N/A</v>
      </c>
      <c r="G2137" s="7" t="e">
        <f t="shared" si="247"/>
        <v>#N/A</v>
      </c>
    </row>
    <row r="2138" spans="2:7">
      <c r="B2138" s="67">
        <f t="shared" si="245"/>
        <v>45232</v>
      </c>
      <c r="C2138" s="7" t="e">
        <f t="shared" si="247"/>
        <v>#N/A</v>
      </c>
      <c r="D2138" s="7" t="e">
        <f t="shared" si="247"/>
        <v>#N/A</v>
      </c>
      <c r="E2138" s="7" t="e">
        <f t="shared" si="247"/>
        <v>#N/A</v>
      </c>
      <c r="F2138" s="7" t="e">
        <f t="shared" si="247"/>
        <v>#N/A</v>
      </c>
      <c r="G2138" s="7" t="e">
        <f t="shared" si="247"/>
        <v>#N/A</v>
      </c>
    </row>
    <row r="2139" spans="2:7">
      <c r="B2139" s="67">
        <f t="shared" si="245"/>
        <v>45233</v>
      </c>
      <c r="C2139" s="7" t="e">
        <f t="shared" si="247"/>
        <v>#N/A</v>
      </c>
      <c r="D2139" s="7" t="e">
        <f t="shared" si="247"/>
        <v>#N/A</v>
      </c>
      <c r="E2139" s="7" t="e">
        <f t="shared" si="247"/>
        <v>#N/A</v>
      </c>
      <c r="F2139" s="7" t="e">
        <f t="shared" si="247"/>
        <v>#N/A</v>
      </c>
      <c r="G2139" s="7" t="e">
        <f t="shared" si="247"/>
        <v>#N/A</v>
      </c>
    </row>
    <row r="2140" spans="2:7">
      <c r="B2140" s="67">
        <f t="shared" si="245"/>
        <v>45234</v>
      </c>
      <c r="C2140" s="7" t="e">
        <f t="shared" si="247"/>
        <v>#N/A</v>
      </c>
      <c r="D2140" s="7" t="e">
        <f t="shared" si="247"/>
        <v>#N/A</v>
      </c>
      <c r="E2140" s="7" t="e">
        <f t="shared" si="247"/>
        <v>#N/A</v>
      </c>
      <c r="F2140" s="7" t="e">
        <f t="shared" si="247"/>
        <v>#N/A</v>
      </c>
      <c r="G2140" s="7" t="e">
        <f t="shared" si="247"/>
        <v>#N/A</v>
      </c>
    </row>
    <row r="2141" spans="2:7">
      <c r="B2141" s="67">
        <f t="shared" si="245"/>
        <v>45235</v>
      </c>
      <c r="C2141" s="7" t="e">
        <f t="shared" si="247"/>
        <v>#N/A</v>
      </c>
      <c r="D2141" s="7" t="e">
        <f t="shared" si="247"/>
        <v>#N/A</v>
      </c>
      <c r="E2141" s="7" t="e">
        <f t="shared" si="247"/>
        <v>#N/A</v>
      </c>
      <c r="F2141" s="7" t="e">
        <f t="shared" si="247"/>
        <v>#N/A</v>
      </c>
      <c r="G2141" s="7" t="e">
        <f t="shared" si="247"/>
        <v>#N/A</v>
      </c>
    </row>
    <row r="2142" spans="2:7">
      <c r="B2142" s="67">
        <f t="shared" si="245"/>
        <v>45236</v>
      </c>
      <c r="C2142" s="7" t="e">
        <f t="shared" si="247"/>
        <v>#N/A</v>
      </c>
      <c r="D2142" s="7" t="e">
        <f t="shared" si="247"/>
        <v>#N/A</v>
      </c>
      <c r="E2142" s="7" t="e">
        <f t="shared" si="247"/>
        <v>#N/A</v>
      </c>
      <c r="F2142" s="7" t="e">
        <f t="shared" si="247"/>
        <v>#N/A</v>
      </c>
      <c r="G2142" s="7" t="e">
        <f t="shared" si="247"/>
        <v>#N/A</v>
      </c>
    </row>
    <row r="2143" spans="2:7">
      <c r="B2143" s="67">
        <f t="shared" si="245"/>
        <v>45237</v>
      </c>
      <c r="C2143" s="7" t="e">
        <f t="shared" si="247"/>
        <v>#N/A</v>
      </c>
      <c r="D2143" s="7" t="e">
        <f t="shared" si="247"/>
        <v>#N/A</v>
      </c>
      <c r="E2143" s="7" t="e">
        <f t="shared" si="247"/>
        <v>#N/A</v>
      </c>
      <c r="F2143" s="7" t="e">
        <f t="shared" si="247"/>
        <v>#N/A</v>
      </c>
      <c r="G2143" s="7" t="e">
        <f t="shared" si="247"/>
        <v>#N/A</v>
      </c>
    </row>
    <row r="2144" spans="2:7">
      <c r="B2144" s="67">
        <f t="shared" si="245"/>
        <v>45238</v>
      </c>
      <c r="C2144" s="7" t="e">
        <f t="shared" si="247"/>
        <v>#N/A</v>
      </c>
      <c r="D2144" s="7" t="e">
        <f t="shared" si="247"/>
        <v>#N/A</v>
      </c>
      <c r="E2144" s="7" t="e">
        <f t="shared" si="247"/>
        <v>#N/A</v>
      </c>
      <c r="F2144" s="7" t="e">
        <f t="shared" si="247"/>
        <v>#N/A</v>
      </c>
      <c r="G2144" s="7" t="e">
        <f t="shared" si="247"/>
        <v>#N/A</v>
      </c>
    </row>
    <row r="2145" spans="2:7">
      <c r="B2145" s="67">
        <f t="shared" si="245"/>
        <v>45239</v>
      </c>
      <c r="C2145" s="7" t="e">
        <f t="shared" si="247"/>
        <v>#N/A</v>
      </c>
      <c r="D2145" s="7" t="e">
        <f t="shared" si="247"/>
        <v>#N/A</v>
      </c>
      <c r="E2145" s="7" t="e">
        <f t="shared" si="247"/>
        <v>#N/A</v>
      </c>
      <c r="F2145" s="7" t="e">
        <f t="shared" si="247"/>
        <v>#N/A</v>
      </c>
      <c r="G2145" s="7" t="e">
        <f t="shared" si="247"/>
        <v>#N/A</v>
      </c>
    </row>
    <row r="2146" spans="2:7">
      <c r="B2146" s="67">
        <f t="shared" si="245"/>
        <v>45240</v>
      </c>
      <c r="C2146" s="7" t="e">
        <f t="shared" si="247"/>
        <v>#N/A</v>
      </c>
      <c r="D2146" s="7" t="e">
        <f t="shared" si="247"/>
        <v>#N/A</v>
      </c>
      <c r="E2146" s="7" t="e">
        <f t="shared" si="247"/>
        <v>#N/A</v>
      </c>
      <c r="F2146" s="7" t="e">
        <f t="shared" si="247"/>
        <v>#N/A</v>
      </c>
      <c r="G2146" s="7" t="e">
        <f t="shared" si="247"/>
        <v>#N/A</v>
      </c>
    </row>
    <row r="2147" spans="2:7">
      <c r="B2147" s="67">
        <f t="shared" si="245"/>
        <v>45241</v>
      </c>
      <c r="C2147" s="7" t="e">
        <f t="shared" ref="C2147:G2156" si="248">IF(AND($B2147&gt;=C$3,$B2147&lt;=C$4),C$5,NA())</f>
        <v>#N/A</v>
      </c>
      <c r="D2147" s="7" t="e">
        <f t="shared" si="248"/>
        <v>#N/A</v>
      </c>
      <c r="E2147" s="7" t="e">
        <f t="shared" si="248"/>
        <v>#N/A</v>
      </c>
      <c r="F2147" s="7" t="e">
        <f t="shared" si="248"/>
        <v>#N/A</v>
      </c>
      <c r="G2147" s="7" t="e">
        <f t="shared" si="248"/>
        <v>#N/A</v>
      </c>
    </row>
    <row r="2148" spans="2:7">
      <c r="B2148" s="67">
        <f t="shared" si="245"/>
        <v>45242</v>
      </c>
      <c r="C2148" s="7" t="e">
        <f t="shared" si="248"/>
        <v>#N/A</v>
      </c>
      <c r="D2148" s="7" t="e">
        <f t="shared" si="248"/>
        <v>#N/A</v>
      </c>
      <c r="E2148" s="7" t="e">
        <f t="shared" si="248"/>
        <v>#N/A</v>
      </c>
      <c r="F2148" s="7" t="e">
        <f t="shared" si="248"/>
        <v>#N/A</v>
      </c>
      <c r="G2148" s="7" t="e">
        <f t="shared" si="248"/>
        <v>#N/A</v>
      </c>
    </row>
    <row r="2149" spans="2:7">
      <c r="B2149" s="67">
        <f t="shared" si="245"/>
        <v>45243</v>
      </c>
      <c r="C2149" s="7" t="e">
        <f t="shared" si="248"/>
        <v>#N/A</v>
      </c>
      <c r="D2149" s="7" t="e">
        <f t="shared" si="248"/>
        <v>#N/A</v>
      </c>
      <c r="E2149" s="7" t="e">
        <f t="shared" si="248"/>
        <v>#N/A</v>
      </c>
      <c r="F2149" s="7" t="e">
        <f t="shared" si="248"/>
        <v>#N/A</v>
      </c>
      <c r="G2149" s="7" t="e">
        <f t="shared" si="248"/>
        <v>#N/A</v>
      </c>
    </row>
    <row r="2150" spans="2:7">
      <c r="B2150" s="67">
        <f t="shared" si="245"/>
        <v>45244</v>
      </c>
      <c r="C2150" s="7" t="e">
        <f t="shared" si="248"/>
        <v>#N/A</v>
      </c>
      <c r="D2150" s="7" t="e">
        <f t="shared" si="248"/>
        <v>#N/A</v>
      </c>
      <c r="E2150" s="7" t="e">
        <f t="shared" si="248"/>
        <v>#N/A</v>
      </c>
      <c r="F2150" s="7" t="e">
        <f t="shared" si="248"/>
        <v>#N/A</v>
      </c>
      <c r="G2150" s="7" t="e">
        <f t="shared" si="248"/>
        <v>#N/A</v>
      </c>
    </row>
    <row r="2151" spans="2:7">
      <c r="B2151" s="67">
        <f t="shared" si="245"/>
        <v>45245</v>
      </c>
      <c r="C2151" s="7" t="e">
        <f t="shared" si="248"/>
        <v>#N/A</v>
      </c>
      <c r="D2151" s="7" t="e">
        <f t="shared" si="248"/>
        <v>#N/A</v>
      </c>
      <c r="E2151" s="7" t="e">
        <f t="shared" si="248"/>
        <v>#N/A</v>
      </c>
      <c r="F2151" s="7" t="e">
        <f t="shared" si="248"/>
        <v>#N/A</v>
      </c>
      <c r="G2151" s="7" t="e">
        <f t="shared" si="248"/>
        <v>#N/A</v>
      </c>
    </row>
    <row r="2152" spans="2:7">
      <c r="B2152" s="67">
        <f t="shared" si="245"/>
        <v>45246</v>
      </c>
      <c r="C2152" s="7" t="e">
        <f t="shared" si="248"/>
        <v>#N/A</v>
      </c>
      <c r="D2152" s="7" t="e">
        <f t="shared" si="248"/>
        <v>#N/A</v>
      </c>
      <c r="E2152" s="7" t="e">
        <f t="shared" si="248"/>
        <v>#N/A</v>
      </c>
      <c r="F2152" s="7" t="e">
        <f t="shared" si="248"/>
        <v>#N/A</v>
      </c>
      <c r="G2152" s="7" t="e">
        <f t="shared" si="248"/>
        <v>#N/A</v>
      </c>
    </row>
    <row r="2153" spans="2:7">
      <c r="B2153" s="67">
        <f t="shared" si="245"/>
        <v>45247</v>
      </c>
      <c r="C2153" s="7" t="e">
        <f t="shared" si="248"/>
        <v>#N/A</v>
      </c>
      <c r="D2153" s="7" t="e">
        <f t="shared" si="248"/>
        <v>#N/A</v>
      </c>
      <c r="E2153" s="7" t="e">
        <f t="shared" si="248"/>
        <v>#N/A</v>
      </c>
      <c r="F2153" s="7" t="e">
        <f t="shared" si="248"/>
        <v>#N/A</v>
      </c>
      <c r="G2153" s="7" t="e">
        <f t="shared" si="248"/>
        <v>#N/A</v>
      </c>
    </row>
    <row r="2154" spans="2:7">
      <c r="B2154" s="67">
        <f t="shared" si="245"/>
        <v>45248</v>
      </c>
      <c r="C2154" s="7" t="e">
        <f t="shared" si="248"/>
        <v>#N/A</v>
      </c>
      <c r="D2154" s="7" t="e">
        <f t="shared" si="248"/>
        <v>#N/A</v>
      </c>
      <c r="E2154" s="7" t="e">
        <f t="shared" si="248"/>
        <v>#N/A</v>
      </c>
      <c r="F2154" s="7" t="e">
        <f t="shared" si="248"/>
        <v>#N/A</v>
      </c>
      <c r="G2154" s="7" t="e">
        <f t="shared" si="248"/>
        <v>#N/A</v>
      </c>
    </row>
    <row r="2155" spans="2:7">
      <c r="B2155" s="67">
        <f t="shared" si="245"/>
        <v>45249</v>
      </c>
      <c r="C2155" s="7" t="e">
        <f t="shared" si="248"/>
        <v>#N/A</v>
      </c>
      <c r="D2155" s="7" t="e">
        <f t="shared" si="248"/>
        <v>#N/A</v>
      </c>
      <c r="E2155" s="7" t="e">
        <f t="shared" si="248"/>
        <v>#N/A</v>
      </c>
      <c r="F2155" s="7" t="e">
        <f t="shared" si="248"/>
        <v>#N/A</v>
      </c>
      <c r="G2155" s="7" t="e">
        <f t="shared" si="248"/>
        <v>#N/A</v>
      </c>
    </row>
    <row r="2156" spans="2:7">
      <c r="B2156" s="67">
        <f t="shared" si="245"/>
        <v>45250</v>
      </c>
      <c r="C2156" s="7" t="e">
        <f t="shared" si="248"/>
        <v>#N/A</v>
      </c>
      <c r="D2156" s="7" t="e">
        <f t="shared" si="248"/>
        <v>#N/A</v>
      </c>
      <c r="E2156" s="7" t="e">
        <f t="shared" si="248"/>
        <v>#N/A</v>
      </c>
      <c r="F2156" s="7" t="e">
        <f t="shared" si="248"/>
        <v>#N/A</v>
      </c>
      <c r="G2156" s="7" t="e">
        <f t="shared" si="248"/>
        <v>#N/A</v>
      </c>
    </row>
    <row r="2157" spans="2:7">
      <c r="B2157" s="67">
        <f t="shared" si="245"/>
        <v>45251</v>
      </c>
      <c r="C2157" s="7" t="e">
        <f t="shared" ref="C2157:G2166" si="249">IF(AND($B2157&gt;=C$3,$B2157&lt;=C$4),C$5,NA())</f>
        <v>#N/A</v>
      </c>
      <c r="D2157" s="7" t="e">
        <f t="shared" si="249"/>
        <v>#N/A</v>
      </c>
      <c r="E2157" s="7" t="e">
        <f t="shared" si="249"/>
        <v>#N/A</v>
      </c>
      <c r="F2157" s="7" t="e">
        <f t="shared" si="249"/>
        <v>#N/A</v>
      </c>
      <c r="G2157" s="7" t="e">
        <f t="shared" si="249"/>
        <v>#N/A</v>
      </c>
    </row>
    <row r="2158" spans="2:7">
      <c r="B2158" s="67">
        <f t="shared" si="245"/>
        <v>45252</v>
      </c>
      <c r="C2158" s="7" t="e">
        <f t="shared" si="249"/>
        <v>#N/A</v>
      </c>
      <c r="D2158" s="7" t="e">
        <f t="shared" si="249"/>
        <v>#N/A</v>
      </c>
      <c r="E2158" s="7" t="e">
        <f t="shared" si="249"/>
        <v>#N/A</v>
      </c>
      <c r="F2158" s="7" t="e">
        <f t="shared" si="249"/>
        <v>#N/A</v>
      </c>
      <c r="G2158" s="7" t="e">
        <f t="shared" si="249"/>
        <v>#N/A</v>
      </c>
    </row>
    <row r="2159" spans="2:7">
      <c r="B2159" s="67">
        <f t="shared" si="245"/>
        <v>45253</v>
      </c>
      <c r="C2159" s="7" t="e">
        <f t="shared" si="249"/>
        <v>#N/A</v>
      </c>
      <c r="D2159" s="7" t="e">
        <f t="shared" si="249"/>
        <v>#N/A</v>
      </c>
      <c r="E2159" s="7" t="e">
        <f t="shared" si="249"/>
        <v>#N/A</v>
      </c>
      <c r="F2159" s="7" t="e">
        <f t="shared" si="249"/>
        <v>#N/A</v>
      </c>
      <c r="G2159" s="7" t="e">
        <f t="shared" si="249"/>
        <v>#N/A</v>
      </c>
    </row>
    <row r="2160" spans="2:7">
      <c r="B2160" s="67">
        <f t="shared" si="245"/>
        <v>45254</v>
      </c>
      <c r="C2160" s="7" t="e">
        <f t="shared" si="249"/>
        <v>#N/A</v>
      </c>
      <c r="D2160" s="7" t="e">
        <f t="shared" si="249"/>
        <v>#N/A</v>
      </c>
      <c r="E2160" s="7" t="e">
        <f t="shared" si="249"/>
        <v>#N/A</v>
      </c>
      <c r="F2160" s="7" t="e">
        <f t="shared" si="249"/>
        <v>#N/A</v>
      </c>
      <c r="G2160" s="7" t="e">
        <f t="shared" si="249"/>
        <v>#N/A</v>
      </c>
    </row>
    <row r="2161" spans="2:7">
      <c r="B2161" s="67">
        <f t="shared" si="245"/>
        <v>45255</v>
      </c>
      <c r="C2161" s="7" t="e">
        <f t="shared" si="249"/>
        <v>#N/A</v>
      </c>
      <c r="D2161" s="7" t="e">
        <f t="shared" si="249"/>
        <v>#N/A</v>
      </c>
      <c r="E2161" s="7" t="e">
        <f t="shared" si="249"/>
        <v>#N/A</v>
      </c>
      <c r="F2161" s="7" t="e">
        <f t="shared" si="249"/>
        <v>#N/A</v>
      </c>
      <c r="G2161" s="7" t="e">
        <f t="shared" si="249"/>
        <v>#N/A</v>
      </c>
    </row>
    <row r="2162" spans="2:7">
      <c r="B2162" s="67">
        <f t="shared" si="245"/>
        <v>45256</v>
      </c>
      <c r="C2162" s="7" t="e">
        <f t="shared" si="249"/>
        <v>#N/A</v>
      </c>
      <c r="D2162" s="7" t="e">
        <f t="shared" si="249"/>
        <v>#N/A</v>
      </c>
      <c r="E2162" s="7" t="e">
        <f t="shared" si="249"/>
        <v>#N/A</v>
      </c>
      <c r="F2162" s="7" t="e">
        <f t="shared" si="249"/>
        <v>#N/A</v>
      </c>
      <c r="G2162" s="7" t="e">
        <f t="shared" si="249"/>
        <v>#N/A</v>
      </c>
    </row>
    <row r="2163" spans="2:7">
      <c r="B2163" s="67">
        <f t="shared" si="245"/>
        <v>45257</v>
      </c>
      <c r="C2163" s="7" t="e">
        <f t="shared" si="249"/>
        <v>#N/A</v>
      </c>
      <c r="D2163" s="7" t="e">
        <f t="shared" si="249"/>
        <v>#N/A</v>
      </c>
      <c r="E2163" s="7" t="e">
        <f t="shared" si="249"/>
        <v>#N/A</v>
      </c>
      <c r="F2163" s="7" t="e">
        <f t="shared" si="249"/>
        <v>#N/A</v>
      </c>
      <c r="G2163" s="7" t="e">
        <f t="shared" si="249"/>
        <v>#N/A</v>
      </c>
    </row>
    <row r="2164" spans="2:7">
      <c r="B2164" s="67">
        <f t="shared" si="245"/>
        <v>45258</v>
      </c>
      <c r="C2164" s="7" t="e">
        <f t="shared" si="249"/>
        <v>#N/A</v>
      </c>
      <c r="D2164" s="7" t="e">
        <f t="shared" si="249"/>
        <v>#N/A</v>
      </c>
      <c r="E2164" s="7" t="e">
        <f t="shared" si="249"/>
        <v>#N/A</v>
      </c>
      <c r="F2164" s="7" t="e">
        <f t="shared" si="249"/>
        <v>#N/A</v>
      </c>
      <c r="G2164" s="7" t="e">
        <f t="shared" si="249"/>
        <v>#N/A</v>
      </c>
    </row>
    <row r="2165" spans="2:7">
      <c r="B2165" s="67">
        <f t="shared" si="245"/>
        <v>45259</v>
      </c>
      <c r="C2165" s="7" t="e">
        <f t="shared" si="249"/>
        <v>#N/A</v>
      </c>
      <c r="D2165" s="7" t="e">
        <f t="shared" si="249"/>
        <v>#N/A</v>
      </c>
      <c r="E2165" s="7" t="e">
        <f t="shared" si="249"/>
        <v>#N/A</v>
      </c>
      <c r="F2165" s="7" t="e">
        <f t="shared" si="249"/>
        <v>#N/A</v>
      </c>
      <c r="G2165" s="7" t="e">
        <f t="shared" si="249"/>
        <v>#N/A</v>
      </c>
    </row>
    <row r="2166" spans="2:7">
      <c r="B2166" s="67">
        <f t="shared" si="245"/>
        <v>45260</v>
      </c>
      <c r="C2166" s="7" t="e">
        <f t="shared" si="249"/>
        <v>#N/A</v>
      </c>
      <c r="D2166" s="7" t="e">
        <f t="shared" si="249"/>
        <v>#N/A</v>
      </c>
      <c r="E2166" s="7" t="e">
        <f t="shared" si="249"/>
        <v>#N/A</v>
      </c>
      <c r="F2166" s="7" t="e">
        <f t="shared" si="249"/>
        <v>#N/A</v>
      </c>
      <c r="G2166" s="7" t="e">
        <f t="shared" si="249"/>
        <v>#N/A</v>
      </c>
    </row>
    <row r="2167" spans="2:7">
      <c r="B2167" s="67">
        <f t="shared" si="245"/>
        <v>45261</v>
      </c>
      <c r="C2167" s="7" t="e">
        <f t="shared" ref="C2167:G2176" si="250">IF(AND($B2167&gt;=C$3,$B2167&lt;=C$4),C$5,NA())</f>
        <v>#N/A</v>
      </c>
      <c r="D2167" s="7" t="e">
        <f t="shared" si="250"/>
        <v>#N/A</v>
      </c>
      <c r="E2167" s="7" t="e">
        <f t="shared" si="250"/>
        <v>#N/A</v>
      </c>
      <c r="F2167" s="7" t="e">
        <f t="shared" si="250"/>
        <v>#N/A</v>
      </c>
      <c r="G2167" s="7" t="e">
        <f t="shared" si="250"/>
        <v>#N/A</v>
      </c>
    </row>
    <row r="2168" spans="2:7">
      <c r="B2168" s="67">
        <f t="shared" si="245"/>
        <v>45262</v>
      </c>
      <c r="C2168" s="7" t="e">
        <f t="shared" si="250"/>
        <v>#N/A</v>
      </c>
      <c r="D2168" s="7" t="e">
        <f t="shared" si="250"/>
        <v>#N/A</v>
      </c>
      <c r="E2168" s="7" t="e">
        <f t="shared" si="250"/>
        <v>#N/A</v>
      </c>
      <c r="F2168" s="7" t="e">
        <f t="shared" si="250"/>
        <v>#N/A</v>
      </c>
      <c r="G2168" s="7" t="e">
        <f t="shared" si="250"/>
        <v>#N/A</v>
      </c>
    </row>
    <row r="2169" spans="2:7">
      <c r="B2169" s="67">
        <f t="shared" si="245"/>
        <v>45263</v>
      </c>
      <c r="C2169" s="7" t="e">
        <f t="shared" si="250"/>
        <v>#N/A</v>
      </c>
      <c r="D2169" s="7" t="e">
        <f t="shared" si="250"/>
        <v>#N/A</v>
      </c>
      <c r="E2169" s="7" t="e">
        <f t="shared" si="250"/>
        <v>#N/A</v>
      </c>
      <c r="F2169" s="7" t="e">
        <f t="shared" si="250"/>
        <v>#N/A</v>
      </c>
      <c r="G2169" s="7" t="e">
        <f t="shared" si="250"/>
        <v>#N/A</v>
      </c>
    </row>
    <row r="2170" spans="2:7">
      <c r="B2170" s="67">
        <f t="shared" si="245"/>
        <v>45264</v>
      </c>
      <c r="C2170" s="7" t="e">
        <f t="shared" si="250"/>
        <v>#N/A</v>
      </c>
      <c r="D2170" s="7" t="e">
        <f t="shared" si="250"/>
        <v>#N/A</v>
      </c>
      <c r="E2170" s="7" t="e">
        <f t="shared" si="250"/>
        <v>#N/A</v>
      </c>
      <c r="F2170" s="7" t="e">
        <f t="shared" si="250"/>
        <v>#N/A</v>
      </c>
      <c r="G2170" s="7" t="e">
        <f t="shared" si="250"/>
        <v>#N/A</v>
      </c>
    </row>
    <row r="2171" spans="2:7">
      <c r="B2171" s="67">
        <f t="shared" si="245"/>
        <v>45265</v>
      </c>
      <c r="C2171" s="7" t="e">
        <f t="shared" si="250"/>
        <v>#N/A</v>
      </c>
      <c r="D2171" s="7" t="e">
        <f t="shared" si="250"/>
        <v>#N/A</v>
      </c>
      <c r="E2171" s="7" t="e">
        <f t="shared" si="250"/>
        <v>#N/A</v>
      </c>
      <c r="F2171" s="7" t="e">
        <f t="shared" si="250"/>
        <v>#N/A</v>
      </c>
      <c r="G2171" s="7" t="e">
        <f t="shared" si="250"/>
        <v>#N/A</v>
      </c>
    </row>
    <row r="2172" spans="2:7">
      <c r="B2172" s="67">
        <f t="shared" si="245"/>
        <v>45266</v>
      </c>
      <c r="C2172" s="7" t="e">
        <f t="shared" si="250"/>
        <v>#N/A</v>
      </c>
      <c r="D2172" s="7" t="e">
        <f t="shared" si="250"/>
        <v>#N/A</v>
      </c>
      <c r="E2172" s="7" t="e">
        <f t="shared" si="250"/>
        <v>#N/A</v>
      </c>
      <c r="F2172" s="7" t="e">
        <f t="shared" si="250"/>
        <v>#N/A</v>
      </c>
      <c r="G2172" s="7" t="e">
        <f t="shared" si="250"/>
        <v>#N/A</v>
      </c>
    </row>
    <row r="2173" spans="2:7">
      <c r="B2173" s="67">
        <f t="shared" si="245"/>
        <v>45267</v>
      </c>
      <c r="C2173" s="7" t="e">
        <f t="shared" si="250"/>
        <v>#N/A</v>
      </c>
      <c r="D2173" s="7" t="e">
        <f t="shared" si="250"/>
        <v>#N/A</v>
      </c>
      <c r="E2173" s="7" t="e">
        <f t="shared" si="250"/>
        <v>#N/A</v>
      </c>
      <c r="F2173" s="7" t="e">
        <f t="shared" si="250"/>
        <v>#N/A</v>
      </c>
      <c r="G2173" s="7" t="e">
        <f t="shared" si="250"/>
        <v>#N/A</v>
      </c>
    </row>
    <row r="2174" spans="2:7">
      <c r="B2174" s="67">
        <f t="shared" si="245"/>
        <v>45268</v>
      </c>
      <c r="C2174" s="7" t="e">
        <f t="shared" si="250"/>
        <v>#N/A</v>
      </c>
      <c r="D2174" s="7" t="e">
        <f t="shared" si="250"/>
        <v>#N/A</v>
      </c>
      <c r="E2174" s="7" t="e">
        <f t="shared" si="250"/>
        <v>#N/A</v>
      </c>
      <c r="F2174" s="7" t="e">
        <f t="shared" si="250"/>
        <v>#N/A</v>
      </c>
      <c r="G2174" s="7" t="e">
        <f t="shared" si="250"/>
        <v>#N/A</v>
      </c>
    </row>
    <row r="2175" spans="2:7">
      <c r="B2175" s="67">
        <f t="shared" si="245"/>
        <v>45269</v>
      </c>
      <c r="C2175" s="7" t="e">
        <f t="shared" si="250"/>
        <v>#N/A</v>
      </c>
      <c r="D2175" s="7" t="e">
        <f t="shared" si="250"/>
        <v>#N/A</v>
      </c>
      <c r="E2175" s="7" t="e">
        <f t="shared" si="250"/>
        <v>#N/A</v>
      </c>
      <c r="F2175" s="7" t="e">
        <f t="shared" si="250"/>
        <v>#N/A</v>
      </c>
      <c r="G2175" s="7" t="e">
        <f t="shared" si="250"/>
        <v>#N/A</v>
      </c>
    </row>
    <row r="2176" spans="2:7">
      <c r="B2176" s="67">
        <f t="shared" si="245"/>
        <v>45270</v>
      </c>
      <c r="C2176" s="7" t="e">
        <f t="shared" si="250"/>
        <v>#N/A</v>
      </c>
      <c r="D2176" s="7" t="e">
        <f t="shared" si="250"/>
        <v>#N/A</v>
      </c>
      <c r="E2176" s="7" t="e">
        <f t="shared" si="250"/>
        <v>#N/A</v>
      </c>
      <c r="F2176" s="7" t="e">
        <f t="shared" si="250"/>
        <v>#N/A</v>
      </c>
      <c r="G2176" s="7" t="e">
        <f t="shared" si="250"/>
        <v>#N/A</v>
      </c>
    </row>
    <row r="2177" spans="2:7">
      <c r="B2177" s="67">
        <f t="shared" si="245"/>
        <v>45271</v>
      </c>
      <c r="C2177" s="7" t="e">
        <f t="shared" ref="C2177:G2186" si="251">IF(AND($B2177&gt;=C$3,$B2177&lt;=C$4),C$5,NA())</f>
        <v>#N/A</v>
      </c>
      <c r="D2177" s="7" t="e">
        <f t="shared" si="251"/>
        <v>#N/A</v>
      </c>
      <c r="E2177" s="7" t="e">
        <f t="shared" si="251"/>
        <v>#N/A</v>
      </c>
      <c r="F2177" s="7" t="e">
        <f t="shared" si="251"/>
        <v>#N/A</v>
      </c>
      <c r="G2177" s="7" t="e">
        <f t="shared" si="251"/>
        <v>#N/A</v>
      </c>
    </row>
    <row r="2178" spans="2:7">
      <c r="B2178" s="67">
        <f t="shared" si="245"/>
        <v>45272</v>
      </c>
      <c r="C2178" s="7" t="e">
        <f t="shared" si="251"/>
        <v>#N/A</v>
      </c>
      <c r="D2178" s="7" t="e">
        <f t="shared" si="251"/>
        <v>#N/A</v>
      </c>
      <c r="E2178" s="7" t="e">
        <f t="shared" si="251"/>
        <v>#N/A</v>
      </c>
      <c r="F2178" s="7" t="e">
        <f t="shared" si="251"/>
        <v>#N/A</v>
      </c>
      <c r="G2178" s="7" t="e">
        <f t="shared" si="251"/>
        <v>#N/A</v>
      </c>
    </row>
    <row r="2179" spans="2:7">
      <c r="B2179" s="67">
        <f t="shared" si="245"/>
        <v>45273</v>
      </c>
      <c r="C2179" s="7" t="e">
        <f t="shared" si="251"/>
        <v>#N/A</v>
      </c>
      <c r="D2179" s="7" t="e">
        <f t="shared" si="251"/>
        <v>#N/A</v>
      </c>
      <c r="E2179" s="7" t="e">
        <f t="shared" si="251"/>
        <v>#N/A</v>
      </c>
      <c r="F2179" s="7" t="e">
        <f t="shared" si="251"/>
        <v>#N/A</v>
      </c>
      <c r="G2179" s="7" t="e">
        <f t="shared" si="251"/>
        <v>#N/A</v>
      </c>
    </row>
    <row r="2180" spans="2:7">
      <c r="B2180" s="67">
        <f t="shared" si="245"/>
        <v>45274</v>
      </c>
      <c r="C2180" s="7" t="e">
        <f t="shared" si="251"/>
        <v>#N/A</v>
      </c>
      <c r="D2180" s="7" t="e">
        <f t="shared" si="251"/>
        <v>#N/A</v>
      </c>
      <c r="E2180" s="7" t="e">
        <f t="shared" si="251"/>
        <v>#N/A</v>
      </c>
      <c r="F2180" s="7" t="e">
        <f t="shared" si="251"/>
        <v>#N/A</v>
      </c>
      <c r="G2180" s="7" t="e">
        <f t="shared" si="251"/>
        <v>#N/A</v>
      </c>
    </row>
    <row r="2181" spans="2:7">
      <c r="B2181" s="67">
        <f t="shared" si="245"/>
        <v>45275</v>
      </c>
      <c r="C2181" s="7" t="e">
        <f t="shared" si="251"/>
        <v>#N/A</v>
      </c>
      <c r="D2181" s="7" t="e">
        <f t="shared" si="251"/>
        <v>#N/A</v>
      </c>
      <c r="E2181" s="7" t="e">
        <f t="shared" si="251"/>
        <v>#N/A</v>
      </c>
      <c r="F2181" s="7" t="e">
        <f t="shared" si="251"/>
        <v>#N/A</v>
      </c>
      <c r="G2181" s="7" t="e">
        <f t="shared" si="251"/>
        <v>#N/A</v>
      </c>
    </row>
    <row r="2182" spans="2:7">
      <c r="B2182" s="67">
        <f t="shared" si="245"/>
        <v>45276</v>
      </c>
      <c r="C2182" s="7" t="e">
        <f t="shared" si="251"/>
        <v>#N/A</v>
      </c>
      <c r="D2182" s="7" t="e">
        <f t="shared" si="251"/>
        <v>#N/A</v>
      </c>
      <c r="E2182" s="7" t="e">
        <f t="shared" si="251"/>
        <v>#N/A</v>
      </c>
      <c r="F2182" s="7" t="e">
        <f t="shared" si="251"/>
        <v>#N/A</v>
      </c>
      <c r="G2182" s="7" t="e">
        <f t="shared" si="251"/>
        <v>#N/A</v>
      </c>
    </row>
    <row r="2183" spans="2:7">
      <c r="B2183" s="67">
        <f t="shared" si="245"/>
        <v>45277</v>
      </c>
      <c r="C2183" s="7" t="e">
        <f t="shared" si="251"/>
        <v>#N/A</v>
      </c>
      <c r="D2183" s="7" t="e">
        <f t="shared" si="251"/>
        <v>#N/A</v>
      </c>
      <c r="E2183" s="7" t="e">
        <f t="shared" si="251"/>
        <v>#N/A</v>
      </c>
      <c r="F2183" s="7" t="e">
        <f t="shared" si="251"/>
        <v>#N/A</v>
      </c>
      <c r="G2183" s="7" t="e">
        <f t="shared" si="251"/>
        <v>#N/A</v>
      </c>
    </row>
    <row r="2184" spans="2:7">
      <c r="B2184" s="67">
        <f t="shared" ref="B2184:B2247" si="252">B2183+1</f>
        <v>45278</v>
      </c>
      <c r="C2184" s="7" t="e">
        <f t="shared" si="251"/>
        <v>#N/A</v>
      </c>
      <c r="D2184" s="7" t="e">
        <f t="shared" si="251"/>
        <v>#N/A</v>
      </c>
      <c r="E2184" s="7" t="e">
        <f t="shared" si="251"/>
        <v>#N/A</v>
      </c>
      <c r="F2184" s="7" t="e">
        <f t="shared" si="251"/>
        <v>#N/A</v>
      </c>
      <c r="G2184" s="7" t="e">
        <f t="shared" si="251"/>
        <v>#N/A</v>
      </c>
    </row>
    <row r="2185" spans="2:7">
      <c r="B2185" s="67">
        <f t="shared" si="252"/>
        <v>45279</v>
      </c>
      <c r="C2185" s="7" t="e">
        <f t="shared" si="251"/>
        <v>#N/A</v>
      </c>
      <c r="D2185" s="7" t="e">
        <f t="shared" si="251"/>
        <v>#N/A</v>
      </c>
      <c r="E2185" s="7" t="e">
        <f t="shared" si="251"/>
        <v>#N/A</v>
      </c>
      <c r="F2185" s="7" t="e">
        <f t="shared" si="251"/>
        <v>#N/A</v>
      </c>
      <c r="G2185" s="7" t="e">
        <f t="shared" si="251"/>
        <v>#N/A</v>
      </c>
    </row>
    <row r="2186" spans="2:7">
      <c r="B2186" s="67">
        <f t="shared" si="252"/>
        <v>45280</v>
      </c>
      <c r="C2186" s="7" t="e">
        <f t="shared" si="251"/>
        <v>#N/A</v>
      </c>
      <c r="D2186" s="7" t="e">
        <f t="shared" si="251"/>
        <v>#N/A</v>
      </c>
      <c r="E2186" s="7" t="e">
        <f t="shared" si="251"/>
        <v>#N/A</v>
      </c>
      <c r="F2186" s="7" t="e">
        <f t="shared" si="251"/>
        <v>#N/A</v>
      </c>
      <c r="G2186" s="7" t="e">
        <f t="shared" si="251"/>
        <v>#N/A</v>
      </c>
    </row>
    <row r="2187" spans="2:7">
      <c r="B2187" s="67">
        <f t="shared" si="252"/>
        <v>45281</v>
      </c>
      <c r="C2187" s="7" t="e">
        <f t="shared" ref="C2187:G2196" si="253">IF(AND($B2187&gt;=C$3,$B2187&lt;=C$4),C$5,NA())</f>
        <v>#N/A</v>
      </c>
      <c r="D2187" s="7" t="e">
        <f t="shared" si="253"/>
        <v>#N/A</v>
      </c>
      <c r="E2187" s="7" t="e">
        <f t="shared" si="253"/>
        <v>#N/A</v>
      </c>
      <c r="F2187" s="7" t="e">
        <f t="shared" si="253"/>
        <v>#N/A</v>
      </c>
      <c r="G2187" s="7" t="e">
        <f t="shared" si="253"/>
        <v>#N/A</v>
      </c>
    </row>
    <row r="2188" spans="2:7">
      <c r="B2188" s="67">
        <f t="shared" si="252"/>
        <v>45282</v>
      </c>
      <c r="C2188" s="7" t="e">
        <f t="shared" si="253"/>
        <v>#N/A</v>
      </c>
      <c r="D2188" s="7" t="e">
        <f t="shared" si="253"/>
        <v>#N/A</v>
      </c>
      <c r="E2188" s="7" t="e">
        <f t="shared" si="253"/>
        <v>#N/A</v>
      </c>
      <c r="F2188" s="7" t="e">
        <f t="shared" si="253"/>
        <v>#N/A</v>
      </c>
      <c r="G2188" s="7" t="e">
        <f t="shared" si="253"/>
        <v>#N/A</v>
      </c>
    </row>
    <row r="2189" spans="2:7">
      <c r="B2189" s="67">
        <f t="shared" si="252"/>
        <v>45283</v>
      </c>
      <c r="C2189" s="7" t="e">
        <f t="shared" si="253"/>
        <v>#N/A</v>
      </c>
      <c r="D2189" s="7" t="e">
        <f t="shared" si="253"/>
        <v>#N/A</v>
      </c>
      <c r="E2189" s="7" t="e">
        <f t="shared" si="253"/>
        <v>#N/A</v>
      </c>
      <c r="F2189" s="7" t="e">
        <f t="shared" si="253"/>
        <v>#N/A</v>
      </c>
      <c r="G2189" s="7" t="e">
        <f t="shared" si="253"/>
        <v>#N/A</v>
      </c>
    </row>
    <row r="2190" spans="2:7">
      <c r="B2190" s="67">
        <f t="shared" si="252"/>
        <v>45284</v>
      </c>
      <c r="C2190" s="7" t="e">
        <f t="shared" si="253"/>
        <v>#N/A</v>
      </c>
      <c r="D2190" s="7" t="e">
        <f t="shared" si="253"/>
        <v>#N/A</v>
      </c>
      <c r="E2190" s="7" t="e">
        <f t="shared" si="253"/>
        <v>#N/A</v>
      </c>
      <c r="F2190" s="7" t="e">
        <f t="shared" si="253"/>
        <v>#N/A</v>
      </c>
      <c r="G2190" s="7" t="e">
        <f t="shared" si="253"/>
        <v>#N/A</v>
      </c>
    </row>
    <row r="2191" spans="2:7">
      <c r="B2191" s="67">
        <f t="shared" si="252"/>
        <v>45285</v>
      </c>
      <c r="C2191" s="7" t="e">
        <f t="shared" si="253"/>
        <v>#N/A</v>
      </c>
      <c r="D2191" s="7" t="e">
        <f t="shared" si="253"/>
        <v>#N/A</v>
      </c>
      <c r="E2191" s="7" t="e">
        <f t="shared" si="253"/>
        <v>#N/A</v>
      </c>
      <c r="F2191" s="7" t="e">
        <f t="shared" si="253"/>
        <v>#N/A</v>
      </c>
      <c r="G2191" s="7" t="e">
        <f t="shared" si="253"/>
        <v>#N/A</v>
      </c>
    </row>
    <row r="2192" spans="2:7">
      <c r="B2192" s="67">
        <f t="shared" si="252"/>
        <v>45286</v>
      </c>
      <c r="C2192" s="7" t="e">
        <f t="shared" si="253"/>
        <v>#N/A</v>
      </c>
      <c r="D2192" s="7" t="e">
        <f t="shared" si="253"/>
        <v>#N/A</v>
      </c>
      <c r="E2192" s="7" t="e">
        <f t="shared" si="253"/>
        <v>#N/A</v>
      </c>
      <c r="F2192" s="7" t="e">
        <f t="shared" si="253"/>
        <v>#N/A</v>
      </c>
      <c r="G2192" s="7" t="e">
        <f t="shared" si="253"/>
        <v>#N/A</v>
      </c>
    </row>
    <row r="2193" spans="2:7">
      <c r="B2193" s="67">
        <f t="shared" si="252"/>
        <v>45287</v>
      </c>
      <c r="C2193" s="7" t="e">
        <f t="shared" si="253"/>
        <v>#N/A</v>
      </c>
      <c r="D2193" s="7" t="e">
        <f t="shared" si="253"/>
        <v>#N/A</v>
      </c>
      <c r="E2193" s="7" t="e">
        <f t="shared" si="253"/>
        <v>#N/A</v>
      </c>
      <c r="F2193" s="7" t="e">
        <f t="shared" si="253"/>
        <v>#N/A</v>
      </c>
      <c r="G2193" s="7" t="e">
        <f t="shared" si="253"/>
        <v>#N/A</v>
      </c>
    </row>
    <row r="2194" spans="2:7">
      <c r="B2194" s="67">
        <f t="shared" si="252"/>
        <v>45288</v>
      </c>
      <c r="C2194" s="7" t="e">
        <f t="shared" si="253"/>
        <v>#N/A</v>
      </c>
      <c r="D2194" s="7" t="e">
        <f t="shared" si="253"/>
        <v>#N/A</v>
      </c>
      <c r="E2194" s="7" t="e">
        <f t="shared" si="253"/>
        <v>#N/A</v>
      </c>
      <c r="F2194" s="7" t="e">
        <f t="shared" si="253"/>
        <v>#N/A</v>
      </c>
      <c r="G2194" s="7" t="e">
        <f t="shared" si="253"/>
        <v>#N/A</v>
      </c>
    </row>
    <row r="2195" spans="2:7">
      <c r="B2195" s="67">
        <f t="shared" si="252"/>
        <v>45289</v>
      </c>
      <c r="C2195" s="7" t="e">
        <f t="shared" si="253"/>
        <v>#N/A</v>
      </c>
      <c r="D2195" s="7" t="e">
        <f t="shared" si="253"/>
        <v>#N/A</v>
      </c>
      <c r="E2195" s="7" t="e">
        <f t="shared" si="253"/>
        <v>#N/A</v>
      </c>
      <c r="F2195" s="7" t="e">
        <f t="shared" si="253"/>
        <v>#N/A</v>
      </c>
      <c r="G2195" s="7" t="e">
        <f t="shared" si="253"/>
        <v>#N/A</v>
      </c>
    </row>
    <row r="2196" spans="2:7">
      <c r="B2196" s="67">
        <f t="shared" si="252"/>
        <v>45290</v>
      </c>
      <c r="C2196" s="7" t="e">
        <f t="shared" si="253"/>
        <v>#N/A</v>
      </c>
      <c r="D2196" s="7" t="e">
        <f t="shared" si="253"/>
        <v>#N/A</v>
      </c>
      <c r="E2196" s="7" t="e">
        <f t="shared" si="253"/>
        <v>#N/A</v>
      </c>
      <c r="F2196" s="7" t="e">
        <f t="shared" si="253"/>
        <v>#N/A</v>
      </c>
      <c r="G2196" s="7" t="e">
        <f t="shared" si="253"/>
        <v>#N/A</v>
      </c>
    </row>
    <row r="2197" spans="2:7">
      <c r="B2197" s="67">
        <f t="shared" si="252"/>
        <v>45291</v>
      </c>
      <c r="C2197" s="7" t="e">
        <f t="shared" ref="C2197:G2206" si="254">IF(AND($B2197&gt;=C$3,$B2197&lt;=C$4),C$5,NA())</f>
        <v>#N/A</v>
      </c>
      <c r="D2197" s="7" t="e">
        <f t="shared" si="254"/>
        <v>#N/A</v>
      </c>
      <c r="E2197" s="7" t="e">
        <f t="shared" si="254"/>
        <v>#N/A</v>
      </c>
      <c r="F2197" s="7" t="e">
        <f t="shared" si="254"/>
        <v>#N/A</v>
      </c>
      <c r="G2197" s="7" t="e">
        <f t="shared" si="254"/>
        <v>#N/A</v>
      </c>
    </row>
    <row r="2198" spans="2:7">
      <c r="B2198" s="67">
        <f t="shared" si="252"/>
        <v>45292</v>
      </c>
      <c r="C2198" s="7" t="e">
        <f t="shared" si="254"/>
        <v>#N/A</v>
      </c>
      <c r="D2198" s="7" t="e">
        <f t="shared" si="254"/>
        <v>#N/A</v>
      </c>
      <c r="E2198" s="7" t="e">
        <f t="shared" si="254"/>
        <v>#N/A</v>
      </c>
      <c r="F2198" s="7" t="e">
        <f t="shared" si="254"/>
        <v>#N/A</v>
      </c>
      <c r="G2198" s="7" t="e">
        <f t="shared" si="254"/>
        <v>#N/A</v>
      </c>
    </row>
    <row r="2199" spans="2:7">
      <c r="B2199" s="67">
        <f t="shared" si="252"/>
        <v>45293</v>
      </c>
      <c r="C2199" s="7" t="e">
        <f t="shared" si="254"/>
        <v>#N/A</v>
      </c>
      <c r="D2199" s="7" t="e">
        <f t="shared" si="254"/>
        <v>#N/A</v>
      </c>
      <c r="E2199" s="7" t="e">
        <f t="shared" si="254"/>
        <v>#N/A</v>
      </c>
      <c r="F2199" s="7" t="e">
        <f t="shared" si="254"/>
        <v>#N/A</v>
      </c>
      <c r="G2199" s="7" t="e">
        <f t="shared" si="254"/>
        <v>#N/A</v>
      </c>
    </row>
    <row r="2200" spans="2:7">
      <c r="B2200" s="67">
        <f t="shared" si="252"/>
        <v>45294</v>
      </c>
      <c r="C2200" s="7" t="e">
        <f t="shared" si="254"/>
        <v>#N/A</v>
      </c>
      <c r="D2200" s="7" t="e">
        <f t="shared" si="254"/>
        <v>#N/A</v>
      </c>
      <c r="E2200" s="7" t="e">
        <f t="shared" si="254"/>
        <v>#N/A</v>
      </c>
      <c r="F2200" s="7" t="e">
        <f t="shared" si="254"/>
        <v>#N/A</v>
      </c>
      <c r="G2200" s="7" t="e">
        <f t="shared" si="254"/>
        <v>#N/A</v>
      </c>
    </row>
    <row r="2201" spans="2:7">
      <c r="B2201" s="67">
        <f t="shared" si="252"/>
        <v>45295</v>
      </c>
      <c r="C2201" s="7" t="e">
        <f t="shared" si="254"/>
        <v>#N/A</v>
      </c>
      <c r="D2201" s="7" t="e">
        <f t="shared" si="254"/>
        <v>#N/A</v>
      </c>
      <c r="E2201" s="7" t="e">
        <f t="shared" si="254"/>
        <v>#N/A</v>
      </c>
      <c r="F2201" s="7" t="e">
        <f t="shared" si="254"/>
        <v>#N/A</v>
      </c>
      <c r="G2201" s="7" t="e">
        <f t="shared" si="254"/>
        <v>#N/A</v>
      </c>
    </row>
    <row r="2202" spans="2:7">
      <c r="B2202" s="67">
        <f t="shared" si="252"/>
        <v>45296</v>
      </c>
      <c r="C2202" s="7" t="e">
        <f t="shared" si="254"/>
        <v>#N/A</v>
      </c>
      <c r="D2202" s="7" t="e">
        <f t="shared" si="254"/>
        <v>#N/A</v>
      </c>
      <c r="E2202" s="7" t="e">
        <f t="shared" si="254"/>
        <v>#N/A</v>
      </c>
      <c r="F2202" s="7" t="e">
        <f t="shared" si="254"/>
        <v>#N/A</v>
      </c>
      <c r="G2202" s="7" t="e">
        <f t="shared" si="254"/>
        <v>#N/A</v>
      </c>
    </row>
    <row r="2203" spans="2:7">
      <c r="B2203" s="67">
        <f t="shared" si="252"/>
        <v>45297</v>
      </c>
      <c r="C2203" s="7" t="e">
        <f t="shared" si="254"/>
        <v>#N/A</v>
      </c>
      <c r="D2203" s="7" t="e">
        <f t="shared" si="254"/>
        <v>#N/A</v>
      </c>
      <c r="E2203" s="7" t="e">
        <f t="shared" si="254"/>
        <v>#N/A</v>
      </c>
      <c r="F2203" s="7" t="e">
        <f t="shared" si="254"/>
        <v>#N/A</v>
      </c>
      <c r="G2203" s="7" t="e">
        <f t="shared" si="254"/>
        <v>#N/A</v>
      </c>
    </row>
    <row r="2204" spans="2:7">
      <c r="B2204" s="67">
        <f t="shared" si="252"/>
        <v>45298</v>
      </c>
      <c r="C2204" s="7" t="e">
        <f t="shared" si="254"/>
        <v>#N/A</v>
      </c>
      <c r="D2204" s="7" t="e">
        <f t="shared" si="254"/>
        <v>#N/A</v>
      </c>
      <c r="E2204" s="7" t="e">
        <f t="shared" si="254"/>
        <v>#N/A</v>
      </c>
      <c r="F2204" s="7" t="e">
        <f t="shared" si="254"/>
        <v>#N/A</v>
      </c>
      <c r="G2204" s="7" t="e">
        <f t="shared" si="254"/>
        <v>#N/A</v>
      </c>
    </row>
    <row r="2205" spans="2:7">
      <c r="B2205" s="67">
        <f t="shared" si="252"/>
        <v>45299</v>
      </c>
      <c r="C2205" s="7" t="e">
        <f t="shared" si="254"/>
        <v>#N/A</v>
      </c>
      <c r="D2205" s="7" t="e">
        <f t="shared" si="254"/>
        <v>#N/A</v>
      </c>
      <c r="E2205" s="7" t="e">
        <f t="shared" si="254"/>
        <v>#N/A</v>
      </c>
      <c r="F2205" s="7" t="e">
        <f t="shared" si="254"/>
        <v>#N/A</v>
      </c>
      <c r="G2205" s="7" t="e">
        <f t="shared" si="254"/>
        <v>#N/A</v>
      </c>
    </row>
    <row r="2206" spans="2:7">
      <c r="B2206" s="67">
        <f t="shared" si="252"/>
        <v>45300</v>
      </c>
      <c r="C2206" s="7" t="e">
        <f t="shared" si="254"/>
        <v>#N/A</v>
      </c>
      <c r="D2206" s="7" t="e">
        <f t="shared" si="254"/>
        <v>#N/A</v>
      </c>
      <c r="E2206" s="7" t="e">
        <f t="shared" si="254"/>
        <v>#N/A</v>
      </c>
      <c r="F2206" s="7" t="e">
        <f t="shared" si="254"/>
        <v>#N/A</v>
      </c>
      <c r="G2206" s="7" t="e">
        <f t="shared" si="254"/>
        <v>#N/A</v>
      </c>
    </row>
    <row r="2207" spans="2:7">
      <c r="B2207" s="67">
        <f t="shared" si="252"/>
        <v>45301</v>
      </c>
      <c r="C2207" s="7" t="e">
        <f t="shared" ref="C2207:G2216" si="255">IF(AND($B2207&gt;=C$3,$B2207&lt;=C$4),C$5,NA())</f>
        <v>#N/A</v>
      </c>
      <c r="D2207" s="7" t="e">
        <f t="shared" si="255"/>
        <v>#N/A</v>
      </c>
      <c r="E2207" s="7" t="e">
        <f t="shared" si="255"/>
        <v>#N/A</v>
      </c>
      <c r="F2207" s="7" t="e">
        <f t="shared" si="255"/>
        <v>#N/A</v>
      </c>
      <c r="G2207" s="7" t="e">
        <f t="shared" si="255"/>
        <v>#N/A</v>
      </c>
    </row>
    <row r="2208" spans="2:7">
      <c r="B2208" s="67">
        <f t="shared" si="252"/>
        <v>45302</v>
      </c>
      <c r="C2208" s="7" t="e">
        <f t="shared" si="255"/>
        <v>#N/A</v>
      </c>
      <c r="D2208" s="7" t="e">
        <f t="shared" si="255"/>
        <v>#N/A</v>
      </c>
      <c r="E2208" s="7" t="e">
        <f t="shared" si="255"/>
        <v>#N/A</v>
      </c>
      <c r="F2208" s="7" t="e">
        <f t="shared" si="255"/>
        <v>#N/A</v>
      </c>
      <c r="G2208" s="7" t="e">
        <f t="shared" si="255"/>
        <v>#N/A</v>
      </c>
    </row>
    <row r="2209" spans="2:7">
      <c r="B2209" s="67">
        <f t="shared" si="252"/>
        <v>45303</v>
      </c>
      <c r="C2209" s="7" t="e">
        <f t="shared" si="255"/>
        <v>#N/A</v>
      </c>
      <c r="D2209" s="7" t="e">
        <f t="shared" si="255"/>
        <v>#N/A</v>
      </c>
      <c r="E2209" s="7" t="e">
        <f t="shared" si="255"/>
        <v>#N/A</v>
      </c>
      <c r="F2209" s="7" t="e">
        <f t="shared" si="255"/>
        <v>#N/A</v>
      </c>
      <c r="G2209" s="7" t="e">
        <f t="shared" si="255"/>
        <v>#N/A</v>
      </c>
    </row>
    <row r="2210" spans="2:7">
      <c r="B2210" s="67">
        <f t="shared" si="252"/>
        <v>45304</v>
      </c>
      <c r="C2210" s="7" t="e">
        <f t="shared" si="255"/>
        <v>#N/A</v>
      </c>
      <c r="D2210" s="7" t="e">
        <f t="shared" si="255"/>
        <v>#N/A</v>
      </c>
      <c r="E2210" s="7" t="e">
        <f t="shared" si="255"/>
        <v>#N/A</v>
      </c>
      <c r="F2210" s="7" t="e">
        <f t="shared" si="255"/>
        <v>#N/A</v>
      </c>
      <c r="G2210" s="7" t="e">
        <f t="shared" si="255"/>
        <v>#N/A</v>
      </c>
    </row>
    <row r="2211" spans="2:7">
      <c r="B2211" s="67">
        <f t="shared" si="252"/>
        <v>45305</v>
      </c>
      <c r="C2211" s="7" t="e">
        <f t="shared" si="255"/>
        <v>#N/A</v>
      </c>
      <c r="D2211" s="7" t="e">
        <f t="shared" si="255"/>
        <v>#N/A</v>
      </c>
      <c r="E2211" s="7" t="e">
        <f t="shared" si="255"/>
        <v>#N/A</v>
      </c>
      <c r="F2211" s="7" t="e">
        <f t="shared" si="255"/>
        <v>#N/A</v>
      </c>
      <c r="G2211" s="7" t="e">
        <f t="shared" si="255"/>
        <v>#N/A</v>
      </c>
    </row>
    <row r="2212" spans="2:7">
      <c r="B2212" s="67">
        <f t="shared" si="252"/>
        <v>45306</v>
      </c>
      <c r="C2212" s="7" t="e">
        <f t="shared" si="255"/>
        <v>#N/A</v>
      </c>
      <c r="D2212" s="7" t="e">
        <f t="shared" si="255"/>
        <v>#N/A</v>
      </c>
      <c r="E2212" s="7" t="e">
        <f t="shared" si="255"/>
        <v>#N/A</v>
      </c>
      <c r="F2212" s="7" t="e">
        <f t="shared" si="255"/>
        <v>#N/A</v>
      </c>
      <c r="G2212" s="7" t="e">
        <f t="shared" si="255"/>
        <v>#N/A</v>
      </c>
    </row>
    <row r="2213" spans="2:7">
      <c r="B2213" s="67">
        <f t="shared" si="252"/>
        <v>45307</v>
      </c>
      <c r="C2213" s="7" t="e">
        <f t="shared" si="255"/>
        <v>#N/A</v>
      </c>
      <c r="D2213" s="7" t="e">
        <f t="shared" si="255"/>
        <v>#N/A</v>
      </c>
      <c r="E2213" s="7" t="e">
        <f t="shared" si="255"/>
        <v>#N/A</v>
      </c>
      <c r="F2213" s="7" t="e">
        <f t="shared" si="255"/>
        <v>#N/A</v>
      </c>
      <c r="G2213" s="7" t="e">
        <f t="shared" si="255"/>
        <v>#N/A</v>
      </c>
    </row>
    <row r="2214" spans="2:7">
      <c r="B2214" s="67">
        <f t="shared" si="252"/>
        <v>45308</v>
      </c>
      <c r="C2214" s="7" t="e">
        <f t="shared" si="255"/>
        <v>#N/A</v>
      </c>
      <c r="D2214" s="7" t="e">
        <f t="shared" si="255"/>
        <v>#N/A</v>
      </c>
      <c r="E2214" s="7" t="e">
        <f t="shared" si="255"/>
        <v>#N/A</v>
      </c>
      <c r="F2214" s="7" t="e">
        <f t="shared" si="255"/>
        <v>#N/A</v>
      </c>
      <c r="G2214" s="7" t="e">
        <f t="shared" si="255"/>
        <v>#N/A</v>
      </c>
    </row>
    <row r="2215" spans="2:7">
      <c r="B2215" s="67">
        <f t="shared" si="252"/>
        <v>45309</v>
      </c>
      <c r="C2215" s="7" t="e">
        <f t="shared" si="255"/>
        <v>#N/A</v>
      </c>
      <c r="D2215" s="7" t="e">
        <f t="shared" si="255"/>
        <v>#N/A</v>
      </c>
      <c r="E2215" s="7" t="e">
        <f t="shared" si="255"/>
        <v>#N/A</v>
      </c>
      <c r="F2215" s="7" t="e">
        <f t="shared" si="255"/>
        <v>#N/A</v>
      </c>
      <c r="G2215" s="7" t="e">
        <f t="shared" si="255"/>
        <v>#N/A</v>
      </c>
    </row>
    <row r="2216" spans="2:7">
      <c r="B2216" s="67">
        <f t="shared" si="252"/>
        <v>45310</v>
      </c>
      <c r="C2216" s="7" t="e">
        <f t="shared" si="255"/>
        <v>#N/A</v>
      </c>
      <c r="D2216" s="7" t="e">
        <f t="shared" si="255"/>
        <v>#N/A</v>
      </c>
      <c r="E2216" s="7" t="e">
        <f t="shared" si="255"/>
        <v>#N/A</v>
      </c>
      <c r="F2216" s="7" t="e">
        <f t="shared" si="255"/>
        <v>#N/A</v>
      </c>
      <c r="G2216" s="7" t="e">
        <f t="shared" si="255"/>
        <v>#N/A</v>
      </c>
    </row>
    <row r="2217" spans="2:7">
      <c r="B2217" s="67">
        <f t="shared" si="252"/>
        <v>45311</v>
      </c>
      <c r="C2217" s="7" t="e">
        <f t="shared" ref="C2217:G2226" si="256">IF(AND($B2217&gt;=C$3,$B2217&lt;=C$4),C$5,NA())</f>
        <v>#N/A</v>
      </c>
      <c r="D2217" s="7" t="e">
        <f t="shared" si="256"/>
        <v>#N/A</v>
      </c>
      <c r="E2217" s="7" t="e">
        <f t="shared" si="256"/>
        <v>#N/A</v>
      </c>
      <c r="F2217" s="7" t="e">
        <f t="shared" si="256"/>
        <v>#N/A</v>
      </c>
      <c r="G2217" s="7" t="e">
        <f t="shared" si="256"/>
        <v>#N/A</v>
      </c>
    </row>
    <row r="2218" spans="2:7">
      <c r="B2218" s="67">
        <f t="shared" si="252"/>
        <v>45312</v>
      </c>
      <c r="C2218" s="7" t="e">
        <f t="shared" si="256"/>
        <v>#N/A</v>
      </c>
      <c r="D2218" s="7" t="e">
        <f t="shared" si="256"/>
        <v>#N/A</v>
      </c>
      <c r="E2218" s="7" t="e">
        <f t="shared" si="256"/>
        <v>#N/A</v>
      </c>
      <c r="F2218" s="7" t="e">
        <f t="shared" si="256"/>
        <v>#N/A</v>
      </c>
      <c r="G2218" s="7" t="e">
        <f t="shared" si="256"/>
        <v>#N/A</v>
      </c>
    </row>
    <row r="2219" spans="2:7">
      <c r="B2219" s="67">
        <f t="shared" si="252"/>
        <v>45313</v>
      </c>
      <c r="C2219" s="7" t="e">
        <f t="shared" si="256"/>
        <v>#N/A</v>
      </c>
      <c r="D2219" s="7" t="e">
        <f t="shared" si="256"/>
        <v>#N/A</v>
      </c>
      <c r="E2219" s="7" t="e">
        <f t="shared" si="256"/>
        <v>#N/A</v>
      </c>
      <c r="F2219" s="7" t="e">
        <f t="shared" si="256"/>
        <v>#N/A</v>
      </c>
      <c r="G2219" s="7" t="e">
        <f t="shared" si="256"/>
        <v>#N/A</v>
      </c>
    </row>
    <row r="2220" spans="2:7">
      <c r="B2220" s="67">
        <f t="shared" si="252"/>
        <v>45314</v>
      </c>
      <c r="C2220" s="7" t="e">
        <f t="shared" si="256"/>
        <v>#N/A</v>
      </c>
      <c r="D2220" s="7" t="e">
        <f t="shared" si="256"/>
        <v>#N/A</v>
      </c>
      <c r="E2220" s="7" t="e">
        <f t="shared" si="256"/>
        <v>#N/A</v>
      </c>
      <c r="F2220" s="7" t="e">
        <f t="shared" si="256"/>
        <v>#N/A</v>
      </c>
      <c r="G2220" s="7" t="e">
        <f t="shared" si="256"/>
        <v>#N/A</v>
      </c>
    </row>
    <row r="2221" spans="2:7">
      <c r="B2221" s="67">
        <f t="shared" si="252"/>
        <v>45315</v>
      </c>
      <c r="C2221" s="7" t="e">
        <f t="shared" si="256"/>
        <v>#N/A</v>
      </c>
      <c r="D2221" s="7" t="e">
        <f t="shared" si="256"/>
        <v>#N/A</v>
      </c>
      <c r="E2221" s="7" t="e">
        <f t="shared" si="256"/>
        <v>#N/A</v>
      </c>
      <c r="F2221" s="7" t="e">
        <f t="shared" si="256"/>
        <v>#N/A</v>
      </c>
      <c r="G2221" s="7" t="e">
        <f t="shared" si="256"/>
        <v>#N/A</v>
      </c>
    </row>
    <row r="2222" spans="2:7">
      <c r="B2222" s="67">
        <f t="shared" si="252"/>
        <v>45316</v>
      </c>
      <c r="C2222" s="7" t="e">
        <f t="shared" si="256"/>
        <v>#N/A</v>
      </c>
      <c r="D2222" s="7" t="e">
        <f t="shared" si="256"/>
        <v>#N/A</v>
      </c>
      <c r="E2222" s="7" t="e">
        <f t="shared" si="256"/>
        <v>#N/A</v>
      </c>
      <c r="F2222" s="7" t="e">
        <f t="shared" si="256"/>
        <v>#N/A</v>
      </c>
      <c r="G2222" s="7" t="e">
        <f t="shared" si="256"/>
        <v>#N/A</v>
      </c>
    </row>
    <row r="2223" spans="2:7">
      <c r="B2223" s="67">
        <f t="shared" si="252"/>
        <v>45317</v>
      </c>
      <c r="C2223" s="7" t="e">
        <f t="shared" si="256"/>
        <v>#N/A</v>
      </c>
      <c r="D2223" s="7" t="e">
        <f t="shared" si="256"/>
        <v>#N/A</v>
      </c>
      <c r="E2223" s="7" t="e">
        <f t="shared" si="256"/>
        <v>#N/A</v>
      </c>
      <c r="F2223" s="7" t="e">
        <f t="shared" si="256"/>
        <v>#N/A</v>
      </c>
      <c r="G2223" s="7" t="e">
        <f t="shared" si="256"/>
        <v>#N/A</v>
      </c>
    </row>
    <row r="2224" spans="2:7">
      <c r="B2224" s="67">
        <f t="shared" si="252"/>
        <v>45318</v>
      </c>
      <c r="C2224" s="7" t="e">
        <f t="shared" si="256"/>
        <v>#N/A</v>
      </c>
      <c r="D2224" s="7" t="e">
        <f t="shared" si="256"/>
        <v>#N/A</v>
      </c>
      <c r="E2224" s="7" t="e">
        <f t="shared" si="256"/>
        <v>#N/A</v>
      </c>
      <c r="F2224" s="7" t="e">
        <f t="shared" si="256"/>
        <v>#N/A</v>
      </c>
      <c r="G2224" s="7" t="e">
        <f t="shared" si="256"/>
        <v>#N/A</v>
      </c>
    </row>
    <row r="2225" spans="2:7">
      <c r="B2225" s="67">
        <f t="shared" si="252"/>
        <v>45319</v>
      </c>
      <c r="C2225" s="7" t="e">
        <f t="shared" si="256"/>
        <v>#N/A</v>
      </c>
      <c r="D2225" s="7" t="e">
        <f t="shared" si="256"/>
        <v>#N/A</v>
      </c>
      <c r="E2225" s="7" t="e">
        <f t="shared" si="256"/>
        <v>#N/A</v>
      </c>
      <c r="F2225" s="7" t="e">
        <f t="shared" si="256"/>
        <v>#N/A</v>
      </c>
      <c r="G2225" s="7" t="e">
        <f t="shared" si="256"/>
        <v>#N/A</v>
      </c>
    </row>
    <row r="2226" spans="2:7">
      <c r="B2226" s="67">
        <f t="shared" si="252"/>
        <v>45320</v>
      </c>
      <c r="C2226" s="7" t="e">
        <f t="shared" si="256"/>
        <v>#N/A</v>
      </c>
      <c r="D2226" s="7" t="e">
        <f t="shared" si="256"/>
        <v>#N/A</v>
      </c>
      <c r="E2226" s="7" t="e">
        <f t="shared" si="256"/>
        <v>#N/A</v>
      </c>
      <c r="F2226" s="7" t="e">
        <f t="shared" si="256"/>
        <v>#N/A</v>
      </c>
      <c r="G2226" s="7" t="e">
        <f t="shared" si="256"/>
        <v>#N/A</v>
      </c>
    </row>
    <row r="2227" spans="2:7">
      <c r="B2227" s="67">
        <f t="shared" si="252"/>
        <v>45321</v>
      </c>
      <c r="C2227" s="7" t="e">
        <f t="shared" ref="C2227:G2236" si="257">IF(AND($B2227&gt;=C$3,$B2227&lt;=C$4),C$5,NA())</f>
        <v>#N/A</v>
      </c>
      <c r="D2227" s="7" t="e">
        <f t="shared" si="257"/>
        <v>#N/A</v>
      </c>
      <c r="E2227" s="7" t="e">
        <f t="shared" si="257"/>
        <v>#N/A</v>
      </c>
      <c r="F2227" s="7" t="e">
        <f t="shared" si="257"/>
        <v>#N/A</v>
      </c>
      <c r="G2227" s="7" t="e">
        <f t="shared" si="257"/>
        <v>#N/A</v>
      </c>
    </row>
    <row r="2228" spans="2:7">
      <c r="B2228" s="67">
        <f t="shared" si="252"/>
        <v>45322</v>
      </c>
      <c r="C2228" s="7" t="e">
        <f t="shared" si="257"/>
        <v>#N/A</v>
      </c>
      <c r="D2228" s="7" t="e">
        <f t="shared" si="257"/>
        <v>#N/A</v>
      </c>
      <c r="E2228" s="7" t="e">
        <f t="shared" si="257"/>
        <v>#N/A</v>
      </c>
      <c r="F2228" s="7" t="e">
        <f t="shared" si="257"/>
        <v>#N/A</v>
      </c>
      <c r="G2228" s="7" t="e">
        <f t="shared" si="257"/>
        <v>#N/A</v>
      </c>
    </row>
    <row r="2229" spans="2:7">
      <c r="B2229" s="67">
        <f t="shared" si="252"/>
        <v>45323</v>
      </c>
      <c r="C2229" s="7" t="e">
        <f t="shared" si="257"/>
        <v>#N/A</v>
      </c>
      <c r="D2229" s="7" t="e">
        <f t="shared" si="257"/>
        <v>#N/A</v>
      </c>
      <c r="E2229" s="7" t="e">
        <f t="shared" si="257"/>
        <v>#N/A</v>
      </c>
      <c r="F2229" s="7" t="e">
        <f t="shared" si="257"/>
        <v>#N/A</v>
      </c>
      <c r="G2229" s="7" t="e">
        <f t="shared" si="257"/>
        <v>#N/A</v>
      </c>
    </row>
    <row r="2230" spans="2:7">
      <c r="B2230" s="67">
        <f t="shared" si="252"/>
        <v>45324</v>
      </c>
      <c r="C2230" s="7" t="e">
        <f t="shared" si="257"/>
        <v>#N/A</v>
      </c>
      <c r="D2230" s="7" t="e">
        <f t="shared" si="257"/>
        <v>#N/A</v>
      </c>
      <c r="E2230" s="7" t="e">
        <f t="shared" si="257"/>
        <v>#N/A</v>
      </c>
      <c r="F2230" s="7" t="e">
        <f t="shared" si="257"/>
        <v>#N/A</v>
      </c>
      <c r="G2230" s="7" t="e">
        <f t="shared" si="257"/>
        <v>#N/A</v>
      </c>
    </row>
    <row r="2231" spans="2:7">
      <c r="B2231" s="67">
        <f t="shared" si="252"/>
        <v>45325</v>
      </c>
      <c r="C2231" s="7" t="e">
        <f t="shared" si="257"/>
        <v>#N/A</v>
      </c>
      <c r="D2231" s="7" t="e">
        <f t="shared" si="257"/>
        <v>#N/A</v>
      </c>
      <c r="E2231" s="7" t="e">
        <f t="shared" si="257"/>
        <v>#N/A</v>
      </c>
      <c r="F2231" s="7" t="e">
        <f t="shared" si="257"/>
        <v>#N/A</v>
      </c>
      <c r="G2231" s="7" t="e">
        <f t="shared" si="257"/>
        <v>#N/A</v>
      </c>
    </row>
    <row r="2232" spans="2:7">
      <c r="B2232" s="67">
        <f t="shared" si="252"/>
        <v>45326</v>
      </c>
      <c r="C2232" s="7" t="e">
        <f t="shared" si="257"/>
        <v>#N/A</v>
      </c>
      <c r="D2232" s="7" t="e">
        <f t="shared" si="257"/>
        <v>#N/A</v>
      </c>
      <c r="E2232" s="7" t="e">
        <f t="shared" si="257"/>
        <v>#N/A</v>
      </c>
      <c r="F2232" s="7" t="e">
        <f t="shared" si="257"/>
        <v>#N/A</v>
      </c>
      <c r="G2232" s="7" t="e">
        <f t="shared" si="257"/>
        <v>#N/A</v>
      </c>
    </row>
    <row r="2233" spans="2:7">
      <c r="B2233" s="67">
        <f t="shared" si="252"/>
        <v>45327</v>
      </c>
      <c r="C2233" s="7" t="e">
        <f t="shared" si="257"/>
        <v>#N/A</v>
      </c>
      <c r="D2233" s="7" t="e">
        <f t="shared" si="257"/>
        <v>#N/A</v>
      </c>
      <c r="E2233" s="7" t="e">
        <f t="shared" si="257"/>
        <v>#N/A</v>
      </c>
      <c r="F2233" s="7" t="e">
        <f t="shared" si="257"/>
        <v>#N/A</v>
      </c>
      <c r="G2233" s="7" t="e">
        <f t="shared" si="257"/>
        <v>#N/A</v>
      </c>
    </row>
    <row r="2234" spans="2:7">
      <c r="B2234" s="67">
        <f t="shared" si="252"/>
        <v>45328</v>
      </c>
      <c r="C2234" s="7" t="e">
        <f t="shared" si="257"/>
        <v>#N/A</v>
      </c>
      <c r="D2234" s="7" t="e">
        <f t="shared" si="257"/>
        <v>#N/A</v>
      </c>
      <c r="E2234" s="7" t="e">
        <f t="shared" si="257"/>
        <v>#N/A</v>
      </c>
      <c r="F2234" s="7" t="e">
        <f t="shared" si="257"/>
        <v>#N/A</v>
      </c>
      <c r="G2234" s="7" t="e">
        <f t="shared" si="257"/>
        <v>#N/A</v>
      </c>
    </row>
    <row r="2235" spans="2:7">
      <c r="B2235" s="67">
        <f t="shared" si="252"/>
        <v>45329</v>
      </c>
      <c r="C2235" s="7" t="e">
        <f t="shared" si="257"/>
        <v>#N/A</v>
      </c>
      <c r="D2235" s="7" t="e">
        <f t="shared" si="257"/>
        <v>#N/A</v>
      </c>
      <c r="E2235" s="7" t="e">
        <f t="shared" si="257"/>
        <v>#N/A</v>
      </c>
      <c r="F2235" s="7" t="e">
        <f t="shared" si="257"/>
        <v>#N/A</v>
      </c>
      <c r="G2235" s="7" t="e">
        <f t="shared" si="257"/>
        <v>#N/A</v>
      </c>
    </row>
    <row r="2236" spans="2:7">
      <c r="B2236" s="67">
        <f t="shared" si="252"/>
        <v>45330</v>
      </c>
      <c r="C2236" s="7" t="e">
        <f t="shared" si="257"/>
        <v>#N/A</v>
      </c>
      <c r="D2236" s="7" t="e">
        <f t="shared" si="257"/>
        <v>#N/A</v>
      </c>
      <c r="E2236" s="7" t="e">
        <f t="shared" si="257"/>
        <v>#N/A</v>
      </c>
      <c r="F2236" s="7" t="e">
        <f t="shared" si="257"/>
        <v>#N/A</v>
      </c>
      <c r="G2236" s="7" t="e">
        <f t="shared" si="257"/>
        <v>#N/A</v>
      </c>
    </row>
    <row r="2237" spans="2:7">
      <c r="B2237" s="67">
        <f t="shared" si="252"/>
        <v>45331</v>
      </c>
      <c r="C2237" s="7" t="e">
        <f t="shared" ref="C2237:G2246" si="258">IF(AND($B2237&gt;=C$3,$B2237&lt;=C$4),C$5,NA())</f>
        <v>#N/A</v>
      </c>
      <c r="D2237" s="7" t="e">
        <f t="shared" si="258"/>
        <v>#N/A</v>
      </c>
      <c r="E2237" s="7" t="e">
        <f t="shared" si="258"/>
        <v>#N/A</v>
      </c>
      <c r="F2237" s="7" t="e">
        <f t="shared" si="258"/>
        <v>#N/A</v>
      </c>
      <c r="G2237" s="7" t="e">
        <f t="shared" si="258"/>
        <v>#N/A</v>
      </c>
    </row>
    <row r="2238" spans="2:7">
      <c r="B2238" s="67">
        <f t="shared" si="252"/>
        <v>45332</v>
      </c>
      <c r="C2238" s="7" t="e">
        <f t="shared" si="258"/>
        <v>#N/A</v>
      </c>
      <c r="D2238" s="7" t="e">
        <f t="shared" si="258"/>
        <v>#N/A</v>
      </c>
      <c r="E2238" s="7" t="e">
        <f t="shared" si="258"/>
        <v>#N/A</v>
      </c>
      <c r="F2238" s="7" t="e">
        <f t="shared" si="258"/>
        <v>#N/A</v>
      </c>
      <c r="G2238" s="7" t="e">
        <f t="shared" si="258"/>
        <v>#N/A</v>
      </c>
    </row>
    <row r="2239" spans="2:7">
      <c r="B2239" s="67">
        <f t="shared" si="252"/>
        <v>45333</v>
      </c>
      <c r="C2239" s="7" t="e">
        <f t="shared" si="258"/>
        <v>#N/A</v>
      </c>
      <c r="D2239" s="7" t="e">
        <f t="shared" si="258"/>
        <v>#N/A</v>
      </c>
      <c r="E2239" s="7" t="e">
        <f t="shared" si="258"/>
        <v>#N/A</v>
      </c>
      <c r="F2239" s="7" t="e">
        <f t="shared" si="258"/>
        <v>#N/A</v>
      </c>
      <c r="G2239" s="7" t="e">
        <f t="shared" si="258"/>
        <v>#N/A</v>
      </c>
    </row>
    <row r="2240" spans="2:7">
      <c r="B2240" s="67">
        <f t="shared" si="252"/>
        <v>45334</v>
      </c>
      <c r="C2240" s="7" t="e">
        <f t="shared" si="258"/>
        <v>#N/A</v>
      </c>
      <c r="D2240" s="7" t="e">
        <f t="shared" si="258"/>
        <v>#N/A</v>
      </c>
      <c r="E2240" s="7" t="e">
        <f t="shared" si="258"/>
        <v>#N/A</v>
      </c>
      <c r="F2240" s="7" t="e">
        <f t="shared" si="258"/>
        <v>#N/A</v>
      </c>
      <c r="G2240" s="7" t="e">
        <f t="shared" si="258"/>
        <v>#N/A</v>
      </c>
    </row>
    <row r="2241" spans="2:7">
      <c r="B2241" s="67">
        <f t="shared" si="252"/>
        <v>45335</v>
      </c>
      <c r="C2241" s="7" t="e">
        <f t="shared" si="258"/>
        <v>#N/A</v>
      </c>
      <c r="D2241" s="7" t="e">
        <f t="shared" si="258"/>
        <v>#N/A</v>
      </c>
      <c r="E2241" s="7" t="e">
        <f t="shared" si="258"/>
        <v>#N/A</v>
      </c>
      <c r="F2241" s="7" t="e">
        <f t="shared" si="258"/>
        <v>#N/A</v>
      </c>
      <c r="G2241" s="7" t="e">
        <f t="shared" si="258"/>
        <v>#N/A</v>
      </c>
    </row>
    <row r="2242" spans="2:7">
      <c r="B2242" s="67">
        <f t="shared" si="252"/>
        <v>45336</v>
      </c>
      <c r="C2242" s="7" t="e">
        <f t="shared" si="258"/>
        <v>#N/A</v>
      </c>
      <c r="D2242" s="7" t="e">
        <f t="shared" si="258"/>
        <v>#N/A</v>
      </c>
      <c r="E2242" s="7" t="e">
        <f t="shared" si="258"/>
        <v>#N/A</v>
      </c>
      <c r="F2242" s="7" t="e">
        <f t="shared" si="258"/>
        <v>#N/A</v>
      </c>
      <c r="G2242" s="7" t="e">
        <f t="shared" si="258"/>
        <v>#N/A</v>
      </c>
    </row>
    <row r="2243" spans="2:7">
      <c r="B2243" s="67">
        <f t="shared" si="252"/>
        <v>45337</v>
      </c>
      <c r="C2243" s="7" t="e">
        <f t="shared" si="258"/>
        <v>#N/A</v>
      </c>
      <c r="D2243" s="7" t="e">
        <f t="shared" si="258"/>
        <v>#N/A</v>
      </c>
      <c r="E2243" s="7" t="e">
        <f t="shared" si="258"/>
        <v>#N/A</v>
      </c>
      <c r="F2243" s="7" t="e">
        <f t="shared" si="258"/>
        <v>#N/A</v>
      </c>
      <c r="G2243" s="7" t="e">
        <f t="shared" si="258"/>
        <v>#N/A</v>
      </c>
    </row>
    <row r="2244" spans="2:7">
      <c r="B2244" s="67">
        <f t="shared" si="252"/>
        <v>45338</v>
      </c>
      <c r="C2244" s="7" t="e">
        <f t="shared" si="258"/>
        <v>#N/A</v>
      </c>
      <c r="D2244" s="7" t="e">
        <f t="shared" si="258"/>
        <v>#N/A</v>
      </c>
      <c r="E2244" s="7" t="e">
        <f t="shared" si="258"/>
        <v>#N/A</v>
      </c>
      <c r="F2244" s="7" t="e">
        <f t="shared" si="258"/>
        <v>#N/A</v>
      </c>
      <c r="G2244" s="7" t="e">
        <f t="shared" si="258"/>
        <v>#N/A</v>
      </c>
    </row>
    <row r="2245" spans="2:7">
      <c r="B2245" s="67">
        <f t="shared" si="252"/>
        <v>45339</v>
      </c>
      <c r="C2245" s="7" t="e">
        <f t="shared" si="258"/>
        <v>#N/A</v>
      </c>
      <c r="D2245" s="7" t="e">
        <f t="shared" si="258"/>
        <v>#N/A</v>
      </c>
      <c r="E2245" s="7" t="e">
        <f t="shared" si="258"/>
        <v>#N/A</v>
      </c>
      <c r="F2245" s="7" t="e">
        <f t="shared" si="258"/>
        <v>#N/A</v>
      </c>
      <c r="G2245" s="7" t="e">
        <f t="shared" si="258"/>
        <v>#N/A</v>
      </c>
    </row>
    <row r="2246" spans="2:7">
      <c r="B2246" s="67">
        <f t="shared" si="252"/>
        <v>45340</v>
      </c>
      <c r="C2246" s="7" t="e">
        <f t="shared" si="258"/>
        <v>#N/A</v>
      </c>
      <c r="D2246" s="7" t="e">
        <f t="shared" si="258"/>
        <v>#N/A</v>
      </c>
      <c r="E2246" s="7" t="e">
        <f t="shared" si="258"/>
        <v>#N/A</v>
      </c>
      <c r="F2246" s="7" t="e">
        <f t="shared" si="258"/>
        <v>#N/A</v>
      </c>
      <c r="G2246" s="7" t="e">
        <f t="shared" si="258"/>
        <v>#N/A</v>
      </c>
    </row>
    <row r="2247" spans="2:7">
      <c r="B2247" s="67">
        <f t="shared" si="252"/>
        <v>45341</v>
      </c>
      <c r="C2247" s="7" t="e">
        <f t="shared" ref="C2247:G2256" si="259">IF(AND($B2247&gt;=C$3,$B2247&lt;=C$4),C$5,NA())</f>
        <v>#N/A</v>
      </c>
      <c r="D2247" s="7" t="e">
        <f t="shared" si="259"/>
        <v>#N/A</v>
      </c>
      <c r="E2247" s="7" t="e">
        <f t="shared" si="259"/>
        <v>#N/A</v>
      </c>
      <c r="F2247" s="7" t="e">
        <f t="shared" si="259"/>
        <v>#N/A</v>
      </c>
      <c r="G2247" s="7" t="e">
        <f t="shared" si="259"/>
        <v>#N/A</v>
      </c>
    </row>
    <row r="2248" spans="2:7">
      <c r="B2248" s="67">
        <f t="shared" ref="B2248:B2311" si="260">B2247+1</f>
        <v>45342</v>
      </c>
      <c r="C2248" s="7" t="e">
        <f t="shared" si="259"/>
        <v>#N/A</v>
      </c>
      <c r="D2248" s="7" t="e">
        <f t="shared" si="259"/>
        <v>#N/A</v>
      </c>
      <c r="E2248" s="7" t="e">
        <f t="shared" si="259"/>
        <v>#N/A</v>
      </c>
      <c r="F2248" s="7" t="e">
        <f t="shared" si="259"/>
        <v>#N/A</v>
      </c>
      <c r="G2248" s="7" t="e">
        <f t="shared" si="259"/>
        <v>#N/A</v>
      </c>
    </row>
    <row r="2249" spans="2:7">
      <c r="B2249" s="67">
        <f t="shared" si="260"/>
        <v>45343</v>
      </c>
      <c r="C2249" s="7" t="e">
        <f t="shared" si="259"/>
        <v>#N/A</v>
      </c>
      <c r="D2249" s="7" t="e">
        <f t="shared" si="259"/>
        <v>#N/A</v>
      </c>
      <c r="E2249" s="7" t="e">
        <f t="shared" si="259"/>
        <v>#N/A</v>
      </c>
      <c r="F2249" s="7" t="e">
        <f t="shared" si="259"/>
        <v>#N/A</v>
      </c>
      <c r="G2249" s="7" t="e">
        <f t="shared" si="259"/>
        <v>#N/A</v>
      </c>
    </row>
    <row r="2250" spans="2:7">
      <c r="B2250" s="67">
        <f t="shared" si="260"/>
        <v>45344</v>
      </c>
      <c r="C2250" s="7" t="e">
        <f t="shared" si="259"/>
        <v>#N/A</v>
      </c>
      <c r="D2250" s="7" t="e">
        <f t="shared" si="259"/>
        <v>#N/A</v>
      </c>
      <c r="E2250" s="7" t="e">
        <f t="shared" si="259"/>
        <v>#N/A</v>
      </c>
      <c r="F2250" s="7" t="e">
        <f t="shared" si="259"/>
        <v>#N/A</v>
      </c>
      <c r="G2250" s="7" t="e">
        <f t="shared" si="259"/>
        <v>#N/A</v>
      </c>
    </row>
    <row r="2251" spans="2:7">
      <c r="B2251" s="67">
        <f t="shared" si="260"/>
        <v>45345</v>
      </c>
      <c r="C2251" s="7" t="e">
        <f t="shared" si="259"/>
        <v>#N/A</v>
      </c>
      <c r="D2251" s="7" t="e">
        <f t="shared" si="259"/>
        <v>#N/A</v>
      </c>
      <c r="E2251" s="7" t="e">
        <f t="shared" si="259"/>
        <v>#N/A</v>
      </c>
      <c r="F2251" s="7" t="e">
        <f t="shared" si="259"/>
        <v>#N/A</v>
      </c>
      <c r="G2251" s="7" t="e">
        <f t="shared" si="259"/>
        <v>#N/A</v>
      </c>
    </row>
    <row r="2252" spans="2:7">
      <c r="B2252" s="67">
        <f t="shared" si="260"/>
        <v>45346</v>
      </c>
      <c r="C2252" s="7" t="e">
        <f t="shared" si="259"/>
        <v>#N/A</v>
      </c>
      <c r="D2252" s="7" t="e">
        <f t="shared" si="259"/>
        <v>#N/A</v>
      </c>
      <c r="E2252" s="7" t="e">
        <f t="shared" si="259"/>
        <v>#N/A</v>
      </c>
      <c r="F2252" s="7" t="e">
        <f t="shared" si="259"/>
        <v>#N/A</v>
      </c>
      <c r="G2252" s="7" t="e">
        <f t="shared" si="259"/>
        <v>#N/A</v>
      </c>
    </row>
    <row r="2253" spans="2:7">
      <c r="B2253" s="67">
        <f t="shared" si="260"/>
        <v>45347</v>
      </c>
      <c r="C2253" s="7" t="e">
        <f t="shared" si="259"/>
        <v>#N/A</v>
      </c>
      <c r="D2253" s="7" t="e">
        <f t="shared" si="259"/>
        <v>#N/A</v>
      </c>
      <c r="E2253" s="7" t="e">
        <f t="shared" si="259"/>
        <v>#N/A</v>
      </c>
      <c r="F2253" s="7" t="e">
        <f t="shared" si="259"/>
        <v>#N/A</v>
      </c>
      <c r="G2253" s="7" t="e">
        <f t="shared" si="259"/>
        <v>#N/A</v>
      </c>
    </row>
    <row r="2254" spans="2:7">
      <c r="B2254" s="67">
        <f t="shared" si="260"/>
        <v>45348</v>
      </c>
      <c r="C2254" s="7" t="e">
        <f t="shared" si="259"/>
        <v>#N/A</v>
      </c>
      <c r="D2254" s="7" t="e">
        <f t="shared" si="259"/>
        <v>#N/A</v>
      </c>
      <c r="E2254" s="7" t="e">
        <f t="shared" si="259"/>
        <v>#N/A</v>
      </c>
      <c r="F2254" s="7" t="e">
        <f t="shared" si="259"/>
        <v>#N/A</v>
      </c>
      <c r="G2254" s="7" t="e">
        <f t="shared" si="259"/>
        <v>#N/A</v>
      </c>
    </row>
    <row r="2255" spans="2:7">
      <c r="B2255" s="67">
        <f t="shared" si="260"/>
        <v>45349</v>
      </c>
      <c r="C2255" s="7" t="e">
        <f t="shared" si="259"/>
        <v>#N/A</v>
      </c>
      <c r="D2255" s="7" t="e">
        <f t="shared" si="259"/>
        <v>#N/A</v>
      </c>
      <c r="E2255" s="7" t="e">
        <f t="shared" si="259"/>
        <v>#N/A</v>
      </c>
      <c r="F2255" s="7" t="e">
        <f t="shared" si="259"/>
        <v>#N/A</v>
      </c>
      <c r="G2255" s="7" t="e">
        <f t="shared" si="259"/>
        <v>#N/A</v>
      </c>
    </row>
    <row r="2256" spans="2:7">
      <c r="B2256" s="67">
        <f t="shared" si="260"/>
        <v>45350</v>
      </c>
      <c r="C2256" s="7" t="e">
        <f t="shared" si="259"/>
        <v>#N/A</v>
      </c>
      <c r="D2256" s="7" t="e">
        <f t="shared" si="259"/>
        <v>#N/A</v>
      </c>
      <c r="E2256" s="7" t="e">
        <f t="shared" si="259"/>
        <v>#N/A</v>
      </c>
      <c r="F2256" s="7" t="e">
        <f t="shared" si="259"/>
        <v>#N/A</v>
      </c>
      <c r="G2256" s="7" t="e">
        <f t="shared" si="259"/>
        <v>#N/A</v>
      </c>
    </row>
    <row r="2257" spans="2:7">
      <c r="B2257" s="67">
        <f t="shared" si="260"/>
        <v>45351</v>
      </c>
      <c r="C2257" s="7" t="e">
        <f t="shared" ref="C2257:G2266" si="261">IF(AND($B2257&gt;=C$3,$B2257&lt;=C$4),C$5,NA())</f>
        <v>#N/A</v>
      </c>
      <c r="D2257" s="7" t="e">
        <f t="shared" si="261"/>
        <v>#N/A</v>
      </c>
      <c r="E2257" s="7" t="e">
        <f t="shared" si="261"/>
        <v>#N/A</v>
      </c>
      <c r="F2257" s="7" t="e">
        <f t="shared" si="261"/>
        <v>#N/A</v>
      </c>
      <c r="G2257" s="7" t="e">
        <f t="shared" si="261"/>
        <v>#N/A</v>
      </c>
    </row>
    <row r="2258" spans="2:7">
      <c r="B2258" s="67">
        <f t="shared" si="260"/>
        <v>45352</v>
      </c>
      <c r="C2258" s="7" t="e">
        <f t="shared" si="261"/>
        <v>#N/A</v>
      </c>
      <c r="D2258" s="7" t="e">
        <f t="shared" si="261"/>
        <v>#N/A</v>
      </c>
      <c r="E2258" s="7" t="e">
        <f t="shared" si="261"/>
        <v>#N/A</v>
      </c>
      <c r="F2258" s="7" t="e">
        <f t="shared" si="261"/>
        <v>#N/A</v>
      </c>
      <c r="G2258" s="7" t="e">
        <f t="shared" si="261"/>
        <v>#N/A</v>
      </c>
    </row>
    <row r="2259" spans="2:7">
      <c r="B2259" s="67">
        <f t="shared" si="260"/>
        <v>45353</v>
      </c>
      <c r="C2259" s="7" t="e">
        <f t="shared" si="261"/>
        <v>#N/A</v>
      </c>
      <c r="D2259" s="7" t="e">
        <f t="shared" si="261"/>
        <v>#N/A</v>
      </c>
      <c r="E2259" s="7" t="e">
        <f t="shared" si="261"/>
        <v>#N/A</v>
      </c>
      <c r="F2259" s="7" t="e">
        <f t="shared" si="261"/>
        <v>#N/A</v>
      </c>
      <c r="G2259" s="7" t="e">
        <f t="shared" si="261"/>
        <v>#N/A</v>
      </c>
    </row>
    <row r="2260" spans="2:7">
      <c r="B2260" s="67">
        <f t="shared" si="260"/>
        <v>45354</v>
      </c>
      <c r="C2260" s="7" t="e">
        <f t="shared" si="261"/>
        <v>#N/A</v>
      </c>
      <c r="D2260" s="7" t="e">
        <f t="shared" si="261"/>
        <v>#N/A</v>
      </c>
      <c r="E2260" s="7" t="e">
        <f t="shared" si="261"/>
        <v>#N/A</v>
      </c>
      <c r="F2260" s="7" t="e">
        <f t="shared" si="261"/>
        <v>#N/A</v>
      </c>
      <c r="G2260" s="7" t="e">
        <f t="shared" si="261"/>
        <v>#N/A</v>
      </c>
    </row>
    <row r="2261" spans="2:7">
      <c r="B2261" s="67">
        <f t="shared" si="260"/>
        <v>45355</v>
      </c>
      <c r="C2261" s="7" t="e">
        <f t="shared" si="261"/>
        <v>#N/A</v>
      </c>
      <c r="D2261" s="7" t="e">
        <f t="shared" si="261"/>
        <v>#N/A</v>
      </c>
      <c r="E2261" s="7" t="e">
        <f t="shared" si="261"/>
        <v>#N/A</v>
      </c>
      <c r="F2261" s="7" t="e">
        <f t="shared" si="261"/>
        <v>#N/A</v>
      </c>
      <c r="G2261" s="7" t="e">
        <f t="shared" si="261"/>
        <v>#N/A</v>
      </c>
    </row>
    <row r="2262" spans="2:7">
      <c r="B2262" s="67">
        <f t="shared" si="260"/>
        <v>45356</v>
      </c>
      <c r="C2262" s="7" t="e">
        <f t="shared" si="261"/>
        <v>#N/A</v>
      </c>
      <c r="D2262" s="7" t="e">
        <f t="shared" si="261"/>
        <v>#N/A</v>
      </c>
      <c r="E2262" s="7" t="e">
        <f t="shared" si="261"/>
        <v>#N/A</v>
      </c>
      <c r="F2262" s="7" t="e">
        <f t="shared" si="261"/>
        <v>#N/A</v>
      </c>
      <c r="G2262" s="7" t="e">
        <f t="shared" si="261"/>
        <v>#N/A</v>
      </c>
    </row>
    <row r="2263" spans="2:7">
      <c r="B2263" s="67">
        <f t="shared" si="260"/>
        <v>45357</v>
      </c>
      <c r="C2263" s="7" t="e">
        <f t="shared" si="261"/>
        <v>#N/A</v>
      </c>
      <c r="D2263" s="7" t="e">
        <f t="shared" si="261"/>
        <v>#N/A</v>
      </c>
      <c r="E2263" s="7" t="e">
        <f t="shared" si="261"/>
        <v>#N/A</v>
      </c>
      <c r="F2263" s="7" t="e">
        <f t="shared" si="261"/>
        <v>#N/A</v>
      </c>
      <c r="G2263" s="7" t="e">
        <f t="shared" si="261"/>
        <v>#N/A</v>
      </c>
    </row>
    <row r="2264" spans="2:7">
      <c r="B2264" s="67">
        <f t="shared" si="260"/>
        <v>45358</v>
      </c>
      <c r="C2264" s="7" t="e">
        <f t="shared" si="261"/>
        <v>#N/A</v>
      </c>
      <c r="D2264" s="7" t="e">
        <f t="shared" si="261"/>
        <v>#N/A</v>
      </c>
      <c r="E2264" s="7" t="e">
        <f t="shared" si="261"/>
        <v>#N/A</v>
      </c>
      <c r="F2264" s="7" t="e">
        <f t="shared" si="261"/>
        <v>#N/A</v>
      </c>
      <c r="G2264" s="7" t="e">
        <f t="shared" si="261"/>
        <v>#N/A</v>
      </c>
    </row>
    <row r="2265" spans="2:7">
      <c r="B2265" s="67">
        <f t="shared" si="260"/>
        <v>45359</v>
      </c>
      <c r="C2265" s="7" t="e">
        <f t="shared" si="261"/>
        <v>#N/A</v>
      </c>
      <c r="D2265" s="7" t="e">
        <f t="shared" si="261"/>
        <v>#N/A</v>
      </c>
      <c r="E2265" s="7" t="e">
        <f t="shared" si="261"/>
        <v>#N/A</v>
      </c>
      <c r="F2265" s="7" t="e">
        <f t="shared" si="261"/>
        <v>#N/A</v>
      </c>
      <c r="G2265" s="7" t="e">
        <f t="shared" si="261"/>
        <v>#N/A</v>
      </c>
    </row>
    <row r="2266" spans="2:7">
      <c r="B2266" s="67">
        <f t="shared" si="260"/>
        <v>45360</v>
      </c>
      <c r="C2266" s="7" t="e">
        <f t="shared" si="261"/>
        <v>#N/A</v>
      </c>
      <c r="D2266" s="7" t="e">
        <f t="shared" si="261"/>
        <v>#N/A</v>
      </c>
      <c r="E2266" s="7" t="e">
        <f t="shared" si="261"/>
        <v>#N/A</v>
      </c>
      <c r="F2266" s="7" t="e">
        <f t="shared" si="261"/>
        <v>#N/A</v>
      </c>
      <c r="G2266" s="7" t="e">
        <f t="shared" si="261"/>
        <v>#N/A</v>
      </c>
    </row>
    <row r="2267" spans="2:7">
      <c r="B2267" s="67">
        <f t="shared" si="260"/>
        <v>45361</v>
      </c>
      <c r="C2267" s="7" t="e">
        <f t="shared" ref="C2267:G2276" si="262">IF(AND($B2267&gt;=C$3,$B2267&lt;=C$4),C$5,NA())</f>
        <v>#N/A</v>
      </c>
      <c r="D2267" s="7" t="e">
        <f t="shared" si="262"/>
        <v>#N/A</v>
      </c>
      <c r="E2267" s="7" t="e">
        <f t="shared" si="262"/>
        <v>#N/A</v>
      </c>
      <c r="F2267" s="7" t="e">
        <f t="shared" si="262"/>
        <v>#N/A</v>
      </c>
      <c r="G2267" s="7" t="e">
        <f t="shared" si="262"/>
        <v>#N/A</v>
      </c>
    </row>
    <row r="2268" spans="2:7">
      <c r="B2268" s="67">
        <f t="shared" si="260"/>
        <v>45362</v>
      </c>
      <c r="C2268" s="7" t="e">
        <f t="shared" si="262"/>
        <v>#N/A</v>
      </c>
      <c r="D2268" s="7" t="e">
        <f t="shared" si="262"/>
        <v>#N/A</v>
      </c>
      <c r="E2268" s="7" t="e">
        <f t="shared" si="262"/>
        <v>#N/A</v>
      </c>
      <c r="F2268" s="7" t="e">
        <f t="shared" si="262"/>
        <v>#N/A</v>
      </c>
      <c r="G2268" s="7" t="e">
        <f t="shared" si="262"/>
        <v>#N/A</v>
      </c>
    </row>
    <row r="2269" spans="2:7">
      <c r="B2269" s="67">
        <f t="shared" si="260"/>
        <v>45363</v>
      </c>
      <c r="C2269" s="7" t="e">
        <f t="shared" si="262"/>
        <v>#N/A</v>
      </c>
      <c r="D2269" s="7" t="e">
        <f t="shared" si="262"/>
        <v>#N/A</v>
      </c>
      <c r="E2269" s="7" t="e">
        <f t="shared" si="262"/>
        <v>#N/A</v>
      </c>
      <c r="F2269" s="7" t="e">
        <f t="shared" si="262"/>
        <v>#N/A</v>
      </c>
      <c r="G2269" s="7" t="e">
        <f t="shared" si="262"/>
        <v>#N/A</v>
      </c>
    </row>
    <row r="2270" spans="2:7">
      <c r="B2270" s="67">
        <f t="shared" si="260"/>
        <v>45364</v>
      </c>
      <c r="C2270" s="7" t="e">
        <f t="shared" si="262"/>
        <v>#N/A</v>
      </c>
      <c r="D2270" s="7" t="e">
        <f t="shared" si="262"/>
        <v>#N/A</v>
      </c>
      <c r="E2270" s="7" t="e">
        <f t="shared" si="262"/>
        <v>#N/A</v>
      </c>
      <c r="F2270" s="7" t="e">
        <f t="shared" si="262"/>
        <v>#N/A</v>
      </c>
      <c r="G2270" s="7" t="e">
        <f t="shared" si="262"/>
        <v>#N/A</v>
      </c>
    </row>
    <row r="2271" spans="2:7">
      <c r="B2271" s="67">
        <f t="shared" si="260"/>
        <v>45365</v>
      </c>
      <c r="C2271" s="7" t="e">
        <f t="shared" si="262"/>
        <v>#N/A</v>
      </c>
      <c r="D2271" s="7" t="e">
        <f t="shared" si="262"/>
        <v>#N/A</v>
      </c>
      <c r="E2271" s="7" t="e">
        <f t="shared" si="262"/>
        <v>#N/A</v>
      </c>
      <c r="F2271" s="7" t="e">
        <f t="shared" si="262"/>
        <v>#N/A</v>
      </c>
      <c r="G2271" s="7" t="e">
        <f t="shared" si="262"/>
        <v>#N/A</v>
      </c>
    </row>
    <row r="2272" spans="2:7">
      <c r="B2272" s="67">
        <f t="shared" si="260"/>
        <v>45366</v>
      </c>
      <c r="C2272" s="7" t="e">
        <f t="shared" si="262"/>
        <v>#N/A</v>
      </c>
      <c r="D2272" s="7" t="e">
        <f t="shared" si="262"/>
        <v>#N/A</v>
      </c>
      <c r="E2272" s="7" t="e">
        <f t="shared" si="262"/>
        <v>#N/A</v>
      </c>
      <c r="F2272" s="7" t="e">
        <f t="shared" si="262"/>
        <v>#N/A</v>
      </c>
      <c r="G2272" s="7" t="e">
        <f t="shared" si="262"/>
        <v>#N/A</v>
      </c>
    </row>
    <row r="2273" spans="2:7">
      <c r="B2273" s="67">
        <f t="shared" si="260"/>
        <v>45367</v>
      </c>
      <c r="C2273" s="7" t="e">
        <f t="shared" si="262"/>
        <v>#N/A</v>
      </c>
      <c r="D2273" s="7" t="e">
        <f t="shared" si="262"/>
        <v>#N/A</v>
      </c>
      <c r="E2273" s="7" t="e">
        <f t="shared" si="262"/>
        <v>#N/A</v>
      </c>
      <c r="F2273" s="7" t="e">
        <f t="shared" si="262"/>
        <v>#N/A</v>
      </c>
      <c r="G2273" s="7" t="e">
        <f t="shared" si="262"/>
        <v>#N/A</v>
      </c>
    </row>
    <row r="2274" spans="2:7">
      <c r="B2274" s="67">
        <f t="shared" si="260"/>
        <v>45368</v>
      </c>
      <c r="C2274" s="7" t="e">
        <f t="shared" si="262"/>
        <v>#N/A</v>
      </c>
      <c r="D2274" s="7" t="e">
        <f t="shared" si="262"/>
        <v>#N/A</v>
      </c>
      <c r="E2274" s="7" t="e">
        <f t="shared" si="262"/>
        <v>#N/A</v>
      </c>
      <c r="F2274" s="7" t="e">
        <f t="shared" si="262"/>
        <v>#N/A</v>
      </c>
      <c r="G2274" s="7" t="e">
        <f t="shared" si="262"/>
        <v>#N/A</v>
      </c>
    </row>
    <row r="2275" spans="2:7">
      <c r="B2275" s="67">
        <f t="shared" si="260"/>
        <v>45369</v>
      </c>
      <c r="C2275" s="7" t="e">
        <f t="shared" si="262"/>
        <v>#N/A</v>
      </c>
      <c r="D2275" s="7" t="e">
        <f t="shared" si="262"/>
        <v>#N/A</v>
      </c>
      <c r="E2275" s="7" t="e">
        <f t="shared" si="262"/>
        <v>#N/A</v>
      </c>
      <c r="F2275" s="7" t="e">
        <f t="shared" si="262"/>
        <v>#N/A</v>
      </c>
      <c r="G2275" s="7" t="e">
        <f t="shared" si="262"/>
        <v>#N/A</v>
      </c>
    </row>
    <row r="2276" spans="2:7">
      <c r="B2276" s="67">
        <f t="shared" si="260"/>
        <v>45370</v>
      </c>
      <c r="C2276" s="7" t="e">
        <f t="shared" si="262"/>
        <v>#N/A</v>
      </c>
      <c r="D2276" s="7" t="e">
        <f t="shared" si="262"/>
        <v>#N/A</v>
      </c>
      <c r="E2276" s="7" t="e">
        <f t="shared" si="262"/>
        <v>#N/A</v>
      </c>
      <c r="F2276" s="7" t="e">
        <f t="shared" si="262"/>
        <v>#N/A</v>
      </c>
      <c r="G2276" s="7" t="e">
        <f t="shared" si="262"/>
        <v>#N/A</v>
      </c>
    </row>
    <row r="2277" spans="2:7">
      <c r="B2277" s="67">
        <f t="shared" si="260"/>
        <v>45371</v>
      </c>
      <c r="C2277" s="7" t="e">
        <f t="shared" ref="C2277:G2286" si="263">IF(AND($B2277&gt;=C$3,$B2277&lt;=C$4),C$5,NA())</f>
        <v>#N/A</v>
      </c>
      <c r="D2277" s="7" t="e">
        <f t="shared" si="263"/>
        <v>#N/A</v>
      </c>
      <c r="E2277" s="7" t="e">
        <f t="shared" si="263"/>
        <v>#N/A</v>
      </c>
      <c r="F2277" s="7" t="e">
        <f t="shared" si="263"/>
        <v>#N/A</v>
      </c>
      <c r="G2277" s="7" t="e">
        <f t="shared" si="263"/>
        <v>#N/A</v>
      </c>
    </row>
    <row r="2278" spans="2:7">
      <c r="B2278" s="67">
        <f t="shared" si="260"/>
        <v>45372</v>
      </c>
      <c r="C2278" s="7" t="e">
        <f t="shared" si="263"/>
        <v>#N/A</v>
      </c>
      <c r="D2278" s="7" t="e">
        <f t="shared" si="263"/>
        <v>#N/A</v>
      </c>
      <c r="E2278" s="7" t="e">
        <f t="shared" si="263"/>
        <v>#N/A</v>
      </c>
      <c r="F2278" s="7" t="e">
        <f t="shared" si="263"/>
        <v>#N/A</v>
      </c>
      <c r="G2278" s="7" t="e">
        <f t="shared" si="263"/>
        <v>#N/A</v>
      </c>
    </row>
    <row r="2279" spans="2:7">
      <c r="B2279" s="67">
        <f t="shared" si="260"/>
        <v>45373</v>
      </c>
      <c r="C2279" s="7" t="e">
        <f t="shared" si="263"/>
        <v>#N/A</v>
      </c>
      <c r="D2279" s="7" t="e">
        <f t="shared" si="263"/>
        <v>#N/A</v>
      </c>
      <c r="E2279" s="7" t="e">
        <f t="shared" si="263"/>
        <v>#N/A</v>
      </c>
      <c r="F2279" s="7" t="e">
        <f t="shared" si="263"/>
        <v>#N/A</v>
      </c>
      <c r="G2279" s="7" t="e">
        <f t="shared" si="263"/>
        <v>#N/A</v>
      </c>
    </row>
    <row r="2280" spans="2:7">
      <c r="B2280" s="67">
        <f t="shared" si="260"/>
        <v>45374</v>
      </c>
      <c r="C2280" s="7" t="e">
        <f t="shared" si="263"/>
        <v>#N/A</v>
      </c>
      <c r="D2280" s="7" t="e">
        <f t="shared" si="263"/>
        <v>#N/A</v>
      </c>
      <c r="E2280" s="7" t="e">
        <f t="shared" si="263"/>
        <v>#N/A</v>
      </c>
      <c r="F2280" s="7" t="e">
        <f t="shared" si="263"/>
        <v>#N/A</v>
      </c>
      <c r="G2280" s="7" t="e">
        <f t="shared" si="263"/>
        <v>#N/A</v>
      </c>
    </row>
    <row r="2281" spans="2:7">
      <c r="B2281" s="67">
        <f t="shared" si="260"/>
        <v>45375</v>
      </c>
      <c r="C2281" s="7" t="e">
        <f t="shared" si="263"/>
        <v>#N/A</v>
      </c>
      <c r="D2281" s="7" t="e">
        <f t="shared" si="263"/>
        <v>#N/A</v>
      </c>
      <c r="E2281" s="7" t="e">
        <f t="shared" si="263"/>
        <v>#N/A</v>
      </c>
      <c r="F2281" s="7" t="e">
        <f t="shared" si="263"/>
        <v>#N/A</v>
      </c>
      <c r="G2281" s="7" t="e">
        <f t="shared" si="263"/>
        <v>#N/A</v>
      </c>
    </row>
    <row r="2282" spans="2:7">
      <c r="B2282" s="67">
        <f t="shared" si="260"/>
        <v>45376</v>
      </c>
      <c r="C2282" s="7" t="e">
        <f t="shared" si="263"/>
        <v>#N/A</v>
      </c>
      <c r="D2282" s="7" t="e">
        <f t="shared" si="263"/>
        <v>#N/A</v>
      </c>
      <c r="E2282" s="7" t="e">
        <f t="shared" si="263"/>
        <v>#N/A</v>
      </c>
      <c r="F2282" s="7" t="e">
        <f t="shared" si="263"/>
        <v>#N/A</v>
      </c>
      <c r="G2282" s="7" t="e">
        <f t="shared" si="263"/>
        <v>#N/A</v>
      </c>
    </row>
    <row r="2283" spans="2:7">
      <c r="B2283" s="67">
        <f t="shared" si="260"/>
        <v>45377</v>
      </c>
      <c r="C2283" s="7" t="e">
        <f t="shared" si="263"/>
        <v>#N/A</v>
      </c>
      <c r="D2283" s="7" t="e">
        <f t="shared" si="263"/>
        <v>#N/A</v>
      </c>
      <c r="E2283" s="7" t="e">
        <f t="shared" si="263"/>
        <v>#N/A</v>
      </c>
      <c r="F2283" s="7" t="e">
        <f t="shared" si="263"/>
        <v>#N/A</v>
      </c>
      <c r="G2283" s="7" t="e">
        <f t="shared" si="263"/>
        <v>#N/A</v>
      </c>
    </row>
    <row r="2284" spans="2:7">
      <c r="B2284" s="67">
        <f t="shared" si="260"/>
        <v>45378</v>
      </c>
      <c r="C2284" s="7" t="e">
        <f t="shared" si="263"/>
        <v>#N/A</v>
      </c>
      <c r="D2284" s="7" t="e">
        <f t="shared" si="263"/>
        <v>#N/A</v>
      </c>
      <c r="E2284" s="7" t="e">
        <f t="shared" si="263"/>
        <v>#N/A</v>
      </c>
      <c r="F2284" s="7" t="e">
        <f t="shared" si="263"/>
        <v>#N/A</v>
      </c>
      <c r="G2284" s="7" t="e">
        <f t="shared" si="263"/>
        <v>#N/A</v>
      </c>
    </row>
    <row r="2285" spans="2:7">
      <c r="B2285" s="67">
        <f t="shared" si="260"/>
        <v>45379</v>
      </c>
      <c r="C2285" s="7" t="e">
        <f t="shared" si="263"/>
        <v>#N/A</v>
      </c>
      <c r="D2285" s="7" t="e">
        <f t="shared" si="263"/>
        <v>#N/A</v>
      </c>
      <c r="E2285" s="7" t="e">
        <f t="shared" si="263"/>
        <v>#N/A</v>
      </c>
      <c r="F2285" s="7" t="e">
        <f t="shared" si="263"/>
        <v>#N/A</v>
      </c>
      <c r="G2285" s="7" t="e">
        <f t="shared" si="263"/>
        <v>#N/A</v>
      </c>
    </row>
    <row r="2286" spans="2:7">
      <c r="B2286" s="67">
        <f t="shared" si="260"/>
        <v>45380</v>
      </c>
      <c r="C2286" s="7" t="e">
        <f t="shared" si="263"/>
        <v>#N/A</v>
      </c>
      <c r="D2286" s="7" t="e">
        <f t="shared" si="263"/>
        <v>#N/A</v>
      </c>
      <c r="E2286" s="7" t="e">
        <f t="shared" si="263"/>
        <v>#N/A</v>
      </c>
      <c r="F2286" s="7" t="e">
        <f t="shared" si="263"/>
        <v>#N/A</v>
      </c>
      <c r="G2286" s="7" t="e">
        <f t="shared" si="263"/>
        <v>#N/A</v>
      </c>
    </row>
    <row r="2287" spans="2:7">
      <c r="B2287" s="67">
        <f t="shared" si="260"/>
        <v>45381</v>
      </c>
      <c r="C2287" s="7" t="e">
        <f t="shared" ref="C2287:G2296" si="264">IF(AND($B2287&gt;=C$3,$B2287&lt;=C$4),C$5,NA())</f>
        <v>#N/A</v>
      </c>
      <c r="D2287" s="7" t="e">
        <f t="shared" si="264"/>
        <v>#N/A</v>
      </c>
      <c r="E2287" s="7" t="e">
        <f t="shared" si="264"/>
        <v>#N/A</v>
      </c>
      <c r="F2287" s="7" t="e">
        <f t="shared" si="264"/>
        <v>#N/A</v>
      </c>
      <c r="G2287" s="7" t="e">
        <f t="shared" si="264"/>
        <v>#N/A</v>
      </c>
    </row>
    <row r="2288" spans="2:7">
      <c r="B2288" s="67">
        <f t="shared" si="260"/>
        <v>45382</v>
      </c>
      <c r="C2288" s="7" t="e">
        <f t="shared" si="264"/>
        <v>#N/A</v>
      </c>
      <c r="D2288" s="7" t="e">
        <f t="shared" si="264"/>
        <v>#N/A</v>
      </c>
      <c r="E2288" s="7" t="e">
        <f t="shared" si="264"/>
        <v>#N/A</v>
      </c>
      <c r="F2288" s="7" t="e">
        <f t="shared" si="264"/>
        <v>#N/A</v>
      </c>
      <c r="G2288" s="7" t="e">
        <f t="shared" si="264"/>
        <v>#N/A</v>
      </c>
    </row>
    <row r="2289" spans="2:7">
      <c r="B2289" s="67">
        <f t="shared" si="260"/>
        <v>45383</v>
      </c>
      <c r="C2289" s="7" t="e">
        <f t="shared" si="264"/>
        <v>#N/A</v>
      </c>
      <c r="D2289" s="7" t="e">
        <f t="shared" si="264"/>
        <v>#N/A</v>
      </c>
      <c r="E2289" s="7" t="e">
        <f t="shared" si="264"/>
        <v>#N/A</v>
      </c>
      <c r="F2289" s="7" t="e">
        <f t="shared" si="264"/>
        <v>#N/A</v>
      </c>
      <c r="G2289" s="7" t="e">
        <f t="shared" si="264"/>
        <v>#N/A</v>
      </c>
    </row>
    <row r="2290" spans="2:7">
      <c r="B2290" s="67">
        <f t="shared" si="260"/>
        <v>45384</v>
      </c>
      <c r="C2290" s="7" t="e">
        <f t="shared" si="264"/>
        <v>#N/A</v>
      </c>
      <c r="D2290" s="7" t="e">
        <f t="shared" si="264"/>
        <v>#N/A</v>
      </c>
      <c r="E2290" s="7" t="e">
        <f t="shared" si="264"/>
        <v>#N/A</v>
      </c>
      <c r="F2290" s="7" t="e">
        <f t="shared" si="264"/>
        <v>#N/A</v>
      </c>
      <c r="G2290" s="7" t="e">
        <f t="shared" si="264"/>
        <v>#N/A</v>
      </c>
    </row>
    <row r="2291" spans="2:7">
      <c r="B2291" s="67">
        <f t="shared" si="260"/>
        <v>45385</v>
      </c>
      <c r="C2291" s="7" t="e">
        <f t="shared" si="264"/>
        <v>#N/A</v>
      </c>
      <c r="D2291" s="7" t="e">
        <f t="shared" si="264"/>
        <v>#N/A</v>
      </c>
      <c r="E2291" s="7" t="e">
        <f t="shared" si="264"/>
        <v>#N/A</v>
      </c>
      <c r="F2291" s="7" t="e">
        <f t="shared" si="264"/>
        <v>#N/A</v>
      </c>
      <c r="G2291" s="7" t="e">
        <f t="shared" si="264"/>
        <v>#N/A</v>
      </c>
    </row>
    <row r="2292" spans="2:7">
      <c r="B2292" s="67">
        <f t="shared" si="260"/>
        <v>45386</v>
      </c>
      <c r="C2292" s="7" t="e">
        <f t="shared" si="264"/>
        <v>#N/A</v>
      </c>
      <c r="D2292" s="7" t="e">
        <f t="shared" si="264"/>
        <v>#N/A</v>
      </c>
      <c r="E2292" s="7" t="e">
        <f t="shared" si="264"/>
        <v>#N/A</v>
      </c>
      <c r="F2292" s="7" t="e">
        <f t="shared" si="264"/>
        <v>#N/A</v>
      </c>
      <c r="G2292" s="7" t="e">
        <f t="shared" si="264"/>
        <v>#N/A</v>
      </c>
    </row>
    <row r="2293" spans="2:7">
      <c r="B2293" s="67">
        <f t="shared" si="260"/>
        <v>45387</v>
      </c>
      <c r="C2293" s="7" t="e">
        <f t="shared" si="264"/>
        <v>#N/A</v>
      </c>
      <c r="D2293" s="7" t="e">
        <f t="shared" si="264"/>
        <v>#N/A</v>
      </c>
      <c r="E2293" s="7" t="e">
        <f t="shared" si="264"/>
        <v>#N/A</v>
      </c>
      <c r="F2293" s="7" t="e">
        <f t="shared" si="264"/>
        <v>#N/A</v>
      </c>
      <c r="G2293" s="7" t="e">
        <f t="shared" si="264"/>
        <v>#N/A</v>
      </c>
    </row>
    <row r="2294" spans="2:7">
      <c r="B2294" s="67">
        <f t="shared" si="260"/>
        <v>45388</v>
      </c>
      <c r="C2294" s="7" t="e">
        <f t="shared" si="264"/>
        <v>#N/A</v>
      </c>
      <c r="D2294" s="7" t="e">
        <f t="shared" si="264"/>
        <v>#N/A</v>
      </c>
      <c r="E2294" s="7" t="e">
        <f t="shared" si="264"/>
        <v>#N/A</v>
      </c>
      <c r="F2294" s="7" t="e">
        <f t="shared" si="264"/>
        <v>#N/A</v>
      </c>
      <c r="G2294" s="7" t="e">
        <f t="shared" si="264"/>
        <v>#N/A</v>
      </c>
    </row>
    <row r="2295" spans="2:7">
      <c r="B2295" s="67">
        <f t="shared" si="260"/>
        <v>45389</v>
      </c>
      <c r="C2295" s="7" t="e">
        <f t="shared" si="264"/>
        <v>#N/A</v>
      </c>
      <c r="D2295" s="7" t="e">
        <f t="shared" si="264"/>
        <v>#N/A</v>
      </c>
      <c r="E2295" s="7" t="e">
        <f t="shared" si="264"/>
        <v>#N/A</v>
      </c>
      <c r="F2295" s="7" t="e">
        <f t="shared" si="264"/>
        <v>#N/A</v>
      </c>
      <c r="G2295" s="7" t="e">
        <f t="shared" si="264"/>
        <v>#N/A</v>
      </c>
    </row>
    <row r="2296" spans="2:7">
      <c r="B2296" s="67">
        <f t="shared" si="260"/>
        <v>45390</v>
      </c>
      <c r="C2296" s="7" t="e">
        <f t="shared" si="264"/>
        <v>#N/A</v>
      </c>
      <c r="D2296" s="7" t="e">
        <f t="shared" si="264"/>
        <v>#N/A</v>
      </c>
      <c r="E2296" s="7" t="e">
        <f t="shared" si="264"/>
        <v>#N/A</v>
      </c>
      <c r="F2296" s="7" t="e">
        <f t="shared" si="264"/>
        <v>#N/A</v>
      </c>
      <c r="G2296" s="7" t="e">
        <f t="shared" si="264"/>
        <v>#N/A</v>
      </c>
    </row>
    <row r="2297" spans="2:7">
      <c r="B2297" s="67">
        <f t="shared" si="260"/>
        <v>45391</v>
      </c>
      <c r="C2297" s="7" t="e">
        <f t="shared" ref="C2297:G2306" si="265">IF(AND($B2297&gt;=C$3,$B2297&lt;=C$4),C$5,NA())</f>
        <v>#N/A</v>
      </c>
      <c r="D2297" s="7" t="e">
        <f t="shared" si="265"/>
        <v>#N/A</v>
      </c>
      <c r="E2297" s="7" t="e">
        <f t="shared" si="265"/>
        <v>#N/A</v>
      </c>
      <c r="F2297" s="7" t="e">
        <f t="shared" si="265"/>
        <v>#N/A</v>
      </c>
      <c r="G2297" s="7" t="e">
        <f t="shared" si="265"/>
        <v>#N/A</v>
      </c>
    </row>
    <row r="2298" spans="2:7">
      <c r="B2298" s="67">
        <f t="shared" si="260"/>
        <v>45392</v>
      </c>
      <c r="C2298" s="7" t="e">
        <f t="shared" si="265"/>
        <v>#N/A</v>
      </c>
      <c r="D2298" s="7" t="e">
        <f t="shared" si="265"/>
        <v>#N/A</v>
      </c>
      <c r="E2298" s="7" t="e">
        <f t="shared" si="265"/>
        <v>#N/A</v>
      </c>
      <c r="F2298" s="7" t="e">
        <f t="shared" si="265"/>
        <v>#N/A</v>
      </c>
      <c r="G2298" s="7" t="e">
        <f t="shared" si="265"/>
        <v>#N/A</v>
      </c>
    </row>
    <row r="2299" spans="2:7">
      <c r="B2299" s="67">
        <f t="shared" si="260"/>
        <v>45393</v>
      </c>
      <c r="C2299" s="7" t="e">
        <f t="shared" si="265"/>
        <v>#N/A</v>
      </c>
      <c r="D2299" s="7" t="e">
        <f t="shared" si="265"/>
        <v>#N/A</v>
      </c>
      <c r="E2299" s="7" t="e">
        <f t="shared" si="265"/>
        <v>#N/A</v>
      </c>
      <c r="F2299" s="7" t="e">
        <f t="shared" si="265"/>
        <v>#N/A</v>
      </c>
      <c r="G2299" s="7" t="e">
        <f t="shared" si="265"/>
        <v>#N/A</v>
      </c>
    </row>
    <row r="2300" spans="2:7">
      <c r="B2300" s="67">
        <f t="shared" si="260"/>
        <v>45394</v>
      </c>
      <c r="C2300" s="7" t="e">
        <f t="shared" si="265"/>
        <v>#N/A</v>
      </c>
      <c r="D2300" s="7" t="e">
        <f t="shared" si="265"/>
        <v>#N/A</v>
      </c>
      <c r="E2300" s="7" t="e">
        <f t="shared" si="265"/>
        <v>#N/A</v>
      </c>
      <c r="F2300" s="7" t="e">
        <f t="shared" si="265"/>
        <v>#N/A</v>
      </c>
      <c r="G2300" s="7" t="e">
        <f t="shared" si="265"/>
        <v>#N/A</v>
      </c>
    </row>
    <row r="2301" spans="2:7">
      <c r="B2301" s="67">
        <f t="shared" si="260"/>
        <v>45395</v>
      </c>
      <c r="C2301" s="7" t="e">
        <f t="shared" si="265"/>
        <v>#N/A</v>
      </c>
      <c r="D2301" s="7" t="e">
        <f t="shared" si="265"/>
        <v>#N/A</v>
      </c>
      <c r="E2301" s="7" t="e">
        <f t="shared" si="265"/>
        <v>#N/A</v>
      </c>
      <c r="F2301" s="7" t="e">
        <f t="shared" si="265"/>
        <v>#N/A</v>
      </c>
      <c r="G2301" s="7" t="e">
        <f t="shared" si="265"/>
        <v>#N/A</v>
      </c>
    </row>
    <row r="2302" spans="2:7">
      <c r="B2302" s="67">
        <f t="shared" si="260"/>
        <v>45396</v>
      </c>
      <c r="C2302" s="7" t="e">
        <f t="shared" si="265"/>
        <v>#N/A</v>
      </c>
      <c r="D2302" s="7" t="e">
        <f t="shared" si="265"/>
        <v>#N/A</v>
      </c>
      <c r="E2302" s="7" t="e">
        <f t="shared" si="265"/>
        <v>#N/A</v>
      </c>
      <c r="F2302" s="7" t="e">
        <f t="shared" si="265"/>
        <v>#N/A</v>
      </c>
      <c r="G2302" s="7" t="e">
        <f t="shared" si="265"/>
        <v>#N/A</v>
      </c>
    </row>
    <row r="2303" spans="2:7">
      <c r="B2303" s="67">
        <f t="shared" si="260"/>
        <v>45397</v>
      </c>
      <c r="C2303" s="7" t="e">
        <f t="shared" si="265"/>
        <v>#N/A</v>
      </c>
      <c r="D2303" s="7" t="e">
        <f t="shared" si="265"/>
        <v>#N/A</v>
      </c>
      <c r="E2303" s="7" t="e">
        <f t="shared" si="265"/>
        <v>#N/A</v>
      </c>
      <c r="F2303" s="7" t="e">
        <f t="shared" si="265"/>
        <v>#N/A</v>
      </c>
      <c r="G2303" s="7" t="e">
        <f t="shared" si="265"/>
        <v>#N/A</v>
      </c>
    </row>
    <row r="2304" spans="2:7">
      <c r="B2304" s="67">
        <f t="shared" si="260"/>
        <v>45398</v>
      </c>
      <c r="C2304" s="7" t="e">
        <f t="shared" si="265"/>
        <v>#N/A</v>
      </c>
      <c r="D2304" s="7" t="e">
        <f t="shared" si="265"/>
        <v>#N/A</v>
      </c>
      <c r="E2304" s="7" t="e">
        <f t="shared" si="265"/>
        <v>#N/A</v>
      </c>
      <c r="F2304" s="7" t="e">
        <f t="shared" si="265"/>
        <v>#N/A</v>
      </c>
      <c r="G2304" s="7" t="e">
        <f t="shared" si="265"/>
        <v>#N/A</v>
      </c>
    </row>
    <row r="2305" spans="2:7">
      <c r="B2305" s="67">
        <f t="shared" si="260"/>
        <v>45399</v>
      </c>
      <c r="C2305" s="7" t="e">
        <f t="shared" si="265"/>
        <v>#N/A</v>
      </c>
      <c r="D2305" s="7" t="e">
        <f t="shared" si="265"/>
        <v>#N/A</v>
      </c>
      <c r="E2305" s="7" t="e">
        <f t="shared" si="265"/>
        <v>#N/A</v>
      </c>
      <c r="F2305" s="7" t="e">
        <f t="shared" si="265"/>
        <v>#N/A</v>
      </c>
      <c r="G2305" s="7" t="e">
        <f t="shared" si="265"/>
        <v>#N/A</v>
      </c>
    </row>
    <row r="2306" spans="2:7">
      <c r="B2306" s="67">
        <f t="shared" si="260"/>
        <v>45400</v>
      </c>
      <c r="C2306" s="7" t="e">
        <f t="shared" si="265"/>
        <v>#N/A</v>
      </c>
      <c r="D2306" s="7" t="e">
        <f t="shared" si="265"/>
        <v>#N/A</v>
      </c>
      <c r="E2306" s="7" t="e">
        <f t="shared" si="265"/>
        <v>#N/A</v>
      </c>
      <c r="F2306" s="7" t="e">
        <f t="shared" si="265"/>
        <v>#N/A</v>
      </c>
      <c r="G2306" s="7" t="e">
        <f t="shared" si="265"/>
        <v>#N/A</v>
      </c>
    </row>
    <row r="2307" spans="2:7">
      <c r="B2307" s="67">
        <f t="shared" si="260"/>
        <v>45401</v>
      </c>
      <c r="C2307" s="7" t="e">
        <f t="shared" ref="C2307:G2316" si="266">IF(AND($B2307&gt;=C$3,$B2307&lt;=C$4),C$5,NA())</f>
        <v>#N/A</v>
      </c>
      <c r="D2307" s="7" t="e">
        <f t="shared" si="266"/>
        <v>#N/A</v>
      </c>
      <c r="E2307" s="7" t="e">
        <f t="shared" si="266"/>
        <v>#N/A</v>
      </c>
      <c r="F2307" s="7" t="e">
        <f t="shared" si="266"/>
        <v>#N/A</v>
      </c>
      <c r="G2307" s="7" t="e">
        <f t="shared" si="266"/>
        <v>#N/A</v>
      </c>
    </row>
    <row r="2308" spans="2:7">
      <c r="B2308" s="67">
        <f t="shared" si="260"/>
        <v>45402</v>
      </c>
      <c r="C2308" s="7" t="e">
        <f t="shared" si="266"/>
        <v>#N/A</v>
      </c>
      <c r="D2308" s="7" t="e">
        <f t="shared" si="266"/>
        <v>#N/A</v>
      </c>
      <c r="E2308" s="7" t="e">
        <f t="shared" si="266"/>
        <v>#N/A</v>
      </c>
      <c r="F2308" s="7" t="e">
        <f t="shared" si="266"/>
        <v>#N/A</v>
      </c>
      <c r="G2308" s="7" t="e">
        <f t="shared" si="266"/>
        <v>#N/A</v>
      </c>
    </row>
    <row r="2309" spans="2:7">
      <c r="B2309" s="67">
        <f t="shared" si="260"/>
        <v>45403</v>
      </c>
      <c r="C2309" s="7" t="e">
        <f t="shared" si="266"/>
        <v>#N/A</v>
      </c>
      <c r="D2309" s="7" t="e">
        <f t="shared" si="266"/>
        <v>#N/A</v>
      </c>
      <c r="E2309" s="7" t="e">
        <f t="shared" si="266"/>
        <v>#N/A</v>
      </c>
      <c r="F2309" s="7" t="e">
        <f t="shared" si="266"/>
        <v>#N/A</v>
      </c>
      <c r="G2309" s="7" t="e">
        <f t="shared" si="266"/>
        <v>#N/A</v>
      </c>
    </row>
    <row r="2310" spans="2:7">
      <c r="B2310" s="67">
        <f t="shared" si="260"/>
        <v>45404</v>
      </c>
      <c r="C2310" s="7" t="e">
        <f t="shared" si="266"/>
        <v>#N/A</v>
      </c>
      <c r="D2310" s="7" t="e">
        <f t="shared" si="266"/>
        <v>#N/A</v>
      </c>
      <c r="E2310" s="7" t="e">
        <f t="shared" si="266"/>
        <v>#N/A</v>
      </c>
      <c r="F2310" s="7" t="e">
        <f t="shared" si="266"/>
        <v>#N/A</v>
      </c>
      <c r="G2310" s="7" t="e">
        <f t="shared" si="266"/>
        <v>#N/A</v>
      </c>
    </row>
    <row r="2311" spans="2:7">
      <c r="B2311" s="67">
        <f t="shared" si="260"/>
        <v>45405</v>
      </c>
      <c r="C2311" s="7" t="e">
        <f t="shared" si="266"/>
        <v>#N/A</v>
      </c>
      <c r="D2311" s="7" t="e">
        <f t="shared" si="266"/>
        <v>#N/A</v>
      </c>
      <c r="E2311" s="7" t="e">
        <f t="shared" si="266"/>
        <v>#N/A</v>
      </c>
      <c r="F2311" s="7" t="e">
        <f t="shared" si="266"/>
        <v>#N/A</v>
      </c>
      <c r="G2311" s="7" t="e">
        <f t="shared" si="266"/>
        <v>#N/A</v>
      </c>
    </row>
    <row r="2312" spans="2:7">
      <c r="B2312" s="67">
        <f t="shared" ref="B2312:B2375" si="267">B2311+1</f>
        <v>45406</v>
      </c>
      <c r="C2312" s="7" t="e">
        <f t="shared" si="266"/>
        <v>#N/A</v>
      </c>
      <c r="D2312" s="7" t="e">
        <f t="shared" si="266"/>
        <v>#N/A</v>
      </c>
      <c r="E2312" s="7" t="e">
        <f t="shared" si="266"/>
        <v>#N/A</v>
      </c>
      <c r="F2312" s="7" t="e">
        <f t="shared" si="266"/>
        <v>#N/A</v>
      </c>
      <c r="G2312" s="7" t="e">
        <f t="shared" si="266"/>
        <v>#N/A</v>
      </c>
    </row>
    <row r="2313" spans="2:7">
      <c r="B2313" s="67">
        <f t="shared" si="267"/>
        <v>45407</v>
      </c>
      <c r="C2313" s="7" t="e">
        <f t="shared" si="266"/>
        <v>#N/A</v>
      </c>
      <c r="D2313" s="7" t="e">
        <f t="shared" si="266"/>
        <v>#N/A</v>
      </c>
      <c r="E2313" s="7" t="e">
        <f t="shared" si="266"/>
        <v>#N/A</v>
      </c>
      <c r="F2313" s="7" t="e">
        <f t="shared" si="266"/>
        <v>#N/A</v>
      </c>
      <c r="G2313" s="7" t="e">
        <f t="shared" si="266"/>
        <v>#N/A</v>
      </c>
    </row>
    <row r="2314" spans="2:7">
      <c r="B2314" s="67">
        <f t="shared" si="267"/>
        <v>45408</v>
      </c>
      <c r="C2314" s="7" t="e">
        <f t="shared" si="266"/>
        <v>#N/A</v>
      </c>
      <c r="D2314" s="7" t="e">
        <f t="shared" si="266"/>
        <v>#N/A</v>
      </c>
      <c r="E2314" s="7" t="e">
        <f t="shared" si="266"/>
        <v>#N/A</v>
      </c>
      <c r="F2314" s="7" t="e">
        <f t="shared" si="266"/>
        <v>#N/A</v>
      </c>
      <c r="G2314" s="7" t="e">
        <f t="shared" si="266"/>
        <v>#N/A</v>
      </c>
    </row>
    <row r="2315" spans="2:7">
      <c r="B2315" s="67">
        <f t="shared" si="267"/>
        <v>45409</v>
      </c>
      <c r="C2315" s="7" t="e">
        <f t="shared" si="266"/>
        <v>#N/A</v>
      </c>
      <c r="D2315" s="7" t="e">
        <f t="shared" si="266"/>
        <v>#N/A</v>
      </c>
      <c r="E2315" s="7" t="e">
        <f t="shared" si="266"/>
        <v>#N/A</v>
      </c>
      <c r="F2315" s="7" t="e">
        <f t="shared" si="266"/>
        <v>#N/A</v>
      </c>
      <c r="G2315" s="7" t="e">
        <f t="shared" si="266"/>
        <v>#N/A</v>
      </c>
    </row>
    <row r="2316" spans="2:7">
      <c r="B2316" s="67">
        <f t="shared" si="267"/>
        <v>45410</v>
      </c>
      <c r="C2316" s="7" t="e">
        <f t="shared" si="266"/>
        <v>#N/A</v>
      </c>
      <c r="D2316" s="7" t="e">
        <f t="shared" si="266"/>
        <v>#N/A</v>
      </c>
      <c r="E2316" s="7" t="e">
        <f t="shared" si="266"/>
        <v>#N/A</v>
      </c>
      <c r="F2316" s="7" t="e">
        <f t="shared" si="266"/>
        <v>#N/A</v>
      </c>
      <c r="G2316" s="7" t="e">
        <f t="shared" si="266"/>
        <v>#N/A</v>
      </c>
    </row>
    <row r="2317" spans="2:7">
      <c r="B2317" s="67">
        <f t="shared" si="267"/>
        <v>45411</v>
      </c>
      <c r="C2317" s="7" t="e">
        <f t="shared" ref="C2317:G2326" si="268">IF(AND($B2317&gt;=C$3,$B2317&lt;=C$4),C$5,NA())</f>
        <v>#N/A</v>
      </c>
      <c r="D2317" s="7" t="e">
        <f t="shared" si="268"/>
        <v>#N/A</v>
      </c>
      <c r="E2317" s="7" t="e">
        <f t="shared" si="268"/>
        <v>#N/A</v>
      </c>
      <c r="F2317" s="7" t="e">
        <f t="shared" si="268"/>
        <v>#N/A</v>
      </c>
      <c r="G2317" s="7" t="e">
        <f t="shared" si="268"/>
        <v>#N/A</v>
      </c>
    </row>
    <row r="2318" spans="2:7">
      <c r="B2318" s="67">
        <f t="shared" si="267"/>
        <v>45412</v>
      </c>
      <c r="C2318" s="7" t="e">
        <f t="shared" si="268"/>
        <v>#N/A</v>
      </c>
      <c r="D2318" s="7" t="e">
        <f t="shared" si="268"/>
        <v>#N/A</v>
      </c>
      <c r="E2318" s="7" t="e">
        <f t="shared" si="268"/>
        <v>#N/A</v>
      </c>
      <c r="F2318" s="7" t="e">
        <f t="shared" si="268"/>
        <v>#N/A</v>
      </c>
      <c r="G2318" s="7" t="e">
        <f t="shared" si="268"/>
        <v>#N/A</v>
      </c>
    </row>
    <row r="2319" spans="2:7">
      <c r="B2319" s="67">
        <f t="shared" si="267"/>
        <v>45413</v>
      </c>
      <c r="C2319" s="7" t="e">
        <f t="shared" si="268"/>
        <v>#N/A</v>
      </c>
      <c r="D2319" s="7" t="e">
        <f t="shared" si="268"/>
        <v>#N/A</v>
      </c>
      <c r="E2319" s="7" t="e">
        <f t="shared" si="268"/>
        <v>#N/A</v>
      </c>
      <c r="F2319" s="7" t="e">
        <f t="shared" si="268"/>
        <v>#N/A</v>
      </c>
      <c r="G2319" s="7" t="e">
        <f t="shared" si="268"/>
        <v>#N/A</v>
      </c>
    </row>
    <row r="2320" spans="2:7">
      <c r="B2320" s="67">
        <f t="shared" si="267"/>
        <v>45414</v>
      </c>
      <c r="C2320" s="7" t="e">
        <f t="shared" si="268"/>
        <v>#N/A</v>
      </c>
      <c r="D2320" s="7" t="e">
        <f t="shared" si="268"/>
        <v>#N/A</v>
      </c>
      <c r="E2320" s="7" t="e">
        <f t="shared" si="268"/>
        <v>#N/A</v>
      </c>
      <c r="F2320" s="7" t="e">
        <f t="shared" si="268"/>
        <v>#N/A</v>
      </c>
      <c r="G2320" s="7" t="e">
        <f t="shared" si="268"/>
        <v>#N/A</v>
      </c>
    </row>
    <row r="2321" spans="2:7">
      <c r="B2321" s="67">
        <f t="shared" si="267"/>
        <v>45415</v>
      </c>
      <c r="C2321" s="7" t="e">
        <f t="shared" si="268"/>
        <v>#N/A</v>
      </c>
      <c r="D2321" s="7" t="e">
        <f t="shared" si="268"/>
        <v>#N/A</v>
      </c>
      <c r="E2321" s="7" t="e">
        <f t="shared" si="268"/>
        <v>#N/A</v>
      </c>
      <c r="F2321" s="7" t="e">
        <f t="shared" si="268"/>
        <v>#N/A</v>
      </c>
      <c r="G2321" s="7" t="e">
        <f t="shared" si="268"/>
        <v>#N/A</v>
      </c>
    </row>
    <row r="2322" spans="2:7">
      <c r="B2322" s="67">
        <f t="shared" si="267"/>
        <v>45416</v>
      </c>
      <c r="C2322" s="7" t="e">
        <f t="shared" si="268"/>
        <v>#N/A</v>
      </c>
      <c r="D2322" s="7" t="e">
        <f t="shared" si="268"/>
        <v>#N/A</v>
      </c>
      <c r="E2322" s="7" t="e">
        <f t="shared" si="268"/>
        <v>#N/A</v>
      </c>
      <c r="F2322" s="7" t="e">
        <f t="shared" si="268"/>
        <v>#N/A</v>
      </c>
      <c r="G2322" s="7" t="e">
        <f t="shared" si="268"/>
        <v>#N/A</v>
      </c>
    </row>
    <row r="2323" spans="2:7">
      <c r="B2323" s="67">
        <f t="shared" si="267"/>
        <v>45417</v>
      </c>
      <c r="C2323" s="7" t="e">
        <f t="shared" si="268"/>
        <v>#N/A</v>
      </c>
      <c r="D2323" s="7" t="e">
        <f t="shared" si="268"/>
        <v>#N/A</v>
      </c>
      <c r="E2323" s="7" t="e">
        <f t="shared" si="268"/>
        <v>#N/A</v>
      </c>
      <c r="F2323" s="7" t="e">
        <f t="shared" si="268"/>
        <v>#N/A</v>
      </c>
      <c r="G2323" s="7" t="e">
        <f t="shared" si="268"/>
        <v>#N/A</v>
      </c>
    </row>
    <row r="2324" spans="2:7">
      <c r="B2324" s="67">
        <f t="shared" si="267"/>
        <v>45418</v>
      </c>
      <c r="C2324" s="7" t="e">
        <f t="shared" si="268"/>
        <v>#N/A</v>
      </c>
      <c r="D2324" s="7" t="e">
        <f t="shared" si="268"/>
        <v>#N/A</v>
      </c>
      <c r="E2324" s="7" t="e">
        <f t="shared" si="268"/>
        <v>#N/A</v>
      </c>
      <c r="F2324" s="7" t="e">
        <f t="shared" si="268"/>
        <v>#N/A</v>
      </c>
      <c r="G2324" s="7" t="e">
        <f t="shared" si="268"/>
        <v>#N/A</v>
      </c>
    </row>
    <row r="2325" spans="2:7">
      <c r="B2325" s="67">
        <f t="shared" si="267"/>
        <v>45419</v>
      </c>
      <c r="C2325" s="7" t="e">
        <f t="shared" si="268"/>
        <v>#N/A</v>
      </c>
      <c r="D2325" s="7" t="e">
        <f t="shared" si="268"/>
        <v>#N/A</v>
      </c>
      <c r="E2325" s="7" t="e">
        <f t="shared" si="268"/>
        <v>#N/A</v>
      </c>
      <c r="F2325" s="7" t="e">
        <f t="shared" si="268"/>
        <v>#N/A</v>
      </c>
      <c r="G2325" s="7" t="e">
        <f t="shared" si="268"/>
        <v>#N/A</v>
      </c>
    </row>
    <row r="2326" spans="2:7">
      <c r="B2326" s="67">
        <f t="shared" si="267"/>
        <v>45420</v>
      </c>
      <c r="C2326" s="7" t="e">
        <f t="shared" si="268"/>
        <v>#N/A</v>
      </c>
      <c r="D2326" s="7" t="e">
        <f t="shared" si="268"/>
        <v>#N/A</v>
      </c>
      <c r="E2326" s="7" t="e">
        <f t="shared" si="268"/>
        <v>#N/A</v>
      </c>
      <c r="F2326" s="7" t="e">
        <f t="shared" si="268"/>
        <v>#N/A</v>
      </c>
      <c r="G2326" s="7" t="e">
        <f t="shared" si="268"/>
        <v>#N/A</v>
      </c>
    </row>
    <row r="2327" spans="2:7">
      <c r="B2327" s="67">
        <f t="shared" si="267"/>
        <v>45421</v>
      </c>
      <c r="C2327" s="7" t="e">
        <f t="shared" ref="C2327:G2336" si="269">IF(AND($B2327&gt;=C$3,$B2327&lt;=C$4),C$5,NA())</f>
        <v>#N/A</v>
      </c>
      <c r="D2327" s="7" t="e">
        <f t="shared" si="269"/>
        <v>#N/A</v>
      </c>
      <c r="E2327" s="7" t="e">
        <f t="shared" si="269"/>
        <v>#N/A</v>
      </c>
      <c r="F2327" s="7" t="e">
        <f t="shared" si="269"/>
        <v>#N/A</v>
      </c>
      <c r="G2327" s="7" t="e">
        <f t="shared" si="269"/>
        <v>#N/A</v>
      </c>
    </row>
    <row r="2328" spans="2:7">
      <c r="B2328" s="67">
        <f t="shared" si="267"/>
        <v>45422</v>
      </c>
      <c r="C2328" s="7" t="e">
        <f t="shared" si="269"/>
        <v>#N/A</v>
      </c>
      <c r="D2328" s="7" t="e">
        <f t="shared" si="269"/>
        <v>#N/A</v>
      </c>
      <c r="E2328" s="7" t="e">
        <f t="shared" si="269"/>
        <v>#N/A</v>
      </c>
      <c r="F2328" s="7" t="e">
        <f t="shared" si="269"/>
        <v>#N/A</v>
      </c>
      <c r="G2328" s="7" t="e">
        <f t="shared" si="269"/>
        <v>#N/A</v>
      </c>
    </row>
    <row r="2329" spans="2:7">
      <c r="B2329" s="67">
        <f t="shared" si="267"/>
        <v>45423</v>
      </c>
      <c r="C2329" s="7" t="e">
        <f t="shared" si="269"/>
        <v>#N/A</v>
      </c>
      <c r="D2329" s="7" t="e">
        <f t="shared" si="269"/>
        <v>#N/A</v>
      </c>
      <c r="E2329" s="7" t="e">
        <f t="shared" si="269"/>
        <v>#N/A</v>
      </c>
      <c r="F2329" s="7" t="e">
        <f t="shared" si="269"/>
        <v>#N/A</v>
      </c>
      <c r="G2329" s="7" t="e">
        <f t="shared" si="269"/>
        <v>#N/A</v>
      </c>
    </row>
    <row r="2330" spans="2:7">
      <c r="B2330" s="67">
        <f t="shared" si="267"/>
        <v>45424</v>
      </c>
      <c r="C2330" s="7" t="e">
        <f t="shared" si="269"/>
        <v>#N/A</v>
      </c>
      <c r="D2330" s="7" t="e">
        <f t="shared" si="269"/>
        <v>#N/A</v>
      </c>
      <c r="E2330" s="7" t="e">
        <f t="shared" si="269"/>
        <v>#N/A</v>
      </c>
      <c r="F2330" s="7" t="e">
        <f t="shared" si="269"/>
        <v>#N/A</v>
      </c>
      <c r="G2330" s="7" t="e">
        <f t="shared" si="269"/>
        <v>#N/A</v>
      </c>
    </row>
    <row r="2331" spans="2:7">
      <c r="B2331" s="67">
        <f t="shared" si="267"/>
        <v>45425</v>
      </c>
      <c r="C2331" s="7" t="e">
        <f t="shared" si="269"/>
        <v>#N/A</v>
      </c>
      <c r="D2331" s="7" t="e">
        <f t="shared" si="269"/>
        <v>#N/A</v>
      </c>
      <c r="E2331" s="7" t="e">
        <f t="shared" si="269"/>
        <v>#N/A</v>
      </c>
      <c r="F2331" s="7" t="e">
        <f t="shared" si="269"/>
        <v>#N/A</v>
      </c>
      <c r="G2331" s="7" t="e">
        <f t="shared" si="269"/>
        <v>#N/A</v>
      </c>
    </row>
    <row r="2332" spans="2:7">
      <c r="B2332" s="67">
        <f t="shared" si="267"/>
        <v>45426</v>
      </c>
      <c r="C2332" s="7" t="e">
        <f t="shared" si="269"/>
        <v>#N/A</v>
      </c>
      <c r="D2332" s="7" t="e">
        <f t="shared" si="269"/>
        <v>#N/A</v>
      </c>
      <c r="E2332" s="7" t="e">
        <f t="shared" si="269"/>
        <v>#N/A</v>
      </c>
      <c r="F2332" s="7" t="e">
        <f t="shared" si="269"/>
        <v>#N/A</v>
      </c>
      <c r="G2332" s="7">
        <f t="shared" si="269"/>
        <v>1</v>
      </c>
    </row>
    <row r="2333" spans="2:7">
      <c r="B2333" s="67">
        <f t="shared" si="267"/>
        <v>45427</v>
      </c>
      <c r="C2333" s="7" t="e">
        <f t="shared" si="269"/>
        <v>#N/A</v>
      </c>
      <c r="D2333" s="7" t="e">
        <f t="shared" si="269"/>
        <v>#N/A</v>
      </c>
      <c r="E2333" s="7" t="e">
        <f t="shared" si="269"/>
        <v>#N/A</v>
      </c>
      <c r="F2333" s="7" t="e">
        <f t="shared" si="269"/>
        <v>#N/A</v>
      </c>
      <c r="G2333" s="7">
        <f t="shared" si="269"/>
        <v>1</v>
      </c>
    </row>
    <row r="2334" spans="2:7">
      <c r="B2334" s="67">
        <f t="shared" si="267"/>
        <v>45428</v>
      </c>
      <c r="C2334" s="7" t="e">
        <f t="shared" si="269"/>
        <v>#N/A</v>
      </c>
      <c r="D2334" s="7" t="e">
        <f t="shared" si="269"/>
        <v>#N/A</v>
      </c>
      <c r="E2334" s="7" t="e">
        <f t="shared" si="269"/>
        <v>#N/A</v>
      </c>
      <c r="F2334" s="7" t="e">
        <f t="shared" si="269"/>
        <v>#N/A</v>
      </c>
      <c r="G2334" s="7">
        <f t="shared" si="269"/>
        <v>1</v>
      </c>
    </row>
    <row r="2335" spans="2:7">
      <c r="B2335" s="67">
        <f t="shared" si="267"/>
        <v>45429</v>
      </c>
      <c r="C2335" s="7" t="e">
        <f t="shared" si="269"/>
        <v>#N/A</v>
      </c>
      <c r="D2335" s="7" t="e">
        <f t="shared" si="269"/>
        <v>#N/A</v>
      </c>
      <c r="E2335" s="7" t="e">
        <f t="shared" si="269"/>
        <v>#N/A</v>
      </c>
      <c r="F2335" s="7" t="e">
        <f t="shared" si="269"/>
        <v>#N/A</v>
      </c>
      <c r="G2335" s="7">
        <f t="shared" si="269"/>
        <v>1</v>
      </c>
    </row>
    <row r="2336" spans="2:7">
      <c r="B2336" s="67">
        <f t="shared" si="267"/>
        <v>45430</v>
      </c>
      <c r="C2336" s="7" t="e">
        <f t="shared" si="269"/>
        <v>#N/A</v>
      </c>
      <c r="D2336" s="7" t="e">
        <f t="shared" si="269"/>
        <v>#N/A</v>
      </c>
      <c r="E2336" s="7" t="e">
        <f t="shared" si="269"/>
        <v>#N/A</v>
      </c>
      <c r="F2336" s="7" t="e">
        <f t="shared" si="269"/>
        <v>#N/A</v>
      </c>
      <c r="G2336" s="7">
        <f t="shared" si="269"/>
        <v>1</v>
      </c>
    </row>
    <row r="2337" spans="2:7">
      <c r="B2337" s="67">
        <f t="shared" si="267"/>
        <v>45431</v>
      </c>
      <c r="C2337" s="7" t="e">
        <f t="shared" ref="C2337:G2346" si="270">IF(AND($B2337&gt;=C$3,$B2337&lt;=C$4),C$5,NA())</f>
        <v>#N/A</v>
      </c>
      <c r="D2337" s="7" t="e">
        <f t="shared" si="270"/>
        <v>#N/A</v>
      </c>
      <c r="E2337" s="7" t="e">
        <f t="shared" si="270"/>
        <v>#N/A</v>
      </c>
      <c r="F2337" s="7" t="e">
        <f t="shared" si="270"/>
        <v>#N/A</v>
      </c>
      <c r="G2337" s="7">
        <f t="shared" si="270"/>
        <v>1</v>
      </c>
    </row>
    <row r="2338" spans="2:7">
      <c r="B2338" s="67">
        <f t="shared" si="267"/>
        <v>45432</v>
      </c>
      <c r="C2338" s="7" t="e">
        <f t="shared" si="270"/>
        <v>#N/A</v>
      </c>
      <c r="D2338" s="7" t="e">
        <f t="shared" si="270"/>
        <v>#N/A</v>
      </c>
      <c r="E2338" s="7" t="e">
        <f t="shared" si="270"/>
        <v>#N/A</v>
      </c>
      <c r="F2338" s="7" t="e">
        <f t="shared" si="270"/>
        <v>#N/A</v>
      </c>
      <c r="G2338" s="7">
        <f t="shared" si="270"/>
        <v>1</v>
      </c>
    </row>
    <row r="2339" spans="2:7">
      <c r="B2339" s="67">
        <f t="shared" si="267"/>
        <v>45433</v>
      </c>
      <c r="C2339" s="7" t="e">
        <f t="shared" si="270"/>
        <v>#N/A</v>
      </c>
      <c r="D2339" s="7" t="e">
        <f t="shared" si="270"/>
        <v>#N/A</v>
      </c>
      <c r="E2339" s="7" t="e">
        <f t="shared" si="270"/>
        <v>#N/A</v>
      </c>
      <c r="F2339" s="7" t="e">
        <f t="shared" si="270"/>
        <v>#N/A</v>
      </c>
      <c r="G2339" s="7">
        <f t="shared" si="270"/>
        <v>1</v>
      </c>
    </row>
    <row r="2340" spans="2:7">
      <c r="B2340" s="67">
        <f t="shared" si="267"/>
        <v>45434</v>
      </c>
      <c r="C2340" s="7" t="e">
        <f t="shared" si="270"/>
        <v>#N/A</v>
      </c>
      <c r="D2340" s="7" t="e">
        <f t="shared" si="270"/>
        <v>#N/A</v>
      </c>
      <c r="E2340" s="7" t="e">
        <f t="shared" si="270"/>
        <v>#N/A</v>
      </c>
      <c r="F2340" s="7" t="e">
        <f t="shared" si="270"/>
        <v>#N/A</v>
      </c>
      <c r="G2340" s="7">
        <f t="shared" si="270"/>
        <v>1</v>
      </c>
    </row>
    <row r="2341" spans="2:7">
      <c r="B2341" s="67">
        <f t="shared" si="267"/>
        <v>45435</v>
      </c>
      <c r="C2341" s="7" t="e">
        <f t="shared" si="270"/>
        <v>#N/A</v>
      </c>
      <c r="D2341" s="7" t="e">
        <f t="shared" si="270"/>
        <v>#N/A</v>
      </c>
      <c r="E2341" s="7" t="e">
        <f t="shared" si="270"/>
        <v>#N/A</v>
      </c>
      <c r="F2341" s="7" t="e">
        <f t="shared" si="270"/>
        <v>#N/A</v>
      </c>
      <c r="G2341" s="7">
        <f t="shared" si="270"/>
        <v>1</v>
      </c>
    </row>
    <row r="2342" spans="2:7">
      <c r="B2342" s="67">
        <f t="shared" si="267"/>
        <v>45436</v>
      </c>
      <c r="C2342" s="7" t="e">
        <f t="shared" si="270"/>
        <v>#N/A</v>
      </c>
      <c r="D2342" s="7" t="e">
        <f t="shared" si="270"/>
        <v>#N/A</v>
      </c>
      <c r="E2342" s="7" t="e">
        <f t="shared" si="270"/>
        <v>#N/A</v>
      </c>
      <c r="F2342" s="7" t="e">
        <f t="shared" si="270"/>
        <v>#N/A</v>
      </c>
      <c r="G2342" s="7">
        <f t="shared" si="270"/>
        <v>1</v>
      </c>
    </row>
    <row r="2343" spans="2:7">
      <c r="B2343" s="67">
        <f t="shared" si="267"/>
        <v>45437</v>
      </c>
      <c r="C2343" s="7" t="e">
        <f t="shared" si="270"/>
        <v>#N/A</v>
      </c>
      <c r="D2343" s="7" t="e">
        <f t="shared" si="270"/>
        <v>#N/A</v>
      </c>
      <c r="E2343" s="7" t="e">
        <f t="shared" si="270"/>
        <v>#N/A</v>
      </c>
      <c r="F2343" s="7" t="e">
        <f t="shared" si="270"/>
        <v>#N/A</v>
      </c>
      <c r="G2343" s="7">
        <f t="shared" si="270"/>
        <v>1</v>
      </c>
    </row>
    <row r="2344" spans="2:7">
      <c r="B2344" s="67">
        <f t="shared" si="267"/>
        <v>45438</v>
      </c>
      <c r="C2344" s="7" t="e">
        <f t="shared" si="270"/>
        <v>#N/A</v>
      </c>
      <c r="D2344" s="7" t="e">
        <f t="shared" si="270"/>
        <v>#N/A</v>
      </c>
      <c r="E2344" s="7" t="e">
        <f t="shared" si="270"/>
        <v>#N/A</v>
      </c>
      <c r="F2344" s="7" t="e">
        <f t="shared" si="270"/>
        <v>#N/A</v>
      </c>
      <c r="G2344" s="7">
        <f t="shared" si="270"/>
        <v>1</v>
      </c>
    </row>
    <row r="2345" spans="2:7">
      <c r="B2345" s="67">
        <f t="shared" si="267"/>
        <v>45439</v>
      </c>
      <c r="C2345" s="7" t="e">
        <f t="shared" si="270"/>
        <v>#N/A</v>
      </c>
      <c r="D2345" s="7" t="e">
        <f t="shared" si="270"/>
        <v>#N/A</v>
      </c>
      <c r="E2345" s="7" t="e">
        <f t="shared" si="270"/>
        <v>#N/A</v>
      </c>
      <c r="F2345" s="7" t="e">
        <f t="shared" si="270"/>
        <v>#N/A</v>
      </c>
      <c r="G2345" s="7">
        <f t="shared" si="270"/>
        <v>1</v>
      </c>
    </row>
    <row r="2346" spans="2:7">
      <c r="B2346" s="67">
        <f t="shared" si="267"/>
        <v>45440</v>
      </c>
      <c r="C2346" s="7" t="e">
        <f t="shared" si="270"/>
        <v>#N/A</v>
      </c>
      <c r="D2346" s="7" t="e">
        <f t="shared" si="270"/>
        <v>#N/A</v>
      </c>
      <c r="E2346" s="7" t="e">
        <f t="shared" si="270"/>
        <v>#N/A</v>
      </c>
      <c r="F2346" s="7" t="e">
        <f t="shared" si="270"/>
        <v>#N/A</v>
      </c>
      <c r="G2346" s="7">
        <f t="shared" si="270"/>
        <v>1</v>
      </c>
    </row>
    <row r="2347" spans="2:7">
      <c r="B2347" s="67">
        <f t="shared" si="267"/>
        <v>45441</v>
      </c>
      <c r="C2347" s="7" t="e">
        <f t="shared" ref="C2347:G2356" si="271">IF(AND($B2347&gt;=C$3,$B2347&lt;=C$4),C$5,NA())</f>
        <v>#N/A</v>
      </c>
      <c r="D2347" s="7" t="e">
        <f t="shared" si="271"/>
        <v>#N/A</v>
      </c>
      <c r="E2347" s="7" t="e">
        <f t="shared" si="271"/>
        <v>#N/A</v>
      </c>
      <c r="F2347" s="7" t="e">
        <f t="shared" si="271"/>
        <v>#N/A</v>
      </c>
      <c r="G2347" s="7">
        <f t="shared" si="271"/>
        <v>1</v>
      </c>
    </row>
    <row r="2348" spans="2:7">
      <c r="B2348" s="67">
        <f t="shared" si="267"/>
        <v>45442</v>
      </c>
      <c r="C2348" s="7" t="e">
        <f t="shared" si="271"/>
        <v>#N/A</v>
      </c>
      <c r="D2348" s="7" t="e">
        <f t="shared" si="271"/>
        <v>#N/A</v>
      </c>
      <c r="E2348" s="7" t="e">
        <f t="shared" si="271"/>
        <v>#N/A</v>
      </c>
      <c r="F2348" s="7" t="e">
        <f t="shared" si="271"/>
        <v>#N/A</v>
      </c>
      <c r="G2348" s="7">
        <f t="shared" si="271"/>
        <v>1</v>
      </c>
    </row>
    <row r="2349" spans="2:7">
      <c r="B2349" s="67">
        <f t="shared" si="267"/>
        <v>45443</v>
      </c>
      <c r="C2349" s="7" t="e">
        <f t="shared" si="271"/>
        <v>#N/A</v>
      </c>
      <c r="D2349" s="7" t="e">
        <f t="shared" si="271"/>
        <v>#N/A</v>
      </c>
      <c r="E2349" s="7" t="e">
        <f t="shared" si="271"/>
        <v>#N/A</v>
      </c>
      <c r="F2349" s="7" t="e">
        <f t="shared" si="271"/>
        <v>#N/A</v>
      </c>
      <c r="G2349" s="7">
        <f t="shared" si="271"/>
        <v>1</v>
      </c>
    </row>
    <row r="2350" spans="2:7">
      <c r="B2350" s="67">
        <f t="shared" si="267"/>
        <v>45444</v>
      </c>
      <c r="C2350" s="7" t="e">
        <f t="shared" si="271"/>
        <v>#N/A</v>
      </c>
      <c r="D2350" s="7" t="e">
        <f t="shared" si="271"/>
        <v>#N/A</v>
      </c>
      <c r="E2350" s="7" t="e">
        <f t="shared" si="271"/>
        <v>#N/A</v>
      </c>
      <c r="F2350" s="7" t="e">
        <f t="shared" si="271"/>
        <v>#N/A</v>
      </c>
      <c r="G2350" s="7">
        <f t="shared" si="271"/>
        <v>1</v>
      </c>
    </row>
    <row r="2351" spans="2:7">
      <c r="B2351" s="67">
        <f t="shared" si="267"/>
        <v>45445</v>
      </c>
      <c r="C2351" s="7" t="e">
        <f t="shared" si="271"/>
        <v>#N/A</v>
      </c>
      <c r="D2351" s="7" t="e">
        <f t="shared" si="271"/>
        <v>#N/A</v>
      </c>
      <c r="E2351" s="7" t="e">
        <f t="shared" si="271"/>
        <v>#N/A</v>
      </c>
      <c r="F2351" s="7" t="e">
        <f t="shared" si="271"/>
        <v>#N/A</v>
      </c>
      <c r="G2351" s="7">
        <f t="shared" si="271"/>
        <v>1</v>
      </c>
    </row>
    <row r="2352" spans="2:7">
      <c r="B2352" s="67">
        <f t="shared" si="267"/>
        <v>45446</v>
      </c>
      <c r="C2352" s="7" t="e">
        <f t="shared" si="271"/>
        <v>#N/A</v>
      </c>
      <c r="D2352" s="7" t="e">
        <f t="shared" si="271"/>
        <v>#N/A</v>
      </c>
      <c r="E2352" s="7" t="e">
        <f t="shared" si="271"/>
        <v>#N/A</v>
      </c>
      <c r="F2352" s="7" t="e">
        <f t="shared" si="271"/>
        <v>#N/A</v>
      </c>
      <c r="G2352" s="7">
        <f t="shared" si="271"/>
        <v>1</v>
      </c>
    </row>
    <row r="2353" spans="2:7">
      <c r="B2353" s="67">
        <f t="shared" si="267"/>
        <v>45447</v>
      </c>
      <c r="C2353" s="7" t="e">
        <f t="shared" si="271"/>
        <v>#N/A</v>
      </c>
      <c r="D2353" s="7" t="e">
        <f t="shared" si="271"/>
        <v>#N/A</v>
      </c>
      <c r="E2353" s="7" t="e">
        <f t="shared" si="271"/>
        <v>#N/A</v>
      </c>
      <c r="F2353" s="7" t="e">
        <f t="shared" si="271"/>
        <v>#N/A</v>
      </c>
      <c r="G2353" s="7">
        <f t="shared" si="271"/>
        <v>1</v>
      </c>
    </row>
    <row r="2354" spans="2:7">
      <c r="B2354" s="67">
        <f t="shared" si="267"/>
        <v>45448</v>
      </c>
      <c r="C2354" s="7" t="e">
        <f t="shared" si="271"/>
        <v>#N/A</v>
      </c>
      <c r="D2354" s="7" t="e">
        <f t="shared" si="271"/>
        <v>#N/A</v>
      </c>
      <c r="E2354" s="7" t="e">
        <f t="shared" si="271"/>
        <v>#N/A</v>
      </c>
      <c r="F2354" s="7" t="e">
        <f t="shared" si="271"/>
        <v>#N/A</v>
      </c>
      <c r="G2354" s="7">
        <f t="shared" si="271"/>
        <v>1</v>
      </c>
    </row>
    <row r="2355" spans="2:7">
      <c r="B2355" s="67">
        <f t="shared" si="267"/>
        <v>45449</v>
      </c>
      <c r="C2355" s="7" t="e">
        <f t="shared" si="271"/>
        <v>#N/A</v>
      </c>
      <c r="D2355" s="7" t="e">
        <f t="shared" si="271"/>
        <v>#N/A</v>
      </c>
      <c r="E2355" s="7" t="e">
        <f t="shared" si="271"/>
        <v>#N/A</v>
      </c>
      <c r="F2355" s="7" t="e">
        <f t="shared" si="271"/>
        <v>#N/A</v>
      </c>
      <c r="G2355" s="7">
        <f t="shared" si="271"/>
        <v>1</v>
      </c>
    </row>
    <row r="2356" spans="2:7">
      <c r="B2356" s="67">
        <f t="shared" si="267"/>
        <v>45450</v>
      </c>
      <c r="C2356" s="7" t="e">
        <f t="shared" si="271"/>
        <v>#N/A</v>
      </c>
      <c r="D2356" s="7" t="e">
        <f t="shared" si="271"/>
        <v>#N/A</v>
      </c>
      <c r="E2356" s="7" t="e">
        <f t="shared" si="271"/>
        <v>#N/A</v>
      </c>
      <c r="F2356" s="7" t="e">
        <f t="shared" si="271"/>
        <v>#N/A</v>
      </c>
      <c r="G2356" s="7">
        <f t="shared" si="271"/>
        <v>1</v>
      </c>
    </row>
    <row r="2357" spans="2:7">
      <c r="B2357" s="67">
        <f t="shared" si="267"/>
        <v>45451</v>
      </c>
      <c r="C2357" s="7" t="e">
        <f t="shared" ref="C2357:G2366" si="272">IF(AND($B2357&gt;=C$3,$B2357&lt;=C$4),C$5,NA())</f>
        <v>#N/A</v>
      </c>
      <c r="D2357" s="7" t="e">
        <f t="shared" si="272"/>
        <v>#N/A</v>
      </c>
      <c r="E2357" s="7" t="e">
        <f t="shared" si="272"/>
        <v>#N/A</v>
      </c>
      <c r="F2357" s="7" t="e">
        <f t="shared" si="272"/>
        <v>#N/A</v>
      </c>
      <c r="G2357" s="7">
        <f t="shared" si="272"/>
        <v>1</v>
      </c>
    </row>
    <row r="2358" spans="2:7">
      <c r="B2358" s="67">
        <f t="shared" si="267"/>
        <v>45452</v>
      </c>
      <c r="C2358" s="7" t="e">
        <f t="shared" si="272"/>
        <v>#N/A</v>
      </c>
      <c r="D2358" s="7" t="e">
        <f t="shared" si="272"/>
        <v>#N/A</v>
      </c>
      <c r="E2358" s="7" t="e">
        <f t="shared" si="272"/>
        <v>#N/A</v>
      </c>
      <c r="F2358" s="7" t="e">
        <f t="shared" si="272"/>
        <v>#N/A</v>
      </c>
      <c r="G2358" s="7">
        <f t="shared" si="272"/>
        <v>1</v>
      </c>
    </row>
    <row r="2359" spans="2:7">
      <c r="B2359" s="67">
        <f t="shared" si="267"/>
        <v>45453</v>
      </c>
      <c r="C2359" s="7" t="e">
        <f t="shared" si="272"/>
        <v>#N/A</v>
      </c>
      <c r="D2359" s="7" t="e">
        <f t="shared" si="272"/>
        <v>#N/A</v>
      </c>
      <c r="E2359" s="7" t="e">
        <f t="shared" si="272"/>
        <v>#N/A</v>
      </c>
      <c r="F2359" s="7" t="e">
        <f t="shared" si="272"/>
        <v>#N/A</v>
      </c>
      <c r="G2359" s="7">
        <f t="shared" si="272"/>
        <v>1</v>
      </c>
    </row>
    <row r="2360" spans="2:7">
      <c r="B2360" s="67">
        <f t="shared" si="267"/>
        <v>45454</v>
      </c>
      <c r="C2360" s="7" t="e">
        <f t="shared" si="272"/>
        <v>#N/A</v>
      </c>
      <c r="D2360" s="7" t="e">
        <f t="shared" si="272"/>
        <v>#N/A</v>
      </c>
      <c r="E2360" s="7" t="e">
        <f t="shared" si="272"/>
        <v>#N/A</v>
      </c>
      <c r="F2360" s="7" t="e">
        <f t="shared" si="272"/>
        <v>#N/A</v>
      </c>
      <c r="G2360" s="7">
        <f t="shared" si="272"/>
        <v>1</v>
      </c>
    </row>
    <row r="2361" spans="2:7">
      <c r="B2361" s="67">
        <f t="shared" si="267"/>
        <v>45455</v>
      </c>
      <c r="C2361" s="7" t="e">
        <f t="shared" si="272"/>
        <v>#N/A</v>
      </c>
      <c r="D2361" s="7" t="e">
        <f t="shared" si="272"/>
        <v>#N/A</v>
      </c>
      <c r="E2361" s="7" t="e">
        <f t="shared" si="272"/>
        <v>#N/A</v>
      </c>
      <c r="F2361" s="7" t="e">
        <f t="shared" si="272"/>
        <v>#N/A</v>
      </c>
      <c r="G2361" s="7">
        <f t="shared" si="272"/>
        <v>1</v>
      </c>
    </row>
    <row r="2362" spans="2:7">
      <c r="B2362" s="67">
        <f t="shared" si="267"/>
        <v>45456</v>
      </c>
      <c r="C2362" s="7" t="e">
        <f t="shared" si="272"/>
        <v>#N/A</v>
      </c>
      <c r="D2362" s="7" t="e">
        <f t="shared" si="272"/>
        <v>#N/A</v>
      </c>
      <c r="E2362" s="7" t="e">
        <f t="shared" si="272"/>
        <v>#N/A</v>
      </c>
      <c r="F2362" s="7" t="e">
        <f t="shared" si="272"/>
        <v>#N/A</v>
      </c>
      <c r="G2362" s="7">
        <f t="shared" si="272"/>
        <v>1</v>
      </c>
    </row>
    <row r="2363" spans="2:7">
      <c r="B2363" s="67">
        <f t="shared" si="267"/>
        <v>45457</v>
      </c>
      <c r="C2363" s="7" t="e">
        <f t="shared" si="272"/>
        <v>#N/A</v>
      </c>
      <c r="D2363" s="7" t="e">
        <f t="shared" si="272"/>
        <v>#N/A</v>
      </c>
      <c r="E2363" s="7" t="e">
        <f t="shared" si="272"/>
        <v>#N/A</v>
      </c>
      <c r="F2363" s="7" t="e">
        <f t="shared" si="272"/>
        <v>#N/A</v>
      </c>
      <c r="G2363" s="7">
        <f t="shared" si="272"/>
        <v>1</v>
      </c>
    </row>
    <row r="2364" spans="2:7">
      <c r="B2364" s="67">
        <f t="shared" si="267"/>
        <v>45458</v>
      </c>
      <c r="C2364" s="7" t="e">
        <f t="shared" si="272"/>
        <v>#N/A</v>
      </c>
      <c r="D2364" s="7" t="e">
        <f t="shared" si="272"/>
        <v>#N/A</v>
      </c>
      <c r="E2364" s="7" t="e">
        <f t="shared" si="272"/>
        <v>#N/A</v>
      </c>
      <c r="F2364" s="7" t="e">
        <f t="shared" si="272"/>
        <v>#N/A</v>
      </c>
      <c r="G2364" s="7">
        <f t="shared" si="272"/>
        <v>1</v>
      </c>
    </row>
    <row r="2365" spans="2:7">
      <c r="B2365" s="67">
        <f t="shared" si="267"/>
        <v>45459</v>
      </c>
      <c r="C2365" s="7" t="e">
        <f t="shared" si="272"/>
        <v>#N/A</v>
      </c>
      <c r="D2365" s="7" t="e">
        <f t="shared" si="272"/>
        <v>#N/A</v>
      </c>
      <c r="E2365" s="7" t="e">
        <f t="shared" si="272"/>
        <v>#N/A</v>
      </c>
      <c r="F2365" s="7" t="e">
        <f t="shared" si="272"/>
        <v>#N/A</v>
      </c>
      <c r="G2365" s="7">
        <f t="shared" si="272"/>
        <v>1</v>
      </c>
    </row>
    <row r="2366" spans="2:7">
      <c r="B2366" s="67">
        <f t="shared" si="267"/>
        <v>45460</v>
      </c>
      <c r="C2366" s="7" t="e">
        <f t="shared" si="272"/>
        <v>#N/A</v>
      </c>
      <c r="D2366" s="7" t="e">
        <f t="shared" si="272"/>
        <v>#N/A</v>
      </c>
      <c r="E2366" s="7" t="e">
        <f t="shared" si="272"/>
        <v>#N/A</v>
      </c>
      <c r="F2366" s="7" t="e">
        <f t="shared" si="272"/>
        <v>#N/A</v>
      </c>
      <c r="G2366" s="7">
        <f t="shared" si="272"/>
        <v>1</v>
      </c>
    </row>
    <row r="2367" spans="2:7">
      <c r="B2367" s="67">
        <f t="shared" si="267"/>
        <v>45461</v>
      </c>
      <c r="C2367" s="7" t="e">
        <f t="shared" ref="C2367:G2376" si="273">IF(AND($B2367&gt;=C$3,$B2367&lt;=C$4),C$5,NA())</f>
        <v>#N/A</v>
      </c>
      <c r="D2367" s="7" t="e">
        <f t="shared" si="273"/>
        <v>#N/A</v>
      </c>
      <c r="E2367" s="7" t="e">
        <f t="shared" si="273"/>
        <v>#N/A</v>
      </c>
      <c r="F2367" s="7" t="e">
        <f t="shared" si="273"/>
        <v>#N/A</v>
      </c>
      <c r="G2367" s="7">
        <f t="shared" si="273"/>
        <v>1</v>
      </c>
    </row>
    <row r="2368" spans="2:7">
      <c r="B2368" s="67">
        <f t="shared" si="267"/>
        <v>45462</v>
      </c>
      <c r="C2368" s="7" t="e">
        <f t="shared" si="273"/>
        <v>#N/A</v>
      </c>
      <c r="D2368" s="7" t="e">
        <f t="shared" si="273"/>
        <v>#N/A</v>
      </c>
      <c r="E2368" s="7" t="e">
        <f t="shared" si="273"/>
        <v>#N/A</v>
      </c>
      <c r="F2368" s="7" t="e">
        <f t="shared" si="273"/>
        <v>#N/A</v>
      </c>
      <c r="G2368" s="7">
        <f t="shared" si="273"/>
        <v>1</v>
      </c>
    </row>
    <row r="2369" spans="2:7">
      <c r="B2369" s="67">
        <f t="shared" si="267"/>
        <v>45463</v>
      </c>
      <c r="C2369" s="7" t="e">
        <f t="shared" si="273"/>
        <v>#N/A</v>
      </c>
      <c r="D2369" s="7" t="e">
        <f t="shared" si="273"/>
        <v>#N/A</v>
      </c>
      <c r="E2369" s="7" t="e">
        <f t="shared" si="273"/>
        <v>#N/A</v>
      </c>
      <c r="F2369" s="7" t="e">
        <f t="shared" si="273"/>
        <v>#N/A</v>
      </c>
      <c r="G2369" s="7">
        <f t="shared" si="273"/>
        <v>1</v>
      </c>
    </row>
    <row r="2370" spans="2:7">
      <c r="B2370" s="67">
        <f t="shared" si="267"/>
        <v>45464</v>
      </c>
      <c r="C2370" s="7" t="e">
        <f t="shared" si="273"/>
        <v>#N/A</v>
      </c>
      <c r="D2370" s="7" t="e">
        <f t="shared" si="273"/>
        <v>#N/A</v>
      </c>
      <c r="E2370" s="7" t="e">
        <f t="shared" si="273"/>
        <v>#N/A</v>
      </c>
      <c r="F2370" s="7" t="e">
        <f t="shared" si="273"/>
        <v>#N/A</v>
      </c>
      <c r="G2370" s="7">
        <f t="shared" si="273"/>
        <v>1</v>
      </c>
    </row>
    <row r="2371" spans="2:7">
      <c r="B2371" s="67">
        <f t="shared" si="267"/>
        <v>45465</v>
      </c>
      <c r="C2371" s="7" t="e">
        <f t="shared" si="273"/>
        <v>#N/A</v>
      </c>
      <c r="D2371" s="7" t="e">
        <f t="shared" si="273"/>
        <v>#N/A</v>
      </c>
      <c r="E2371" s="7" t="e">
        <f t="shared" si="273"/>
        <v>#N/A</v>
      </c>
      <c r="F2371" s="7" t="e">
        <f t="shared" si="273"/>
        <v>#N/A</v>
      </c>
      <c r="G2371" s="7">
        <f t="shared" si="273"/>
        <v>1</v>
      </c>
    </row>
    <row r="2372" spans="2:7">
      <c r="B2372" s="67">
        <f t="shared" si="267"/>
        <v>45466</v>
      </c>
      <c r="C2372" s="7" t="e">
        <f t="shared" si="273"/>
        <v>#N/A</v>
      </c>
      <c r="D2372" s="7" t="e">
        <f t="shared" si="273"/>
        <v>#N/A</v>
      </c>
      <c r="E2372" s="7" t="e">
        <f t="shared" si="273"/>
        <v>#N/A</v>
      </c>
      <c r="F2372" s="7" t="e">
        <f t="shared" si="273"/>
        <v>#N/A</v>
      </c>
      <c r="G2372" s="7">
        <f t="shared" si="273"/>
        <v>1</v>
      </c>
    </row>
    <row r="2373" spans="2:7">
      <c r="B2373" s="67">
        <f t="shared" si="267"/>
        <v>45467</v>
      </c>
      <c r="C2373" s="7" t="e">
        <f t="shared" si="273"/>
        <v>#N/A</v>
      </c>
      <c r="D2373" s="7" t="e">
        <f t="shared" si="273"/>
        <v>#N/A</v>
      </c>
      <c r="E2373" s="7" t="e">
        <f t="shared" si="273"/>
        <v>#N/A</v>
      </c>
      <c r="F2373" s="7" t="e">
        <f t="shared" si="273"/>
        <v>#N/A</v>
      </c>
      <c r="G2373" s="7">
        <f t="shared" si="273"/>
        <v>1</v>
      </c>
    </row>
    <row r="2374" spans="2:7">
      <c r="B2374" s="67">
        <f t="shared" si="267"/>
        <v>45468</v>
      </c>
      <c r="C2374" s="7" t="e">
        <f t="shared" si="273"/>
        <v>#N/A</v>
      </c>
      <c r="D2374" s="7" t="e">
        <f t="shared" si="273"/>
        <v>#N/A</v>
      </c>
      <c r="E2374" s="7" t="e">
        <f t="shared" si="273"/>
        <v>#N/A</v>
      </c>
      <c r="F2374" s="7" t="e">
        <f t="shared" si="273"/>
        <v>#N/A</v>
      </c>
      <c r="G2374" s="7">
        <f t="shared" si="273"/>
        <v>1</v>
      </c>
    </row>
    <row r="2375" spans="2:7">
      <c r="B2375" s="67">
        <f t="shared" si="267"/>
        <v>45469</v>
      </c>
      <c r="C2375" s="7" t="e">
        <f t="shared" si="273"/>
        <v>#N/A</v>
      </c>
      <c r="D2375" s="7" t="e">
        <f t="shared" si="273"/>
        <v>#N/A</v>
      </c>
      <c r="E2375" s="7" t="e">
        <f t="shared" si="273"/>
        <v>#N/A</v>
      </c>
      <c r="F2375" s="7" t="e">
        <f t="shared" si="273"/>
        <v>#N/A</v>
      </c>
      <c r="G2375" s="7">
        <f t="shared" si="273"/>
        <v>1</v>
      </c>
    </row>
    <row r="2376" spans="2:7">
      <c r="B2376" s="67">
        <f t="shared" ref="B2376:B2439" si="274">B2375+1</f>
        <v>45470</v>
      </c>
      <c r="C2376" s="7" t="e">
        <f t="shared" si="273"/>
        <v>#N/A</v>
      </c>
      <c r="D2376" s="7" t="e">
        <f t="shared" si="273"/>
        <v>#N/A</v>
      </c>
      <c r="E2376" s="7" t="e">
        <f t="shared" si="273"/>
        <v>#N/A</v>
      </c>
      <c r="F2376" s="7" t="e">
        <f t="shared" si="273"/>
        <v>#N/A</v>
      </c>
      <c r="G2376" s="7">
        <f t="shared" si="273"/>
        <v>1</v>
      </c>
    </row>
    <row r="2377" spans="2:7">
      <c r="B2377" s="67">
        <f t="shared" si="274"/>
        <v>45471</v>
      </c>
      <c r="C2377" s="7" t="e">
        <f t="shared" ref="C2377:G2386" si="275">IF(AND($B2377&gt;=C$3,$B2377&lt;=C$4),C$5,NA())</f>
        <v>#N/A</v>
      </c>
      <c r="D2377" s="7" t="e">
        <f t="shared" si="275"/>
        <v>#N/A</v>
      </c>
      <c r="E2377" s="7" t="e">
        <f t="shared" si="275"/>
        <v>#N/A</v>
      </c>
      <c r="F2377" s="7" t="e">
        <f t="shared" si="275"/>
        <v>#N/A</v>
      </c>
      <c r="G2377" s="7">
        <f t="shared" si="275"/>
        <v>1</v>
      </c>
    </row>
    <row r="2378" spans="2:7">
      <c r="B2378" s="67">
        <f t="shared" si="274"/>
        <v>45472</v>
      </c>
      <c r="C2378" s="7" t="e">
        <f t="shared" si="275"/>
        <v>#N/A</v>
      </c>
      <c r="D2378" s="7" t="e">
        <f t="shared" si="275"/>
        <v>#N/A</v>
      </c>
      <c r="E2378" s="7" t="e">
        <f t="shared" si="275"/>
        <v>#N/A</v>
      </c>
      <c r="F2378" s="7" t="e">
        <f t="shared" si="275"/>
        <v>#N/A</v>
      </c>
      <c r="G2378" s="7">
        <f t="shared" si="275"/>
        <v>1</v>
      </c>
    </row>
    <row r="2379" spans="2:7">
      <c r="B2379" s="67">
        <f t="shared" si="274"/>
        <v>45473</v>
      </c>
      <c r="C2379" s="7" t="e">
        <f t="shared" si="275"/>
        <v>#N/A</v>
      </c>
      <c r="D2379" s="7" t="e">
        <f t="shared" si="275"/>
        <v>#N/A</v>
      </c>
      <c r="E2379" s="7" t="e">
        <f t="shared" si="275"/>
        <v>#N/A</v>
      </c>
      <c r="F2379" s="7" t="e">
        <f t="shared" si="275"/>
        <v>#N/A</v>
      </c>
      <c r="G2379" s="7">
        <f t="shared" si="275"/>
        <v>1</v>
      </c>
    </row>
    <row r="2380" spans="2:7">
      <c r="B2380" s="67">
        <f t="shared" si="274"/>
        <v>45474</v>
      </c>
      <c r="C2380" s="7" t="e">
        <f t="shared" si="275"/>
        <v>#N/A</v>
      </c>
      <c r="D2380" s="7" t="e">
        <f t="shared" si="275"/>
        <v>#N/A</v>
      </c>
      <c r="E2380" s="7" t="e">
        <f t="shared" si="275"/>
        <v>#N/A</v>
      </c>
      <c r="F2380" s="7" t="e">
        <f t="shared" si="275"/>
        <v>#N/A</v>
      </c>
      <c r="G2380" s="7">
        <f t="shared" si="275"/>
        <v>1</v>
      </c>
    </row>
    <row r="2381" spans="2:7">
      <c r="B2381" s="67">
        <f t="shared" si="274"/>
        <v>45475</v>
      </c>
      <c r="C2381" s="7" t="e">
        <f t="shared" si="275"/>
        <v>#N/A</v>
      </c>
      <c r="D2381" s="7" t="e">
        <f t="shared" si="275"/>
        <v>#N/A</v>
      </c>
      <c r="E2381" s="7" t="e">
        <f t="shared" si="275"/>
        <v>#N/A</v>
      </c>
      <c r="F2381" s="7" t="e">
        <f t="shared" si="275"/>
        <v>#N/A</v>
      </c>
      <c r="G2381" s="7">
        <f t="shared" si="275"/>
        <v>1</v>
      </c>
    </row>
    <row r="2382" spans="2:7">
      <c r="B2382" s="67">
        <f t="shared" si="274"/>
        <v>45476</v>
      </c>
      <c r="C2382" s="7" t="e">
        <f t="shared" si="275"/>
        <v>#N/A</v>
      </c>
      <c r="D2382" s="7" t="e">
        <f t="shared" si="275"/>
        <v>#N/A</v>
      </c>
      <c r="E2382" s="7" t="e">
        <f t="shared" si="275"/>
        <v>#N/A</v>
      </c>
      <c r="F2382" s="7" t="e">
        <f t="shared" si="275"/>
        <v>#N/A</v>
      </c>
      <c r="G2382" s="7">
        <f t="shared" si="275"/>
        <v>1</v>
      </c>
    </row>
    <row r="2383" spans="2:7">
      <c r="B2383" s="67">
        <f t="shared" si="274"/>
        <v>45477</v>
      </c>
      <c r="C2383" s="7" t="e">
        <f t="shared" si="275"/>
        <v>#N/A</v>
      </c>
      <c r="D2383" s="7" t="e">
        <f t="shared" si="275"/>
        <v>#N/A</v>
      </c>
      <c r="E2383" s="7" t="e">
        <f t="shared" si="275"/>
        <v>#N/A</v>
      </c>
      <c r="F2383" s="7" t="e">
        <f t="shared" si="275"/>
        <v>#N/A</v>
      </c>
      <c r="G2383" s="7">
        <f t="shared" si="275"/>
        <v>1</v>
      </c>
    </row>
    <row r="2384" spans="2:7">
      <c r="B2384" s="67">
        <f t="shared" si="274"/>
        <v>45478</v>
      </c>
      <c r="C2384" s="7" t="e">
        <f t="shared" si="275"/>
        <v>#N/A</v>
      </c>
      <c r="D2384" s="7" t="e">
        <f t="shared" si="275"/>
        <v>#N/A</v>
      </c>
      <c r="E2384" s="7" t="e">
        <f t="shared" si="275"/>
        <v>#N/A</v>
      </c>
      <c r="F2384" s="7" t="e">
        <f t="shared" si="275"/>
        <v>#N/A</v>
      </c>
      <c r="G2384" s="7">
        <f t="shared" si="275"/>
        <v>1</v>
      </c>
    </row>
    <row r="2385" spans="2:7">
      <c r="B2385" s="67">
        <f t="shared" si="274"/>
        <v>45479</v>
      </c>
      <c r="C2385" s="7" t="e">
        <f t="shared" si="275"/>
        <v>#N/A</v>
      </c>
      <c r="D2385" s="7" t="e">
        <f t="shared" si="275"/>
        <v>#N/A</v>
      </c>
      <c r="E2385" s="7" t="e">
        <f t="shared" si="275"/>
        <v>#N/A</v>
      </c>
      <c r="F2385" s="7" t="e">
        <f t="shared" si="275"/>
        <v>#N/A</v>
      </c>
      <c r="G2385" s="7">
        <f t="shared" si="275"/>
        <v>1</v>
      </c>
    </row>
    <row r="2386" spans="2:7">
      <c r="B2386" s="67">
        <f t="shared" si="274"/>
        <v>45480</v>
      </c>
      <c r="C2386" s="7" t="e">
        <f t="shared" si="275"/>
        <v>#N/A</v>
      </c>
      <c r="D2386" s="7" t="e">
        <f t="shared" si="275"/>
        <v>#N/A</v>
      </c>
      <c r="E2386" s="7" t="e">
        <f t="shared" si="275"/>
        <v>#N/A</v>
      </c>
      <c r="F2386" s="7" t="e">
        <f t="shared" si="275"/>
        <v>#N/A</v>
      </c>
      <c r="G2386" s="7">
        <f t="shared" si="275"/>
        <v>1</v>
      </c>
    </row>
    <row r="2387" spans="2:7">
      <c r="B2387" s="67">
        <f t="shared" si="274"/>
        <v>45481</v>
      </c>
      <c r="C2387" s="7" t="e">
        <f t="shared" ref="C2387:G2396" si="276">IF(AND($B2387&gt;=C$3,$B2387&lt;=C$4),C$5,NA())</f>
        <v>#N/A</v>
      </c>
      <c r="D2387" s="7" t="e">
        <f t="shared" si="276"/>
        <v>#N/A</v>
      </c>
      <c r="E2387" s="7" t="e">
        <f t="shared" si="276"/>
        <v>#N/A</v>
      </c>
      <c r="F2387" s="7" t="e">
        <f t="shared" si="276"/>
        <v>#N/A</v>
      </c>
      <c r="G2387" s="7">
        <f t="shared" si="276"/>
        <v>1</v>
      </c>
    </row>
    <row r="2388" spans="2:7">
      <c r="B2388" s="67">
        <f t="shared" si="274"/>
        <v>45482</v>
      </c>
      <c r="C2388" s="7" t="e">
        <f t="shared" si="276"/>
        <v>#N/A</v>
      </c>
      <c r="D2388" s="7" t="e">
        <f t="shared" si="276"/>
        <v>#N/A</v>
      </c>
      <c r="E2388" s="7" t="e">
        <f t="shared" si="276"/>
        <v>#N/A</v>
      </c>
      <c r="F2388" s="7" t="e">
        <f t="shared" si="276"/>
        <v>#N/A</v>
      </c>
      <c r="G2388" s="7">
        <f t="shared" si="276"/>
        <v>1</v>
      </c>
    </row>
    <row r="2389" spans="2:7">
      <c r="B2389" s="67">
        <f t="shared" si="274"/>
        <v>45483</v>
      </c>
      <c r="C2389" s="7" t="e">
        <f t="shared" si="276"/>
        <v>#N/A</v>
      </c>
      <c r="D2389" s="7" t="e">
        <f t="shared" si="276"/>
        <v>#N/A</v>
      </c>
      <c r="E2389" s="7" t="e">
        <f t="shared" si="276"/>
        <v>#N/A</v>
      </c>
      <c r="F2389" s="7" t="e">
        <f t="shared" si="276"/>
        <v>#N/A</v>
      </c>
      <c r="G2389" s="7">
        <f t="shared" si="276"/>
        <v>1</v>
      </c>
    </row>
    <row r="2390" spans="2:7">
      <c r="B2390" s="67">
        <f t="shared" si="274"/>
        <v>45484</v>
      </c>
      <c r="C2390" s="7" t="e">
        <f t="shared" si="276"/>
        <v>#N/A</v>
      </c>
      <c r="D2390" s="7" t="e">
        <f t="shared" si="276"/>
        <v>#N/A</v>
      </c>
      <c r="E2390" s="7" t="e">
        <f t="shared" si="276"/>
        <v>#N/A</v>
      </c>
      <c r="F2390" s="7" t="e">
        <f t="shared" si="276"/>
        <v>#N/A</v>
      </c>
      <c r="G2390" s="7">
        <f t="shared" si="276"/>
        <v>1</v>
      </c>
    </row>
    <row r="2391" spans="2:7">
      <c r="B2391" s="67">
        <f t="shared" si="274"/>
        <v>45485</v>
      </c>
      <c r="C2391" s="7" t="e">
        <f t="shared" si="276"/>
        <v>#N/A</v>
      </c>
      <c r="D2391" s="7" t="e">
        <f t="shared" si="276"/>
        <v>#N/A</v>
      </c>
      <c r="E2391" s="7" t="e">
        <f t="shared" si="276"/>
        <v>#N/A</v>
      </c>
      <c r="F2391" s="7" t="e">
        <f t="shared" si="276"/>
        <v>#N/A</v>
      </c>
      <c r="G2391" s="7">
        <f t="shared" si="276"/>
        <v>1</v>
      </c>
    </row>
    <row r="2392" spans="2:7">
      <c r="B2392" s="67">
        <f t="shared" si="274"/>
        <v>45486</v>
      </c>
      <c r="C2392" s="7" t="e">
        <f t="shared" si="276"/>
        <v>#N/A</v>
      </c>
      <c r="D2392" s="7" t="e">
        <f t="shared" si="276"/>
        <v>#N/A</v>
      </c>
      <c r="E2392" s="7" t="e">
        <f t="shared" si="276"/>
        <v>#N/A</v>
      </c>
      <c r="F2392" s="7" t="e">
        <f t="shared" si="276"/>
        <v>#N/A</v>
      </c>
      <c r="G2392" s="7">
        <f t="shared" si="276"/>
        <v>1</v>
      </c>
    </row>
    <row r="2393" spans="2:7">
      <c r="B2393" s="67">
        <f t="shared" si="274"/>
        <v>45487</v>
      </c>
      <c r="C2393" s="7" t="e">
        <f t="shared" si="276"/>
        <v>#N/A</v>
      </c>
      <c r="D2393" s="7" t="e">
        <f t="shared" si="276"/>
        <v>#N/A</v>
      </c>
      <c r="E2393" s="7" t="e">
        <f t="shared" si="276"/>
        <v>#N/A</v>
      </c>
      <c r="F2393" s="7" t="e">
        <f t="shared" si="276"/>
        <v>#N/A</v>
      </c>
      <c r="G2393" s="7">
        <f t="shared" si="276"/>
        <v>1</v>
      </c>
    </row>
    <row r="2394" spans="2:7">
      <c r="B2394" s="67">
        <f t="shared" si="274"/>
        <v>45488</v>
      </c>
      <c r="C2394" s="7" t="e">
        <f t="shared" si="276"/>
        <v>#N/A</v>
      </c>
      <c r="D2394" s="7" t="e">
        <f t="shared" si="276"/>
        <v>#N/A</v>
      </c>
      <c r="E2394" s="7" t="e">
        <f t="shared" si="276"/>
        <v>#N/A</v>
      </c>
      <c r="F2394" s="7" t="e">
        <f t="shared" si="276"/>
        <v>#N/A</v>
      </c>
      <c r="G2394" s="7">
        <f t="shared" si="276"/>
        <v>1</v>
      </c>
    </row>
    <row r="2395" spans="2:7">
      <c r="B2395" s="67">
        <f t="shared" si="274"/>
        <v>45489</v>
      </c>
      <c r="C2395" s="7" t="e">
        <f t="shared" si="276"/>
        <v>#N/A</v>
      </c>
      <c r="D2395" s="7" t="e">
        <f t="shared" si="276"/>
        <v>#N/A</v>
      </c>
      <c r="E2395" s="7" t="e">
        <f t="shared" si="276"/>
        <v>#N/A</v>
      </c>
      <c r="F2395" s="7" t="e">
        <f t="shared" si="276"/>
        <v>#N/A</v>
      </c>
      <c r="G2395" s="7">
        <f t="shared" si="276"/>
        <v>1</v>
      </c>
    </row>
    <row r="2396" spans="2:7">
      <c r="B2396" s="67">
        <f t="shared" si="274"/>
        <v>45490</v>
      </c>
      <c r="C2396" s="7" t="e">
        <f t="shared" si="276"/>
        <v>#N/A</v>
      </c>
      <c r="D2396" s="7" t="e">
        <f t="shared" si="276"/>
        <v>#N/A</v>
      </c>
      <c r="E2396" s="7" t="e">
        <f t="shared" si="276"/>
        <v>#N/A</v>
      </c>
      <c r="F2396" s="7" t="e">
        <f t="shared" si="276"/>
        <v>#N/A</v>
      </c>
      <c r="G2396" s="7">
        <f t="shared" si="276"/>
        <v>1</v>
      </c>
    </row>
    <row r="2397" spans="2:7">
      <c r="B2397" s="67">
        <f t="shared" si="274"/>
        <v>45491</v>
      </c>
      <c r="C2397" s="7" t="e">
        <f t="shared" ref="C2397:G2406" si="277">IF(AND($B2397&gt;=C$3,$B2397&lt;=C$4),C$5,NA())</f>
        <v>#N/A</v>
      </c>
      <c r="D2397" s="7" t="e">
        <f t="shared" si="277"/>
        <v>#N/A</v>
      </c>
      <c r="E2397" s="7" t="e">
        <f t="shared" si="277"/>
        <v>#N/A</v>
      </c>
      <c r="F2397" s="7" t="e">
        <f t="shared" si="277"/>
        <v>#N/A</v>
      </c>
      <c r="G2397" s="7">
        <f t="shared" si="277"/>
        <v>1</v>
      </c>
    </row>
    <row r="2398" spans="2:7">
      <c r="B2398" s="67">
        <f t="shared" si="274"/>
        <v>45492</v>
      </c>
      <c r="C2398" s="7" t="e">
        <f t="shared" si="277"/>
        <v>#N/A</v>
      </c>
      <c r="D2398" s="7" t="e">
        <f t="shared" si="277"/>
        <v>#N/A</v>
      </c>
      <c r="E2398" s="7" t="e">
        <f t="shared" si="277"/>
        <v>#N/A</v>
      </c>
      <c r="F2398" s="7" t="e">
        <f t="shared" si="277"/>
        <v>#N/A</v>
      </c>
      <c r="G2398" s="7">
        <f t="shared" si="277"/>
        <v>1</v>
      </c>
    </row>
    <row r="2399" spans="2:7">
      <c r="B2399" s="67">
        <f t="shared" si="274"/>
        <v>45493</v>
      </c>
      <c r="C2399" s="7" t="e">
        <f t="shared" si="277"/>
        <v>#N/A</v>
      </c>
      <c r="D2399" s="7" t="e">
        <f t="shared" si="277"/>
        <v>#N/A</v>
      </c>
      <c r="E2399" s="7" t="e">
        <f t="shared" si="277"/>
        <v>#N/A</v>
      </c>
      <c r="F2399" s="7" t="e">
        <f t="shared" si="277"/>
        <v>#N/A</v>
      </c>
      <c r="G2399" s="7">
        <f t="shared" si="277"/>
        <v>1</v>
      </c>
    </row>
    <row r="2400" spans="2:7">
      <c r="B2400" s="67">
        <f t="shared" si="274"/>
        <v>45494</v>
      </c>
      <c r="C2400" s="7" t="e">
        <f t="shared" si="277"/>
        <v>#N/A</v>
      </c>
      <c r="D2400" s="7" t="e">
        <f t="shared" si="277"/>
        <v>#N/A</v>
      </c>
      <c r="E2400" s="7" t="e">
        <f t="shared" si="277"/>
        <v>#N/A</v>
      </c>
      <c r="F2400" s="7" t="e">
        <f t="shared" si="277"/>
        <v>#N/A</v>
      </c>
      <c r="G2400" s="7">
        <f t="shared" si="277"/>
        <v>1</v>
      </c>
    </row>
    <row r="2401" spans="2:7">
      <c r="B2401" s="67">
        <f t="shared" si="274"/>
        <v>45495</v>
      </c>
      <c r="C2401" s="7" t="e">
        <f t="shared" si="277"/>
        <v>#N/A</v>
      </c>
      <c r="D2401" s="7" t="e">
        <f t="shared" si="277"/>
        <v>#N/A</v>
      </c>
      <c r="E2401" s="7" t="e">
        <f t="shared" si="277"/>
        <v>#N/A</v>
      </c>
      <c r="F2401" s="7" t="e">
        <f t="shared" si="277"/>
        <v>#N/A</v>
      </c>
      <c r="G2401" s="7">
        <f t="shared" si="277"/>
        <v>1</v>
      </c>
    </row>
    <row r="2402" spans="2:7">
      <c r="B2402" s="67">
        <f t="shared" si="274"/>
        <v>45496</v>
      </c>
      <c r="C2402" s="7" t="e">
        <f t="shared" si="277"/>
        <v>#N/A</v>
      </c>
      <c r="D2402" s="7" t="e">
        <f t="shared" si="277"/>
        <v>#N/A</v>
      </c>
      <c r="E2402" s="7" t="e">
        <f t="shared" si="277"/>
        <v>#N/A</v>
      </c>
      <c r="F2402" s="7" t="e">
        <f t="shared" si="277"/>
        <v>#N/A</v>
      </c>
      <c r="G2402" s="7">
        <f t="shared" si="277"/>
        <v>1</v>
      </c>
    </row>
    <row r="2403" spans="2:7">
      <c r="B2403" s="67">
        <f t="shared" si="274"/>
        <v>45497</v>
      </c>
      <c r="C2403" s="7" t="e">
        <f t="shared" si="277"/>
        <v>#N/A</v>
      </c>
      <c r="D2403" s="7" t="e">
        <f t="shared" si="277"/>
        <v>#N/A</v>
      </c>
      <c r="E2403" s="7" t="e">
        <f t="shared" si="277"/>
        <v>#N/A</v>
      </c>
      <c r="F2403" s="7" t="e">
        <f t="shared" si="277"/>
        <v>#N/A</v>
      </c>
      <c r="G2403" s="7">
        <f t="shared" si="277"/>
        <v>1</v>
      </c>
    </row>
    <row r="2404" spans="2:7">
      <c r="B2404" s="67">
        <f t="shared" si="274"/>
        <v>45498</v>
      </c>
      <c r="C2404" s="7" t="e">
        <f t="shared" si="277"/>
        <v>#N/A</v>
      </c>
      <c r="D2404" s="7" t="e">
        <f t="shared" si="277"/>
        <v>#N/A</v>
      </c>
      <c r="E2404" s="7" t="e">
        <f t="shared" si="277"/>
        <v>#N/A</v>
      </c>
      <c r="F2404" s="7" t="e">
        <f t="shared" si="277"/>
        <v>#N/A</v>
      </c>
      <c r="G2404" s="7">
        <f t="shared" si="277"/>
        <v>1</v>
      </c>
    </row>
    <row r="2405" spans="2:7">
      <c r="B2405" s="67">
        <f t="shared" si="274"/>
        <v>45499</v>
      </c>
      <c r="C2405" s="7" t="e">
        <f t="shared" si="277"/>
        <v>#N/A</v>
      </c>
      <c r="D2405" s="7" t="e">
        <f t="shared" si="277"/>
        <v>#N/A</v>
      </c>
      <c r="E2405" s="7" t="e">
        <f t="shared" si="277"/>
        <v>#N/A</v>
      </c>
      <c r="F2405" s="7" t="e">
        <f t="shared" si="277"/>
        <v>#N/A</v>
      </c>
      <c r="G2405" s="7">
        <f t="shared" si="277"/>
        <v>1</v>
      </c>
    </row>
    <row r="2406" spans="2:7">
      <c r="B2406" s="67">
        <f t="shared" si="274"/>
        <v>45500</v>
      </c>
      <c r="C2406" s="7" t="e">
        <f t="shared" si="277"/>
        <v>#N/A</v>
      </c>
      <c r="D2406" s="7" t="e">
        <f t="shared" si="277"/>
        <v>#N/A</v>
      </c>
      <c r="E2406" s="7" t="e">
        <f t="shared" si="277"/>
        <v>#N/A</v>
      </c>
      <c r="F2406" s="7" t="e">
        <f t="shared" si="277"/>
        <v>#N/A</v>
      </c>
      <c r="G2406" s="7">
        <f t="shared" si="277"/>
        <v>1</v>
      </c>
    </row>
    <row r="2407" spans="2:7">
      <c r="B2407" s="67">
        <f t="shared" si="274"/>
        <v>45501</v>
      </c>
      <c r="C2407" s="7" t="e">
        <f t="shared" ref="C2407:G2416" si="278">IF(AND($B2407&gt;=C$3,$B2407&lt;=C$4),C$5,NA())</f>
        <v>#N/A</v>
      </c>
      <c r="D2407" s="7" t="e">
        <f t="shared" si="278"/>
        <v>#N/A</v>
      </c>
      <c r="E2407" s="7" t="e">
        <f t="shared" si="278"/>
        <v>#N/A</v>
      </c>
      <c r="F2407" s="7" t="e">
        <f t="shared" si="278"/>
        <v>#N/A</v>
      </c>
      <c r="G2407" s="7">
        <f t="shared" si="278"/>
        <v>1</v>
      </c>
    </row>
    <row r="2408" spans="2:7">
      <c r="B2408" s="67">
        <f t="shared" si="274"/>
        <v>45502</v>
      </c>
      <c r="C2408" s="7" t="e">
        <f t="shared" si="278"/>
        <v>#N/A</v>
      </c>
      <c r="D2408" s="7" t="e">
        <f t="shared" si="278"/>
        <v>#N/A</v>
      </c>
      <c r="E2408" s="7" t="e">
        <f t="shared" si="278"/>
        <v>#N/A</v>
      </c>
      <c r="F2408" s="7" t="e">
        <f t="shared" si="278"/>
        <v>#N/A</v>
      </c>
      <c r="G2408" s="7">
        <f t="shared" si="278"/>
        <v>1</v>
      </c>
    </row>
    <row r="2409" spans="2:7">
      <c r="B2409" s="67">
        <f t="shared" si="274"/>
        <v>45503</v>
      </c>
      <c r="C2409" s="7" t="e">
        <f t="shared" si="278"/>
        <v>#N/A</v>
      </c>
      <c r="D2409" s="7" t="e">
        <f t="shared" si="278"/>
        <v>#N/A</v>
      </c>
      <c r="E2409" s="7" t="e">
        <f t="shared" si="278"/>
        <v>#N/A</v>
      </c>
      <c r="F2409" s="7" t="e">
        <f t="shared" si="278"/>
        <v>#N/A</v>
      </c>
      <c r="G2409" s="7">
        <f t="shared" si="278"/>
        <v>1</v>
      </c>
    </row>
    <row r="2410" spans="2:7">
      <c r="B2410" s="67">
        <f t="shared" si="274"/>
        <v>45504</v>
      </c>
      <c r="C2410" s="7" t="e">
        <f t="shared" si="278"/>
        <v>#N/A</v>
      </c>
      <c r="D2410" s="7" t="e">
        <f t="shared" si="278"/>
        <v>#N/A</v>
      </c>
      <c r="E2410" s="7" t="e">
        <f t="shared" si="278"/>
        <v>#N/A</v>
      </c>
      <c r="F2410" s="7" t="e">
        <f t="shared" si="278"/>
        <v>#N/A</v>
      </c>
      <c r="G2410" s="7">
        <f t="shared" si="278"/>
        <v>1</v>
      </c>
    </row>
    <row r="2411" spans="2:7">
      <c r="B2411" s="67">
        <f t="shared" si="274"/>
        <v>45505</v>
      </c>
      <c r="C2411" s="7" t="e">
        <f t="shared" si="278"/>
        <v>#N/A</v>
      </c>
      <c r="D2411" s="7" t="e">
        <f t="shared" si="278"/>
        <v>#N/A</v>
      </c>
      <c r="E2411" s="7" t="e">
        <f t="shared" si="278"/>
        <v>#N/A</v>
      </c>
      <c r="F2411" s="7" t="e">
        <f t="shared" si="278"/>
        <v>#N/A</v>
      </c>
      <c r="G2411" s="7">
        <f t="shared" si="278"/>
        <v>1</v>
      </c>
    </row>
    <row r="2412" spans="2:7">
      <c r="B2412" s="67">
        <f t="shared" si="274"/>
        <v>45506</v>
      </c>
      <c r="C2412" s="7" t="e">
        <f t="shared" si="278"/>
        <v>#N/A</v>
      </c>
      <c r="D2412" s="7" t="e">
        <f t="shared" si="278"/>
        <v>#N/A</v>
      </c>
      <c r="E2412" s="7" t="e">
        <f t="shared" si="278"/>
        <v>#N/A</v>
      </c>
      <c r="F2412" s="7" t="e">
        <f t="shared" si="278"/>
        <v>#N/A</v>
      </c>
      <c r="G2412" s="7">
        <f t="shared" si="278"/>
        <v>1</v>
      </c>
    </row>
    <row r="2413" spans="2:7">
      <c r="B2413" s="67">
        <f t="shared" si="274"/>
        <v>45507</v>
      </c>
      <c r="C2413" s="7" t="e">
        <f t="shared" si="278"/>
        <v>#N/A</v>
      </c>
      <c r="D2413" s="7" t="e">
        <f t="shared" si="278"/>
        <v>#N/A</v>
      </c>
      <c r="E2413" s="7" t="e">
        <f t="shared" si="278"/>
        <v>#N/A</v>
      </c>
      <c r="F2413" s="7" t="e">
        <f t="shared" si="278"/>
        <v>#N/A</v>
      </c>
      <c r="G2413" s="7">
        <f t="shared" si="278"/>
        <v>1</v>
      </c>
    </row>
    <row r="2414" spans="2:7">
      <c r="B2414" s="67">
        <f t="shared" si="274"/>
        <v>45508</v>
      </c>
      <c r="C2414" s="7" t="e">
        <f t="shared" si="278"/>
        <v>#N/A</v>
      </c>
      <c r="D2414" s="7" t="e">
        <f t="shared" si="278"/>
        <v>#N/A</v>
      </c>
      <c r="E2414" s="7" t="e">
        <f t="shared" si="278"/>
        <v>#N/A</v>
      </c>
      <c r="F2414" s="7" t="e">
        <f t="shared" si="278"/>
        <v>#N/A</v>
      </c>
      <c r="G2414" s="7">
        <f t="shared" si="278"/>
        <v>1</v>
      </c>
    </row>
    <row r="2415" spans="2:7">
      <c r="B2415" s="67">
        <f t="shared" si="274"/>
        <v>45509</v>
      </c>
      <c r="C2415" s="7" t="e">
        <f t="shared" si="278"/>
        <v>#N/A</v>
      </c>
      <c r="D2415" s="7" t="e">
        <f t="shared" si="278"/>
        <v>#N/A</v>
      </c>
      <c r="E2415" s="7" t="e">
        <f t="shared" si="278"/>
        <v>#N/A</v>
      </c>
      <c r="F2415" s="7" t="e">
        <f t="shared" si="278"/>
        <v>#N/A</v>
      </c>
      <c r="G2415" s="7">
        <f t="shared" si="278"/>
        <v>1</v>
      </c>
    </row>
    <row r="2416" spans="2:7">
      <c r="B2416" s="67">
        <f t="shared" si="274"/>
        <v>45510</v>
      </c>
      <c r="C2416" s="7" t="e">
        <f t="shared" si="278"/>
        <v>#N/A</v>
      </c>
      <c r="D2416" s="7" t="e">
        <f t="shared" si="278"/>
        <v>#N/A</v>
      </c>
      <c r="E2416" s="7" t="e">
        <f t="shared" si="278"/>
        <v>#N/A</v>
      </c>
      <c r="F2416" s="7" t="e">
        <f t="shared" si="278"/>
        <v>#N/A</v>
      </c>
      <c r="G2416" s="7">
        <f t="shared" si="278"/>
        <v>1</v>
      </c>
    </row>
    <row r="2417" spans="2:7">
      <c r="B2417" s="67">
        <f t="shared" si="274"/>
        <v>45511</v>
      </c>
      <c r="C2417" s="7" t="e">
        <f t="shared" ref="C2417:G2426" si="279">IF(AND($B2417&gt;=C$3,$B2417&lt;=C$4),C$5,NA())</f>
        <v>#N/A</v>
      </c>
      <c r="D2417" s="7" t="e">
        <f t="shared" si="279"/>
        <v>#N/A</v>
      </c>
      <c r="E2417" s="7" t="e">
        <f t="shared" si="279"/>
        <v>#N/A</v>
      </c>
      <c r="F2417" s="7" t="e">
        <f t="shared" si="279"/>
        <v>#N/A</v>
      </c>
      <c r="G2417" s="7">
        <f t="shared" si="279"/>
        <v>1</v>
      </c>
    </row>
    <row r="2418" spans="2:7">
      <c r="B2418" s="67">
        <f t="shared" si="274"/>
        <v>45512</v>
      </c>
      <c r="C2418" s="7" t="e">
        <f t="shared" si="279"/>
        <v>#N/A</v>
      </c>
      <c r="D2418" s="7" t="e">
        <f t="shared" si="279"/>
        <v>#N/A</v>
      </c>
      <c r="E2418" s="7" t="e">
        <f t="shared" si="279"/>
        <v>#N/A</v>
      </c>
      <c r="F2418" s="7" t="e">
        <f t="shared" si="279"/>
        <v>#N/A</v>
      </c>
      <c r="G2418" s="7">
        <f t="shared" si="279"/>
        <v>1</v>
      </c>
    </row>
    <row r="2419" spans="2:7">
      <c r="B2419" s="67">
        <f t="shared" si="274"/>
        <v>45513</v>
      </c>
      <c r="C2419" s="7" t="e">
        <f t="shared" si="279"/>
        <v>#N/A</v>
      </c>
      <c r="D2419" s="7" t="e">
        <f t="shared" si="279"/>
        <v>#N/A</v>
      </c>
      <c r="E2419" s="7" t="e">
        <f t="shared" si="279"/>
        <v>#N/A</v>
      </c>
      <c r="F2419" s="7" t="e">
        <f t="shared" si="279"/>
        <v>#N/A</v>
      </c>
      <c r="G2419" s="7">
        <f t="shared" si="279"/>
        <v>1</v>
      </c>
    </row>
    <row r="2420" spans="2:7">
      <c r="B2420" s="67">
        <f t="shared" si="274"/>
        <v>45514</v>
      </c>
      <c r="C2420" s="7" t="e">
        <f t="shared" si="279"/>
        <v>#N/A</v>
      </c>
      <c r="D2420" s="7" t="e">
        <f t="shared" si="279"/>
        <v>#N/A</v>
      </c>
      <c r="E2420" s="7" t="e">
        <f t="shared" si="279"/>
        <v>#N/A</v>
      </c>
      <c r="F2420" s="7" t="e">
        <f t="shared" si="279"/>
        <v>#N/A</v>
      </c>
      <c r="G2420" s="7">
        <f t="shared" si="279"/>
        <v>1</v>
      </c>
    </row>
    <row r="2421" spans="2:7">
      <c r="B2421" s="67">
        <f t="shared" si="274"/>
        <v>45515</v>
      </c>
      <c r="C2421" s="7" t="e">
        <f t="shared" si="279"/>
        <v>#N/A</v>
      </c>
      <c r="D2421" s="7" t="e">
        <f t="shared" si="279"/>
        <v>#N/A</v>
      </c>
      <c r="E2421" s="7" t="e">
        <f t="shared" si="279"/>
        <v>#N/A</v>
      </c>
      <c r="F2421" s="7" t="e">
        <f t="shared" si="279"/>
        <v>#N/A</v>
      </c>
      <c r="G2421" s="7">
        <f t="shared" si="279"/>
        <v>1</v>
      </c>
    </row>
    <row r="2422" spans="2:7">
      <c r="B2422" s="67">
        <f t="shared" si="274"/>
        <v>45516</v>
      </c>
      <c r="C2422" s="7" t="e">
        <f t="shared" si="279"/>
        <v>#N/A</v>
      </c>
      <c r="D2422" s="7" t="e">
        <f t="shared" si="279"/>
        <v>#N/A</v>
      </c>
      <c r="E2422" s="7" t="e">
        <f t="shared" si="279"/>
        <v>#N/A</v>
      </c>
      <c r="F2422" s="7" t="e">
        <f t="shared" si="279"/>
        <v>#N/A</v>
      </c>
      <c r="G2422" s="7">
        <f t="shared" si="279"/>
        <v>1</v>
      </c>
    </row>
    <row r="2423" spans="2:7">
      <c r="B2423" s="67">
        <f t="shared" si="274"/>
        <v>45517</v>
      </c>
      <c r="C2423" s="7" t="e">
        <f t="shared" si="279"/>
        <v>#N/A</v>
      </c>
      <c r="D2423" s="7" t="e">
        <f t="shared" si="279"/>
        <v>#N/A</v>
      </c>
      <c r="E2423" s="7" t="e">
        <f t="shared" si="279"/>
        <v>#N/A</v>
      </c>
      <c r="F2423" s="7" t="e">
        <f t="shared" si="279"/>
        <v>#N/A</v>
      </c>
      <c r="G2423" s="7">
        <f t="shared" si="279"/>
        <v>1</v>
      </c>
    </row>
    <row r="2424" spans="2:7">
      <c r="B2424" s="67">
        <f t="shared" si="274"/>
        <v>45518</v>
      </c>
      <c r="C2424" s="7" t="e">
        <f t="shared" si="279"/>
        <v>#N/A</v>
      </c>
      <c r="D2424" s="7" t="e">
        <f t="shared" si="279"/>
        <v>#N/A</v>
      </c>
      <c r="E2424" s="7" t="e">
        <f t="shared" si="279"/>
        <v>#N/A</v>
      </c>
      <c r="F2424" s="7" t="e">
        <f t="shared" si="279"/>
        <v>#N/A</v>
      </c>
      <c r="G2424" s="7">
        <f t="shared" si="279"/>
        <v>1</v>
      </c>
    </row>
    <row r="2425" spans="2:7">
      <c r="B2425" s="67">
        <f t="shared" si="274"/>
        <v>45519</v>
      </c>
      <c r="C2425" s="7" t="e">
        <f t="shared" si="279"/>
        <v>#N/A</v>
      </c>
      <c r="D2425" s="7" t="e">
        <f t="shared" si="279"/>
        <v>#N/A</v>
      </c>
      <c r="E2425" s="7" t="e">
        <f t="shared" si="279"/>
        <v>#N/A</v>
      </c>
      <c r="F2425" s="7" t="e">
        <f t="shared" si="279"/>
        <v>#N/A</v>
      </c>
      <c r="G2425" s="7">
        <f t="shared" si="279"/>
        <v>1</v>
      </c>
    </row>
    <row r="2426" spans="2:7">
      <c r="B2426" s="67">
        <f t="shared" si="274"/>
        <v>45520</v>
      </c>
      <c r="C2426" s="7" t="e">
        <f t="shared" si="279"/>
        <v>#N/A</v>
      </c>
      <c r="D2426" s="7" t="e">
        <f t="shared" si="279"/>
        <v>#N/A</v>
      </c>
      <c r="E2426" s="7" t="e">
        <f t="shared" si="279"/>
        <v>#N/A</v>
      </c>
      <c r="F2426" s="7" t="e">
        <f t="shared" si="279"/>
        <v>#N/A</v>
      </c>
      <c r="G2426" s="7">
        <f t="shared" si="279"/>
        <v>1</v>
      </c>
    </row>
    <row r="2427" spans="2:7">
      <c r="B2427" s="67">
        <f t="shared" si="274"/>
        <v>45521</v>
      </c>
      <c r="C2427" s="7" t="e">
        <f t="shared" ref="C2427:G2436" si="280">IF(AND($B2427&gt;=C$3,$B2427&lt;=C$4),C$5,NA())</f>
        <v>#N/A</v>
      </c>
      <c r="D2427" s="7" t="e">
        <f t="shared" si="280"/>
        <v>#N/A</v>
      </c>
      <c r="E2427" s="7" t="e">
        <f t="shared" si="280"/>
        <v>#N/A</v>
      </c>
      <c r="F2427" s="7" t="e">
        <f t="shared" si="280"/>
        <v>#N/A</v>
      </c>
      <c r="G2427" s="7">
        <f t="shared" si="280"/>
        <v>1</v>
      </c>
    </row>
    <row r="2428" spans="2:7">
      <c r="B2428" s="67">
        <f t="shared" si="274"/>
        <v>45522</v>
      </c>
      <c r="C2428" s="7" t="e">
        <f t="shared" si="280"/>
        <v>#N/A</v>
      </c>
      <c r="D2428" s="7" t="e">
        <f t="shared" si="280"/>
        <v>#N/A</v>
      </c>
      <c r="E2428" s="7" t="e">
        <f t="shared" si="280"/>
        <v>#N/A</v>
      </c>
      <c r="F2428" s="7" t="e">
        <f t="shared" si="280"/>
        <v>#N/A</v>
      </c>
      <c r="G2428" s="7">
        <f t="shared" si="280"/>
        <v>1</v>
      </c>
    </row>
    <row r="2429" spans="2:7">
      <c r="B2429" s="67">
        <f t="shared" si="274"/>
        <v>45523</v>
      </c>
      <c r="C2429" s="7" t="e">
        <f t="shared" si="280"/>
        <v>#N/A</v>
      </c>
      <c r="D2429" s="7" t="e">
        <f t="shared" si="280"/>
        <v>#N/A</v>
      </c>
      <c r="E2429" s="7" t="e">
        <f t="shared" si="280"/>
        <v>#N/A</v>
      </c>
      <c r="F2429" s="7" t="e">
        <f t="shared" si="280"/>
        <v>#N/A</v>
      </c>
      <c r="G2429" s="7">
        <f t="shared" si="280"/>
        <v>1</v>
      </c>
    </row>
    <row r="2430" spans="2:7">
      <c r="B2430" s="67">
        <f t="shared" si="274"/>
        <v>45524</v>
      </c>
      <c r="C2430" s="7" t="e">
        <f t="shared" si="280"/>
        <v>#N/A</v>
      </c>
      <c r="D2430" s="7" t="e">
        <f t="shared" si="280"/>
        <v>#N/A</v>
      </c>
      <c r="E2430" s="7" t="e">
        <f t="shared" si="280"/>
        <v>#N/A</v>
      </c>
      <c r="F2430" s="7" t="e">
        <f t="shared" si="280"/>
        <v>#N/A</v>
      </c>
      <c r="G2430" s="7">
        <f t="shared" si="280"/>
        <v>1</v>
      </c>
    </row>
    <row r="2431" spans="2:7">
      <c r="B2431" s="67">
        <f t="shared" si="274"/>
        <v>45525</v>
      </c>
      <c r="C2431" s="7" t="e">
        <f t="shared" si="280"/>
        <v>#N/A</v>
      </c>
      <c r="D2431" s="7" t="e">
        <f t="shared" si="280"/>
        <v>#N/A</v>
      </c>
      <c r="E2431" s="7" t="e">
        <f t="shared" si="280"/>
        <v>#N/A</v>
      </c>
      <c r="F2431" s="7" t="e">
        <f t="shared" si="280"/>
        <v>#N/A</v>
      </c>
      <c r="G2431" s="7">
        <f t="shared" si="280"/>
        <v>1</v>
      </c>
    </row>
    <row r="2432" spans="2:7">
      <c r="B2432" s="67">
        <f t="shared" si="274"/>
        <v>45526</v>
      </c>
      <c r="C2432" s="7" t="e">
        <f t="shared" si="280"/>
        <v>#N/A</v>
      </c>
      <c r="D2432" s="7" t="e">
        <f t="shared" si="280"/>
        <v>#N/A</v>
      </c>
      <c r="E2432" s="7" t="e">
        <f t="shared" si="280"/>
        <v>#N/A</v>
      </c>
      <c r="F2432" s="7" t="e">
        <f t="shared" si="280"/>
        <v>#N/A</v>
      </c>
      <c r="G2432" s="7">
        <f t="shared" si="280"/>
        <v>1</v>
      </c>
    </row>
    <row r="2433" spans="2:7">
      <c r="B2433" s="67">
        <f t="shared" si="274"/>
        <v>45527</v>
      </c>
      <c r="C2433" s="7" t="e">
        <f t="shared" si="280"/>
        <v>#N/A</v>
      </c>
      <c r="D2433" s="7" t="e">
        <f t="shared" si="280"/>
        <v>#N/A</v>
      </c>
      <c r="E2433" s="7" t="e">
        <f t="shared" si="280"/>
        <v>#N/A</v>
      </c>
      <c r="F2433" s="7" t="e">
        <f t="shared" si="280"/>
        <v>#N/A</v>
      </c>
      <c r="G2433" s="7">
        <f t="shared" si="280"/>
        <v>1</v>
      </c>
    </row>
    <row r="2434" spans="2:7">
      <c r="B2434" s="67">
        <f t="shared" si="274"/>
        <v>45528</v>
      </c>
      <c r="C2434" s="7" t="e">
        <f t="shared" si="280"/>
        <v>#N/A</v>
      </c>
      <c r="D2434" s="7" t="e">
        <f t="shared" si="280"/>
        <v>#N/A</v>
      </c>
      <c r="E2434" s="7" t="e">
        <f t="shared" si="280"/>
        <v>#N/A</v>
      </c>
      <c r="F2434" s="7" t="e">
        <f t="shared" si="280"/>
        <v>#N/A</v>
      </c>
      <c r="G2434" s="7" t="e">
        <f t="shared" si="280"/>
        <v>#N/A</v>
      </c>
    </row>
    <row r="2435" spans="2:7">
      <c r="B2435" s="67">
        <f t="shared" si="274"/>
        <v>45529</v>
      </c>
      <c r="C2435" s="7" t="e">
        <f t="shared" si="280"/>
        <v>#N/A</v>
      </c>
      <c r="D2435" s="7" t="e">
        <f t="shared" si="280"/>
        <v>#N/A</v>
      </c>
      <c r="E2435" s="7" t="e">
        <f t="shared" si="280"/>
        <v>#N/A</v>
      </c>
      <c r="F2435" s="7" t="e">
        <f t="shared" si="280"/>
        <v>#N/A</v>
      </c>
      <c r="G2435" s="7" t="e">
        <f t="shared" si="280"/>
        <v>#N/A</v>
      </c>
    </row>
    <row r="2436" spans="2:7">
      <c r="B2436" s="67">
        <f t="shared" si="274"/>
        <v>45530</v>
      </c>
      <c r="C2436" s="7" t="e">
        <f t="shared" si="280"/>
        <v>#N/A</v>
      </c>
      <c r="D2436" s="7" t="e">
        <f t="shared" si="280"/>
        <v>#N/A</v>
      </c>
      <c r="E2436" s="7" t="e">
        <f t="shared" si="280"/>
        <v>#N/A</v>
      </c>
      <c r="F2436" s="7" t="e">
        <f t="shared" si="280"/>
        <v>#N/A</v>
      </c>
      <c r="G2436" s="7" t="e">
        <f t="shared" si="280"/>
        <v>#N/A</v>
      </c>
    </row>
    <row r="2437" spans="2:7">
      <c r="B2437" s="67">
        <f t="shared" si="274"/>
        <v>45531</v>
      </c>
      <c r="C2437" s="7" t="e">
        <f t="shared" ref="C2437:G2446" si="281">IF(AND($B2437&gt;=C$3,$B2437&lt;=C$4),C$5,NA())</f>
        <v>#N/A</v>
      </c>
      <c r="D2437" s="7" t="e">
        <f t="shared" si="281"/>
        <v>#N/A</v>
      </c>
      <c r="E2437" s="7" t="e">
        <f t="shared" si="281"/>
        <v>#N/A</v>
      </c>
      <c r="F2437" s="7" t="e">
        <f t="shared" si="281"/>
        <v>#N/A</v>
      </c>
      <c r="G2437" s="7" t="e">
        <f t="shared" si="281"/>
        <v>#N/A</v>
      </c>
    </row>
    <row r="2438" spans="2:7">
      <c r="B2438" s="67">
        <f t="shared" si="274"/>
        <v>45532</v>
      </c>
      <c r="C2438" s="7" t="e">
        <f t="shared" si="281"/>
        <v>#N/A</v>
      </c>
      <c r="D2438" s="7" t="e">
        <f t="shared" si="281"/>
        <v>#N/A</v>
      </c>
      <c r="E2438" s="7" t="e">
        <f t="shared" si="281"/>
        <v>#N/A</v>
      </c>
      <c r="F2438" s="7" t="e">
        <f t="shared" si="281"/>
        <v>#N/A</v>
      </c>
      <c r="G2438" s="7" t="e">
        <f t="shared" si="281"/>
        <v>#N/A</v>
      </c>
    </row>
    <row r="2439" spans="2:7">
      <c r="B2439" s="67">
        <f t="shared" si="274"/>
        <v>45533</v>
      </c>
      <c r="C2439" s="7" t="e">
        <f t="shared" si="281"/>
        <v>#N/A</v>
      </c>
      <c r="D2439" s="7" t="e">
        <f t="shared" si="281"/>
        <v>#N/A</v>
      </c>
      <c r="E2439" s="7" t="e">
        <f t="shared" si="281"/>
        <v>#N/A</v>
      </c>
      <c r="F2439" s="7" t="e">
        <f t="shared" si="281"/>
        <v>#N/A</v>
      </c>
      <c r="G2439" s="7" t="e">
        <f t="shared" si="281"/>
        <v>#N/A</v>
      </c>
    </row>
    <row r="2440" spans="2:7">
      <c r="B2440" s="67">
        <f t="shared" ref="B2440:B2503" si="282">B2439+1</f>
        <v>45534</v>
      </c>
      <c r="C2440" s="7" t="e">
        <f t="shared" si="281"/>
        <v>#N/A</v>
      </c>
      <c r="D2440" s="7" t="e">
        <f t="shared" si="281"/>
        <v>#N/A</v>
      </c>
      <c r="E2440" s="7" t="e">
        <f t="shared" si="281"/>
        <v>#N/A</v>
      </c>
      <c r="F2440" s="7" t="e">
        <f t="shared" si="281"/>
        <v>#N/A</v>
      </c>
      <c r="G2440" s="7" t="e">
        <f t="shared" si="281"/>
        <v>#N/A</v>
      </c>
    </row>
    <row r="2441" spans="2:7">
      <c r="B2441" s="67">
        <f t="shared" si="282"/>
        <v>45535</v>
      </c>
      <c r="C2441" s="7" t="e">
        <f t="shared" si="281"/>
        <v>#N/A</v>
      </c>
      <c r="D2441" s="7" t="e">
        <f t="shared" si="281"/>
        <v>#N/A</v>
      </c>
      <c r="E2441" s="7" t="e">
        <f t="shared" si="281"/>
        <v>#N/A</v>
      </c>
      <c r="F2441" s="7" t="e">
        <f t="shared" si="281"/>
        <v>#N/A</v>
      </c>
      <c r="G2441" s="7" t="e">
        <f t="shared" si="281"/>
        <v>#N/A</v>
      </c>
    </row>
    <row r="2442" spans="2:7">
      <c r="B2442" s="67">
        <f t="shared" si="282"/>
        <v>45536</v>
      </c>
      <c r="C2442" s="7" t="e">
        <f t="shared" si="281"/>
        <v>#N/A</v>
      </c>
      <c r="D2442" s="7" t="e">
        <f t="shared" si="281"/>
        <v>#N/A</v>
      </c>
      <c r="E2442" s="7" t="e">
        <f t="shared" si="281"/>
        <v>#N/A</v>
      </c>
      <c r="F2442" s="7" t="e">
        <f t="shared" si="281"/>
        <v>#N/A</v>
      </c>
      <c r="G2442" s="7" t="e">
        <f t="shared" si="281"/>
        <v>#N/A</v>
      </c>
    </row>
    <row r="2443" spans="2:7">
      <c r="B2443" s="67">
        <f t="shared" si="282"/>
        <v>45537</v>
      </c>
      <c r="C2443" s="7" t="e">
        <f t="shared" si="281"/>
        <v>#N/A</v>
      </c>
      <c r="D2443" s="7" t="e">
        <f t="shared" si="281"/>
        <v>#N/A</v>
      </c>
      <c r="E2443" s="7" t="e">
        <f t="shared" si="281"/>
        <v>#N/A</v>
      </c>
      <c r="F2443" s="7" t="e">
        <f t="shared" si="281"/>
        <v>#N/A</v>
      </c>
      <c r="G2443" s="7" t="e">
        <f t="shared" si="281"/>
        <v>#N/A</v>
      </c>
    </row>
    <row r="2444" spans="2:7">
      <c r="B2444" s="67">
        <f t="shared" si="282"/>
        <v>45538</v>
      </c>
      <c r="C2444" s="7" t="e">
        <f t="shared" si="281"/>
        <v>#N/A</v>
      </c>
      <c r="D2444" s="7" t="e">
        <f t="shared" si="281"/>
        <v>#N/A</v>
      </c>
      <c r="E2444" s="7" t="e">
        <f t="shared" si="281"/>
        <v>#N/A</v>
      </c>
      <c r="F2444" s="7" t="e">
        <f t="shared" si="281"/>
        <v>#N/A</v>
      </c>
      <c r="G2444" s="7" t="e">
        <f t="shared" si="281"/>
        <v>#N/A</v>
      </c>
    </row>
    <row r="2445" spans="2:7">
      <c r="B2445" s="67">
        <f t="shared" si="282"/>
        <v>45539</v>
      </c>
      <c r="C2445" s="7" t="e">
        <f t="shared" si="281"/>
        <v>#N/A</v>
      </c>
      <c r="D2445" s="7" t="e">
        <f t="shared" si="281"/>
        <v>#N/A</v>
      </c>
      <c r="E2445" s="7" t="e">
        <f t="shared" si="281"/>
        <v>#N/A</v>
      </c>
      <c r="F2445" s="7" t="e">
        <f t="shared" si="281"/>
        <v>#N/A</v>
      </c>
      <c r="G2445" s="7" t="e">
        <f t="shared" si="281"/>
        <v>#N/A</v>
      </c>
    </row>
    <row r="2446" spans="2:7">
      <c r="B2446" s="67">
        <f t="shared" si="282"/>
        <v>45540</v>
      </c>
      <c r="C2446" s="7" t="e">
        <f t="shared" si="281"/>
        <v>#N/A</v>
      </c>
      <c r="D2446" s="7" t="e">
        <f t="shared" si="281"/>
        <v>#N/A</v>
      </c>
      <c r="E2446" s="7" t="e">
        <f t="shared" si="281"/>
        <v>#N/A</v>
      </c>
      <c r="F2446" s="7" t="e">
        <f t="shared" si="281"/>
        <v>#N/A</v>
      </c>
      <c r="G2446" s="7" t="e">
        <f t="shared" si="281"/>
        <v>#N/A</v>
      </c>
    </row>
    <row r="2447" spans="2:7">
      <c r="B2447" s="67">
        <f t="shared" si="282"/>
        <v>45541</v>
      </c>
      <c r="C2447" s="7" t="e">
        <f t="shared" ref="C2447:G2456" si="283">IF(AND($B2447&gt;=C$3,$B2447&lt;=C$4),C$5,NA())</f>
        <v>#N/A</v>
      </c>
      <c r="D2447" s="7" t="e">
        <f t="shared" si="283"/>
        <v>#N/A</v>
      </c>
      <c r="E2447" s="7" t="e">
        <f t="shared" si="283"/>
        <v>#N/A</v>
      </c>
      <c r="F2447" s="7" t="e">
        <f t="shared" si="283"/>
        <v>#N/A</v>
      </c>
      <c r="G2447" s="7" t="e">
        <f t="shared" si="283"/>
        <v>#N/A</v>
      </c>
    </row>
    <row r="2448" spans="2:7">
      <c r="B2448" s="67">
        <f t="shared" si="282"/>
        <v>45542</v>
      </c>
      <c r="C2448" s="7" t="e">
        <f t="shared" si="283"/>
        <v>#N/A</v>
      </c>
      <c r="D2448" s="7" t="e">
        <f t="shared" si="283"/>
        <v>#N/A</v>
      </c>
      <c r="E2448" s="7" t="e">
        <f t="shared" si="283"/>
        <v>#N/A</v>
      </c>
      <c r="F2448" s="7" t="e">
        <f t="shared" si="283"/>
        <v>#N/A</v>
      </c>
      <c r="G2448" s="7" t="e">
        <f t="shared" si="283"/>
        <v>#N/A</v>
      </c>
    </row>
    <row r="2449" spans="2:7">
      <c r="B2449" s="67">
        <f t="shared" si="282"/>
        <v>45543</v>
      </c>
      <c r="C2449" s="7" t="e">
        <f t="shared" si="283"/>
        <v>#N/A</v>
      </c>
      <c r="D2449" s="7" t="e">
        <f t="shared" si="283"/>
        <v>#N/A</v>
      </c>
      <c r="E2449" s="7" t="e">
        <f t="shared" si="283"/>
        <v>#N/A</v>
      </c>
      <c r="F2449" s="7" t="e">
        <f t="shared" si="283"/>
        <v>#N/A</v>
      </c>
      <c r="G2449" s="7" t="e">
        <f t="shared" si="283"/>
        <v>#N/A</v>
      </c>
    </row>
    <row r="2450" spans="2:7">
      <c r="B2450" s="67">
        <f t="shared" si="282"/>
        <v>45544</v>
      </c>
      <c r="C2450" s="7" t="e">
        <f t="shared" si="283"/>
        <v>#N/A</v>
      </c>
      <c r="D2450" s="7" t="e">
        <f t="shared" si="283"/>
        <v>#N/A</v>
      </c>
      <c r="E2450" s="7" t="e">
        <f t="shared" si="283"/>
        <v>#N/A</v>
      </c>
      <c r="F2450" s="7" t="e">
        <f t="shared" si="283"/>
        <v>#N/A</v>
      </c>
      <c r="G2450" s="7" t="e">
        <f t="shared" si="283"/>
        <v>#N/A</v>
      </c>
    </row>
    <row r="2451" spans="2:7">
      <c r="B2451" s="67">
        <f t="shared" si="282"/>
        <v>45545</v>
      </c>
      <c r="C2451" s="7" t="e">
        <f t="shared" si="283"/>
        <v>#N/A</v>
      </c>
      <c r="D2451" s="7" t="e">
        <f t="shared" si="283"/>
        <v>#N/A</v>
      </c>
      <c r="E2451" s="7" t="e">
        <f t="shared" si="283"/>
        <v>#N/A</v>
      </c>
      <c r="F2451" s="7" t="e">
        <f t="shared" si="283"/>
        <v>#N/A</v>
      </c>
      <c r="G2451" s="7" t="e">
        <f t="shared" si="283"/>
        <v>#N/A</v>
      </c>
    </row>
    <row r="2452" spans="2:7">
      <c r="B2452" s="67">
        <f t="shared" si="282"/>
        <v>45546</v>
      </c>
      <c r="C2452" s="7" t="e">
        <f t="shared" si="283"/>
        <v>#N/A</v>
      </c>
      <c r="D2452" s="7" t="e">
        <f t="shared" si="283"/>
        <v>#N/A</v>
      </c>
      <c r="E2452" s="7" t="e">
        <f t="shared" si="283"/>
        <v>#N/A</v>
      </c>
      <c r="F2452" s="7" t="e">
        <f t="shared" si="283"/>
        <v>#N/A</v>
      </c>
      <c r="G2452" s="7" t="e">
        <f t="shared" si="283"/>
        <v>#N/A</v>
      </c>
    </row>
    <row r="2453" spans="2:7">
      <c r="B2453" s="67">
        <f t="shared" si="282"/>
        <v>45547</v>
      </c>
      <c r="C2453" s="7" t="e">
        <f t="shared" si="283"/>
        <v>#N/A</v>
      </c>
      <c r="D2453" s="7" t="e">
        <f t="shared" si="283"/>
        <v>#N/A</v>
      </c>
      <c r="E2453" s="7" t="e">
        <f t="shared" si="283"/>
        <v>#N/A</v>
      </c>
      <c r="F2453" s="7" t="e">
        <f t="shared" si="283"/>
        <v>#N/A</v>
      </c>
      <c r="G2453" s="7" t="e">
        <f t="shared" si="283"/>
        <v>#N/A</v>
      </c>
    </row>
    <row r="2454" spans="2:7">
      <c r="B2454" s="67">
        <f t="shared" si="282"/>
        <v>45548</v>
      </c>
      <c r="C2454" s="7" t="e">
        <f t="shared" si="283"/>
        <v>#N/A</v>
      </c>
      <c r="D2454" s="7" t="e">
        <f t="shared" si="283"/>
        <v>#N/A</v>
      </c>
      <c r="E2454" s="7" t="e">
        <f t="shared" si="283"/>
        <v>#N/A</v>
      </c>
      <c r="F2454" s="7" t="e">
        <f t="shared" si="283"/>
        <v>#N/A</v>
      </c>
      <c r="G2454" s="7" t="e">
        <f t="shared" si="283"/>
        <v>#N/A</v>
      </c>
    </row>
    <row r="2455" spans="2:7">
      <c r="B2455" s="67">
        <f t="shared" si="282"/>
        <v>45549</v>
      </c>
      <c r="C2455" s="7" t="e">
        <f t="shared" si="283"/>
        <v>#N/A</v>
      </c>
      <c r="D2455" s="7" t="e">
        <f t="shared" si="283"/>
        <v>#N/A</v>
      </c>
      <c r="E2455" s="7" t="e">
        <f t="shared" si="283"/>
        <v>#N/A</v>
      </c>
      <c r="F2455" s="7" t="e">
        <f t="shared" si="283"/>
        <v>#N/A</v>
      </c>
      <c r="G2455" s="7" t="e">
        <f t="shared" si="283"/>
        <v>#N/A</v>
      </c>
    </row>
    <row r="2456" spans="2:7">
      <c r="B2456" s="67">
        <f t="shared" si="282"/>
        <v>45550</v>
      </c>
      <c r="C2456" s="7" t="e">
        <f t="shared" si="283"/>
        <v>#N/A</v>
      </c>
      <c r="D2456" s="7" t="e">
        <f t="shared" si="283"/>
        <v>#N/A</v>
      </c>
      <c r="E2456" s="7" t="e">
        <f t="shared" si="283"/>
        <v>#N/A</v>
      </c>
      <c r="F2456" s="7" t="e">
        <f t="shared" si="283"/>
        <v>#N/A</v>
      </c>
      <c r="G2456" s="7" t="e">
        <f t="shared" si="283"/>
        <v>#N/A</v>
      </c>
    </row>
    <row r="2457" spans="2:7">
      <c r="B2457" s="67">
        <f t="shared" si="282"/>
        <v>45551</v>
      </c>
      <c r="C2457" s="7" t="e">
        <f t="shared" ref="C2457:G2466" si="284">IF(AND($B2457&gt;=C$3,$B2457&lt;=C$4),C$5,NA())</f>
        <v>#N/A</v>
      </c>
      <c r="D2457" s="7" t="e">
        <f t="shared" si="284"/>
        <v>#N/A</v>
      </c>
      <c r="E2457" s="7" t="e">
        <f t="shared" si="284"/>
        <v>#N/A</v>
      </c>
      <c r="F2457" s="7" t="e">
        <f t="shared" si="284"/>
        <v>#N/A</v>
      </c>
      <c r="G2457" s="7" t="e">
        <f t="shared" si="284"/>
        <v>#N/A</v>
      </c>
    </row>
    <row r="2458" spans="2:7">
      <c r="B2458" s="67">
        <f t="shared" si="282"/>
        <v>45552</v>
      </c>
      <c r="C2458" s="7" t="e">
        <f t="shared" si="284"/>
        <v>#N/A</v>
      </c>
      <c r="D2458" s="7" t="e">
        <f t="shared" si="284"/>
        <v>#N/A</v>
      </c>
      <c r="E2458" s="7" t="e">
        <f t="shared" si="284"/>
        <v>#N/A</v>
      </c>
      <c r="F2458" s="7" t="e">
        <f t="shared" si="284"/>
        <v>#N/A</v>
      </c>
      <c r="G2458" s="7" t="e">
        <f t="shared" si="284"/>
        <v>#N/A</v>
      </c>
    </row>
    <row r="2459" spans="2:7">
      <c r="B2459" s="67">
        <f t="shared" si="282"/>
        <v>45553</v>
      </c>
      <c r="C2459" s="7" t="e">
        <f t="shared" si="284"/>
        <v>#N/A</v>
      </c>
      <c r="D2459" s="7" t="e">
        <f t="shared" si="284"/>
        <v>#N/A</v>
      </c>
      <c r="E2459" s="7" t="e">
        <f t="shared" si="284"/>
        <v>#N/A</v>
      </c>
      <c r="F2459" s="7" t="e">
        <f t="shared" si="284"/>
        <v>#N/A</v>
      </c>
      <c r="G2459" s="7" t="e">
        <f t="shared" si="284"/>
        <v>#N/A</v>
      </c>
    </row>
    <row r="2460" spans="2:7">
      <c r="B2460" s="67">
        <f t="shared" si="282"/>
        <v>45554</v>
      </c>
      <c r="C2460" s="7" t="e">
        <f t="shared" si="284"/>
        <v>#N/A</v>
      </c>
      <c r="D2460" s="7" t="e">
        <f t="shared" si="284"/>
        <v>#N/A</v>
      </c>
      <c r="E2460" s="7" t="e">
        <f t="shared" si="284"/>
        <v>#N/A</v>
      </c>
      <c r="F2460" s="7" t="e">
        <f t="shared" si="284"/>
        <v>#N/A</v>
      </c>
      <c r="G2460" s="7" t="e">
        <f t="shared" si="284"/>
        <v>#N/A</v>
      </c>
    </row>
    <row r="2461" spans="2:7">
      <c r="B2461" s="67">
        <f t="shared" si="282"/>
        <v>45555</v>
      </c>
      <c r="C2461" s="7" t="e">
        <f t="shared" si="284"/>
        <v>#N/A</v>
      </c>
      <c r="D2461" s="7" t="e">
        <f t="shared" si="284"/>
        <v>#N/A</v>
      </c>
      <c r="E2461" s="7" t="e">
        <f t="shared" si="284"/>
        <v>#N/A</v>
      </c>
      <c r="F2461" s="7" t="e">
        <f t="shared" si="284"/>
        <v>#N/A</v>
      </c>
      <c r="G2461" s="7" t="e">
        <f t="shared" si="284"/>
        <v>#N/A</v>
      </c>
    </row>
    <row r="2462" spans="2:7">
      <c r="B2462" s="67">
        <f t="shared" si="282"/>
        <v>45556</v>
      </c>
      <c r="C2462" s="7" t="e">
        <f t="shared" si="284"/>
        <v>#N/A</v>
      </c>
      <c r="D2462" s="7" t="e">
        <f t="shared" si="284"/>
        <v>#N/A</v>
      </c>
      <c r="E2462" s="7" t="e">
        <f t="shared" si="284"/>
        <v>#N/A</v>
      </c>
      <c r="F2462" s="7" t="e">
        <f t="shared" si="284"/>
        <v>#N/A</v>
      </c>
      <c r="G2462" s="7" t="e">
        <f t="shared" si="284"/>
        <v>#N/A</v>
      </c>
    </row>
    <row r="2463" spans="2:7">
      <c r="B2463" s="67">
        <f t="shared" si="282"/>
        <v>45557</v>
      </c>
      <c r="C2463" s="7" t="e">
        <f t="shared" si="284"/>
        <v>#N/A</v>
      </c>
      <c r="D2463" s="7" t="e">
        <f t="shared" si="284"/>
        <v>#N/A</v>
      </c>
      <c r="E2463" s="7" t="e">
        <f t="shared" si="284"/>
        <v>#N/A</v>
      </c>
      <c r="F2463" s="7" t="e">
        <f t="shared" si="284"/>
        <v>#N/A</v>
      </c>
      <c r="G2463" s="7" t="e">
        <f t="shared" si="284"/>
        <v>#N/A</v>
      </c>
    </row>
    <row r="2464" spans="2:7">
      <c r="B2464" s="67">
        <f t="shared" si="282"/>
        <v>45558</v>
      </c>
      <c r="C2464" s="7" t="e">
        <f t="shared" si="284"/>
        <v>#N/A</v>
      </c>
      <c r="D2464" s="7" t="e">
        <f t="shared" si="284"/>
        <v>#N/A</v>
      </c>
      <c r="E2464" s="7" t="e">
        <f t="shared" si="284"/>
        <v>#N/A</v>
      </c>
      <c r="F2464" s="7" t="e">
        <f t="shared" si="284"/>
        <v>#N/A</v>
      </c>
      <c r="G2464" s="7" t="e">
        <f t="shared" si="284"/>
        <v>#N/A</v>
      </c>
    </row>
    <row r="2465" spans="2:7">
      <c r="B2465" s="67">
        <f t="shared" si="282"/>
        <v>45559</v>
      </c>
      <c r="C2465" s="7" t="e">
        <f t="shared" si="284"/>
        <v>#N/A</v>
      </c>
      <c r="D2465" s="7" t="e">
        <f t="shared" si="284"/>
        <v>#N/A</v>
      </c>
      <c r="E2465" s="7" t="e">
        <f t="shared" si="284"/>
        <v>#N/A</v>
      </c>
      <c r="F2465" s="7" t="e">
        <f t="shared" si="284"/>
        <v>#N/A</v>
      </c>
      <c r="G2465" s="7" t="e">
        <f t="shared" si="284"/>
        <v>#N/A</v>
      </c>
    </row>
    <row r="2466" spans="2:7">
      <c r="B2466" s="67">
        <f t="shared" si="282"/>
        <v>45560</v>
      </c>
      <c r="C2466" s="7" t="e">
        <f t="shared" si="284"/>
        <v>#N/A</v>
      </c>
      <c r="D2466" s="7" t="e">
        <f t="shared" si="284"/>
        <v>#N/A</v>
      </c>
      <c r="E2466" s="7" t="e">
        <f t="shared" si="284"/>
        <v>#N/A</v>
      </c>
      <c r="F2466" s="7" t="e">
        <f t="shared" si="284"/>
        <v>#N/A</v>
      </c>
      <c r="G2466" s="7" t="e">
        <f t="shared" si="284"/>
        <v>#N/A</v>
      </c>
    </row>
    <row r="2467" spans="2:7">
      <c r="B2467" s="67">
        <f t="shared" si="282"/>
        <v>45561</v>
      </c>
      <c r="C2467" s="7" t="e">
        <f t="shared" ref="C2467:G2476" si="285">IF(AND($B2467&gt;=C$3,$B2467&lt;=C$4),C$5,NA())</f>
        <v>#N/A</v>
      </c>
      <c r="D2467" s="7" t="e">
        <f t="shared" si="285"/>
        <v>#N/A</v>
      </c>
      <c r="E2467" s="7" t="e">
        <f t="shared" si="285"/>
        <v>#N/A</v>
      </c>
      <c r="F2467" s="7" t="e">
        <f t="shared" si="285"/>
        <v>#N/A</v>
      </c>
      <c r="G2467" s="7" t="e">
        <f t="shared" si="285"/>
        <v>#N/A</v>
      </c>
    </row>
    <row r="2468" spans="2:7">
      <c r="B2468" s="67">
        <f t="shared" si="282"/>
        <v>45562</v>
      </c>
      <c r="C2468" s="7" t="e">
        <f t="shared" si="285"/>
        <v>#N/A</v>
      </c>
      <c r="D2468" s="7" t="e">
        <f t="shared" si="285"/>
        <v>#N/A</v>
      </c>
      <c r="E2468" s="7" t="e">
        <f t="shared" si="285"/>
        <v>#N/A</v>
      </c>
      <c r="F2468" s="7" t="e">
        <f t="shared" si="285"/>
        <v>#N/A</v>
      </c>
      <c r="G2468" s="7" t="e">
        <f t="shared" si="285"/>
        <v>#N/A</v>
      </c>
    </row>
    <row r="2469" spans="2:7">
      <c r="B2469" s="67">
        <f t="shared" si="282"/>
        <v>45563</v>
      </c>
      <c r="C2469" s="7" t="e">
        <f t="shared" si="285"/>
        <v>#N/A</v>
      </c>
      <c r="D2469" s="7" t="e">
        <f t="shared" si="285"/>
        <v>#N/A</v>
      </c>
      <c r="E2469" s="7" t="e">
        <f t="shared" si="285"/>
        <v>#N/A</v>
      </c>
      <c r="F2469" s="7" t="e">
        <f t="shared" si="285"/>
        <v>#N/A</v>
      </c>
      <c r="G2469" s="7" t="e">
        <f t="shared" si="285"/>
        <v>#N/A</v>
      </c>
    </row>
    <row r="2470" spans="2:7">
      <c r="B2470" s="67">
        <f t="shared" si="282"/>
        <v>45564</v>
      </c>
      <c r="C2470" s="7" t="e">
        <f t="shared" si="285"/>
        <v>#N/A</v>
      </c>
      <c r="D2470" s="7" t="e">
        <f t="shared" si="285"/>
        <v>#N/A</v>
      </c>
      <c r="E2470" s="7" t="e">
        <f t="shared" si="285"/>
        <v>#N/A</v>
      </c>
      <c r="F2470" s="7" t="e">
        <f t="shared" si="285"/>
        <v>#N/A</v>
      </c>
      <c r="G2470" s="7" t="e">
        <f t="shared" si="285"/>
        <v>#N/A</v>
      </c>
    </row>
    <row r="2471" spans="2:7">
      <c r="B2471" s="67">
        <f t="shared" si="282"/>
        <v>45565</v>
      </c>
      <c r="C2471" s="7" t="e">
        <f t="shared" si="285"/>
        <v>#N/A</v>
      </c>
      <c r="D2471" s="7" t="e">
        <f t="shared" si="285"/>
        <v>#N/A</v>
      </c>
      <c r="E2471" s="7" t="e">
        <f t="shared" si="285"/>
        <v>#N/A</v>
      </c>
      <c r="F2471" s="7" t="e">
        <f t="shared" si="285"/>
        <v>#N/A</v>
      </c>
      <c r="G2471" s="7" t="e">
        <f t="shared" si="285"/>
        <v>#N/A</v>
      </c>
    </row>
    <row r="2472" spans="2:7">
      <c r="B2472" s="67">
        <f t="shared" si="282"/>
        <v>45566</v>
      </c>
      <c r="C2472" s="7" t="e">
        <f t="shared" si="285"/>
        <v>#N/A</v>
      </c>
      <c r="D2472" s="7" t="e">
        <f t="shared" si="285"/>
        <v>#N/A</v>
      </c>
      <c r="E2472" s="7" t="e">
        <f t="shared" si="285"/>
        <v>#N/A</v>
      </c>
      <c r="F2472" s="7" t="e">
        <f t="shared" si="285"/>
        <v>#N/A</v>
      </c>
      <c r="G2472" s="7" t="e">
        <f t="shared" si="285"/>
        <v>#N/A</v>
      </c>
    </row>
    <row r="2473" spans="2:7">
      <c r="B2473" s="67">
        <f t="shared" si="282"/>
        <v>45567</v>
      </c>
      <c r="C2473" s="7" t="e">
        <f t="shared" si="285"/>
        <v>#N/A</v>
      </c>
      <c r="D2473" s="7" t="e">
        <f t="shared" si="285"/>
        <v>#N/A</v>
      </c>
      <c r="E2473" s="7" t="e">
        <f t="shared" si="285"/>
        <v>#N/A</v>
      </c>
      <c r="F2473" s="7" t="e">
        <f t="shared" si="285"/>
        <v>#N/A</v>
      </c>
      <c r="G2473" s="7" t="e">
        <f t="shared" si="285"/>
        <v>#N/A</v>
      </c>
    </row>
    <row r="2474" spans="2:7">
      <c r="B2474" s="67">
        <f t="shared" si="282"/>
        <v>45568</v>
      </c>
      <c r="C2474" s="7" t="e">
        <f t="shared" si="285"/>
        <v>#N/A</v>
      </c>
      <c r="D2474" s="7" t="e">
        <f t="shared" si="285"/>
        <v>#N/A</v>
      </c>
      <c r="E2474" s="7" t="e">
        <f t="shared" si="285"/>
        <v>#N/A</v>
      </c>
      <c r="F2474" s="7" t="e">
        <f t="shared" si="285"/>
        <v>#N/A</v>
      </c>
      <c r="G2474" s="7" t="e">
        <f t="shared" si="285"/>
        <v>#N/A</v>
      </c>
    </row>
    <row r="2475" spans="2:7">
      <c r="B2475" s="67">
        <f t="shared" si="282"/>
        <v>45569</v>
      </c>
      <c r="C2475" s="7" t="e">
        <f t="shared" si="285"/>
        <v>#N/A</v>
      </c>
      <c r="D2475" s="7" t="e">
        <f t="shared" si="285"/>
        <v>#N/A</v>
      </c>
      <c r="E2475" s="7" t="e">
        <f t="shared" si="285"/>
        <v>#N/A</v>
      </c>
      <c r="F2475" s="7" t="e">
        <f t="shared" si="285"/>
        <v>#N/A</v>
      </c>
      <c r="G2475" s="7" t="e">
        <f t="shared" si="285"/>
        <v>#N/A</v>
      </c>
    </row>
    <row r="2476" spans="2:7">
      <c r="B2476" s="67">
        <f t="shared" si="282"/>
        <v>45570</v>
      </c>
      <c r="C2476" s="7" t="e">
        <f t="shared" si="285"/>
        <v>#N/A</v>
      </c>
      <c r="D2476" s="7" t="e">
        <f t="shared" si="285"/>
        <v>#N/A</v>
      </c>
      <c r="E2476" s="7" t="e">
        <f t="shared" si="285"/>
        <v>#N/A</v>
      </c>
      <c r="F2476" s="7" t="e">
        <f t="shared" si="285"/>
        <v>#N/A</v>
      </c>
      <c r="G2476" s="7" t="e">
        <f t="shared" si="285"/>
        <v>#N/A</v>
      </c>
    </row>
    <row r="2477" spans="2:7">
      <c r="B2477" s="67">
        <f t="shared" si="282"/>
        <v>45571</v>
      </c>
      <c r="C2477" s="7" t="e">
        <f t="shared" ref="C2477:G2486" si="286">IF(AND($B2477&gt;=C$3,$B2477&lt;=C$4),C$5,NA())</f>
        <v>#N/A</v>
      </c>
      <c r="D2477" s="7" t="e">
        <f t="shared" si="286"/>
        <v>#N/A</v>
      </c>
      <c r="E2477" s="7" t="e">
        <f t="shared" si="286"/>
        <v>#N/A</v>
      </c>
      <c r="F2477" s="7" t="e">
        <f t="shared" si="286"/>
        <v>#N/A</v>
      </c>
      <c r="G2477" s="7" t="e">
        <f t="shared" si="286"/>
        <v>#N/A</v>
      </c>
    </row>
    <row r="2478" spans="2:7">
      <c r="B2478" s="67">
        <f t="shared" si="282"/>
        <v>45572</v>
      </c>
      <c r="C2478" s="7" t="e">
        <f t="shared" si="286"/>
        <v>#N/A</v>
      </c>
      <c r="D2478" s="7" t="e">
        <f t="shared" si="286"/>
        <v>#N/A</v>
      </c>
      <c r="E2478" s="7" t="e">
        <f t="shared" si="286"/>
        <v>#N/A</v>
      </c>
      <c r="F2478" s="7" t="e">
        <f t="shared" si="286"/>
        <v>#N/A</v>
      </c>
      <c r="G2478" s="7" t="e">
        <f t="shared" si="286"/>
        <v>#N/A</v>
      </c>
    </row>
    <row r="2479" spans="2:7">
      <c r="B2479" s="67">
        <f t="shared" si="282"/>
        <v>45573</v>
      </c>
      <c r="C2479" s="7" t="e">
        <f t="shared" si="286"/>
        <v>#N/A</v>
      </c>
      <c r="D2479" s="7" t="e">
        <f t="shared" si="286"/>
        <v>#N/A</v>
      </c>
      <c r="E2479" s="7" t="e">
        <f t="shared" si="286"/>
        <v>#N/A</v>
      </c>
      <c r="F2479" s="7" t="e">
        <f t="shared" si="286"/>
        <v>#N/A</v>
      </c>
      <c r="G2479" s="7" t="e">
        <f t="shared" si="286"/>
        <v>#N/A</v>
      </c>
    </row>
    <row r="2480" spans="2:7">
      <c r="B2480" s="67">
        <f t="shared" si="282"/>
        <v>45574</v>
      </c>
      <c r="C2480" s="7" t="e">
        <f t="shared" si="286"/>
        <v>#N/A</v>
      </c>
      <c r="D2480" s="7" t="e">
        <f t="shared" si="286"/>
        <v>#N/A</v>
      </c>
      <c r="E2480" s="7" t="e">
        <f t="shared" si="286"/>
        <v>#N/A</v>
      </c>
      <c r="F2480" s="7" t="e">
        <f t="shared" si="286"/>
        <v>#N/A</v>
      </c>
      <c r="G2480" s="7" t="e">
        <f t="shared" si="286"/>
        <v>#N/A</v>
      </c>
    </row>
    <row r="2481" spans="2:7">
      <c r="B2481" s="67">
        <f t="shared" si="282"/>
        <v>45575</v>
      </c>
      <c r="C2481" s="7" t="e">
        <f t="shared" si="286"/>
        <v>#N/A</v>
      </c>
      <c r="D2481" s="7" t="e">
        <f t="shared" si="286"/>
        <v>#N/A</v>
      </c>
      <c r="E2481" s="7" t="e">
        <f t="shared" si="286"/>
        <v>#N/A</v>
      </c>
      <c r="F2481" s="7" t="e">
        <f t="shared" si="286"/>
        <v>#N/A</v>
      </c>
      <c r="G2481" s="7" t="e">
        <f t="shared" si="286"/>
        <v>#N/A</v>
      </c>
    </row>
    <row r="2482" spans="2:7">
      <c r="B2482" s="67">
        <f t="shared" si="282"/>
        <v>45576</v>
      </c>
      <c r="C2482" s="7" t="e">
        <f t="shared" si="286"/>
        <v>#N/A</v>
      </c>
      <c r="D2482" s="7" t="e">
        <f t="shared" si="286"/>
        <v>#N/A</v>
      </c>
      <c r="E2482" s="7" t="e">
        <f t="shared" si="286"/>
        <v>#N/A</v>
      </c>
      <c r="F2482" s="7" t="e">
        <f t="shared" si="286"/>
        <v>#N/A</v>
      </c>
      <c r="G2482" s="7" t="e">
        <f t="shared" si="286"/>
        <v>#N/A</v>
      </c>
    </row>
    <row r="2483" spans="2:7">
      <c r="B2483" s="67">
        <f t="shared" si="282"/>
        <v>45577</v>
      </c>
      <c r="C2483" s="7" t="e">
        <f t="shared" si="286"/>
        <v>#N/A</v>
      </c>
      <c r="D2483" s="7" t="e">
        <f t="shared" si="286"/>
        <v>#N/A</v>
      </c>
      <c r="E2483" s="7" t="e">
        <f t="shared" si="286"/>
        <v>#N/A</v>
      </c>
      <c r="F2483" s="7" t="e">
        <f t="shared" si="286"/>
        <v>#N/A</v>
      </c>
      <c r="G2483" s="7" t="e">
        <f t="shared" si="286"/>
        <v>#N/A</v>
      </c>
    </row>
    <row r="2484" spans="2:7">
      <c r="B2484" s="67">
        <f t="shared" si="282"/>
        <v>45578</v>
      </c>
      <c r="C2484" s="7" t="e">
        <f t="shared" si="286"/>
        <v>#N/A</v>
      </c>
      <c r="D2484" s="7" t="e">
        <f t="shared" si="286"/>
        <v>#N/A</v>
      </c>
      <c r="E2484" s="7" t="e">
        <f t="shared" si="286"/>
        <v>#N/A</v>
      </c>
      <c r="F2484" s="7" t="e">
        <f t="shared" si="286"/>
        <v>#N/A</v>
      </c>
      <c r="G2484" s="7" t="e">
        <f t="shared" si="286"/>
        <v>#N/A</v>
      </c>
    </row>
    <row r="2485" spans="2:7">
      <c r="B2485" s="67">
        <f t="shared" si="282"/>
        <v>45579</v>
      </c>
      <c r="C2485" s="7" t="e">
        <f t="shared" si="286"/>
        <v>#N/A</v>
      </c>
      <c r="D2485" s="7" t="e">
        <f t="shared" si="286"/>
        <v>#N/A</v>
      </c>
      <c r="E2485" s="7" t="e">
        <f t="shared" si="286"/>
        <v>#N/A</v>
      </c>
      <c r="F2485" s="7" t="e">
        <f t="shared" si="286"/>
        <v>#N/A</v>
      </c>
      <c r="G2485" s="7" t="e">
        <f t="shared" si="286"/>
        <v>#N/A</v>
      </c>
    </row>
    <row r="2486" spans="2:7">
      <c r="B2486" s="67">
        <f t="shared" si="282"/>
        <v>45580</v>
      </c>
      <c r="C2486" s="7" t="e">
        <f t="shared" si="286"/>
        <v>#N/A</v>
      </c>
      <c r="D2486" s="7" t="e">
        <f t="shared" si="286"/>
        <v>#N/A</v>
      </c>
      <c r="E2486" s="7" t="e">
        <f t="shared" si="286"/>
        <v>#N/A</v>
      </c>
      <c r="F2486" s="7" t="e">
        <f t="shared" si="286"/>
        <v>#N/A</v>
      </c>
      <c r="G2486" s="7" t="e">
        <f t="shared" si="286"/>
        <v>#N/A</v>
      </c>
    </row>
    <row r="2487" spans="2:7">
      <c r="B2487" s="67">
        <f t="shared" si="282"/>
        <v>45581</v>
      </c>
      <c r="C2487" s="7" t="e">
        <f t="shared" ref="C2487:G2496" si="287">IF(AND($B2487&gt;=C$3,$B2487&lt;=C$4),C$5,NA())</f>
        <v>#N/A</v>
      </c>
      <c r="D2487" s="7" t="e">
        <f t="shared" si="287"/>
        <v>#N/A</v>
      </c>
      <c r="E2487" s="7" t="e">
        <f t="shared" si="287"/>
        <v>#N/A</v>
      </c>
      <c r="F2487" s="7" t="e">
        <f t="shared" si="287"/>
        <v>#N/A</v>
      </c>
      <c r="G2487" s="7" t="e">
        <f t="shared" si="287"/>
        <v>#N/A</v>
      </c>
    </row>
    <row r="2488" spans="2:7">
      <c r="B2488" s="67">
        <f t="shared" si="282"/>
        <v>45582</v>
      </c>
      <c r="C2488" s="7" t="e">
        <f t="shared" si="287"/>
        <v>#N/A</v>
      </c>
      <c r="D2488" s="7" t="e">
        <f t="shared" si="287"/>
        <v>#N/A</v>
      </c>
      <c r="E2488" s="7" t="e">
        <f t="shared" si="287"/>
        <v>#N/A</v>
      </c>
      <c r="F2488" s="7" t="e">
        <f t="shared" si="287"/>
        <v>#N/A</v>
      </c>
      <c r="G2488" s="7" t="e">
        <f t="shared" si="287"/>
        <v>#N/A</v>
      </c>
    </row>
    <row r="2489" spans="2:7">
      <c r="B2489" s="67">
        <f t="shared" si="282"/>
        <v>45583</v>
      </c>
      <c r="C2489" s="7" t="e">
        <f t="shared" si="287"/>
        <v>#N/A</v>
      </c>
      <c r="D2489" s="7" t="e">
        <f t="shared" si="287"/>
        <v>#N/A</v>
      </c>
      <c r="E2489" s="7" t="e">
        <f t="shared" si="287"/>
        <v>#N/A</v>
      </c>
      <c r="F2489" s="7" t="e">
        <f t="shared" si="287"/>
        <v>#N/A</v>
      </c>
      <c r="G2489" s="7" t="e">
        <f t="shared" si="287"/>
        <v>#N/A</v>
      </c>
    </row>
    <row r="2490" spans="2:7">
      <c r="B2490" s="67">
        <f t="shared" si="282"/>
        <v>45584</v>
      </c>
      <c r="C2490" s="7" t="e">
        <f t="shared" si="287"/>
        <v>#N/A</v>
      </c>
      <c r="D2490" s="7" t="e">
        <f t="shared" si="287"/>
        <v>#N/A</v>
      </c>
      <c r="E2490" s="7" t="e">
        <f t="shared" si="287"/>
        <v>#N/A</v>
      </c>
      <c r="F2490" s="7" t="e">
        <f t="shared" si="287"/>
        <v>#N/A</v>
      </c>
      <c r="G2490" s="7" t="e">
        <f t="shared" si="287"/>
        <v>#N/A</v>
      </c>
    </row>
    <row r="2491" spans="2:7">
      <c r="B2491" s="67">
        <f t="shared" si="282"/>
        <v>45585</v>
      </c>
      <c r="C2491" s="7" t="e">
        <f t="shared" si="287"/>
        <v>#N/A</v>
      </c>
      <c r="D2491" s="7" t="e">
        <f t="shared" si="287"/>
        <v>#N/A</v>
      </c>
      <c r="E2491" s="7" t="e">
        <f t="shared" si="287"/>
        <v>#N/A</v>
      </c>
      <c r="F2491" s="7" t="e">
        <f t="shared" si="287"/>
        <v>#N/A</v>
      </c>
      <c r="G2491" s="7" t="e">
        <f t="shared" si="287"/>
        <v>#N/A</v>
      </c>
    </row>
    <row r="2492" spans="2:7">
      <c r="B2492" s="67">
        <f t="shared" si="282"/>
        <v>45586</v>
      </c>
      <c r="C2492" s="7" t="e">
        <f t="shared" si="287"/>
        <v>#N/A</v>
      </c>
      <c r="D2492" s="7" t="e">
        <f t="shared" si="287"/>
        <v>#N/A</v>
      </c>
      <c r="E2492" s="7" t="e">
        <f t="shared" si="287"/>
        <v>#N/A</v>
      </c>
      <c r="F2492" s="7" t="e">
        <f t="shared" si="287"/>
        <v>#N/A</v>
      </c>
      <c r="G2492" s="7" t="e">
        <f t="shared" si="287"/>
        <v>#N/A</v>
      </c>
    </row>
    <row r="2493" spans="2:7">
      <c r="B2493" s="67">
        <f t="shared" si="282"/>
        <v>45587</v>
      </c>
      <c r="C2493" s="7" t="e">
        <f t="shared" si="287"/>
        <v>#N/A</v>
      </c>
      <c r="D2493" s="7" t="e">
        <f t="shared" si="287"/>
        <v>#N/A</v>
      </c>
      <c r="E2493" s="7" t="e">
        <f t="shared" si="287"/>
        <v>#N/A</v>
      </c>
      <c r="F2493" s="7" t="e">
        <f t="shared" si="287"/>
        <v>#N/A</v>
      </c>
      <c r="G2493" s="7" t="e">
        <f t="shared" si="287"/>
        <v>#N/A</v>
      </c>
    </row>
    <row r="2494" spans="2:7">
      <c r="B2494" s="67">
        <f t="shared" si="282"/>
        <v>45588</v>
      </c>
      <c r="C2494" s="7" t="e">
        <f t="shared" si="287"/>
        <v>#N/A</v>
      </c>
      <c r="D2494" s="7" t="e">
        <f t="shared" si="287"/>
        <v>#N/A</v>
      </c>
      <c r="E2494" s="7" t="e">
        <f t="shared" si="287"/>
        <v>#N/A</v>
      </c>
      <c r="F2494" s="7" t="e">
        <f t="shared" si="287"/>
        <v>#N/A</v>
      </c>
      <c r="G2494" s="7" t="e">
        <f t="shared" si="287"/>
        <v>#N/A</v>
      </c>
    </row>
    <row r="2495" spans="2:7">
      <c r="B2495" s="67">
        <f t="shared" si="282"/>
        <v>45589</v>
      </c>
      <c r="C2495" s="7" t="e">
        <f t="shared" si="287"/>
        <v>#N/A</v>
      </c>
      <c r="D2495" s="7" t="e">
        <f t="shared" si="287"/>
        <v>#N/A</v>
      </c>
      <c r="E2495" s="7" t="e">
        <f t="shared" si="287"/>
        <v>#N/A</v>
      </c>
      <c r="F2495" s="7" t="e">
        <f t="shared" si="287"/>
        <v>#N/A</v>
      </c>
      <c r="G2495" s="7" t="e">
        <f t="shared" si="287"/>
        <v>#N/A</v>
      </c>
    </row>
    <row r="2496" spans="2:7">
      <c r="B2496" s="67">
        <f t="shared" si="282"/>
        <v>45590</v>
      </c>
      <c r="C2496" s="7" t="e">
        <f t="shared" si="287"/>
        <v>#N/A</v>
      </c>
      <c r="D2496" s="7" t="e">
        <f t="shared" si="287"/>
        <v>#N/A</v>
      </c>
      <c r="E2496" s="7" t="e">
        <f t="shared" si="287"/>
        <v>#N/A</v>
      </c>
      <c r="F2496" s="7" t="e">
        <f t="shared" si="287"/>
        <v>#N/A</v>
      </c>
      <c r="G2496" s="7" t="e">
        <f t="shared" si="287"/>
        <v>#N/A</v>
      </c>
    </row>
    <row r="2497" spans="2:7">
      <c r="B2497" s="67">
        <f t="shared" si="282"/>
        <v>45591</v>
      </c>
      <c r="C2497" s="7" t="e">
        <f t="shared" ref="C2497:G2506" si="288">IF(AND($B2497&gt;=C$3,$B2497&lt;=C$4),C$5,NA())</f>
        <v>#N/A</v>
      </c>
      <c r="D2497" s="7" t="e">
        <f t="shared" si="288"/>
        <v>#N/A</v>
      </c>
      <c r="E2497" s="7" t="e">
        <f t="shared" si="288"/>
        <v>#N/A</v>
      </c>
      <c r="F2497" s="7" t="e">
        <f t="shared" si="288"/>
        <v>#N/A</v>
      </c>
      <c r="G2497" s="7" t="e">
        <f t="shared" si="288"/>
        <v>#N/A</v>
      </c>
    </row>
    <row r="2498" spans="2:7">
      <c r="B2498" s="67">
        <f t="shared" si="282"/>
        <v>45592</v>
      </c>
      <c r="C2498" s="7" t="e">
        <f t="shared" si="288"/>
        <v>#N/A</v>
      </c>
      <c r="D2498" s="7" t="e">
        <f t="shared" si="288"/>
        <v>#N/A</v>
      </c>
      <c r="E2498" s="7" t="e">
        <f t="shared" si="288"/>
        <v>#N/A</v>
      </c>
      <c r="F2498" s="7" t="e">
        <f t="shared" si="288"/>
        <v>#N/A</v>
      </c>
      <c r="G2498" s="7" t="e">
        <f t="shared" si="288"/>
        <v>#N/A</v>
      </c>
    </row>
    <row r="2499" spans="2:7">
      <c r="B2499" s="67">
        <f t="shared" si="282"/>
        <v>45593</v>
      </c>
      <c r="C2499" s="7" t="e">
        <f t="shared" si="288"/>
        <v>#N/A</v>
      </c>
      <c r="D2499" s="7" t="e">
        <f t="shared" si="288"/>
        <v>#N/A</v>
      </c>
      <c r="E2499" s="7" t="e">
        <f t="shared" si="288"/>
        <v>#N/A</v>
      </c>
      <c r="F2499" s="7" t="e">
        <f t="shared" si="288"/>
        <v>#N/A</v>
      </c>
      <c r="G2499" s="7" t="e">
        <f t="shared" si="288"/>
        <v>#N/A</v>
      </c>
    </row>
    <row r="2500" spans="2:7">
      <c r="B2500" s="67">
        <f t="shared" si="282"/>
        <v>45594</v>
      </c>
      <c r="C2500" s="7" t="e">
        <f t="shared" si="288"/>
        <v>#N/A</v>
      </c>
      <c r="D2500" s="7" t="e">
        <f t="shared" si="288"/>
        <v>#N/A</v>
      </c>
      <c r="E2500" s="7" t="e">
        <f t="shared" si="288"/>
        <v>#N/A</v>
      </c>
      <c r="F2500" s="7" t="e">
        <f t="shared" si="288"/>
        <v>#N/A</v>
      </c>
      <c r="G2500" s="7" t="e">
        <f t="shared" si="288"/>
        <v>#N/A</v>
      </c>
    </row>
    <row r="2501" spans="2:7">
      <c r="B2501" s="67">
        <f t="shared" si="282"/>
        <v>45595</v>
      </c>
      <c r="C2501" s="7" t="e">
        <f t="shared" si="288"/>
        <v>#N/A</v>
      </c>
      <c r="D2501" s="7" t="e">
        <f t="shared" si="288"/>
        <v>#N/A</v>
      </c>
      <c r="E2501" s="7" t="e">
        <f t="shared" si="288"/>
        <v>#N/A</v>
      </c>
      <c r="F2501" s="7" t="e">
        <f t="shared" si="288"/>
        <v>#N/A</v>
      </c>
      <c r="G2501" s="7" t="e">
        <f t="shared" si="288"/>
        <v>#N/A</v>
      </c>
    </row>
    <row r="2502" spans="2:7">
      <c r="B2502" s="67">
        <f t="shared" si="282"/>
        <v>45596</v>
      </c>
      <c r="C2502" s="7" t="e">
        <f t="shared" si="288"/>
        <v>#N/A</v>
      </c>
      <c r="D2502" s="7" t="e">
        <f t="shared" si="288"/>
        <v>#N/A</v>
      </c>
      <c r="E2502" s="7" t="e">
        <f t="shared" si="288"/>
        <v>#N/A</v>
      </c>
      <c r="F2502" s="7" t="e">
        <f t="shared" si="288"/>
        <v>#N/A</v>
      </c>
      <c r="G2502" s="7" t="e">
        <f t="shared" si="288"/>
        <v>#N/A</v>
      </c>
    </row>
    <row r="2503" spans="2:7">
      <c r="B2503" s="67">
        <f t="shared" si="282"/>
        <v>45597</v>
      </c>
      <c r="C2503" s="7" t="e">
        <f t="shared" si="288"/>
        <v>#N/A</v>
      </c>
      <c r="D2503" s="7" t="e">
        <f t="shared" si="288"/>
        <v>#N/A</v>
      </c>
      <c r="E2503" s="7" t="e">
        <f t="shared" si="288"/>
        <v>#N/A</v>
      </c>
      <c r="F2503" s="7" t="e">
        <f t="shared" si="288"/>
        <v>#N/A</v>
      </c>
      <c r="G2503" s="7" t="e">
        <f t="shared" si="288"/>
        <v>#N/A</v>
      </c>
    </row>
    <row r="2504" spans="2:7">
      <c r="B2504" s="67">
        <f t="shared" ref="B2504:B2564" si="289">B2503+1</f>
        <v>45598</v>
      </c>
      <c r="C2504" s="7" t="e">
        <f t="shared" si="288"/>
        <v>#N/A</v>
      </c>
      <c r="D2504" s="7" t="e">
        <f t="shared" si="288"/>
        <v>#N/A</v>
      </c>
      <c r="E2504" s="7" t="e">
        <f t="shared" si="288"/>
        <v>#N/A</v>
      </c>
      <c r="F2504" s="7" t="e">
        <f t="shared" si="288"/>
        <v>#N/A</v>
      </c>
      <c r="G2504" s="7" t="e">
        <f t="shared" si="288"/>
        <v>#N/A</v>
      </c>
    </row>
    <row r="2505" spans="2:7">
      <c r="B2505" s="67">
        <f t="shared" si="289"/>
        <v>45599</v>
      </c>
      <c r="C2505" s="7" t="e">
        <f t="shared" si="288"/>
        <v>#N/A</v>
      </c>
      <c r="D2505" s="7" t="e">
        <f t="shared" si="288"/>
        <v>#N/A</v>
      </c>
      <c r="E2505" s="7" t="e">
        <f t="shared" si="288"/>
        <v>#N/A</v>
      </c>
      <c r="F2505" s="7" t="e">
        <f t="shared" si="288"/>
        <v>#N/A</v>
      </c>
      <c r="G2505" s="7" t="e">
        <f t="shared" si="288"/>
        <v>#N/A</v>
      </c>
    </row>
    <row r="2506" spans="2:7">
      <c r="B2506" s="67">
        <f t="shared" si="289"/>
        <v>45600</v>
      </c>
      <c r="C2506" s="7" t="e">
        <f t="shared" si="288"/>
        <v>#N/A</v>
      </c>
      <c r="D2506" s="7" t="e">
        <f t="shared" si="288"/>
        <v>#N/A</v>
      </c>
      <c r="E2506" s="7" t="e">
        <f t="shared" si="288"/>
        <v>#N/A</v>
      </c>
      <c r="F2506" s="7" t="e">
        <f t="shared" si="288"/>
        <v>#N/A</v>
      </c>
      <c r="G2506" s="7" t="e">
        <f t="shared" si="288"/>
        <v>#N/A</v>
      </c>
    </row>
    <row r="2507" spans="2:7">
      <c r="B2507" s="67">
        <f t="shared" si="289"/>
        <v>45601</v>
      </c>
      <c r="C2507" s="7" t="e">
        <f t="shared" ref="C2507:G2516" si="290">IF(AND($B2507&gt;=C$3,$B2507&lt;=C$4),C$5,NA())</f>
        <v>#N/A</v>
      </c>
      <c r="D2507" s="7" t="e">
        <f t="shared" si="290"/>
        <v>#N/A</v>
      </c>
      <c r="E2507" s="7" t="e">
        <f t="shared" si="290"/>
        <v>#N/A</v>
      </c>
      <c r="F2507" s="7" t="e">
        <f t="shared" si="290"/>
        <v>#N/A</v>
      </c>
      <c r="G2507" s="7" t="e">
        <f t="shared" si="290"/>
        <v>#N/A</v>
      </c>
    </row>
    <row r="2508" spans="2:7">
      <c r="B2508" s="67">
        <f t="shared" si="289"/>
        <v>45602</v>
      </c>
      <c r="C2508" s="7" t="e">
        <f t="shared" si="290"/>
        <v>#N/A</v>
      </c>
      <c r="D2508" s="7" t="e">
        <f t="shared" si="290"/>
        <v>#N/A</v>
      </c>
      <c r="E2508" s="7" t="e">
        <f t="shared" si="290"/>
        <v>#N/A</v>
      </c>
      <c r="F2508" s="7" t="e">
        <f t="shared" si="290"/>
        <v>#N/A</v>
      </c>
      <c r="G2508" s="7" t="e">
        <f t="shared" si="290"/>
        <v>#N/A</v>
      </c>
    </row>
    <row r="2509" spans="2:7">
      <c r="B2509" s="67">
        <f t="shared" si="289"/>
        <v>45603</v>
      </c>
      <c r="C2509" s="7" t="e">
        <f t="shared" si="290"/>
        <v>#N/A</v>
      </c>
      <c r="D2509" s="7" t="e">
        <f t="shared" si="290"/>
        <v>#N/A</v>
      </c>
      <c r="E2509" s="7" t="e">
        <f t="shared" si="290"/>
        <v>#N/A</v>
      </c>
      <c r="F2509" s="7" t="e">
        <f t="shared" si="290"/>
        <v>#N/A</v>
      </c>
      <c r="G2509" s="7" t="e">
        <f t="shared" si="290"/>
        <v>#N/A</v>
      </c>
    </row>
    <row r="2510" spans="2:7">
      <c r="B2510" s="67">
        <f t="shared" si="289"/>
        <v>45604</v>
      </c>
      <c r="C2510" s="7" t="e">
        <f t="shared" si="290"/>
        <v>#N/A</v>
      </c>
      <c r="D2510" s="7" t="e">
        <f t="shared" si="290"/>
        <v>#N/A</v>
      </c>
      <c r="E2510" s="7" t="e">
        <f t="shared" si="290"/>
        <v>#N/A</v>
      </c>
      <c r="F2510" s="7" t="e">
        <f t="shared" si="290"/>
        <v>#N/A</v>
      </c>
      <c r="G2510" s="7" t="e">
        <f t="shared" si="290"/>
        <v>#N/A</v>
      </c>
    </row>
    <row r="2511" spans="2:7">
      <c r="B2511" s="67">
        <f t="shared" si="289"/>
        <v>45605</v>
      </c>
      <c r="C2511" s="7" t="e">
        <f t="shared" si="290"/>
        <v>#N/A</v>
      </c>
      <c r="D2511" s="7" t="e">
        <f t="shared" si="290"/>
        <v>#N/A</v>
      </c>
      <c r="E2511" s="7" t="e">
        <f t="shared" si="290"/>
        <v>#N/A</v>
      </c>
      <c r="F2511" s="7" t="e">
        <f t="shared" si="290"/>
        <v>#N/A</v>
      </c>
      <c r="G2511" s="7" t="e">
        <f t="shared" si="290"/>
        <v>#N/A</v>
      </c>
    </row>
    <row r="2512" spans="2:7">
      <c r="B2512" s="67">
        <f t="shared" si="289"/>
        <v>45606</v>
      </c>
      <c r="C2512" s="7" t="e">
        <f t="shared" si="290"/>
        <v>#N/A</v>
      </c>
      <c r="D2512" s="7" t="e">
        <f t="shared" si="290"/>
        <v>#N/A</v>
      </c>
      <c r="E2512" s="7" t="e">
        <f t="shared" si="290"/>
        <v>#N/A</v>
      </c>
      <c r="F2512" s="7" t="e">
        <f t="shared" si="290"/>
        <v>#N/A</v>
      </c>
      <c r="G2512" s="7" t="e">
        <f t="shared" si="290"/>
        <v>#N/A</v>
      </c>
    </row>
    <row r="2513" spans="2:7">
      <c r="B2513" s="67">
        <f t="shared" si="289"/>
        <v>45607</v>
      </c>
      <c r="C2513" s="7" t="e">
        <f t="shared" si="290"/>
        <v>#N/A</v>
      </c>
      <c r="D2513" s="7" t="e">
        <f t="shared" si="290"/>
        <v>#N/A</v>
      </c>
      <c r="E2513" s="7" t="e">
        <f t="shared" si="290"/>
        <v>#N/A</v>
      </c>
      <c r="F2513" s="7" t="e">
        <f t="shared" si="290"/>
        <v>#N/A</v>
      </c>
      <c r="G2513" s="7" t="e">
        <f t="shared" si="290"/>
        <v>#N/A</v>
      </c>
    </row>
    <row r="2514" spans="2:7">
      <c r="B2514" s="67">
        <f t="shared" si="289"/>
        <v>45608</v>
      </c>
      <c r="C2514" s="7" t="e">
        <f t="shared" si="290"/>
        <v>#N/A</v>
      </c>
      <c r="D2514" s="7" t="e">
        <f t="shared" si="290"/>
        <v>#N/A</v>
      </c>
      <c r="E2514" s="7" t="e">
        <f t="shared" si="290"/>
        <v>#N/A</v>
      </c>
      <c r="F2514" s="7" t="e">
        <f t="shared" si="290"/>
        <v>#N/A</v>
      </c>
      <c r="G2514" s="7" t="e">
        <f t="shared" si="290"/>
        <v>#N/A</v>
      </c>
    </row>
    <row r="2515" spans="2:7">
      <c r="B2515" s="67">
        <f t="shared" si="289"/>
        <v>45609</v>
      </c>
      <c r="C2515" s="7" t="e">
        <f t="shared" si="290"/>
        <v>#N/A</v>
      </c>
      <c r="D2515" s="7" t="e">
        <f t="shared" si="290"/>
        <v>#N/A</v>
      </c>
      <c r="E2515" s="7" t="e">
        <f t="shared" si="290"/>
        <v>#N/A</v>
      </c>
      <c r="F2515" s="7" t="e">
        <f t="shared" si="290"/>
        <v>#N/A</v>
      </c>
      <c r="G2515" s="7" t="e">
        <f t="shared" si="290"/>
        <v>#N/A</v>
      </c>
    </row>
    <row r="2516" spans="2:7">
      <c r="B2516" s="67">
        <f t="shared" si="289"/>
        <v>45610</v>
      </c>
      <c r="C2516" s="7" t="e">
        <f t="shared" si="290"/>
        <v>#N/A</v>
      </c>
      <c r="D2516" s="7" t="e">
        <f t="shared" si="290"/>
        <v>#N/A</v>
      </c>
      <c r="E2516" s="7" t="e">
        <f t="shared" si="290"/>
        <v>#N/A</v>
      </c>
      <c r="F2516" s="7" t="e">
        <f t="shared" si="290"/>
        <v>#N/A</v>
      </c>
      <c r="G2516" s="7" t="e">
        <f t="shared" si="290"/>
        <v>#N/A</v>
      </c>
    </row>
    <row r="2517" spans="2:7">
      <c r="B2517" s="67">
        <f t="shared" si="289"/>
        <v>45611</v>
      </c>
      <c r="C2517" s="7" t="e">
        <f t="shared" ref="C2517:G2526" si="291">IF(AND($B2517&gt;=C$3,$B2517&lt;=C$4),C$5,NA())</f>
        <v>#N/A</v>
      </c>
      <c r="D2517" s="7" t="e">
        <f t="shared" si="291"/>
        <v>#N/A</v>
      </c>
      <c r="E2517" s="7" t="e">
        <f t="shared" si="291"/>
        <v>#N/A</v>
      </c>
      <c r="F2517" s="7" t="e">
        <f t="shared" si="291"/>
        <v>#N/A</v>
      </c>
      <c r="G2517" s="7" t="e">
        <f t="shared" si="291"/>
        <v>#N/A</v>
      </c>
    </row>
    <row r="2518" spans="2:7">
      <c r="B2518" s="67">
        <f t="shared" si="289"/>
        <v>45612</v>
      </c>
      <c r="C2518" s="7" t="e">
        <f t="shared" si="291"/>
        <v>#N/A</v>
      </c>
      <c r="D2518" s="7" t="e">
        <f t="shared" si="291"/>
        <v>#N/A</v>
      </c>
      <c r="E2518" s="7" t="e">
        <f t="shared" si="291"/>
        <v>#N/A</v>
      </c>
      <c r="F2518" s="7" t="e">
        <f t="shared" si="291"/>
        <v>#N/A</v>
      </c>
      <c r="G2518" s="7" t="e">
        <f t="shared" si="291"/>
        <v>#N/A</v>
      </c>
    </row>
    <row r="2519" spans="2:7">
      <c r="B2519" s="67">
        <f t="shared" si="289"/>
        <v>45613</v>
      </c>
      <c r="C2519" s="7" t="e">
        <f t="shared" si="291"/>
        <v>#N/A</v>
      </c>
      <c r="D2519" s="7" t="e">
        <f t="shared" si="291"/>
        <v>#N/A</v>
      </c>
      <c r="E2519" s="7" t="e">
        <f t="shared" si="291"/>
        <v>#N/A</v>
      </c>
      <c r="F2519" s="7" t="e">
        <f t="shared" si="291"/>
        <v>#N/A</v>
      </c>
      <c r="G2519" s="7" t="e">
        <f t="shared" si="291"/>
        <v>#N/A</v>
      </c>
    </row>
    <row r="2520" spans="2:7">
      <c r="B2520" s="67">
        <f t="shared" si="289"/>
        <v>45614</v>
      </c>
      <c r="C2520" s="7" t="e">
        <f t="shared" si="291"/>
        <v>#N/A</v>
      </c>
      <c r="D2520" s="7" t="e">
        <f t="shared" si="291"/>
        <v>#N/A</v>
      </c>
      <c r="E2520" s="7" t="e">
        <f t="shared" si="291"/>
        <v>#N/A</v>
      </c>
      <c r="F2520" s="7" t="e">
        <f t="shared" si="291"/>
        <v>#N/A</v>
      </c>
      <c r="G2520" s="7" t="e">
        <f t="shared" si="291"/>
        <v>#N/A</v>
      </c>
    </row>
    <row r="2521" spans="2:7">
      <c r="B2521" s="67">
        <f t="shared" si="289"/>
        <v>45615</v>
      </c>
      <c r="C2521" s="7" t="e">
        <f t="shared" si="291"/>
        <v>#N/A</v>
      </c>
      <c r="D2521" s="7" t="e">
        <f t="shared" si="291"/>
        <v>#N/A</v>
      </c>
      <c r="E2521" s="7" t="e">
        <f t="shared" si="291"/>
        <v>#N/A</v>
      </c>
      <c r="F2521" s="7" t="e">
        <f t="shared" si="291"/>
        <v>#N/A</v>
      </c>
      <c r="G2521" s="7" t="e">
        <f t="shared" si="291"/>
        <v>#N/A</v>
      </c>
    </row>
    <row r="2522" spans="2:7">
      <c r="B2522" s="67">
        <f t="shared" si="289"/>
        <v>45616</v>
      </c>
      <c r="C2522" s="7" t="e">
        <f t="shared" si="291"/>
        <v>#N/A</v>
      </c>
      <c r="D2522" s="7" t="e">
        <f t="shared" si="291"/>
        <v>#N/A</v>
      </c>
      <c r="E2522" s="7" t="e">
        <f t="shared" si="291"/>
        <v>#N/A</v>
      </c>
      <c r="F2522" s="7" t="e">
        <f t="shared" si="291"/>
        <v>#N/A</v>
      </c>
      <c r="G2522" s="7" t="e">
        <f t="shared" si="291"/>
        <v>#N/A</v>
      </c>
    </row>
    <row r="2523" spans="2:7">
      <c r="B2523" s="67">
        <f t="shared" si="289"/>
        <v>45617</v>
      </c>
      <c r="C2523" s="7" t="e">
        <f t="shared" si="291"/>
        <v>#N/A</v>
      </c>
      <c r="D2523" s="7" t="e">
        <f t="shared" si="291"/>
        <v>#N/A</v>
      </c>
      <c r="E2523" s="7" t="e">
        <f t="shared" si="291"/>
        <v>#N/A</v>
      </c>
      <c r="F2523" s="7" t="e">
        <f t="shared" si="291"/>
        <v>#N/A</v>
      </c>
      <c r="G2523" s="7" t="e">
        <f t="shared" si="291"/>
        <v>#N/A</v>
      </c>
    </row>
    <row r="2524" spans="2:7">
      <c r="B2524" s="67">
        <f t="shared" si="289"/>
        <v>45618</v>
      </c>
      <c r="C2524" s="7" t="e">
        <f t="shared" si="291"/>
        <v>#N/A</v>
      </c>
      <c r="D2524" s="7" t="e">
        <f t="shared" si="291"/>
        <v>#N/A</v>
      </c>
      <c r="E2524" s="7" t="e">
        <f t="shared" si="291"/>
        <v>#N/A</v>
      </c>
      <c r="F2524" s="7" t="e">
        <f t="shared" si="291"/>
        <v>#N/A</v>
      </c>
      <c r="G2524" s="7" t="e">
        <f t="shared" si="291"/>
        <v>#N/A</v>
      </c>
    </row>
    <row r="2525" spans="2:7">
      <c r="B2525" s="67">
        <f t="shared" si="289"/>
        <v>45619</v>
      </c>
      <c r="C2525" s="7" t="e">
        <f t="shared" si="291"/>
        <v>#N/A</v>
      </c>
      <c r="D2525" s="7" t="e">
        <f t="shared" si="291"/>
        <v>#N/A</v>
      </c>
      <c r="E2525" s="7" t="e">
        <f t="shared" si="291"/>
        <v>#N/A</v>
      </c>
      <c r="F2525" s="7" t="e">
        <f t="shared" si="291"/>
        <v>#N/A</v>
      </c>
      <c r="G2525" s="7" t="e">
        <f t="shared" si="291"/>
        <v>#N/A</v>
      </c>
    </row>
    <row r="2526" spans="2:7">
      <c r="B2526" s="67">
        <f t="shared" si="289"/>
        <v>45620</v>
      </c>
      <c r="C2526" s="7" t="e">
        <f t="shared" si="291"/>
        <v>#N/A</v>
      </c>
      <c r="D2526" s="7" t="e">
        <f t="shared" si="291"/>
        <v>#N/A</v>
      </c>
      <c r="E2526" s="7" t="e">
        <f t="shared" si="291"/>
        <v>#N/A</v>
      </c>
      <c r="F2526" s="7" t="e">
        <f t="shared" si="291"/>
        <v>#N/A</v>
      </c>
      <c r="G2526" s="7" t="e">
        <f t="shared" si="291"/>
        <v>#N/A</v>
      </c>
    </row>
    <row r="2527" spans="2:7">
      <c r="B2527" s="67">
        <f t="shared" si="289"/>
        <v>45621</v>
      </c>
      <c r="C2527" s="7" t="e">
        <f t="shared" ref="C2527:G2536" si="292">IF(AND($B2527&gt;=C$3,$B2527&lt;=C$4),C$5,NA())</f>
        <v>#N/A</v>
      </c>
      <c r="D2527" s="7" t="e">
        <f t="shared" si="292"/>
        <v>#N/A</v>
      </c>
      <c r="E2527" s="7" t="e">
        <f t="shared" si="292"/>
        <v>#N/A</v>
      </c>
      <c r="F2527" s="7" t="e">
        <f t="shared" si="292"/>
        <v>#N/A</v>
      </c>
      <c r="G2527" s="7" t="e">
        <f t="shared" si="292"/>
        <v>#N/A</v>
      </c>
    </row>
    <row r="2528" spans="2:7">
      <c r="B2528" s="67">
        <f t="shared" si="289"/>
        <v>45622</v>
      </c>
      <c r="C2528" s="7" t="e">
        <f t="shared" si="292"/>
        <v>#N/A</v>
      </c>
      <c r="D2528" s="7" t="e">
        <f t="shared" si="292"/>
        <v>#N/A</v>
      </c>
      <c r="E2528" s="7" t="e">
        <f t="shared" si="292"/>
        <v>#N/A</v>
      </c>
      <c r="F2528" s="7" t="e">
        <f t="shared" si="292"/>
        <v>#N/A</v>
      </c>
      <c r="G2528" s="7" t="e">
        <f t="shared" si="292"/>
        <v>#N/A</v>
      </c>
    </row>
    <row r="2529" spans="2:7">
      <c r="B2529" s="67">
        <f t="shared" si="289"/>
        <v>45623</v>
      </c>
      <c r="C2529" s="7" t="e">
        <f t="shared" si="292"/>
        <v>#N/A</v>
      </c>
      <c r="D2529" s="7" t="e">
        <f t="shared" si="292"/>
        <v>#N/A</v>
      </c>
      <c r="E2529" s="7" t="e">
        <f t="shared" si="292"/>
        <v>#N/A</v>
      </c>
      <c r="F2529" s="7" t="e">
        <f t="shared" si="292"/>
        <v>#N/A</v>
      </c>
      <c r="G2529" s="7" t="e">
        <f t="shared" si="292"/>
        <v>#N/A</v>
      </c>
    </row>
    <row r="2530" spans="2:7">
      <c r="B2530" s="67">
        <f t="shared" si="289"/>
        <v>45624</v>
      </c>
      <c r="C2530" s="7" t="e">
        <f t="shared" si="292"/>
        <v>#N/A</v>
      </c>
      <c r="D2530" s="7" t="e">
        <f t="shared" si="292"/>
        <v>#N/A</v>
      </c>
      <c r="E2530" s="7" t="e">
        <f t="shared" si="292"/>
        <v>#N/A</v>
      </c>
      <c r="F2530" s="7" t="e">
        <f t="shared" si="292"/>
        <v>#N/A</v>
      </c>
      <c r="G2530" s="7" t="e">
        <f t="shared" si="292"/>
        <v>#N/A</v>
      </c>
    </row>
    <row r="2531" spans="2:7">
      <c r="B2531" s="67">
        <f t="shared" si="289"/>
        <v>45625</v>
      </c>
      <c r="C2531" s="7" t="e">
        <f t="shared" si="292"/>
        <v>#N/A</v>
      </c>
      <c r="D2531" s="7" t="e">
        <f t="shared" si="292"/>
        <v>#N/A</v>
      </c>
      <c r="E2531" s="7" t="e">
        <f t="shared" si="292"/>
        <v>#N/A</v>
      </c>
      <c r="F2531" s="7" t="e">
        <f t="shared" si="292"/>
        <v>#N/A</v>
      </c>
      <c r="G2531" s="7" t="e">
        <f t="shared" si="292"/>
        <v>#N/A</v>
      </c>
    </row>
    <row r="2532" spans="2:7">
      <c r="B2532" s="67">
        <f t="shared" si="289"/>
        <v>45626</v>
      </c>
      <c r="C2532" s="7" t="e">
        <f t="shared" si="292"/>
        <v>#N/A</v>
      </c>
      <c r="D2532" s="7" t="e">
        <f t="shared" si="292"/>
        <v>#N/A</v>
      </c>
      <c r="E2532" s="7" t="e">
        <f t="shared" si="292"/>
        <v>#N/A</v>
      </c>
      <c r="F2532" s="7" t="e">
        <f t="shared" si="292"/>
        <v>#N/A</v>
      </c>
      <c r="G2532" s="7" t="e">
        <f t="shared" si="292"/>
        <v>#N/A</v>
      </c>
    </row>
    <row r="2533" spans="2:7">
      <c r="B2533" s="67">
        <f t="shared" si="289"/>
        <v>45627</v>
      </c>
      <c r="C2533" s="7" t="e">
        <f t="shared" si="292"/>
        <v>#N/A</v>
      </c>
      <c r="D2533" s="7" t="e">
        <f t="shared" si="292"/>
        <v>#N/A</v>
      </c>
      <c r="E2533" s="7" t="e">
        <f t="shared" si="292"/>
        <v>#N/A</v>
      </c>
      <c r="F2533" s="7" t="e">
        <f t="shared" si="292"/>
        <v>#N/A</v>
      </c>
      <c r="G2533" s="7" t="e">
        <f t="shared" si="292"/>
        <v>#N/A</v>
      </c>
    </row>
    <row r="2534" spans="2:7">
      <c r="B2534" s="67">
        <f t="shared" si="289"/>
        <v>45628</v>
      </c>
      <c r="C2534" s="7" t="e">
        <f t="shared" si="292"/>
        <v>#N/A</v>
      </c>
      <c r="D2534" s="7" t="e">
        <f t="shared" si="292"/>
        <v>#N/A</v>
      </c>
      <c r="E2534" s="7" t="e">
        <f t="shared" si="292"/>
        <v>#N/A</v>
      </c>
      <c r="F2534" s="7" t="e">
        <f t="shared" si="292"/>
        <v>#N/A</v>
      </c>
      <c r="G2534" s="7" t="e">
        <f t="shared" si="292"/>
        <v>#N/A</v>
      </c>
    </row>
    <row r="2535" spans="2:7">
      <c r="B2535" s="67">
        <f t="shared" si="289"/>
        <v>45629</v>
      </c>
      <c r="C2535" s="7" t="e">
        <f t="shared" si="292"/>
        <v>#N/A</v>
      </c>
      <c r="D2535" s="7" t="e">
        <f t="shared" si="292"/>
        <v>#N/A</v>
      </c>
      <c r="E2535" s="7" t="e">
        <f t="shared" si="292"/>
        <v>#N/A</v>
      </c>
      <c r="F2535" s="7" t="e">
        <f t="shared" si="292"/>
        <v>#N/A</v>
      </c>
      <c r="G2535" s="7" t="e">
        <f t="shared" si="292"/>
        <v>#N/A</v>
      </c>
    </row>
    <row r="2536" spans="2:7">
      <c r="B2536" s="67">
        <f t="shared" si="289"/>
        <v>45630</v>
      </c>
      <c r="C2536" s="7" t="e">
        <f t="shared" si="292"/>
        <v>#N/A</v>
      </c>
      <c r="D2536" s="7" t="e">
        <f t="shared" si="292"/>
        <v>#N/A</v>
      </c>
      <c r="E2536" s="7" t="e">
        <f t="shared" si="292"/>
        <v>#N/A</v>
      </c>
      <c r="F2536" s="7" t="e">
        <f t="shared" si="292"/>
        <v>#N/A</v>
      </c>
      <c r="G2536" s="7" t="e">
        <f t="shared" si="292"/>
        <v>#N/A</v>
      </c>
    </row>
    <row r="2537" spans="2:7">
      <c r="B2537" s="67">
        <f t="shared" si="289"/>
        <v>45631</v>
      </c>
      <c r="C2537" s="7" t="e">
        <f t="shared" ref="C2537:G2546" si="293">IF(AND($B2537&gt;=C$3,$B2537&lt;=C$4),C$5,NA())</f>
        <v>#N/A</v>
      </c>
      <c r="D2537" s="7" t="e">
        <f t="shared" si="293"/>
        <v>#N/A</v>
      </c>
      <c r="E2537" s="7" t="e">
        <f t="shared" si="293"/>
        <v>#N/A</v>
      </c>
      <c r="F2537" s="7" t="e">
        <f t="shared" si="293"/>
        <v>#N/A</v>
      </c>
      <c r="G2537" s="7" t="e">
        <f t="shared" si="293"/>
        <v>#N/A</v>
      </c>
    </row>
    <row r="2538" spans="2:7">
      <c r="B2538" s="67">
        <f t="shared" si="289"/>
        <v>45632</v>
      </c>
      <c r="C2538" s="7" t="e">
        <f t="shared" si="293"/>
        <v>#N/A</v>
      </c>
      <c r="D2538" s="7" t="e">
        <f t="shared" si="293"/>
        <v>#N/A</v>
      </c>
      <c r="E2538" s="7" t="e">
        <f t="shared" si="293"/>
        <v>#N/A</v>
      </c>
      <c r="F2538" s="7" t="e">
        <f t="shared" si="293"/>
        <v>#N/A</v>
      </c>
      <c r="G2538" s="7" t="e">
        <f t="shared" si="293"/>
        <v>#N/A</v>
      </c>
    </row>
    <row r="2539" spans="2:7">
      <c r="B2539" s="67">
        <f t="shared" si="289"/>
        <v>45633</v>
      </c>
      <c r="C2539" s="7" t="e">
        <f t="shared" si="293"/>
        <v>#N/A</v>
      </c>
      <c r="D2539" s="7" t="e">
        <f t="shared" si="293"/>
        <v>#N/A</v>
      </c>
      <c r="E2539" s="7" t="e">
        <f t="shared" si="293"/>
        <v>#N/A</v>
      </c>
      <c r="F2539" s="7" t="e">
        <f t="shared" si="293"/>
        <v>#N/A</v>
      </c>
      <c r="G2539" s="7" t="e">
        <f t="shared" si="293"/>
        <v>#N/A</v>
      </c>
    </row>
    <row r="2540" spans="2:7">
      <c r="B2540" s="67">
        <f t="shared" si="289"/>
        <v>45634</v>
      </c>
      <c r="C2540" s="7" t="e">
        <f t="shared" si="293"/>
        <v>#N/A</v>
      </c>
      <c r="D2540" s="7" t="e">
        <f t="shared" si="293"/>
        <v>#N/A</v>
      </c>
      <c r="E2540" s="7" t="e">
        <f t="shared" si="293"/>
        <v>#N/A</v>
      </c>
      <c r="F2540" s="7" t="e">
        <f t="shared" si="293"/>
        <v>#N/A</v>
      </c>
      <c r="G2540" s="7" t="e">
        <f t="shared" si="293"/>
        <v>#N/A</v>
      </c>
    </row>
    <row r="2541" spans="2:7">
      <c r="B2541" s="67">
        <f t="shared" si="289"/>
        <v>45635</v>
      </c>
      <c r="C2541" s="7" t="e">
        <f t="shared" si="293"/>
        <v>#N/A</v>
      </c>
      <c r="D2541" s="7" t="e">
        <f t="shared" si="293"/>
        <v>#N/A</v>
      </c>
      <c r="E2541" s="7" t="e">
        <f t="shared" si="293"/>
        <v>#N/A</v>
      </c>
      <c r="F2541" s="7" t="e">
        <f t="shared" si="293"/>
        <v>#N/A</v>
      </c>
      <c r="G2541" s="7" t="e">
        <f t="shared" si="293"/>
        <v>#N/A</v>
      </c>
    </row>
    <row r="2542" spans="2:7">
      <c r="B2542" s="67">
        <f t="shared" si="289"/>
        <v>45636</v>
      </c>
      <c r="C2542" s="7" t="e">
        <f t="shared" si="293"/>
        <v>#N/A</v>
      </c>
      <c r="D2542" s="7" t="e">
        <f t="shared" si="293"/>
        <v>#N/A</v>
      </c>
      <c r="E2542" s="7" t="e">
        <f t="shared" si="293"/>
        <v>#N/A</v>
      </c>
      <c r="F2542" s="7" t="e">
        <f t="shared" si="293"/>
        <v>#N/A</v>
      </c>
      <c r="G2542" s="7" t="e">
        <f t="shared" si="293"/>
        <v>#N/A</v>
      </c>
    </row>
    <row r="2543" spans="2:7">
      <c r="B2543" s="67">
        <f t="shared" si="289"/>
        <v>45637</v>
      </c>
      <c r="C2543" s="7" t="e">
        <f t="shared" si="293"/>
        <v>#N/A</v>
      </c>
      <c r="D2543" s="7" t="e">
        <f t="shared" si="293"/>
        <v>#N/A</v>
      </c>
      <c r="E2543" s="7" t="e">
        <f t="shared" si="293"/>
        <v>#N/A</v>
      </c>
      <c r="F2543" s="7" t="e">
        <f t="shared" si="293"/>
        <v>#N/A</v>
      </c>
      <c r="G2543" s="7" t="e">
        <f t="shared" si="293"/>
        <v>#N/A</v>
      </c>
    </row>
    <row r="2544" spans="2:7">
      <c r="B2544" s="67">
        <f t="shared" si="289"/>
        <v>45638</v>
      </c>
      <c r="C2544" s="7" t="e">
        <f t="shared" si="293"/>
        <v>#N/A</v>
      </c>
      <c r="D2544" s="7" t="e">
        <f t="shared" si="293"/>
        <v>#N/A</v>
      </c>
      <c r="E2544" s="7" t="e">
        <f t="shared" si="293"/>
        <v>#N/A</v>
      </c>
      <c r="F2544" s="7" t="e">
        <f t="shared" si="293"/>
        <v>#N/A</v>
      </c>
      <c r="G2544" s="7" t="e">
        <f t="shared" si="293"/>
        <v>#N/A</v>
      </c>
    </row>
    <row r="2545" spans="2:7">
      <c r="B2545" s="67">
        <f t="shared" si="289"/>
        <v>45639</v>
      </c>
      <c r="C2545" s="7" t="e">
        <f t="shared" si="293"/>
        <v>#N/A</v>
      </c>
      <c r="D2545" s="7" t="e">
        <f t="shared" si="293"/>
        <v>#N/A</v>
      </c>
      <c r="E2545" s="7" t="e">
        <f t="shared" si="293"/>
        <v>#N/A</v>
      </c>
      <c r="F2545" s="7" t="e">
        <f t="shared" si="293"/>
        <v>#N/A</v>
      </c>
      <c r="G2545" s="7" t="e">
        <f t="shared" si="293"/>
        <v>#N/A</v>
      </c>
    </row>
    <row r="2546" spans="2:7">
      <c r="B2546" s="67">
        <f t="shared" si="289"/>
        <v>45640</v>
      </c>
      <c r="C2546" s="7" t="e">
        <f t="shared" si="293"/>
        <v>#N/A</v>
      </c>
      <c r="D2546" s="7" t="e">
        <f t="shared" si="293"/>
        <v>#N/A</v>
      </c>
      <c r="E2546" s="7" t="e">
        <f t="shared" si="293"/>
        <v>#N/A</v>
      </c>
      <c r="F2546" s="7" t="e">
        <f t="shared" si="293"/>
        <v>#N/A</v>
      </c>
      <c r="G2546" s="7" t="e">
        <f t="shared" si="293"/>
        <v>#N/A</v>
      </c>
    </row>
    <row r="2547" spans="2:7">
      <c r="B2547" s="67">
        <f t="shared" si="289"/>
        <v>45641</v>
      </c>
      <c r="C2547" s="7" t="e">
        <f t="shared" ref="C2547:G2556" si="294">IF(AND($B2547&gt;=C$3,$B2547&lt;=C$4),C$5,NA())</f>
        <v>#N/A</v>
      </c>
      <c r="D2547" s="7" t="e">
        <f t="shared" si="294"/>
        <v>#N/A</v>
      </c>
      <c r="E2547" s="7" t="e">
        <f t="shared" si="294"/>
        <v>#N/A</v>
      </c>
      <c r="F2547" s="7" t="e">
        <f t="shared" si="294"/>
        <v>#N/A</v>
      </c>
      <c r="G2547" s="7" t="e">
        <f t="shared" si="294"/>
        <v>#N/A</v>
      </c>
    </row>
    <row r="2548" spans="2:7">
      <c r="B2548" s="67">
        <f t="shared" si="289"/>
        <v>45642</v>
      </c>
      <c r="C2548" s="7" t="e">
        <f t="shared" si="294"/>
        <v>#N/A</v>
      </c>
      <c r="D2548" s="7" t="e">
        <f t="shared" si="294"/>
        <v>#N/A</v>
      </c>
      <c r="E2548" s="7" t="e">
        <f t="shared" si="294"/>
        <v>#N/A</v>
      </c>
      <c r="F2548" s="7" t="e">
        <f t="shared" si="294"/>
        <v>#N/A</v>
      </c>
      <c r="G2548" s="7" t="e">
        <f t="shared" si="294"/>
        <v>#N/A</v>
      </c>
    </row>
    <row r="2549" spans="2:7">
      <c r="B2549" s="67">
        <f t="shared" si="289"/>
        <v>45643</v>
      </c>
      <c r="C2549" s="7" t="e">
        <f t="shared" si="294"/>
        <v>#N/A</v>
      </c>
      <c r="D2549" s="7" t="e">
        <f t="shared" si="294"/>
        <v>#N/A</v>
      </c>
      <c r="E2549" s="7" t="e">
        <f t="shared" si="294"/>
        <v>#N/A</v>
      </c>
      <c r="F2549" s="7" t="e">
        <f t="shared" si="294"/>
        <v>#N/A</v>
      </c>
      <c r="G2549" s="7" t="e">
        <f t="shared" si="294"/>
        <v>#N/A</v>
      </c>
    </row>
    <row r="2550" spans="2:7">
      <c r="B2550" s="67">
        <f t="shared" si="289"/>
        <v>45644</v>
      </c>
      <c r="C2550" s="7" t="e">
        <f t="shared" si="294"/>
        <v>#N/A</v>
      </c>
      <c r="D2550" s="7" t="e">
        <f t="shared" si="294"/>
        <v>#N/A</v>
      </c>
      <c r="E2550" s="7" t="e">
        <f t="shared" si="294"/>
        <v>#N/A</v>
      </c>
      <c r="F2550" s="7" t="e">
        <f t="shared" si="294"/>
        <v>#N/A</v>
      </c>
      <c r="G2550" s="7" t="e">
        <f t="shared" si="294"/>
        <v>#N/A</v>
      </c>
    </row>
    <row r="2551" spans="2:7">
      <c r="B2551" s="67">
        <f t="shared" si="289"/>
        <v>45645</v>
      </c>
      <c r="C2551" s="7" t="e">
        <f t="shared" si="294"/>
        <v>#N/A</v>
      </c>
      <c r="D2551" s="7" t="e">
        <f t="shared" si="294"/>
        <v>#N/A</v>
      </c>
      <c r="E2551" s="7" t="e">
        <f t="shared" si="294"/>
        <v>#N/A</v>
      </c>
      <c r="F2551" s="7" t="e">
        <f t="shared" si="294"/>
        <v>#N/A</v>
      </c>
      <c r="G2551" s="7" t="e">
        <f t="shared" si="294"/>
        <v>#N/A</v>
      </c>
    </row>
    <row r="2552" spans="2:7">
      <c r="B2552" s="67">
        <f t="shared" si="289"/>
        <v>45646</v>
      </c>
      <c r="C2552" s="7" t="e">
        <f t="shared" si="294"/>
        <v>#N/A</v>
      </c>
      <c r="D2552" s="7" t="e">
        <f t="shared" si="294"/>
        <v>#N/A</v>
      </c>
      <c r="E2552" s="7" t="e">
        <f t="shared" si="294"/>
        <v>#N/A</v>
      </c>
      <c r="F2552" s="7" t="e">
        <f t="shared" si="294"/>
        <v>#N/A</v>
      </c>
      <c r="G2552" s="7" t="e">
        <f t="shared" si="294"/>
        <v>#N/A</v>
      </c>
    </row>
    <row r="2553" spans="2:7">
      <c r="B2553" s="67">
        <f t="shared" si="289"/>
        <v>45647</v>
      </c>
      <c r="C2553" s="7" t="e">
        <f t="shared" si="294"/>
        <v>#N/A</v>
      </c>
      <c r="D2553" s="7" t="e">
        <f t="shared" si="294"/>
        <v>#N/A</v>
      </c>
      <c r="E2553" s="7" t="e">
        <f t="shared" si="294"/>
        <v>#N/A</v>
      </c>
      <c r="F2553" s="7" t="e">
        <f t="shared" si="294"/>
        <v>#N/A</v>
      </c>
      <c r="G2553" s="7" t="e">
        <f t="shared" si="294"/>
        <v>#N/A</v>
      </c>
    </row>
    <row r="2554" spans="2:7">
      <c r="B2554" s="67">
        <f t="shared" si="289"/>
        <v>45648</v>
      </c>
      <c r="C2554" s="7" t="e">
        <f t="shared" si="294"/>
        <v>#N/A</v>
      </c>
      <c r="D2554" s="7" t="e">
        <f t="shared" si="294"/>
        <v>#N/A</v>
      </c>
      <c r="E2554" s="7" t="e">
        <f t="shared" si="294"/>
        <v>#N/A</v>
      </c>
      <c r="F2554" s="7" t="e">
        <f t="shared" si="294"/>
        <v>#N/A</v>
      </c>
      <c r="G2554" s="7" t="e">
        <f t="shared" si="294"/>
        <v>#N/A</v>
      </c>
    </row>
    <row r="2555" spans="2:7">
      <c r="B2555" s="67">
        <f t="shared" si="289"/>
        <v>45649</v>
      </c>
      <c r="C2555" s="7" t="e">
        <f t="shared" si="294"/>
        <v>#N/A</v>
      </c>
      <c r="D2555" s="7" t="e">
        <f t="shared" si="294"/>
        <v>#N/A</v>
      </c>
      <c r="E2555" s="7" t="e">
        <f t="shared" si="294"/>
        <v>#N/A</v>
      </c>
      <c r="F2555" s="7" t="e">
        <f t="shared" si="294"/>
        <v>#N/A</v>
      </c>
      <c r="G2555" s="7" t="e">
        <f t="shared" si="294"/>
        <v>#N/A</v>
      </c>
    </row>
    <row r="2556" spans="2:7">
      <c r="B2556" s="67">
        <f t="shared" si="289"/>
        <v>45650</v>
      </c>
      <c r="C2556" s="7" t="e">
        <f t="shared" si="294"/>
        <v>#N/A</v>
      </c>
      <c r="D2556" s="7" t="e">
        <f t="shared" si="294"/>
        <v>#N/A</v>
      </c>
      <c r="E2556" s="7" t="e">
        <f t="shared" si="294"/>
        <v>#N/A</v>
      </c>
      <c r="F2556" s="7" t="e">
        <f t="shared" si="294"/>
        <v>#N/A</v>
      </c>
      <c r="G2556" s="7" t="e">
        <f t="shared" si="294"/>
        <v>#N/A</v>
      </c>
    </row>
    <row r="2557" spans="2:7">
      <c r="B2557" s="67">
        <f t="shared" si="289"/>
        <v>45651</v>
      </c>
      <c r="C2557" s="7" t="e">
        <f t="shared" ref="C2557:G2564" si="295">IF(AND($B2557&gt;=C$3,$B2557&lt;=C$4),C$5,NA())</f>
        <v>#N/A</v>
      </c>
      <c r="D2557" s="7" t="e">
        <f t="shared" si="295"/>
        <v>#N/A</v>
      </c>
      <c r="E2557" s="7" t="e">
        <f t="shared" si="295"/>
        <v>#N/A</v>
      </c>
      <c r="F2557" s="7" t="e">
        <f t="shared" si="295"/>
        <v>#N/A</v>
      </c>
      <c r="G2557" s="7" t="e">
        <f t="shared" si="295"/>
        <v>#N/A</v>
      </c>
    </row>
    <row r="2558" spans="2:7">
      <c r="B2558" s="67">
        <f t="shared" si="289"/>
        <v>45652</v>
      </c>
      <c r="C2558" s="7" t="e">
        <f t="shared" si="295"/>
        <v>#N/A</v>
      </c>
      <c r="D2558" s="7" t="e">
        <f t="shared" si="295"/>
        <v>#N/A</v>
      </c>
      <c r="E2558" s="7" t="e">
        <f t="shared" si="295"/>
        <v>#N/A</v>
      </c>
      <c r="F2558" s="7" t="e">
        <f t="shared" si="295"/>
        <v>#N/A</v>
      </c>
      <c r="G2558" s="7" t="e">
        <f t="shared" si="295"/>
        <v>#N/A</v>
      </c>
    </row>
    <row r="2559" spans="2:7">
      <c r="B2559" s="67">
        <f t="shared" si="289"/>
        <v>45653</v>
      </c>
      <c r="C2559" s="7" t="e">
        <f t="shared" si="295"/>
        <v>#N/A</v>
      </c>
      <c r="D2559" s="7" t="e">
        <f t="shared" si="295"/>
        <v>#N/A</v>
      </c>
      <c r="E2559" s="7" t="e">
        <f t="shared" si="295"/>
        <v>#N/A</v>
      </c>
      <c r="F2559" s="7" t="e">
        <f t="shared" si="295"/>
        <v>#N/A</v>
      </c>
      <c r="G2559" s="7" t="e">
        <f t="shared" si="295"/>
        <v>#N/A</v>
      </c>
    </row>
    <row r="2560" spans="2:7">
      <c r="B2560" s="67">
        <f t="shared" si="289"/>
        <v>45654</v>
      </c>
      <c r="C2560" s="7" t="e">
        <f t="shared" si="295"/>
        <v>#N/A</v>
      </c>
      <c r="D2560" s="7" t="e">
        <f t="shared" si="295"/>
        <v>#N/A</v>
      </c>
      <c r="E2560" s="7" t="e">
        <f t="shared" si="295"/>
        <v>#N/A</v>
      </c>
      <c r="F2560" s="7" t="e">
        <f t="shared" si="295"/>
        <v>#N/A</v>
      </c>
      <c r="G2560" s="7" t="e">
        <f t="shared" si="295"/>
        <v>#N/A</v>
      </c>
    </row>
    <row r="2561" spans="2:7">
      <c r="B2561" s="67">
        <f t="shared" si="289"/>
        <v>45655</v>
      </c>
      <c r="C2561" s="7" t="e">
        <f t="shared" si="295"/>
        <v>#N/A</v>
      </c>
      <c r="D2561" s="7" t="e">
        <f t="shared" si="295"/>
        <v>#N/A</v>
      </c>
      <c r="E2561" s="7" t="e">
        <f t="shared" si="295"/>
        <v>#N/A</v>
      </c>
      <c r="F2561" s="7" t="e">
        <f t="shared" si="295"/>
        <v>#N/A</v>
      </c>
      <c r="G2561" s="7" t="e">
        <f t="shared" si="295"/>
        <v>#N/A</v>
      </c>
    </row>
    <row r="2562" spans="2:7">
      <c r="B2562" s="67">
        <f t="shared" si="289"/>
        <v>45656</v>
      </c>
      <c r="C2562" s="7" t="e">
        <f t="shared" si="295"/>
        <v>#N/A</v>
      </c>
      <c r="D2562" s="7" t="e">
        <f t="shared" si="295"/>
        <v>#N/A</v>
      </c>
      <c r="E2562" s="7" t="e">
        <f t="shared" si="295"/>
        <v>#N/A</v>
      </c>
      <c r="F2562" s="7" t="e">
        <f t="shared" si="295"/>
        <v>#N/A</v>
      </c>
      <c r="G2562" s="7" t="e">
        <f t="shared" si="295"/>
        <v>#N/A</v>
      </c>
    </row>
    <row r="2563" spans="2:7">
      <c r="B2563" s="67">
        <f t="shared" si="289"/>
        <v>45657</v>
      </c>
      <c r="C2563" s="7" t="e">
        <f t="shared" si="295"/>
        <v>#N/A</v>
      </c>
      <c r="D2563" s="7" t="e">
        <f t="shared" si="295"/>
        <v>#N/A</v>
      </c>
      <c r="E2563" s="7" t="e">
        <f t="shared" si="295"/>
        <v>#N/A</v>
      </c>
      <c r="F2563" s="7" t="e">
        <f t="shared" si="295"/>
        <v>#N/A</v>
      </c>
      <c r="G2563" s="7" t="e">
        <f t="shared" si="295"/>
        <v>#N/A</v>
      </c>
    </row>
    <row r="2564" spans="2:7">
      <c r="B2564" s="67">
        <f t="shared" si="289"/>
        <v>45658</v>
      </c>
      <c r="C2564" s="7" t="e">
        <f t="shared" si="295"/>
        <v>#N/A</v>
      </c>
      <c r="D2564" s="7" t="e">
        <f t="shared" si="295"/>
        <v>#N/A</v>
      </c>
      <c r="E2564" s="7" t="e">
        <f t="shared" si="295"/>
        <v>#N/A</v>
      </c>
      <c r="F2564" s="7" t="e">
        <f t="shared" si="295"/>
        <v>#N/A</v>
      </c>
      <c r="G2564" s="7" t="e">
        <f t="shared" si="295"/>
        <v>#N/A</v>
      </c>
    </row>
    <row r="2565" spans="2:7">
      <c r="B2565" s="67"/>
    </row>
    <row r="2566" spans="2:7">
      <c r="B2566" s="67"/>
    </row>
    <row r="2567" spans="2:7">
      <c r="B2567" s="67"/>
    </row>
    <row r="2568" spans="2:7">
      <c r="B2568" s="67"/>
    </row>
    <row r="2569" spans="2:7">
      <c r="B2569" s="67"/>
    </row>
    <row r="2570" spans="2:7">
      <c r="B2570" s="67"/>
    </row>
    <row r="2571" spans="2:7">
      <c r="B2571" s="67"/>
    </row>
    <row r="2572" spans="2:7">
      <c r="B2572" s="67"/>
    </row>
    <row r="2573" spans="2:7">
      <c r="B2573" s="67"/>
    </row>
    <row r="2574" spans="2:7">
      <c r="B2574" s="67"/>
    </row>
    <row r="2575" spans="2:7">
      <c r="B2575" s="67"/>
    </row>
    <row r="2576" spans="2:7">
      <c r="B2576" s="67"/>
    </row>
    <row r="2577" spans="2:2">
      <c r="B2577" s="67"/>
    </row>
    <row r="2578" spans="2:2">
      <c r="B2578" s="67"/>
    </row>
    <row r="2579" spans="2:2">
      <c r="B2579" s="67"/>
    </row>
    <row r="2580" spans="2:2">
      <c r="B2580" s="67"/>
    </row>
    <row r="2581" spans="2:2">
      <c r="B2581" s="67"/>
    </row>
    <row r="2582" spans="2:2">
      <c r="B2582" s="67"/>
    </row>
    <row r="2583" spans="2:2">
      <c r="B2583" s="67"/>
    </row>
    <row r="2584" spans="2:2">
      <c r="B2584" s="67"/>
    </row>
    <row r="2585" spans="2:2">
      <c r="B2585" s="67"/>
    </row>
    <row r="2586" spans="2:2">
      <c r="B2586" s="67"/>
    </row>
    <row r="2587" spans="2:2">
      <c r="B2587" s="67"/>
    </row>
    <row r="2588" spans="2:2">
      <c r="B2588" s="67"/>
    </row>
    <row r="2589" spans="2:2">
      <c r="B2589" s="67"/>
    </row>
    <row r="2590" spans="2:2">
      <c r="B2590" s="67"/>
    </row>
    <row r="2591" spans="2:2">
      <c r="B2591" s="67"/>
    </row>
    <row r="2592" spans="2:2">
      <c r="B2592" s="67"/>
    </row>
    <row r="2593" spans="2:2">
      <c r="B2593" s="67"/>
    </row>
    <row r="2594" spans="2:2">
      <c r="B2594" s="67"/>
    </row>
    <row r="2595" spans="2:2">
      <c r="B2595" s="67"/>
    </row>
    <row r="2596" spans="2:2">
      <c r="B2596" s="67"/>
    </row>
    <row r="2597" spans="2:2">
      <c r="B2597" s="67"/>
    </row>
    <row r="2598" spans="2:2">
      <c r="B2598" s="67"/>
    </row>
    <row r="2599" spans="2:2">
      <c r="B2599" s="67"/>
    </row>
    <row r="2600" spans="2:2">
      <c r="B2600" s="67"/>
    </row>
    <row r="2601" spans="2:2">
      <c r="B2601" s="67"/>
    </row>
    <row r="2602" spans="2:2">
      <c r="B2602" s="67"/>
    </row>
    <row r="2603" spans="2:2">
      <c r="B2603" s="67"/>
    </row>
    <row r="2604" spans="2:2">
      <c r="B2604" s="67"/>
    </row>
    <row r="2605" spans="2:2">
      <c r="B2605" s="67"/>
    </row>
    <row r="2606" spans="2:2">
      <c r="B2606" s="67"/>
    </row>
    <row r="2607" spans="2:2">
      <c r="B2607" s="67"/>
    </row>
    <row r="2608" spans="2:2">
      <c r="B2608" s="67"/>
    </row>
    <row r="2609" spans="2:2">
      <c r="B2609" s="67"/>
    </row>
    <row r="2610" spans="2:2">
      <c r="B2610" s="67"/>
    </row>
    <row r="2611" spans="2:2">
      <c r="B2611" s="67"/>
    </row>
    <row r="2612" spans="2:2">
      <c r="B2612" s="67"/>
    </row>
    <row r="2613" spans="2:2">
      <c r="B2613" s="67"/>
    </row>
    <row r="2614" spans="2:2">
      <c r="B2614" s="67"/>
    </row>
    <row r="2615" spans="2:2">
      <c r="B2615" s="67"/>
    </row>
    <row r="2616" spans="2:2">
      <c r="B2616" s="67"/>
    </row>
    <row r="2617" spans="2:2">
      <c r="B2617" s="67"/>
    </row>
    <row r="2618" spans="2:2">
      <c r="B2618" s="67"/>
    </row>
    <row r="2619" spans="2:2">
      <c r="B2619" s="67"/>
    </row>
    <row r="2620" spans="2:2">
      <c r="B2620" s="67"/>
    </row>
    <row r="2621" spans="2:2">
      <c r="B2621" s="67"/>
    </row>
    <row r="2622" spans="2:2">
      <c r="B2622" s="67"/>
    </row>
    <row r="2623" spans="2:2">
      <c r="B2623" s="67"/>
    </row>
    <row r="2624" spans="2:2">
      <c r="B2624" s="67"/>
    </row>
    <row r="2625" spans="2:2">
      <c r="B2625" s="67"/>
    </row>
    <row r="2626" spans="2:2">
      <c r="B2626" s="67"/>
    </row>
    <row r="2627" spans="2:2">
      <c r="B2627" s="67"/>
    </row>
    <row r="2628" spans="2:2">
      <c r="B2628" s="67"/>
    </row>
    <row r="2629" spans="2:2">
      <c r="B2629" s="67"/>
    </row>
    <row r="2630" spans="2:2">
      <c r="B2630" s="67"/>
    </row>
    <row r="2631" spans="2:2">
      <c r="B2631" s="67"/>
    </row>
    <row r="2632" spans="2:2">
      <c r="B2632" s="67"/>
    </row>
    <row r="2633" spans="2:2">
      <c r="B2633" s="67"/>
    </row>
    <row r="2634" spans="2:2">
      <c r="B2634" s="67"/>
    </row>
    <row r="2635" spans="2:2">
      <c r="B2635" s="67"/>
    </row>
    <row r="2636" spans="2:2">
      <c r="B2636" s="67"/>
    </row>
    <row r="2637" spans="2:2">
      <c r="B2637" s="67"/>
    </row>
    <row r="2638" spans="2:2">
      <c r="B2638" s="67"/>
    </row>
    <row r="2639" spans="2:2">
      <c r="B2639" s="67"/>
    </row>
    <row r="2640" spans="2:2">
      <c r="B2640" s="67"/>
    </row>
    <row r="2641" spans="2:2">
      <c r="B2641" s="67"/>
    </row>
    <row r="2642" spans="2:2">
      <c r="B2642" s="67"/>
    </row>
    <row r="2643" spans="2:2">
      <c r="B2643" s="67"/>
    </row>
    <row r="2644" spans="2:2">
      <c r="B2644" s="67"/>
    </row>
    <row r="2645" spans="2:2">
      <c r="B2645" s="67"/>
    </row>
    <row r="2646" spans="2:2">
      <c r="B2646" s="67"/>
    </row>
    <row r="2647" spans="2:2">
      <c r="B2647" s="67"/>
    </row>
    <row r="2648" spans="2:2">
      <c r="B2648" s="67"/>
    </row>
    <row r="2649" spans="2:2">
      <c r="B2649" s="67"/>
    </row>
    <row r="2650" spans="2:2">
      <c r="B2650" s="67"/>
    </row>
    <row r="2651" spans="2:2">
      <c r="B2651" s="67"/>
    </row>
    <row r="2652" spans="2:2">
      <c r="B2652" s="67"/>
    </row>
    <row r="2653" spans="2:2">
      <c r="B2653" s="67"/>
    </row>
    <row r="2654" spans="2:2">
      <c r="B2654" s="67"/>
    </row>
    <row r="2655" spans="2:2">
      <c r="B2655" s="67"/>
    </row>
    <row r="2656" spans="2:2">
      <c r="B2656" s="67"/>
    </row>
    <row r="2657" spans="2:2">
      <c r="B2657" s="67"/>
    </row>
    <row r="2658" spans="2:2">
      <c r="B2658" s="67"/>
    </row>
    <row r="2659" spans="2:2">
      <c r="B2659" s="67"/>
    </row>
    <row r="2660" spans="2:2">
      <c r="B2660" s="67"/>
    </row>
    <row r="2661" spans="2:2">
      <c r="B2661" s="67"/>
    </row>
    <row r="2662" spans="2:2">
      <c r="B2662" s="67"/>
    </row>
    <row r="2663" spans="2:2">
      <c r="B2663" s="67"/>
    </row>
    <row r="2664" spans="2:2">
      <c r="B2664" s="67"/>
    </row>
    <row r="2665" spans="2:2">
      <c r="B2665" s="67"/>
    </row>
    <row r="2666" spans="2:2">
      <c r="B2666" s="67"/>
    </row>
    <row r="2667" spans="2:2">
      <c r="B2667" s="67"/>
    </row>
    <row r="2668" spans="2:2">
      <c r="B2668" s="67"/>
    </row>
    <row r="2669" spans="2:2">
      <c r="B2669" s="67"/>
    </row>
    <row r="2670" spans="2:2">
      <c r="B2670" s="67"/>
    </row>
    <row r="2671" spans="2:2">
      <c r="B2671" s="67"/>
    </row>
    <row r="2672" spans="2:2">
      <c r="B2672" s="67"/>
    </row>
    <row r="2673" spans="2:2">
      <c r="B2673" s="67"/>
    </row>
    <row r="2674" spans="2:2">
      <c r="B2674" s="67"/>
    </row>
    <row r="2675" spans="2:2">
      <c r="B2675" s="6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9425F-59A1-49AD-91E2-C1E3867F7CB4}">
  <dimension ref="B3:B22"/>
  <sheetViews>
    <sheetView workbookViewId="0">
      <selection activeCell="D32" sqref="D32"/>
    </sheetView>
  </sheetViews>
  <sheetFormatPr defaultRowHeight="15"/>
  <sheetData>
    <row r="3" spans="2:2">
      <c r="B3" t="s">
        <v>180</v>
      </c>
    </row>
    <row r="4" spans="2:2">
      <c r="B4" t="s">
        <v>179</v>
      </c>
    </row>
    <row r="7" spans="2:2">
      <c r="B7" s="71" t="s">
        <v>178</v>
      </c>
    </row>
    <row r="8" spans="2:2">
      <c r="B8" t="s">
        <v>177</v>
      </c>
    </row>
    <row r="9" spans="2:2">
      <c r="B9" t="s">
        <v>176</v>
      </c>
    </row>
    <row r="10" spans="2:2">
      <c r="B10" t="s">
        <v>175</v>
      </c>
    </row>
    <row r="14" spans="2:2">
      <c r="B14" s="71" t="s">
        <v>102</v>
      </c>
    </row>
    <row r="15" spans="2:2">
      <c r="B15" t="s">
        <v>174</v>
      </c>
    </row>
    <row r="16" spans="2:2">
      <c r="B16" t="s">
        <v>173</v>
      </c>
    </row>
    <row r="17" spans="2:2">
      <c r="B17" t="s">
        <v>172</v>
      </c>
    </row>
    <row r="18" spans="2:2">
      <c r="B18" t="s">
        <v>171</v>
      </c>
    </row>
    <row r="19" spans="2:2">
      <c r="B19" t="s">
        <v>170</v>
      </c>
    </row>
    <row r="20" spans="2:2">
      <c r="B20" t="s">
        <v>169</v>
      </c>
    </row>
    <row r="21" spans="2:2">
      <c r="B21" t="s">
        <v>168</v>
      </c>
    </row>
    <row r="22" spans="2:2">
      <c r="B22" t="s">
        <v>167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Charities List</vt:lpstr>
      <vt:lpstr>Charities Clean</vt:lpstr>
      <vt:lpstr>Charities Draws</vt:lpstr>
      <vt:lpstr>Onboarding</vt:lpstr>
      <vt:lpstr>Comps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Bradshaw</dc:creator>
  <cp:lastModifiedBy>Sam Bradshaw</cp:lastModifiedBy>
  <cp:lastPrinted>2026-07-20T11:54:51Z</cp:lastPrinted>
  <dcterms:created xsi:type="dcterms:W3CDTF">2025-09-21T09:08:36Z</dcterms:created>
  <dcterms:modified xsi:type="dcterms:W3CDTF">2026-08-17T05:01:22Z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aad4959-a4d7-4a60-89ba-8fd96e834276_Enabled">
    <vt:lpwstr>true</vt:lpwstr>
  </property>
  <property fmtid="{D5CDD505-2E9C-101B-9397-08002B2CF9AE}" pid="3" name="MSIP_Label_faad4959-a4d7-4a60-89ba-8fd96e834276_SetDate">
    <vt:lpwstr>2025-09-21T09:08:45Z</vt:lpwstr>
  </property>
  <property fmtid="{D5CDD505-2E9C-101B-9397-08002B2CF9AE}" pid="4" name="MSIP_Label_faad4959-a4d7-4a60-89ba-8fd96e834276_Method">
    <vt:lpwstr>Standard</vt:lpwstr>
  </property>
  <property fmtid="{D5CDD505-2E9C-101B-9397-08002B2CF9AE}" pid="5" name="MSIP_Label_faad4959-a4d7-4a60-89ba-8fd96e834276_Name">
    <vt:lpwstr>Restricted - General</vt:lpwstr>
  </property>
  <property fmtid="{D5CDD505-2E9C-101B-9397-08002B2CF9AE}" pid="6" name="MSIP_Label_faad4959-a4d7-4a60-89ba-8fd96e834276_SiteId">
    <vt:lpwstr>6d13d3d5-8b13-4ab4-a345-350f909f5f65</vt:lpwstr>
  </property>
  <property fmtid="{D5CDD505-2E9C-101B-9397-08002B2CF9AE}" pid="7" name="MSIP_Label_faad4959-a4d7-4a60-89ba-8fd96e834276_ActionId">
    <vt:lpwstr>ebc96054-0e3b-40a0-acd2-3d40e2baf5ee</vt:lpwstr>
  </property>
  <property fmtid="{D5CDD505-2E9C-101B-9397-08002B2CF9AE}" pid="8" name="MSIP_Label_faad4959-a4d7-4a60-89ba-8fd96e834276_ContentBits">
    <vt:lpwstr>0</vt:lpwstr>
  </property>
  <property fmtid="{D5CDD505-2E9C-101B-9397-08002B2CF9AE}" pid="9" name="MSIP_Label_faad4959-a4d7-4a60-89ba-8fd96e834276_Tag">
    <vt:lpwstr>10, 3, 0, 1</vt:lpwstr>
  </property>
  <property fmtid="{D5CDD505-2E9C-101B-9397-08002B2CF9AE}" pid="10" name="Id">
    <vt:lpwstr>5c2f7185-d9ac-4532-a7b0-33dec159a945</vt:lpwstr>
  </property>
</Properties>
</file>